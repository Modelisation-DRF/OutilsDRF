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rnmicro\dev\CAPSIS\OutilsDRF\"/>
    </mc:Choice>
  </mc:AlternateContent>
  <xr:revisionPtr revIDLastSave="0" documentId="13_ncr:1_{352DF42E-FDAB-4616-B0C4-04661D1E8618}" xr6:coauthVersionLast="47" xr6:coauthVersionMax="47" xr10:uidLastSave="{00000000-0000-0000-0000-000000000000}"/>
  <bookViews>
    <workbookView xWindow="-120" yWindow="-120" windowWidth="29040" windowHeight="15720" activeTab="4" xr2:uid="{7AFE0E67-CAF8-4B95-9133-BCAE05A76E41}"/>
  </bookViews>
  <sheets>
    <sheet name="Depart" sheetId="1" r:id="rId1"/>
    <sheet name="EQ1" sheetId="2" r:id="rId2"/>
    <sheet name="EQ2" sheetId="3" r:id="rId3"/>
    <sheet name="EQ3" sheetId="4" r:id="rId4"/>
    <sheet name="Result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4" l="1"/>
  <c r="BM3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L2" i="4"/>
  <c r="BL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128" i="4"/>
  <c r="BL129" i="4"/>
  <c r="BL130" i="4"/>
  <c r="BL131" i="4"/>
  <c r="BL132" i="4"/>
  <c r="BL133" i="4"/>
  <c r="BL134" i="4"/>
  <c r="BL135" i="4"/>
  <c r="BL136" i="4"/>
  <c r="BL137" i="4"/>
  <c r="BL138" i="4"/>
  <c r="BL139" i="4"/>
  <c r="BL140" i="4"/>
  <c r="BL141" i="4"/>
  <c r="BL142" i="4"/>
  <c r="BL143" i="4"/>
  <c r="BL144" i="4"/>
  <c r="BL145" i="4"/>
  <c r="BL146" i="4"/>
  <c r="BL147" i="4"/>
  <c r="BL148" i="4"/>
  <c r="BL149" i="4"/>
  <c r="BL150" i="4"/>
  <c r="BL151" i="4"/>
  <c r="BL152" i="4"/>
  <c r="BL153" i="4"/>
  <c r="BL154" i="4"/>
  <c r="BL155" i="4"/>
  <c r="BL156" i="4"/>
  <c r="BL157" i="4"/>
  <c r="BL158" i="4"/>
  <c r="BL159" i="4"/>
  <c r="BL160" i="4"/>
  <c r="BL161" i="4"/>
  <c r="BL162" i="4"/>
  <c r="BL163" i="4"/>
  <c r="BL164" i="4"/>
  <c r="BL165" i="4"/>
  <c r="BL166" i="4"/>
  <c r="BL167" i="4"/>
  <c r="BL168" i="4"/>
  <c r="BL169" i="4"/>
  <c r="BL170" i="4"/>
  <c r="BL171" i="4"/>
  <c r="BL172" i="4"/>
  <c r="BL173" i="4"/>
  <c r="BL174" i="4"/>
  <c r="BL175" i="4"/>
  <c r="BL176" i="4"/>
  <c r="BL177" i="4"/>
  <c r="BL178" i="4"/>
  <c r="BL179" i="4"/>
  <c r="BL180" i="4"/>
  <c r="BL181" i="4"/>
  <c r="BL182" i="4"/>
  <c r="BL183" i="4"/>
  <c r="BL184" i="4"/>
  <c r="BL185" i="4"/>
  <c r="BL186" i="4"/>
  <c r="BL187" i="4"/>
  <c r="BL188" i="4"/>
  <c r="BL189" i="4"/>
  <c r="BL190" i="4"/>
  <c r="BL191" i="4"/>
  <c r="BL192" i="4"/>
  <c r="BL193" i="4"/>
  <c r="BK2" i="4"/>
  <c r="BK3" i="4"/>
  <c r="BK4" i="4"/>
  <c r="BK5" i="4"/>
  <c r="BK6" i="4"/>
  <c r="BK7" i="4"/>
  <c r="BK8" i="4"/>
  <c r="BK9" i="4"/>
  <c r="BK10" i="4"/>
  <c r="BK11" i="4"/>
  <c r="BK12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6" i="4"/>
  <c r="BK27" i="4"/>
  <c r="BK28" i="4"/>
  <c r="BK29" i="4"/>
  <c r="BK30" i="4"/>
  <c r="BK31" i="4"/>
  <c r="BK32" i="4"/>
  <c r="BK33" i="4"/>
  <c r="BK34" i="4"/>
  <c r="BK35" i="4"/>
  <c r="BK36" i="4"/>
  <c r="BK37" i="4"/>
  <c r="BK38" i="4"/>
  <c r="BK39" i="4"/>
  <c r="BK40" i="4"/>
  <c r="BK41" i="4"/>
  <c r="BK42" i="4"/>
  <c r="BK43" i="4"/>
  <c r="BK44" i="4"/>
  <c r="BK45" i="4"/>
  <c r="BK46" i="4"/>
  <c r="BK47" i="4"/>
  <c r="BK48" i="4"/>
  <c r="BK49" i="4"/>
  <c r="BK50" i="4"/>
  <c r="BK51" i="4"/>
  <c r="BK52" i="4"/>
  <c r="BK53" i="4"/>
  <c r="BK54" i="4"/>
  <c r="BK55" i="4"/>
  <c r="BK56" i="4"/>
  <c r="BK57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71" i="4"/>
  <c r="BK72" i="4"/>
  <c r="BK73" i="4"/>
  <c r="BK74" i="4"/>
  <c r="BK75" i="4"/>
  <c r="BK76" i="4"/>
  <c r="BK77" i="4"/>
  <c r="BK78" i="4"/>
  <c r="BK79" i="4"/>
  <c r="BK80" i="4"/>
  <c r="BK81" i="4"/>
  <c r="BK82" i="4"/>
  <c r="BK83" i="4"/>
  <c r="BK84" i="4"/>
  <c r="BK85" i="4"/>
  <c r="BK86" i="4"/>
  <c r="BK87" i="4"/>
  <c r="BK88" i="4"/>
  <c r="BK89" i="4"/>
  <c r="BK90" i="4"/>
  <c r="BK91" i="4"/>
  <c r="BK92" i="4"/>
  <c r="BK93" i="4"/>
  <c r="BK94" i="4"/>
  <c r="BK95" i="4"/>
  <c r="BK96" i="4"/>
  <c r="BK97" i="4"/>
  <c r="BK98" i="4"/>
  <c r="BK99" i="4"/>
  <c r="BK100" i="4"/>
  <c r="BK101" i="4"/>
  <c r="BK102" i="4"/>
  <c r="BK103" i="4"/>
  <c r="BK104" i="4"/>
  <c r="BK105" i="4"/>
  <c r="BK106" i="4"/>
  <c r="BK107" i="4"/>
  <c r="BK108" i="4"/>
  <c r="BK109" i="4"/>
  <c r="BK110" i="4"/>
  <c r="BK111" i="4"/>
  <c r="BK112" i="4"/>
  <c r="BK113" i="4"/>
  <c r="BK114" i="4"/>
  <c r="BK115" i="4"/>
  <c r="BK116" i="4"/>
  <c r="BK117" i="4"/>
  <c r="BK118" i="4"/>
  <c r="BK119" i="4"/>
  <c r="BK120" i="4"/>
  <c r="BK121" i="4"/>
  <c r="BK122" i="4"/>
  <c r="BK123" i="4"/>
  <c r="BK124" i="4"/>
  <c r="BK125" i="4"/>
  <c r="BK126" i="4"/>
  <c r="BK127" i="4"/>
  <c r="BK128" i="4"/>
  <c r="BK129" i="4"/>
  <c r="BK130" i="4"/>
  <c r="BK131" i="4"/>
  <c r="BK132" i="4"/>
  <c r="BK133" i="4"/>
  <c r="BK134" i="4"/>
  <c r="BK135" i="4"/>
  <c r="BK136" i="4"/>
  <c r="BK137" i="4"/>
  <c r="BK138" i="4"/>
  <c r="BK139" i="4"/>
  <c r="BK140" i="4"/>
  <c r="BK141" i="4"/>
  <c r="BK142" i="4"/>
  <c r="BK143" i="4"/>
  <c r="BK144" i="4"/>
  <c r="BK145" i="4"/>
  <c r="BK146" i="4"/>
  <c r="BK147" i="4"/>
  <c r="BK148" i="4"/>
  <c r="BK149" i="4"/>
  <c r="BK150" i="4"/>
  <c r="BK151" i="4"/>
  <c r="BK152" i="4"/>
  <c r="BK153" i="4"/>
  <c r="BK154" i="4"/>
  <c r="BK155" i="4"/>
  <c r="BK156" i="4"/>
  <c r="BK157" i="4"/>
  <c r="BK158" i="4"/>
  <c r="BK159" i="4"/>
  <c r="BK160" i="4"/>
  <c r="BK161" i="4"/>
  <c r="BK162" i="4"/>
  <c r="BK163" i="4"/>
  <c r="BK164" i="4"/>
  <c r="BK165" i="4"/>
  <c r="BK166" i="4"/>
  <c r="BK167" i="4"/>
  <c r="BK168" i="4"/>
  <c r="BK169" i="4"/>
  <c r="BK170" i="4"/>
  <c r="BK171" i="4"/>
  <c r="BK172" i="4"/>
  <c r="BK173" i="4"/>
  <c r="BK174" i="4"/>
  <c r="BK175" i="4"/>
  <c r="BK176" i="4"/>
  <c r="BK177" i="4"/>
  <c r="BK178" i="4"/>
  <c r="BK179" i="4"/>
  <c r="BK180" i="4"/>
  <c r="BK181" i="4"/>
  <c r="BK182" i="4"/>
  <c r="BK183" i="4"/>
  <c r="BK184" i="4"/>
  <c r="BK185" i="4"/>
  <c r="BK186" i="4"/>
  <c r="BK187" i="4"/>
  <c r="BK188" i="4"/>
  <c r="BK189" i="4"/>
  <c r="BK190" i="4"/>
  <c r="BK191" i="4"/>
  <c r="BK192" i="4"/>
  <c r="BK193" i="4"/>
  <c r="BJ2" i="4"/>
  <c r="BJ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35" i="4"/>
  <c r="BJ36" i="4"/>
  <c r="BJ37" i="4"/>
  <c r="BJ38" i="4"/>
  <c r="BJ39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J62" i="4"/>
  <c r="BJ63" i="4"/>
  <c r="BJ64" i="4"/>
  <c r="BJ65" i="4"/>
  <c r="BJ66" i="4"/>
  <c r="BJ67" i="4"/>
  <c r="BJ68" i="4"/>
  <c r="BJ69" i="4"/>
  <c r="BJ70" i="4"/>
  <c r="BJ71" i="4"/>
  <c r="BJ72" i="4"/>
  <c r="BJ73" i="4"/>
  <c r="BJ74" i="4"/>
  <c r="BJ75" i="4"/>
  <c r="BJ76" i="4"/>
  <c r="BJ77" i="4"/>
  <c r="BJ78" i="4"/>
  <c r="BJ79" i="4"/>
  <c r="BJ80" i="4"/>
  <c r="BJ81" i="4"/>
  <c r="BJ82" i="4"/>
  <c r="BJ83" i="4"/>
  <c r="BJ84" i="4"/>
  <c r="BJ85" i="4"/>
  <c r="BJ86" i="4"/>
  <c r="BJ87" i="4"/>
  <c r="BJ88" i="4"/>
  <c r="BJ89" i="4"/>
  <c r="BJ90" i="4"/>
  <c r="BJ91" i="4"/>
  <c r="BJ92" i="4"/>
  <c r="BJ93" i="4"/>
  <c r="BJ94" i="4"/>
  <c r="BJ95" i="4"/>
  <c r="BJ96" i="4"/>
  <c r="BJ97" i="4"/>
  <c r="BJ98" i="4"/>
  <c r="BJ99" i="4"/>
  <c r="BJ100" i="4"/>
  <c r="BJ101" i="4"/>
  <c r="BJ102" i="4"/>
  <c r="BJ103" i="4"/>
  <c r="BJ104" i="4"/>
  <c r="BJ105" i="4"/>
  <c r="BJ106" i="4"/>
  <c r="BJ107" i="4"/>
  <c r="BJ108" i="4"/>
  <c r="BJ109" i="4"/>
  <c r="BJ110" i="4"/>
  <c r="BJ111" i="4"/>
  <c r="BJ112" i="4"/>
  <c r="BJ113" i="4"/>
  <c r="BJ114" i="4"/>
  <c r="BJ115" i="4"/>
  <c r="BJ116" i="4"/>
  <c r="BJ117" i="4"/>
  <c r="BJ118" i="4"/>
  <c r="BJ119" i="4"/>
  <c r="BJ120" i="4"/>
  <c r="BJ121" i="4"/>
  <c r="BJ122" i="4"/>
  <c r="BJ123" i="4"/>
  <c r="BJ124" i="4"/>
  <c r="BJ125" i="4"/>
  <c r="BJ126" i="4"/>
  <c r="BJ127" i="4"/>
  <c r="BJ128" i="4"/>
  <c r="BJ129" i="4"/>
  <c r="BJ130" i="4"/>
  <c r="BJ131" i="4"/>
  <c r="BJ132" i="4"/>
  <c r="BJ133" i="4"/>
  <c r="BJ134" i="4"/>
  <c r="BJ135" i="4"/>
  <c r="BJ136" i="4"/>
  <c r="BJ137" i="4"/>
  <c r="BJ138" i="4"/>
  <c r="BJ139" i="4"/>
  <c r="BJ140" i="4"/>
  <c r="BJ141" i="4"/>
  <c r="BJ142" i="4"/>
  <c r="BJ143" i="4"/>
  <c r="BJ144" i="4"/>
  <c r="BJ145" i="4"/>
  <c r="BJ146" i="4"/>
  <c r="BJ147" i="4"/>
  <c r="BJ148" i="4"/>
  <c r="BJ149" i="4"/>
  <c r="BJ150" i="4"/>
  <c r="BJ151" i="4"/>
  <c r="BJ152" i="4"/>
  <c r="BJ153" i="4"/>
  <c r="BJ154" i="4"/>
  <c r="BJ155" i="4"/>
  <c r="BJ156" i="4"/>
  <c r="BJ157" i="4"/>
  <c r="BJ158" i="4"/>
  <c r="BJ159" i="4"/>
  <c r="BJ160" i="4"/>
  <c r="BJ161" i="4"/>
  <c r="BJ162" i="4"/>
  <c r="BJ163" i="4"/>
  <c r="BJ164" i="4"/>
  <c r="BJ165" i="4"/>
  <c r="BJ166" i="4"/>
  <c r="BJ167" i="4"/>
  <c r="BJ168" i="4"/>
  <c r="BJ169" i="4"/>
  <c r="BJ170" i="4"/>
  <c r="BJ171" i="4"/>
  <c r="BJ172" i="4"/>
  <c r="BJ173" i="4"/>
  <c r="BJ174" i="4"/>
  <c r="BJ175" i="4"/>
  <c r="BJ176" i="4"/>
  <c r="BJ177" i="4"/>
  <c r="BJ178" i="4"/>
  <c r="BJ179" i="4"/>
  <c r="BJ180" i="4"/>
  <c r="BJ181" i="4"/>
  <c r="BJ182" i="4"/>
  <c r="BJ183" i="4"/>
  <c r="BJ184" i="4"/>
  <c r="BJ185" i="4"/>
  <c r="BJ186" i="4"/>
  <c r="BJ187" i="4"/>
  <c r="BJ188" i="4"/>
  <c r="BJ189" i="4"/>
  <c r="BJ190" i="4"/>
  <c r="BJ191" i="4"/>
  <c r="BJ192" i="4"/>
  <c r="BJ193" i="4"/>
  <c r="BA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AZ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Y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X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BB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A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AZ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Y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BF2" i="4"/>
  <c r="BF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41" i="4"/>
  <c r="BF42" i="4"/>
  <c r="BF43" i="4"/>
  <c r="BF44" i="4"/>
  <c r="BF45" i="4"/>
  <c r="BF46" i="4"/>
  <c r="BF47" i="4"/>
  <c r="BF48" i="4"/>
  <c r="BF49" i="4"/>
  <c r="BF50" i="4"/>
  <c r="BF51" i="4"/>
  <c r="BF52" i="4"/>
  <c r="BF53" i="4"/>
  <c r="BF54" i="4"/>
  <c r="BF55" i="4"/>
  <c r="BF56" i="4"/>
  <c r="BF57" i="4"/>
  <c r="BF58" i="4"/>
  <c r="BF59" i="4"/>
  <c r="BF60" i="4"/>
  <c r="BF61" i="4"/>
  <c r="BF62" i="4"/>
  <c r="BF63" i="4"/>
  <c r="BF64" i="4"/>
  <c r="BF65" i="4"/>
  <c r="BF66" i="4"/>
  <c r="BF67" i="4"/>
  <c r="BF68" i="4"/>
  <c r="BF69" i="4"/>
  <c r="BF70" i="4"/>
  <c r="BF71" i="4"/>
  <c r="BF72" i="4"/>
  <c r="BF73" i="4"/>
  <c r="BF74" i="4"/>
  <c r="BF75" i="4"/>
  <c r="BF76" i="4"/>
  <c r="BF77" i="4"/>
  <c r="BF78" i="4"/>
  <c r="BF79" i="4"/>
  <c r="BF80" i="4"/>
  <c r="BF81" i="4"/>
  <c r="BF82" i="4"/>
  <c r="BF83" i="4"/>
  <c r="BF84" i="4"/>
  <c r="BF85" i="4"/>
  <c r="BF86" i="4"/>
  <c r="BF87" i="4"/>
  <c r="BF88" i="4"/>
  <c r="BF89" i="4"/>
  <c r="BF90" i="4"/>
  <c r="BF91" i="4"/>
  <c r="BF92" i="4"/>
  <c r="BF93" i="4"/>
  <c r="BF94" i="4"/>
  <c r="BF95" i="4"/>
  <c r="BF96" i="4"/>
  <c r="BF97" i="4"/>
  <c r="BF98" i="4"/>
  <c r="BF99" i="4"/>
  <c r="BF100" i="4"/>
  <c r="BF101" i="4"/>
  <c r="BF102" i="4"/>
  <c r="BF103" i="4"/>
  <c r="BF104" i="4"/>
  <c r="BF105" i="4"/>
  <c r="BF106" i="4"/>
  <c r="BF107" i="4"/>
  <c r="BF108" i="4"/>
  <c r="BF109" i="4"/>
  <c r="BF110" i="4"/>
  <c r="BF111" i="4"/>
  <c r="BF112" i="4"/>
  <c r="BF113" i="4"/>
  <c r="BF114" i="4"/>
  <c r="BF115" i="4"/>
  <c r="BF116" i="4"/>
  <c r="BF117" i="4"/>
  <c r="BF118" i="4"/>
  <c r="BF119" i="4"/>
  <c r="BF120" i="4"/>
  <c r="BF121" i="4"/>
  <c r="BF122" i="4"/>
  <c r="BF123" i="4"/>
  <c r="BF124" i="4"/>
  <c r="BF125" i="4"/>
  <c r="BF126" i="4"/>
  <c r="BF127" i="4"/>
  <c r="BF128" i="4"/>
  <c r="BF129" i="4"/>
  <c r="BF130" i="4"/>
  <c r="BF131" i="4"/>
  <c r="BF132" i="4"/>
  <c r="BF133" i="4"/>
  <c r="BF134" i="4"/>
  <c r="BF135" i="4"/>
  <c r="BF136" i="4"/>
  <c r="BF137" i="4"/>
  <c r="BF138" i="4"/>
  <c r="BF139" i="4"/>
  <c r="BF140" i="4"/>
  <c r="BF141" i="4"/>
  <c r="BF142" i="4"/>
  <c r="BF143" i="4"/>
  <c r="BF144" i="4"/>
  <c r="BF145" i="4"/>
  <c r="BF146" i="4"/>
  <c r="BF147" i="4"/>
  <c r="BF148" i="4"/>
  <c r="BF149" i="4"/>
  <c r="BF150" i="4"/>
  <c r="BF151" i="4"/>
  <c r="BF152" i="4"/>
  <c r="BF153" i="4"/>
  <c r="BF154" i="4"/>
  <c r="BF155" i="4"/>
  <c r="BF156" i="4"/>
  <c r="BF157" i="4"/>
  <c r="BF158" i="4"/>
  <c r="BF159" i="4"/>
  <c r="BF160" i="4"/>
  <c r="BF161" i="4"/>
  <c r="BF162" i="4"/>
  <c r="BF163" i="4"/>
  <c r="BF164" i="4"/>
  <c r="BF165" i="4"/>
  <c r="BF166" i="4"/>
  <c r="BF167" i="4"/>
  <c r="BF168" i="4"/>
  <c r="BF169" i="4"/>
  <c r="BF170" i="4"/>
  <c r="BF171" i="4"/>
  <c r="BF172" i="4"/>
  <c r="BF173" i="4"/>
  <c r="BF174" i="4"/>
  <c r="BF175" i="4"/>
  <c r="BF176" i="4"/>
  <c r="BF177" i="4"/>
  <c r="BF178" i="4"/>
  <c r="BF179" i="4"/>
  <c r="BF180" i="4"/>
  <c r="BF181" i="4"/>
  <c r="BF182" i="4"/>
  <c r="BF183" i="4"/>
  <c r="BF184" i="4"/>
  <c r="BF185" i="4"/>
  <c r="BF186" i="4"/>
  <c r="BF187" i="4"/>
  <c r="BF188" i="4"/>
  <c r="BF189" i="4"/>
  <c r="BF190" i="4"/>
  <c r="BF191" i="4"/>
  <c r="BF192" i="4"/>
  <c r="BF193" i="4"/>
  <c r="BE2" i="4"/>
  <c r="BE3" i="4"/>
  <c r="BE4" i="4"/>
  <c r="BE5" i="4"/>
  <c r="BE6" i="4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58" i="4"/>
  <c r="BE59" i="4"/>
  <c r="BE60" i="4"/>
  <c r="BE61" i="4"/>
  <c r="BE62" i="4"/>
  <c r="BE63" i="4"/>
  <c r="BE64" i="4"/>
  <c r="BE65" i="4"/>
  <c r="BE66" i="4"/>
  <c r="BE67" i="4"/>
  <c r="BE68" i="4"/>
  <c r="BE69" i="4"/>
  <c r="BE70" i="4"/>
  <c r="BE71" i="4"/>
  <c r="BE72" i="4"/>
  <c r="BE73" i="4"/>
  <c r="BE74" i="4"/>
  <c r="BE75" i="4"/>
  <c r="BE76" i="4"/>
  <c r="BE77" i="4"/>
  <c r="BE78" i="4"/>
  <c r="BE79" i="4"/>
  <c r="BE80" i="4"/>
  <c r="BE81" i="4"/>
  <c r="BE82" i="4"/>
  <c r="BE83" i="4"/>
  <c r="BE84" i="4"/>
  <c r="BE85" i="4"/>
  <c r="BE86" i="4"/>
  <c r="BE87" i="4"/>
  <c r="BE88" i="4"/>
  <c r="BE89" i="4"/>
  <c r="BE90" i="4"/>
  <c r="BE91" i="4"/>
  <c r="BE92" i="4"/>
  <c r="BE93" i="4"/>
  <c r="BE94" i="4"/>
  <c r="BE95" i="4"/>
  <c r="BE96" i="4"/>
  <c r="BE97" i="4"/>
  <c r="BE98" i="4"/>
  <c r="BE99" i="4"/>
  <c r="BE100" i="4"/>
  <c r="BE101" i="4"/>
  <c r="BE102" i="4"/>
  <c r="BE103" i="4"/>
  <c r="BE104" i="4"/>
  <c r="BE105" i="4"/>
  <c r="BE106" i="4"/>
  <c r="BE107" i="4"/>
  <c r="BE108" i="4"/>
  <c r="BE109" i="4"/>
  <c r="BE110" i="4"/>
  <c r="BE111" i="4"/>
  <c r="BE112" i="4"/>
  <c r="BE113" i="4"/>
  <c r="BE114" i="4"/>
  <c r="BE115" i="4"/>
  <c r="BE116" i="4"/>
  <c r="BE117" i="4"/>
  <c r="BE118" i="4"/>
  <c r="BE119" i="4"/>
  <c r="BE120" i="4"/>
  <c r="BE121" i="4"/>
  <c r="BE122" i="4"/>
  <c r="BE123" i="4"/>
  <c r="BE124" i="4"/>
  <c r="BE125" i="4"/>
  <c r="BE126" i="4"/>
  <c r="BE127" i="4"/>
  <c r="BE128" i="4"/>
  <c r="BE129" i="4"/>
  <c r="BE130" i="4"/>
  <c r="BE131" i="4"/>
  <c r="BE132" i="4"/>
  <c r="BE133" i="4"/>
  <c r="BE134" i="4"/>
  <c r="BE135" i="4"/>
  <c r="BE136" i="4"/>
  <c r="BE137" i="4"/>
  <c r="BE138" i="4"/>
  <c r="BE139" i="4"/>
  <c r="BE140" i="4"/>
  <c r="BE141" i="4"/>
  <c r="BE142" i="4"/>
  <c r="BE143" i="4"/>
  <c r="BE144" i="4"/>
  <c r="BE145" i="4"/>
  <c r="BE146" i="4"/>
  <c r="BE147" i="4"/>
  <c r="BE148" i="4"/>
  <c r="BE149" i="4"/>
  <c r="BE150" i="4"/>
  <c r="BE151" i="4"/>
  <c r="BE152" i="4"/>
  <c r="BE153" i="4"/>
  <c r="BE154" i="4"/>
  <c r="BE155" i="4"/>
  <c r="BE156" i="4"/>
  <c r="BE157" i="4"/>
  <c r="BE158" i="4"/>
  <c r="BE159" i="4"/>
  <c r="BE160" i="4"/>
  <c r="BE161" i="4"/>
  <c r="BE162" i="4"/>
  <c r="BE163" i="4"/>
  <c r="BE164" i="4"/>
  <c r="BE165" i="4"/>
  <c r="BE166" i="4"/>
  <c r="BE167" i="4"/>
  <c r="BE168" i="4"/>
  <c r="BE169" i="4"/>
  <c r="BE170" i="4"/>
  <c r="BE171" i="4"/>
  <c r="BE172" i="4"/>
  <c r="BE173" i="4"/>
  <c r="BE174" i="4"/>
  <c r="BE175" i="4"/>
  <c r="BE176" i="4"/>
  <c r="BE177" i="4"/>
  <c r="BE178" i="4"/>
  <c r="BE179" i="4"/>
  <c r="BE180" i="4"/>
  <c r="BE181" i="4"/>
  <c r="BE182" i="4"/>
  <c r="BE183" i="4"/>
  <c r="BE184" i="4"/>
  <c r="BE185" i="4"/>
  <c r="BE186" i="4"/>
  <c r="BE187" i="4"/>
  <c r="BE188" i="4"/>
  <c r="BE189" i="4"/>
  <c r="BE190" i="4"/>
  <c r="BE191" i="4"/>
  <c r="BE192" i="4"/>
  <c r="BE193" i="4"/>
  <c r="BD2" i="4"/>
  <c r="BD3" i="4"/>
  <c r="BD4" i="4"/>
  <c r="BD5" i="4"/>
  <c r="BD6" i="4"/>
  <c r="BD7" i="4"/>
  <c r="BD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104" i="4"/>
  <c r="BD105" i="4"/>
  <c r="BD106" i="4"/>
  <c r="BD107" i="4"/>
  <c r="BD108" i="4"/>
  <c r="BD109" i="4"/>
  <c r="BD110" i="4"/>
  <c r="BD111" i="4"/>
  <c r="BD112" i="4"/>
  <c r="BD113" i="4"/>
  <c r="BD114" i="4"/>
  <c r="BD115" i="4"/>
  <c r="BD116" i="4"/>
  <c r="BD117" i="4"/>
  <c r="BD118" i="4"/>
  <c r="BD119" i="4"/>
  <c r="BD120" i="4"/>
  <c r="BD121" i="4"/>
  <c r="BD122" i="4"/>
  <c r="BD123" i="4"/>
  <c r="BD124" i="4"/>
  <c r="BD125" i="4"/>
  <c r="BD126" i="4"/>
  <c r="BD127" i="4"/>
  <c r="BD128" i="4"/>
  <c r="BD129" i="4"/>
  <c r="BD130" i="4"/>
  <c r="BD131" i="4"/>
  <c r="BD132" i="4"/>
  <c r="BD133" i="4"/>
  <c r="BD134" i="4"/>
  <c r="BD135" i="4"/>
  <c r="BD136" i="4"/>
  <c r="BD137" i="4"/>
  <c r="BD138" i="4"/>
  <c r="BD139" i="4"/>
  <c r="BD140" i="4"/>
  <c r="BD141" i="4"/>
  <c r="BD142" i="4"/>
  <c r="BD143" i="4"/>
  <c r="BD144" i="4"/>
  <c r="BD145" i="4"/>
  <c r="BD146" i="4"/>
  <c r="BD147" i="4"/>
  <c r="BD148" i="4"/>
  <c r="BD149" i="4"/>
  <c r="BD150" i="4"/>
  <c r="BD151" i="4"/>
  <c r="BD152" i="4"/>
  <c r="BD153" i="4"/>
  <c r="BD154" i="4"/>
  <c r="BD155" i="4"/>
  <c r="BD156" i="4"/>
  <c r="BD157" i="4"/>
  <c r="BD158" i="4"/>
  <c r="BD159" i="4"/>
  <c r="BD160" i="4"/>
  <c r="BD161" i="4"/>
  <c r="BD162" i="4"/>
  <c r="BD163" i="4"/>
  <c r="BD164" i="4"/>
  <c r="BD165" i="4"/>
  <c r="BD166" i="4"/>
  <c r="BD167" i="4"/>
  <c r="BD168" i="4"/>
  <c r="BD169" i="4"/>
  <c r="BD170" i="4"/>
  <c r="BD171" i="4"/>
  <c r="BD172" i="4"/>
  <c r="BD173" i="4"/>
  <c r="BD174" i="4"/>
  <c r="BD175" i="4"/>
  <c r="BD176" i="4"/>
  <c r="BD177" i="4"/>
  <c r="BD178" i="4"/>
  <c r="BD179" i="4"/>
  <c r="BD180" i="4"/>
  <c r="BD181" i="4"/>
  <c r="BD182" i="4"/>
  <c r="BD183" i="4"/>
  <c r="BD184" i="4"/>
  <c r="BD185" i="4"/>
  <c r="BD186" i="4"/>
  <c r="BD187" i="4"/>
  <c r="BD188" i="4"/>
  <c r="BD189" i="4"/>
  <c r="BD190" i="4"/>
  <c r="BD191" i="4"/>
  <c r="BD192" i="4"/>
  <c r="BD193" i="4"/>
  <c r="BC2" i="4"/>
  <c r="BC3" i="4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C159" i="4"/>
  <c r="BC160" i="4"/>
  <c r="BC161" i="4"/>
  <c r="BC162" i="4"/>
  <c r="BC163" i="4"/>
  <c r="BC164" i="4"/>
  <c r="BC165" i="4"/>
  <c r="BC166" i="4"/>
  <c r="BC167" i="4"/>
  <c r="BC168" i="4"/>
  <c r="BC169" i="4"/>
  <c r="BC170" i="4"/>
  <c r="BC171" i="4"/>
  <c r="BC172" i="4"/>
  <c r="BC173" i="4"/>
  <c r="BC174" i="4"/>
  <c r="BC175" i="4"/>
  <c r="BC176" i="4"/>
  <c r="BC177" i="4"/>
  <c r="BC178" i="4"/>
  <c r="BC179" i="4"/>
  <c r="BC180" i="4"/>
  <c r="BC181" i="4"/>
  <c r="BC182" i="4"/>
  <c r="BC183" i="4"/>
  <c r="BC184" i="4"/>
  <c r="BC185" i="4"/>
  <c r="BC186" i="4"/>
  <c r="BC187" i="4"/>
  <c r="BC188" i="4"/>
  <c r="BC189" i="4"/>
  <c r="BC190" i="4"/>
  <c r="BC191" i="4"/>
  <c r="BC192" i="4"/>
  <c r="BC193" i="4"/>
  <c r="AU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T193" i="3"/>
  <c r="AT192" i="3"/>
  <c r="AT191" i="3"/>
  <c r="AT190" i="3"/>
  <c r="AT189" i="3"/>
  <c r="AT188" i="3"/>
  <c r="AT187" i="3"/>
  <c r="AT186" i="3"/>
  <c r="AT185" i="3"/>
  <c r="AT184" i="3"/>
  <c r="AT183" i="3"/>
  <c r="AT182" i="3"/>
  <c r="AT181" i="3"/>
  <c r="AT180" i="3"/>
  <c r="AT179" i="3"/>
  <c r="AT178" i="3"/>
  <c r="AT177" i="3"/>
  <c r="AT176" i="3"/>
  <c r="AT175" i="3"/>
  <c r="AT174" i="3"/>
  <c r="AT173" i="3"/>
  <c r="AT172" i="3"/>
  <c r="AT171" i="3"/>
  <c r="AT170" i="3"/>
  <c r="AT169" i="3"/>
  <c r="AT168" i="3"/>
  <c r="AT167" i="3"/>
  <c r="AT166" i="3"/>
  <c r="AT165" i="3"/>
  <c r="AT164" i="3"/>
  <c r="AT163" i="3"/>
  <c r="AT162" i="3"/>
  <c r="AT161" i="3"/>
  <c r="AT160" i="3"/>
  <c r="AT159" i="3"/>
  <c r="AT158" i="3"/>
  <c r="AT157" i="3"/>
  <c r="AT156" i="3"/>
  <c r="AT155" i="3"/>
  <c r="AT154" i="3"/>
  <c r="AT153" i="3"/>
  <c r="AT152" i="3"/>
  <c r="AT151" i="3"/>
  <c r="AT150" i="3"/>
  <c r="AT149" i="3"/>
  <c r="AT148" i="3"/>
  <c r="AT147" i="3"/>
  <c r="AT146" i="3"/>
  <c r="AT145" i="3"/>
  <c r="AT144" i="3"/>
  <c r="AT143" i="3"/>
  <c r="AT142" i="3"/>
  <c r="AT141" i="3"/>
  <c r="AT140" i="3"/>
  <c r="AT139" i="3"/>
  <c r="AT138" i="3"/>
  <c r="AT137" i="3"/>
  <c r="AT136" i="3"/>
  <c r="AT135" i="3"/>
  <c r="AT134" i="3"/>
  <c r="AT133" i="3"/>
  <c r="AT132" i="3"/>
  <c r="AT131" i="3"/>
  <c r="AT130" i="3"/>
  <c r="AT129" i="3"/>
  <c r="AT128" i="3"/>
  <c r="AT127" i="3"/>
  <c r="AT126" i="3"/>
  <c r="AT125" i="3"/>
  <c r="AT124" i="3"/>
  <c r="AT123" i="3"/>
  <c r="AT122" i="3"/>
  <c r="AT121" i="3"/>
  <c r="AT120" i="3"/>
  <c r="AT119" i="3"/>
  <c r="AT118" i="3"/>
  <c r="AT117" i="3"/>
  <c r="AT116" i="3"/>
  <c r="AT115" i="3"/>
  <c r="AT114" i="3"/>
  <c r="AT113" i="3"/>
  <c r="AT112" i="3"/>
  <c r="AT111" i="3"/>
  <c r="AT110" i="3"/>
  <c r="AT109" i="3"/>
  <c r="AT108" i="3"/>
  <c r="AT107" i="3"/>
  <c r="AT106" i="3"/>
  <c r="AT105" i="3"/>
  <c r="AT104" i="3"/>
  <c r="AT103" i="3"/>
  <c r="AT102" i="3"/>
  <c r="AT101" i="3"/>
  <c r="AT100" i="3"/>
  <c r="AT99" i="3"/>
  <c r="AT98" i="3"/>
  <c r="AT97" i="3"/>
  <c r="AT96" i="3"/>
  <c r="AT95" i="3"/>
  <c r="AT94" i="3"/>
  <c r="AT93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51" i="3"/>
  <c r="AT50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V9" i="3" s="1"/>
  <c r="AT8" i="3"/>
  <c r="AT7" i="3"/>
  <c r="AT6" i="3"/>
  <c r="AT5" i="3"/>
  <c r="AT4" i="3"/>
  <c r="AT3" i="3"/>
  <c r="AT2" i="3"/>
  <c r="AV49" i="3"/>
  <c r="AV68" i="3"/>
  <c r="AV97" i="3"/>
  <c r="AV121" i="3"/>
  <c r="AV164" i="3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X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BH18" i="4"/>
  <c r="BH42" i="4"/>
  <c r="BH66" i="4"/>
  <c r="BH90" i="4"/>
  <c r="BH114" i="4"/>
  <c r="BH138" i="4"/>
  <c r="BH162" i="4"/>
  <c r="BH186" i="4"/>
  <c r="AK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G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E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AW2" i="4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U2" i="4"/>
  <c r="AU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S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Q2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O2" i="4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M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L139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BB2" i="4"/>
  <c r="BB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B159" i="4"/>
  <c r="BB160" i="4"/>
  <c r="BB161" i="4"/>
  <c r="BB162" i="4"/>
  <c r="BB163" i="4"/>
  <c r="BB164" i="4"/>
  <c r="BB165" i="4"/>
  <c r="BB166" i="4"/>
  <c r="BB167" i="4"/>
  <c r="BB168" i="4"/>
  <c r="BB169" i="4"/>
  <c r="BB170" i="4"/>
  <c r="BB171" i="4"/>
  <c r="BB172" i="4"/>
  <c r="BB173" i="4"/>
  <c r="BB174" i="4"/>
  <c r="BB175" i="4"/>
  <c r="BB176" i="4"/>
  <c r="BB177" i="4"/>
  <c r="BB178" i="4"/>
  <c r="BB179" i="4"/>
  <c r="BB180" i="4"/>
  <c r="BB181" i="4"/>
  <c r="BB182" i="4"/>
  <c r="BB183" i="4"/>
  <c r="BB184" i="4"/>
  <c r="BB185" i="4"/>
  <c r="BB186" i="4"/>
  <c r="BB187" i="4"/>
  <c r="BB188" i="4"/>
  <c r="BB189" i="4"/>
  <c r="BB190" i="4"/>
  <c r="BB191" i="4"/>
  <c r="BB192" i="4"/>
  <c r="BB193" i="4"/>
  <c r="BA2" i="4"/>
  <c r="BA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AZ2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Y2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X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V2" i="4"/>
  <c r="AV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T2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R2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P2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L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H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B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M2" i="4"/>
  <c r="BG2" i="4" s="1"/>
  <c r="M3" i="4"/>
  <c r="BG3" i="4" s="1"/>
  <c r="M4" i="4"/>
  <c r="BG4" i="4" s="1"/>
  <c r="M5" i="4"/>
  <c r="BG5" i="4" s="1"/>
  <c r="M6" i="4"/>
  <c r="BG6" i="4" s="1"/>
  <c r="M7" i="4"/>
  <c r="BG7" i="4" s="1"/>
  <c r="M8" i="4"/>
  <c r="BG8" i="4" s="1"/>
  <c r="M9" i="4"/>
  <c r="BG9" i="4" s="1"/>
  <c r="M10" i="4"/>
  <c r="BG10" i="4" s="1"/>
  <c r="M11" i="4"/>
  <c r="BG11" i="4" s="1"/>
  <c r="M12" i="4"/>
  <c r="BG12" i="4" s="1"/>
  <c r="M13" i="4"/>
  <c r="BG13" i="4" s="1"/>
  <c r="M14" i="4"/>
  <c r="BG14" i="4" s="1"/>
  <c r="M15" i="4"/>
  <c r="BG15" i="4" s="1"/>
  <c r="M16" i="4"/>
  <c r="BG16" i="4" s="1"/>
  <c r="M17" i="4"/>
  <c r="BG17" i="4" s="1"/>
  <c r="M18" i="4"/>
  <c r="BG18" i="4" s="1"/>
  <c r="M19" i="4"/>
  <c r="BG19" i="4" s="1"/>
  <c r="M20" i="4"/>
  <c r="BG20" i="4" s="1"/>
  <c r="M21" i="4"/>
  <c r="BG21" i="4" s="1"/>
  <c r="M22" i="4"/>
  <c r="BG22" i="4" s="1"/>
  <c r="M23" i="4"/>
  <c r="BG23" i="4" s="1"/>
  <c r="M24" i="4"/>
  <c r="M25" i="4"/>
  <c r="M26" i="4"/>
  <c r="BG26" i="4" s="1"/>
  <c r="M27" i="4"/>
  <c r="BG27" i="4" s="1"/>
  <c r="M28" i="4"/>
  <c r="BG28" i="4" s="1"/>
  <c r="M29" i="4"/>
  <c r="BG29" i="4" s="1"/>
  <c r="M30" i="4"/>
  <c r="BG30" i="4" s="1"/>
  <c r="M31" i="4"/>
  <c r="BG31" i="4" s="1"/>
  <c r="M32" i="4"/>
  <c r="BG32" i="4" s="1"/>
  <c r="M33" i="4"/>
  <c r="BG33" i="4" s="1"/>
  <c r="M34" i="4"/>
  <c r="BG34" i="4" s="1"/>
  <c r="M35" i="4"/>
  <c r="BG35" i="4" s="1"/>
  <c r="M36" i="4"/>
  <c r="BG36" i="4" s="1"/>
  <c r="M37" i="4"/>
  <c r="BG37" i="4" s="1"/>
  <c r="M38" i="4"/>
  <c r="BG38" i="4" s="1"/>
  <c r="M39" i="4"/>
  <c r="BG39" i="4" s="1"/>
  <c r="M40" i="4"/>
  <c r="BG40" i="4" s="1"/>
  <c r="M41" i="4"/>
  <c r="BG41" i="4" s="1"/>
  <c r="M42" i="4"/>
  <c r="BG42" i="4" s="1"/>
  <c r="M43" i="4"/>
  <c r="BG43" i="4" s="1"/>
  <c r="M44" i="4"/>
  <c r="BG44" i="4" s="1"/>
  <c r="M45" i="4"/>
  <c r="BG45" i="4" s="1"/>
  <c r="M46" i="4"/>
  <c r="BG46" i="4" s="1"/>
  <c r="M47" i="4"/>
  <c r="BG47" i="4" s="1"/>
  <c r="M48" i="4"/>
  <c r="M49" i="4"/>
  <c r="M50" i="4"/>
  <c r="BG50" i="4" s="1"/>
  <c r="M51" i="4"/>
  <c r="BG51" i="4" s="1"/>
  <c r="M52" i="4"/>
  <c r="BG52" i="4" s="1"/>
  <c r="M53" i="4"/>
  <c r="BG53" i="4" s="1"/>
  <c r="M54" i="4"/>
  <c r="BG54" i="4" s="1"/>
  <c r="M55" i="4"/>
  <c r="BG55" i="4" s="1"/>
  <c r="M56" i="4"/>
  <c r="BG56" i="4" s="1"/>
  <c r="M57" i="4"/>
  <c r="BG57" i="4" s="1"/>
  <c r="M58" i="4"/>
  <c r="BG58" i="4" s="1"/>
  <c r="M59" i="4"/>
  <c r="BG59" i="4" s="1"/>
  <c r="M60" i="4"/>
  <c r="BG60" i="4" s="1"/>
  <c r="M61" i="4"/>
  <c r="BG61" i="4" s="1"/>
  <c r="M62" i="4"/>
  <c r="BG62" i="4" s="1"/>
  <c r="M63" i="4"/>
  <c r="BG63" i="4" s="1"/>
  <c r="M64" i="4"/>
  <c r="BG64" i="4" s="1"/>
  <c r="M65" i="4"/>
  <c r="BG65" i="4" s="1"/>
  <c r="M66" i="4"/>
  <c r="BG66" i="4" s="1"/>
  <c r="M67" i="4"/>
  <c r="BG67" i="4" s="1"/>
  <c r="M68" i="4"/>
  <c r="BG68" i="4" s="1"/>
  <c r="M69" i="4"/>
  <c r="BG69" i="4" s="1"/>
  <c r="M70" i="4"/>
  <c r="BG70" i="4" s="1"/>
  <c r="M71" i="4"/>
  <c r="BG71" i="4" s="1"/>
  <c r="M72" i="4"/>
  <c r="M73" i="4"/>
  <c r="M74" i="4"/>
  <c r="BG74" i="4" s="1"/>
  <c r="M75" i="4"/>
  <c r="BG75" i="4" s="1"/>
  <c r="M76" i="4"/>
  <c r="BG76" i="4" s="1"/>
  <c r="M77" i="4"/>
  <c r="BG77" i="4" s="1"/>
  <c r="M78" i="4"/>
  <c r="BG78" i="4" s="1"/>
  <c r="M79" i="4"/>
  <c r="BG79" i="4" s="1"/>
  <c r="M80" i="4"/>
  <c r="BG80" i="4" s="1"/>
  <c r="M81" i="4"/>
  <c r="BG81" i="4" s="1"/>
  <c r="M82" i="4"/>
  <c r="BG82" i="4" s="1"/>
  <c r="M83" i="4"/>
  <c r="BG83" i="4" s="1"/>
  <c r="M84" i="4"/>
  <c r="BG84" i="4" s="1"/>
  <c r="M85" i="4"/>
  <c r="BG85" i="4" s="1"/>
  <c r="M86" i="4"/>
  <c r="BG86" i="4" s="1"/>
  <c r="M87" i="4"/>
  <c r="BG87" i="4" s="1"/>
  <c r="M88" i="4"/>
  <c r="BG88" i="4" s="1"/>
  <c r="M89" i="4"/>
  <c r="BG89" i="4" s="1"/>
  <c r="M90" i="4"/>
  <c r="BG90" i="4" s="1"/>
  <c r="M91" i="4"/>
  <c r="BG91" i="4" s="1"/>
  <c r="M92" i="4"/>
  <c r="BG92" i="4" s="1"/>
  <c r="M93" i="4"/>
  <c r="BG93" i="4" s="1"/>
  <c r="M94" i="4"/>
  <c r="BG94" i="4" s="1"/>
  <c r="M95" i="4"/>
  <c r="BG95" i="4" s="1"/>
  <c r="M96" i="4"/>
  <c r="M97" i="4"/>
  <c r="M98" i="4"/>
  <c r="BG98" i="4" s="1"/>
  <c r="M99" i="4"/>
  <c r="BG99" i="4" s="1"/>
  <c r="M100" i="4"/>
  <c r="BG100" i="4" s="1"/>
  <c r="M101" i="4"/>
  <c r="BG101" i="4" s="1"/>
  <c r="M102" i="4"/>
  <c r="BG102" i="4" s="1"/>
  <c r="M103" i="4"/>
  <c r="BG103" i="4" s="1"/>
  <c r="M104" i="4"/>
  <c r="BG104" i="4" s="1"/>
  <c r="M105" i="4"/>
  <c r="BG105" i="4" s="1"/>
  <c r="M106" i="4"/>
  <c r="BG106" i="4" s="1"/>
  <c r="M107" i="4"/>
  <c r="BG107" i="4" s="1"/>
  <c r="M108" i="4"/>
  <c r="BG108" i="4" s="1"/>
  <c r="M109" i="4"/>
  <c r="BG109" i="4" s="1"/>
  <c r="M110" i="4"/>
  <c r="BG110" i="4" s="1"/>
  <c r="M111" i="4"/>
  <c r="BG111" i="4" s="1"/>
  <c r="M112" i="4"/>
  <c r="BG112" i="4" s="1"/>
  <c r="M113" i="4"/>
  <c r="BG113" i="4" s="1"/>
  <c r="M114" i="4"/>
  <c r="BG114" i="4" s="1"/>
  <c r="M115" i="4"/>
  <c r="BG115" i="4" s="1"/>
  <c r="M116" i="4"/>
  <c r="BG116" i="4" s="1"/>
  <c r="M117" i="4"/>
  <c r="BG117" i="4" s="1"/>
  <c r="M118" i="4"/>
  <c r="BG118" i="4" s="1"/>
  <c r="M119" i="4"/>
  <c r="BG119" i="4" s="1"/>
  <c r="M120" i="4"/>
  <c r="M121" i="4"/>
  <c r="M122" i="4"/>
  <c r="BG122" i="4" s="1"/>
  <c r="M123" i="4"/>
  <c r="BG123" i="4" s="1"/>
  <c r="M124" i="4"/>
  <c r="BG124" i="4" s="1"/>
  <c r="M125" i="4"/>
  <c r="BG125" i="4" s="1"/>
  <c r="M126" i="4"/>
  <c r="BG126" i="4" s="1"/>
  <c r="M127" i="4"/>
  <c r="BG127" i="4" s="1"/>
  <c r="M128" i="4"/>
  <c r="BG128" i="4" s="1"/>
  <c r="M129" i="4"/>
  <c r="BG129" i="4" s="1"/>
  <c r="M130" i="4"/>
  <c r="BG130" i="4" s="1"/>
  <c r="M131" i="4"/>
  <c r="BG131" i="4" s="1"/>
  <c r="M132" i="4"/>
  <c r="BG132" i="4" s="1"/>
  <c r="M133" i="4"/>
  <c r="BG133" i="4" s="1"/>
  <c r="M134" i="4"/>
  <c r="BG134" i="4" s="1"/>
  <c r="M135" i="4"/>
  <c r="BG135" i="4" s="1"/>
  <c r="M136" i="4"/>
  <c r="BG136" i="4" s="1"/>
  <c r="M137" i="4"/>
  <c r="BG137" i="4" s="1"/>
  <c r="M138" i="4"/>
  <c r="BG138" i="4" s="1"/>
  <c r="M139" i="4"/>
  <c r="BG139" i="4" s="1"/>
  <c r="M140" i="4"/>
  <c r="BG140" i="4" s="1"/>
  <c r="M141" i="4"/>
  <c r="BG141" i="4" s="1"/>
  <c r="M142" i="4"/>
  <c r="BG142" i="4" s="1"/>
  <c r="M143" i="4"/>
  <c r="BG143" i="4" s="1"/>
  <c r="M144" i="4"/>
  <c r="M145" i="4"/>
  <c r="M146" i="4"/>
  <c r="BG146" i="4" s="1"/>
  <c r="M147" i="4"/>
  <c r="BG147" i="4" s="1"/>
  <c r="M148" i="4"/>
  <c r="BG148" i="4" s="1"/>
  <c r="M149" i="4"/>
  <c r="BG149" i="4" s="1"/>
  <c r="M150" i="4"/>
  <c r="BG150" i="4" s="1"/>
  <c r="M151" i="4"/>
  <c r="BG151" i="4" s="1"/>
  <c r="M152" i="4"/>
  <c r="BG152" i="4" s="1"/>
  <c r="M153" i="4"/>
  <c r="BG153" i="4" s="1"/>
  <c r="M154" i="4"/>
  <c r="BG154" i="4" s="1"/>
  <c r="M155" i="4"/>
  <c r="BG155" i="4" s="1"/>
  <c r="M156" i="4"/>
  <c r="BG156" i="4" s="1"/>
  <c r="M157" i="4"/>
  <c r="BG157" i="4" s="1"/>
  <c r="M158" i="4"/>
  <c r="BG158" i="4" s="1"/>
  <c r="M159" i="4"/>
  <c r="BG159" i="4" s="1"/>
  <c r="M160" i="4"/>
  <c r="BG160" i="4" s="1"/>
  <c r="M161" i="4"/>
  <c r="BG161" i="4" s="1"/>
  <c r="M162" i="4"/>
  <c r="BG162" i="4" s="1"/>
  <c r="M163" i="4"/>
  <c r="BG163" i="4" s="1"/>
  <c r="M164" i="4"/>
  <c r="BG164" i="4" s="1"/>
  <c r="M165" i="4"/>
  <c r="BG165" i="4" s="1"/>
  <c r="M166" i="4"/>
  <c r="BG166" i="4" s="1"/>
  <c r="M167" i="4"/>
  <c r="BG167" i="4" s="1"/>
  <c r="M168" i="4"/>
  <c r="M169" i="4"/>
  <c r="M170" i="4"/>
  <c r="BG170" i="4" s="1"/>
  <c r="M171" i="4"/>
  <c r="BG171" i="4" s="1"/>
  <c r="M172" i="4"/>
  <c r="BG172" i="4" s="1"/>
  <c r="M173" i="4"/>
  <c r="BG173" i="4" s="1"/>
  <c r="M174" i="4"/>
  <c r="BG174" i="4" s="1"/>
  <c r="M175" i="4"/>
  <c r="BG175" i="4" s="1"/>
  <c r="M176" i="4"/>
  <c r="BG176" i="4" s="1"/>
  <c r="M177" i="4"/>
  <c r="BG177" i="4" s="1"/>
  <c r="M178" i="4"/>
  <c r="BG178" i="4" s="1"/>
  <c r="M179" i="4"/>
  <c r="BG179" i="4" s="1"/>
  <c r="M180" i="4"/>
  <c r="BG180" i="4" s="1"/>
  <c r="M181" i="4"/>
  <c r="BG181" i="4" s="1"/>
  <c r="M182" i="4"/>
  <c r="BG182" i="4" s="1"/>
  <c r="M183" i="4"/>
  <c r="BG183" i="4" s="1"/>
  <c r="M184" i="4"/>
  <c r="BG184" i="4" s="1"/>
  <c r="M185" i="4"/>
  <c r="BG185" i="4" s="1"/>
  <c r="M186" i="4"/>
  <c r="BG186" i="4" s="1"/>
  <c r="M187" i="4"/>
  <c r="BG187" i="4" s="1"/>
  <c r="M188" i="4"/>
  <c r="BG188" i="4" s="1"/>
  <c r="M189" i="4"/>
  <c r="BG189" i="4" s="1"/>
  <c r="M190" i="4"/>
  <c r="BG190" i="4" s="1"/>
  <c r="M191" i="4"/>
  <c r="BG191" i="4" s="1"/>
  <c r="M192" i="4"/>
  <c r="M193" i="4"/>
  <c r="L2" i="4"/>
  <c r="BH2" i="4" s="1"/>
  <c r="L3" i="4"/>
  <c r="BH3" i="4" s="1"/>
  <c r="L4" i="4"/>
  <c r="BH4" i="4" s="1"/>
  <c r="L5" i="4"/>
  <c r="BH5" i="4" s="1"/>
  <c r="L6" i="4"/>
  <c r="L7" i="4"/>
  <c r="BH7" i="4" s="1"/>
  <c r="L8" i="4"/>
  <c r="L9" i="4"/>
  <c r="L10" i="4"/>
  <c r="BH10" i="4" s="1"/>
  <c r="L11" i="4"/>
  <c r="BH11" i="4" s="1"/>
  <c r="L12" i="4"/>
  <c r="L13" i="4"/>
  <c r="BH13" i="4" s="1"/>
  <c r="L14" i="4"/>
  <c r="BH14" i="4" s="1"/>
  <c r="L15" i="4"/>
  <c r="BH15" i="4" s="1"/>
  <c r="L16" i="4"/>
  <c r="BH16" i="4" s="1"/>
  <c r="L17" i="4"/>
  <c r="BH17" i="4" s="1"/>
  <c r="L18" i="4"/>
  <c r="L19" i="4"/>
  <c r="BH19" i="4" s="1"/>
  <c r="L20" i="4"/>
  <c r="BH20" i="4" s="1"/>
  <c r="L21" i="4"/>
  <c r="BH21" i="4" s="1"/>
  <c r="L22" i="4"/>
  <c r="BH22" i="4" s="1"/>
  <c r="L23" i="4"/>
  <c r="BH23" i="4" s="1"/>
  <c r="L24" i="4"/>
  <c r="L25" i="4"/>
  <c r="BH25" i="4" s="1"/>
  <c r="L26" i="4"/>
  <c r="BH26" i="4" s="1"/>
  <c r="L27" i="4"/>
  <c r="BH27" i="4" s="1"/>
  <c r="L28" i="4"/>
  <c r="BH28" i="4" s="1"/>
  <c r="L29" i="4"/>
  <c r="BH29" i="4" s="1"/>
  <c r="L30" i="4"/>
  <c r="L31" i="4"/>
  <c r="BH31" i="4" s="1"/>
  <c r="L32" i="4"/>
  <c r="L33" i="4"/>
  <c r="L34" i="4"/>
  <c r="BH34" i="4" s="1"/>
  <c r="L35" i="4"/>
  <c r="BH35" i="4" s="1"/>
  <c r="L36" i="4"/>
  <c r="L37" i="4"/>
  <c r="BH37" i="4" s="1"/>
  <c r="L38" i="4"/>
  <c r="BH38" i="4" s="1"/>
  <c r="L39" i="4"/>
  <c r="BH39" i="4" s="1"/>
  <c r="L40" i="4"/>
  <c r="BH40" i="4" s="1"/>
  <c r="L41" i="4"/>
  <c r="BH41" i="4" s="1"/>
  <c r="L42" i="4"/>
  <c r="L43" i="4"/>
  <c r="BH43" i="4" s="1"/>
  <c r="L44" i="4"/>
  <c r="BH44" i="4" s="1"/>
  <c r="L45" i="4"/>
  <c r="BH45" i="4" s="1"/>
  <c r="L46" i="4"/>
  <c r="BH46" i="4" s="1"/>
  <c r="L47" i="4"/>
  <c r="BH47" i="4" s="1"/>
  <c r="L48" i="4"/>
  <c r="L49" i="4"/>
  <c r="BH49" i="4" s="1"/>
  <c r="L50" i="4"/>
  <c r="BH50" i="4" s="1"/>
  <c r="L51" i="4"/>
  <c r="BH51" i="4" s="1"/>
  <c r="L52" i="4"/>
  <c r="BH52" i="4" s="1"/>
  <c r="L53" i="4"/>
  <c r="BH53" i="4" s="1"/>
  <c r="L54" i="4"/>
  <c r="L55" i="4"/>
  <c r="BH55" i="4" s="1"/>
  <c r="L56" i="4"/>
  <c r="L57" i="4"/>
  <c r="L58" i="4"/>
  <c r="BH58" i="4" s="1"/>
  <c r="L59" i="4"/>
  <c r="BH59" i="4" s="1"/>
  <c r="L60" i="4"/>
  <c r="L61" i="4"/>
  <c r="BH61" i="4" s="1"/>
  <c r="L62" i="4"/>
  <c r="BH62" i="4" s="1"/>
  <c r="L63" i="4"/>
  <c r="BH63" i="4" s="1"/>
  <c r="L64" i="4"/>
  <c r="BH64" i="4" s="1"/>
  <c r="L65" i="4"/>
  <c r="BH65" i="4" s="1"/>
  <c r="L66" i="4"/>
  <c r="L67" i="4"/>
  <c r="BH67" i="4" s="1"/>
  <c r="L68" i="4"/>
  <c r="BH68" i="4" s="1"/>
  <c r="L69" i="4"/>
  <c r="BH69" i="4" s="1"/>
  <c r="L70" i="4"/>
  <c r="BH70" i="4" s="1"/>
  <c r="L71" i="4"/>
  <c r="BH71" i="4" s="1"/>
  <c r="L72" i="4"/>
  <c r="L73" i="4"/>
  <c r="BH73" i="4" s="1"/>
  <c r="L74" i="4"/>
  <c r="BH74" i="4" s="1"/>
  <c r="L75" i="4"/>
  <c r="BH75" i="4" s="1"/>
  <c r="L76" i="4"/>
  <c r="BH76" i="4" s="1"/>
  <c r="L77" i="4"/>
  <c r="BH77" i="4" s="1"/>
  <c r="L78" i="4"/>
  <c r="BH78" i="4" s="1"/>
  <c r="L79" i="4"/>
  <c r="BH79" i="4" s="1"/>
  <c r="L80" i="4"/>
  <c r="L81" i="4"/>
  <c r="L82" i="4"/>
  <c r="BH82" i="4" s="1"/>
  <c r="L83" i="4"/>
  <c r="BH83" i="4" s="1"/>
  <c r="L84" i="4"/>
  <c r="L85" i="4"/>
  <c r="BH85" i="4" s="1"/>
  <c r="L86" i="4"/>
  <c r="BH86" i="4" s="1"/>
  <c r="L87" i="4"/>
  <c r="BH87" i="4" s="1"/>
  <c r="L88" i="4"/>
  <c r="BH88" i="4" s="1"/>
  <c r="L89" i="4"/>
  <c r="BH89" i="4" s="1"/>
  <c r="L90" i="4"/>
  <c r="L91" i="4"/>
  <c r="BH91" i="4" s="1"/>
  <c r="L92" i="4"/>
  <c r="BH92" i="4" s="1"/>
  <c r="L93" i="4"/>
  <c r="BH93" i="4" s="1"/>
  <c r="L94" i="4"/>
  <c r="BH94" i="4" s="1"/>
  <c r="L95" i="4"/>
  <c r="BH95" i="4" s="1"/>
  <c r="L96" i="4"/>
  <c r="L97" i="4"/>
  <c r="BH97" i="4" s="1"/>
  <c r="L98" i="4"/>
  <c r="BH98" i="4" s="1"/>
  <c r="L99" i="4"/>
  <c r="BH99" i="4" s="1"/>
  <c r="L100" i="4"/>
  <c r="BH100" i="4" s="1"/>
  <c r="L101" i="4"/>
  <c r="BH101" i="4" s="1"/>
  <c r="L102" i="4"/>
  <c r="L103" i="4"/>
  <c r="BH103" i="4" s="1"/>
  <c r="L104" i="4"/>
  <c r="L105" i="4"/>
  <c r="L106" i="4"/>
  <c r="BH106" i="4" s="1"/>
  <c r="L107" i="4"/>
  <c r="BH107" i="4" s="1"/>
  <c r="L108" i="4"/>
  <c r="L109" i="4"/>
  <c r="BH109" i="4" s="1"/>
  <c r="L110" i="4"/>
  <c r="BH110" i="4" s="1"/>
  <c r="L111" i="4"/>
  <c r="BH111" i="4" s="1"/>
  <c r="L112" i="4"/>
  <c r="BH112" i="4" s="1"/>
  <c r="L113" i="4"/>
  <c r="BH113" i="4" s="1"/>
  <c r="L114" i="4"/>
  <c r="L115" i="4"/>
  <c r="BH115" i="4" s="1"/>
  <c r="L116" i="4"/>
  <c r="BH116" i="4" s="1"/>
  <c r="L117" i="4"/>
  <c r="BH117" i="4" s="1"/>
  <c r="L118" i="4"/>
  <c r="BH118" i="4" s="1"/>
  <c r="L119" i="4"/>
  <c r="BH119" i="4" s="1"/>
  <c r="L120" i="4"/>
  <c r="L121" i="4"/>
  <c r="BH121" i="4" s="1"/>
  <c r="L122" i="4"/>
  <c r="BH122" i="4" s="1"/>
  <c r="L123" i="4"/>
  <c r="BH123" i="4" s="1"/>
  <c r="L124" i="4"/>
  <c r="BH124" i="4" s="1"/>
  <c r="L125" i="4"/>
  <c r="BH125" i="4" s="1"/>
  <c r="L126" i="4"/>
  <c r="BH126" i="4" s="1"/>
  <c r="L127" i="4"/>
  <c r="BH127" i="4" s="1"/>
  <c r="L128" i="4"/>
  <c r="L129" i="4"/>
  <c r="L130" i="4"/>
  <c r="BH130" i="4" s="1"/>
  <c r="L131" i="4"/>
  <c r="BH131" i="4" s="1"/>
  <c r="L132" i="4"/>
  <c r="L133" i="4"/>
  <c r="BH133" i="4" s="1"/>
  <c r="L134" i="4"/>
  <c r="BH134" i="4" s="1"/>
  <c r="L135" i="4"/>
  <c r="BH135" i="4" s="1"/>
  <c r="L136" i="4"/>
  <c r="BH136" i="4" s="1"/>
  <c r="L137" i="4"/>
  <c r="BH137" i="4" s="1"/>
  <c r="L138" i="4"/>
  <c r="L139" i="4"/>
  <c r="BH139" i="4" s="1"/>
  <c r="L140" i="4"/>
  <c r="BH140" i="4" s="1"/>
  <c r="L141" i="4"/>
  <c r="BH141" i="4" s="1"/>
  <c r="L142" i="4"/>
  <c r="BH142" i="4" s="1"/>
  <c r="L143" i="4"/>
  <c r="BH143" i="4" s="1"/>
  <c r="L144" i="4"/>
  <c r="L145" i="4"/>
  <c r="BH145" i="4" s="1"/>
  <c r="L146" i="4"/>
  <c r="BH146" i="4" s="1"/>
  <c r="L147" i="4"/>
  <c r="BH147" i="4" s="1"/>
  <c r="L148" i="4"/>
  <c r="BH148" i="4" s="1"/>
  <c r="L149" i="4"/>
  <c r="BH149" i="4" s="1"/>
  <c r="L150" i="4"/>
  <c r="BH150" i="4" s="1"/>
  <c r="L151" i="4"/>
  <c r="BH151" i="4" s="1"/>
  <c r="L152" i="4"/>
  <c r="L153" i="4"/>
  <c r="L154" i="4"/>
  <c r="BH154" i="4" s="1"/>
  <c r="L155" i="4"/>
  <c r="BH155" i="4" s="1"/>
  <c r="L156" i="4"/>
  <c r="L157" i="4"/>
  <c r="BH157" i="4" s="1"/>
  <c r="L158" i="4"/>
  <c r="BH158" i="4" s="1"/>
  <c r="L159" i="4"/>
  <c r="BH159" i="4" s="1"/>
  <c r="L160" i="4"/>
  <c r="BH160" i="4" s="1"/>
  <c r="L161" i="4"/>
  <c r="BH161" i="4" s="1"/>
  <c r="L162" i="4"/>
  <c r="L163" i="4"/>
  <c r="BH163" i="4" s="1"/>
  <c r="L164" i="4"/>
  <c r="BH164" i="4" s="1"/>
  <c r="L165" i="4"/>
  <c r="BH165" i="4" s="1"/>
  <c r="L166" i="4"/>
  <c r="BH166" i="4" s="1"/>
  <c r="L167" i="4"/>
  <c r="BH167" i="4" s="1"/>
  <c r="L168" i="4"/>
  <c r="L169" i="4"/>
  <c r="BH169" i="4" s="1"/>
  <c r="L170" i="4"/>
  <c r="BH170" i="4" s="1"/>
  <c r="L171" i="4"/>
  <c r="BH171" i="4" s="1"/>
  <c r="L172" i="4"/>
  <c r="BH172" i="4" s="1"/>
  <c r="L173" i="4"/>
  <c r="BH173" i="4" s="1"/>
  <c r="L174" i="4"/>
  <c r="BH174" i="4" s="1"/>
  <c r="L175" i="4"/>
  <c r="BH175" i="4" s="1"/>
  <c r="L176" i="4"/>
  <c r="L177" i="4"/>
  <c r="L178" i="4"/>
  <c r="BH178" i="4" s="1"/>
  <c r="L179" i="4"/>
  <c r="BH179" i="4" s="1"/>
  <c r="L180" i="4"/>
  <c r="L181" i="4"/>
  <c r="BH181" i="4" s="1"/>
  <c r="L182" i="4"/>
  <c r="BH182" i="4" s="1"/>
  <c r="L183" i="4"/>
  <c r="BH183" i="4" s="1"/>
  <c r="L184" i="4"/>
  <c r="BH184" i="4" s="1"/>
  <c r="L185" i="4"/>
  <c r="BH185" i="4" s="1"/>
  <c r="L186" i="4"/>
  <c r="L187" i="4"/>
  <c r="BH187" i="4" s="1"/>
  <c r="L188" i="4"/>
  <c r="BH188" i="4" s="1"/>
  <c r="L189" i="4"/>
  <c r="BH189" i="4" s="1"/>
  <c r="L190" i="4"/>
  <c r="BH190" i="4" s="1"/>
  <c r="L191" i="4"/>
  <c r="BH191" i="4" s="1"/>
  <c r="L192" i="4"/>
  <c r="L193" i="4"/>
  <c r="BH193" i="4" s="1"/>
  <c r="K2" i="4"/>
  <c r="BI2" i="4" s="1"/>
  <c r="K3" i="4"/>
  <c r="BI3" i="4" s="1"/>
  <c r="K4" i="4"/>
  <c r="BI4" i="4" s="1"/>
  <c r="K5" i="4"/>
  <c r="BI5" i="4" s="1"/>
  <c r="K6" i="4"/>
  <c r="BI6" i="4" s="1"/>
  <c r="K7" i="4"/>
  <c r="BI7" i="4" s="1"/>
  <c r="K8" i="4"/>
  <c r="BI8" i="4" s="1"/>
  <c r="K9" i="4"/>
  <c r="BI9" i="4" s="1"/>
  <c r="K10" i="4"/>
  <c r="BI10" i="4" s="1"/>
  <c r="K11" i="4"/>
  <c r="BI11" i="4" s="1"/>
  <c r="K12" i="4"/>
  <c r="BI12" i="4" s="1"/>
  <c r="K13" i="4"/>
  <c r="BI13" i="4" s="1"/>
  <c r="K14" i="4"/>
  <c r="K15" i="4"/>
  <c r="BI15" i="4" s="1"/>
  <c r="K16" i="4"/>
  <c r="BI16" i="4" s="1"/>
  <c r="K17" i="4"/>
  <c r="BI17" i="4" s="1"/>
  <c r="K18" i="4"/>
  <c r="BI18" i="4" s="1"/>
  <c r="K19" i="4"/>
  <c r="BI19" i="4" s="1"/>
  <c r="K20" i="4"/>
  <c r="BI20" i="4" s="1"/>
  <c r="K21" i="4"/>
  <c r="BI21" i="4" s="1"/>
  <c r="K22" i="4"/>
  <c r="BI22" i="4" s="1"/>
  <c r="K23" i="4"/>
  <c r="BI23" i="4" s="1"/>
  <c r="K24" i="4"/>
  <c r="K25" i="4"/>
  <c r="K26" i="4"/>
  <c r="BI26" i="4" s="1"/>
  <c r="K27" i="4"/>
  <c r="BI27" i="4" s="1"/>
  <c r="K28" i="4"/>
  <c r="BI28" i="4" s="1"/>
  <c r="K29" i="4"/>
  <c r="BI29" i="4" s="1"/>
  <c r="K30" i="4"/>
  <c r="BI30" i="4" s="1"/>
  <c r="K31" i="4"/>
  <c r="BI31" i="4" s="1"/>
  <c r="K32" i="4"/>
  <c r="BI32" i="4" s="1"/>
  <c r="K33" i="4"/>
  <c r="BI33" i="4" s="1"/>
  <c r="K34" i="4"/>
  <c r="BI34" i="4" s="1"/>
  <c r="K35" i="4"/>
  <c r="BI35" i="4" s="1"/>
  <c r="K36" i="4"/>
  <c r="BI36" i="4" s="1"/>
  <c r="K37" i="4"/>
  <c r="BI37" i="4" s="1"/>
  <c r="K38" i="4"/>
  <c r="K39" i="4"/>
  <c r="BI39" i="4" s="1"/>
  <c r="K40" i="4"/>
  <c r="BI40" i="4" s="1"/>
  <c r="K41" i="4"/>
  <c r="BI41" i="4" s="1"/>
  <c r="K42" i="4"/>
  <c r="BI42" i="4" s="1"/>
  <c r="K43" i="4"/>
  <c r="BI43" i="4" s="1"/>
  <c r="K44" i="4"/>
  <c r="BI44" i="4" s="1"/>
  <c r="K45" i="4"/>
  <c r="BI45" i="4" s="1"/>
  <c r="K46" i="4"/>
  <c r="BI46" i="4" s="1"/>
  <c r="K47" i="4"/>
  <c r="BI47" i="4" s="1"/>
  <c r="K48" i="4"/>
  <c r="K49" i="4"/>
  <c r="K50" i="4"/>
  <c r="BI50" i="4" s="1"/>
  <c r="K51" i="4"/>
  <c r="BI51" i="4" s="1"/>
  <c r="K52" i="4"/>
  <c r="BI52" i="4" s="1"/>
  <c r="K53" i="4"/>
  <c r="BI53" i="4" s="1"/>
  <c r="K54" i="4"/>
  <c r="BI54" i="4" s="1"/>
  <c r="K55" i="4"/>
  <c r="BI55" i="4" s="1"/>
  <c r="K56" i="4"/>
  <c r="BI56" i="4" s="1"/>
  <c r="K57" i="4"/>
  <c r="BI57" i="4" s="1"/>
  <c r="K58" i="4"/>
  <c r="BI58" i="4" s="1"/>
  <c r="K59" i="4"/>
  <c r="BI59" i="4" s="1"/>
  <c r="K60" i="4"/>
  <c r="BI60" i="4" s="1"/>
  <c r="K61" i="4"/>
  <c r="BI61" i="4" s="1"/>
  <c r="K62" i="4"/>
  <c r="K63" i="4"/>
  <c r="BI63" i="4" s="1"/>
  <c r="K64" i="4"/>
  <c r="BI64" i="4" s="1"/>
  <c r="K65" i="4"/>
  <c r="BI65" i="4" s="1"/>
  <c r="K66" i="4"/>
  <c r="BI66" i="4" s="1"/>
  <c r="K67" i="4"/>
  <c r="BI67" i="4" s="1"/>
  <c r="K68" i="4"/>
  <c r="BI68" i="4" s="1"/>
  <c r="K69" i="4"/>
  <c r="BI69" i="4" s="1"/>
  <c r="K70" i="4"/>
  <c r="BI70" i="4" s="1"/>
  <c r="K71" i="4"/>
  <c r="BI71" i="4" s="1"/>
  <c r="K72" i="4"/>
  <c r="K73" i="4"/>
  <c r="K74" i="4"/>
  <c r="BI74" i="4" s="1"/>
  <c r="K75" i="4"/>
  <c r="BI75" i="4" s="1"/>
  <c r="K76" i="4"/>
  <c r="BI76" i="4" s="1"/>
  <c r="K77" i="4"/>
  <c r="BI77" i="4" s="1"/>
  <c r="K78" i="4"/>
  <c r="BI78" i="4" s="1"/>
  <c r="K79" i="4"/>
  <c r="BI79" i="4" s="1"/>
  <c r="K80" i="4"/>
  <c r="BI80" i="4" s="1"/>
  <c r="K81" i="4"/>
  <c r="BI81" i="4" s="1"/>
  <c r="K82" i="4"/>
  <c r="BI82" i="4" s="1"/>
  <c r="K83" i="4"/>
  <c r="BI83" i="4" s="1"/>
  <c r="K84" i="4"/>
  <c r="BI84" i="4" s="1"/>
  <c r="K85" i="4"/>
  <c r="BI85" i="4" s="1"/>
  <c r="K86" i="4"/>
  <c r="K87" i="4"/>
  <c r="BI87" i="4" s="1"/>
  <c r="K88" i="4"/>
  <c r="BI88" i="4" s="1"/>
  <c r="K89" i="4"/>
  <c r="BI89" i="4" s="1"/>
  <c r="K90" i="4"/>
  <c r="BI90" i="4" s="1"/>
  <c r="K91" i="4"/>
  <c r="BI91" i="4" s="1"/>
  <c r="K92" i="4"/>
  <c r="BI92" i="4" s="1"/>
  <c r="K93" i="4"/>
  <c r="BI93" i="4" s="1"/>
  <c r="K94" i="4"/>
  <c r="BI94" i="4" s="1"/>
  <c r="K95" i="4"/>
  <c r="BI95" i="4" s="1"/>
  <c r="K96" i="4"/>
  <c r="K97" i="4"/>
  <c r="K98" i="4"/>
  <c r="BI98" i="4" s="1"/>
  <c r="K99" i="4"/>
  <c r="BI99" i="4" s="1"/>
  <c r="K100" i="4"/>
  <c r="BI100" i="4" s="1"/>
  <c r="K101" i="4"/>
  <c r="BI101" i="4" s="1"/>
  <c r="K102" i="4"/>
  <c r="BI102" i="4" s="1"/>
  <c r="K103" i="4"/>
  <c r="BI103" i="4" s="1"/>
  <c r="K104" i="4"/>
  <c r="BI104" i="4" s="1"/>
  <c r="K105" i="4"/>
  <c r="BI105" i="4" s="1"/>
  <c r="K106" i="4"/>
  <c r="BI106" i="4" s="1"/>
  <c r="K107" i="4"/>
  <c r="BI107" i="4" s="1"/>
  <c r="K108" i="4"/>
  <c r="BI108" i="4" s="1"/>
  <c r="K109" i="4"/>
  <c r="BI109" i="4" s="1"/>
  <c r="K110" i="4"/>
  <c r="K111" i="4"/>
  <c r="BI111" i="4" s="1"/>
  <c r="K112" i="4"/>
  <c r="BI112" i="4" s="1"/>
  <c r="K113" i="4"/>
  <c r="BI113" i="4" s="1"/>
  <c r="K114" i="4"/>
  <c r="BI114" i="4" s="1"/>
  <c r="K115" i="4"/>
  <c r="BI115" i="4" s="1"/>
  <c r="K116" i="4"/>
  <c r="BI116" i="4" s="1"/>
  <c r="K117" i="4"/>
  <c r="BI117" i="4" s="1"/>
  <c r="K118" i="4"/>
  <c r="BI118" i="4" s="1"/>
  <c r="K119" i="4"/>
  <c r="BI119" i="4" s="1"/>
  <c r="K120" i="4"/>
  <c r="K121" i="4"/>
  <c r="K122" i="4"/>
  <c r="BI122" i="4" s="1"/>
  <c r="K123" i="4"/>
  <c r="BI123" i="4" s="1"/>
  <c r="K124" i="4"/>
  <c r="BI124" i="4" s="1"/>
  <c r="K125" i="4"/>
  <c r="BI125" i="4" s="1"/>
  <c r="K126" i="4"/>
  <c r="BI126" i="4" s="1"/>
  <c r="K127" i="4"/>
  <c r="BI127" i="4" s="1"/>
  <c r="K128" i="4"/>
  <c r="BI128" i="4" s="1"/>
  <c r="K129" i="4"/>
  <c r="BI129" i="4" s="1"/>
  <c r="K130" i="4"/>
  <c r="BI130" i="4" s="1"/>
  <c r="K131" i="4"/>
  <c r="BI131" i="4" s="1"/>
  <c r="K132" i="4"/>
  <c r="BI132" i="4" s="1"/>
  <c r="K133" i="4"/>
  <c r="BI133" i="4" s="1"/>
  <c r="K134" i="4"/>
  <c r="K135" i="4"/>
  <c r="BI135" i="4" s="1"/>
  <c r="K136" i="4"/>
  <c r="BI136" i="4" s="1"/>
  <c r="K137" i="4"/>
  <c r="BI137" i="4" s="1"/>
  <c r="K138" i="4"/>
  <c r="BI138" i="4" s="1"/>
  <c r="K139" i="4"/>
  <c r="BI139" i="4" s="1"/>
  <c r="K140" i="4"/>
  <c r="BI140" i="4" s="1"/>
  <c r="K141" i="4"/>
  <c r="BI141" i="4" s="1"/>
  <c r="K142" i="4"/>
  <c r="BI142" i="4" s="1"/>
  <c r="K143" i="4"/>
  <c r="BI143" i="4" s="1"/>
  <c r="K144" i="4"/>
  <c r="K145" i="4"/>
  <c r="K146" i="4"/>
  <c r="BI146" i="4" s="1"/>
  <c r="K147" i="4"/>
  <c r="BI147" i="4" s="1"/>
  <c r="K148" i="4"/>
  <c r="BI148" i="4" s="1"/>
  <c r="K149" i="4"/>
  <c r="BI149" i="4" s="1"/>
  <c r="K150" i="4"/>
  <c r="BI150" i="4" s="1"/>
  <c r="K151" i="4"/>
  <c r="BI151" i="4" s="1"/>
  <c r="K152" i="4"/>
  <c r="BI152" i="4" s="1"/>
  <c r="K153" i="4"/>
  <c r="BI153" i="4" s="1"/>
  <c r="K154" i="4"/>
  <c r="BI154" i="4" s="1"/>
  <c r="K155" i="4"/>
  <c r="BI155" i="4" s="1"/>
  <c r="K156" i="4"/>
  <c r="BI156" i="4" s="1"/>
  <c r="K157" i="4"/>
  <c r="BI157" i="4" s="1"/>
  <c r="K158" i="4"/>
  <c r="K159" i="4"/>
  <c r="BI159" i="4" s="1"/>
  <c r="K160" i="4"/>
  <c r="BI160" i="4" s="1"/>
  <c r="K161" i="4"/>
  <c r="BI161" i="4" s="1"/>
  <c r="K162" i="4"/>
  <c r="BI162" i="4" s="1"/>
  <c r="K163" i="4"/>
  <c r="BI163" i="4" s="1"/>
  <c r="K164" i="4"/>
  <c r="BI164" i="4" s="1"/>
  <c r="K165" i="4"/>
  <c r="BI165" i="4" s="1"/>
  <c r="K166" i="4"/>
  <c r="BI166" i="4" s="1"/>
  <c r="K167" i="4"/>
  <c r="BI167" i="4" s="1"/>
  <c r="K168" i="4"/>
  <c r="K169" i="4"/>
  <c r="K170" i="4"/>
  <c r="BI170" i="4" s="1"/>
  <c r="K171" i="4"/>
  <c r="BI171" i="4" s="1"/>
  <c r="K172" i="4"/>
  <c r="BI172" i="4" s="1"/>
  <c r="K173" i="4"/>
  <c r="BI173" i="4" s="1"/>
  <c r="K174" i="4"/>
  <c r="BI174" i="4" s="1"/>
  <c r="K175" i="4"/>
  <c r="BI175" i="4" s="1"/>
  <c r="K176" i="4"/>
  <c r="BI176" i="4" s="1"/>
  <c r="K177" i="4"/>
  <c r="BI177" i="4" s="1"/>
  <c r="K178" i="4"/>
  <c r="BI178" i="4" s="1"/>
  <c r="K179" i="4"/>
  <c r="BI179" i="4" s="1"/>
  <c r="K180" i="4"/>
  <c r="BI180" i="4" s="1"/>
  <c r="K181" i="4"/>
  <c r="BI181" i="4" s="1"/>
  <c r="K182" i="4"/>
  <c r="K183" i="4"/>
  <c r="BI183" i="4" s="1"/>
  <c r="K184" i="4"/>
  <c r="BI184" i="4" s="1"/>
  <c r="K185" i="4"/>
  <c r="BI185" i="4" s="1"/>
  <c r="K186" i="4"/>
  <c r="BI186" i="4" s="1"/>
  <c r="K187" i="4"/>
  <c r="BI187" i="4" s="1"/>
  <c r="K188" i="4"/>
  <c r="BI188" i="4" s="1"/>
  <c r="K189" i="4"/>
  <c r="BI189" i="4" s="1"/>
  <c r="K190" i="4"/>
  <c r="BI190" i="4" s="1"/>
  <c r="K191" i="4"/>
  <c r="BI191" i="4" s="1"/>
  <c r="K192" i="4"/>
  <c r="K193" i="4"/>
  <c r="AW23" i="3"/>
  <c r="AW24" i="3"/>
  <c r="AW120" i="3"/>
  <c r="AW128" i="3"/>
  <c r="AW143" i="3"/>
  <c r="AW192" i="3"/>
  <c r="AV48" i="3"/>
  <c r="AV105" i="3"/>
  <c r="AV120" i="3"/>
  <c r="AV168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Y2" i="3"/>
  <c r="AA2" i="3"/>
  <c r="AC2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A3" i="3"/>
  <c r="AA4" i="3"/>
  <c r="AA5" i="3"/>
  <c r="AA6" i="3"/>
  <c r="AA7" i="3"/>
  <c r="AA8" i="3"/>
  <c r="AW8" i="3" s="1"/>
  <c r="AA9" i="3"/>
  <c r="AA10" i="3"/>
  <c r="AA11" i="3"/>
  <c r="AA12" i="3"/>
  <c r="AA13" i="3"/>
  <c r="AA14" i="3"/>
  <c r="AA15" i="3"/>
  <c r="AA16" i="3"/>
  <c r="AA17" i="3"/>
  <c r="AA18" i="3"/>
  <c r="AW18" i="3" s="1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W32" i="3" s="1"/>
  <c r="AA33" i="3"/>
  <c r="AA34" i="3"/>
  <c r="AA35" i="3"/>
  <c r="AA36" i="3"/>
  <c r="AA37" i="3"/>
  <c r="AA38" i="3"/>
  <c r="AA39" i="3"/>
  <c r="AA40" i="3"/>
  <c r="AA41" i="3"/>
  <c r="AA42" i="3"/>
  <c r="AW42" i="3" s="1"/>
  <c r="AA43" i="3"/>
  <c r="AA44" i="3"/>
  <c r="AA45" i="3"/>
  <c r="AA46" i="3"/>
  <c r="AA47" i="3"/>
  <c r="AW47" i="3" s="1"/>
  <c r="AA48" i="3"/>
  <c r="AA49" i="3"/>
  <c r="AA50" i="3"/>
  <c r="AA51" i="3"/>
  <c r="AA52" i="3"/>
  <c r="AA53" i="3"/>
  <c r="AA54" i="3"/>
  <c r="AA55" i="3"/>
  <c r="AA56" i="3"/>
  <c r="AW56" i="3" s="1"/>
  <c r="AA57" i="3"/>
  <c r="AA58" i="3"/>
  <c r="AA59" i="3"/>
  <c r="AA60" i="3"/>
  <c r="AA61" i="3"/>
  <c r="AA62" i="3"/>
  <c r="AA63" i="3"/>
  <c r="AA64" i="3"/>
  <c r="AA65" i="3"/>
  <c r="AA66" i="3"/>
  <c r="AW66" i="3" s="1"/>
  <c r="AA67" i="3"/>
  <c r="AA68" i="3"/>
  <c r="AA69" i="3"/>
  <c r="AA70" i="3"/>
  <c r="AA71" i="3"/>
  <c r="AW71" i="3" s="1"/>
  <c r="AA72" i="3"/>
  <c r="AA73" i="3"/>
  <c r="AA74" i="3"/>
  <c r="AA75" i="3"/>
  <c r="AA76" i="3"/>
  <c r="AA77" i="3"/>
  <c r="AA78" i="3"/>
  <c r="AA79" i="3"/>
  <c r="AA80" i="3"/>
  <c r="AW80" i="3" s="1"/>
  <c r="AA81" i="3"/>
  <c r="AA82" i="3"/>
  <c r="AA83" i="3"/>
  <c r="AA84" i="3"/>
  <c r="AA85" i="3"/>
  <c r="AA86" i="3"/>
  <c r="AA87" i="3"/>
  <c r="AA88" i="3"/>
  <c r="AA89" i="3"/>
  <c r="AA90" i="3"/>
  <c r="AW90" i="3" s="1"/>
  <c r="AA91" i="3"/>
  <c r="AA92" i="3"/>
  <c r="AA93" i="3"/>
  <c r="AA94" i="3"/>
  <c r="AA95" i="3"/>
  <c r="AW95" i="3" s="1"/>
  <c r="AA96" i="3"/>
  <c r="AA97" i="3"/>
  <c r="AA98" i="3"/>
  <c r="AA99" i="3"/>
  <c r="AA100" i="3"/>
  <c r="AA101" i="3"/>
  <c r="AA102" i="3"/>
  <c r="AA103" i="3"/>
  <c r="AA104" i="3"/>
  <c r="AW104" i="3" s="1"/>
  <c r="AA105" i="3"/>
  <c r="AA106" i="3"/>
  <c r="AA107" i="3"/>
  <c r="AA108" i="3"/>
  <c r="AA109" i="3"/>
  <c r="AA110" i="3"/>
  <c r="AA111" i="3"/>
  <c r="AA112" i="3"/>
  <c r="AA113" i="3"/>
  <c r="AA114" i="3"/>
  <c r="AW114" i="3" s="1"/>
  <c r="AA115" i="3"/>
  <c r="AA116" i="3"/>
  <c r="AA117" i="3"/>
  <c r="AA118" i="3"/>
  <c r="AA119" i="3"/>
  <c r="AW119" i="3" s="1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W138" i="3" s="1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W152" i="3" s="1"/>
  <c r="AA153" i="3"/>
  <c r="AA154" i="3"/>
  <c r="AA155" i="3"/>
  <c r="AA156" i="3"/>
  <c r="AA157" i="3"/>
  <c r="AA158" i="3"/>
  <c r="AA159" i="3"/>
  <c r="AA160" i="3"/>
  <c r="AA161" i="3"/>
  <c r="AA162" i="3"/>
  <c r="AW162" i="3" s="1"/>
  <c r="AA163" i="3"/>
  <c r="AA164" i="3"/>
  <c r="AA165" i="3"/>
  <c r="AA166" i="3"/>
  <c r="AA167" i="3"/>
  <c r="AW167" i="3" s="1"/>
  <c r="AA168" i="3"/>
  <c r="AA169" i="3"/>
  <c r="AA170" i="3"/>
  <c r="AA171" i="3"/>
  <c r="AA172" i="3"/>
  <c r="AA173" i="3"/>
  <c r="AA174" i="3"/>
  <c r="AA175" i="3"/>
  <c r="AA176" i="3"/>
  <c r="AW176" i="3" s="1"/>
  <c r="AA177" i="3"/>
  <c r="AA178" i="3"/>
  <c r="AA179" i="3"/>
  <c r="AA180" i="3"/>
  <c r="AA181" i="3"/>
  <c r="AA182" i="3"/>
  <c r="AA183" i="3"/>
  <c r="AA184" i="3"/>
  <c r="AA185" i="3"/>
  <c r="AA186" i="3"/>
  <c r="AW186" i="3" s="1"/>
  <c r="AA187" i="3"/>
  <c r="AA188" i="3"/>
  <c r="AA189" i="3"/>
  <c r="AA190" i="3"/>
  <c r="AA191" i="3"/>
  <c r="AW191" i="3" s="1"/>
  <c r="AA192" i="3"/>
  <c r="AA193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L2" i="3"/>
  <c r="AV2" i="3" s="1"/>
  <c r="L3" i="3"/>
  <c r="L4" i="3"/>
  <c r="L5" i="3"/>
  <c r="L6" i="3"/>
  <c r="AV6" i="3" s="1"/>
  <c r="L7" i="3"/>
  <c r="L8" i="3"/>
  <c r="L9" i="3"/>
  <c r="L10" i="3"/>
  <c r="L11" i="3"/>
  <c r="L12" i="3"/>
  <c r="L13" i="3"/>
  <c r="L14" i="3"/>
  <c r="AV14" i="3" s="1"/>
  <c r="L15" i="3"/>
  <c r="AV15" i="3" s="1"/>
  <c r="L16" i="3"/>
  <c r="L17" i="3"/>
  <c r="L18" i="3"/>
  <c r="L19" i="3"/>
  <c r="AV19" i="3" s="1"/>
  <c r="L20" i="3"/>
  <c r="L21" i="3"/>
  <c r="L22" i="3"/>
  <c r="AV22" i="3" s="1"/>
  <c r="L23" i="3"/>
  <c r="L24" i="3"/>
  <c r="AV24" i="3" s="1"/>
  <c r="L25" i="3"/>
  <c r="L26" i="3"/>
  <c r="AV26" i="3" s="1"/>
  <c r="L27" i="3"/>
  <c r="L28" i="3"/>
  <c r="L29" i="3"/>
  <c r="L30" i="3"/>
  <c r="AV30" i="3" s="1"/>
  <c r="L31" i="3"/>
  <c r="L32" i="3"/>
  <c r="L33" i="3"/>
  <c r="L34" i="3"/>
  <c r="L35" i="3"/>
  <c r="L36" i="3"/>
  <c r="L37" i="3"/>
  <c r="L38" i="3"/>
  <c r="AV38" i="3" s="1"/>
  <c r="L39" i="3"/>
  <c r="AV39" i="3" s="1"/>
  <c r="L40" i="3"/>
  <c r="L41" i="3"/>
  <c r="L42" i="3"/>
  <c r="L43" i="3"/>
  <c r="AV43" i="3" s="1"/>
  <c r="L44" i="3"/>
  <c r="L45" i="3"/>
  <c r="L46" i="3"/>
  <c r="AV46" i="3" s="1"/>
  <c r="L47" i="3"/>
  <c r="L48" i="3"/>
  <c r="L49" i="3"/>
  <c r="L50" i="3"/>
  <c r="AV50" i="3" s="1"/>
  <c r="L51" i="3"/>
  <c r="L52" i="3"/>
  <c r="L53" i="3"/>
  <c r="L54" i="3"/>
  <c r="AV54" i="3" s="1"/>
  <c r="L55" i="3"/>
  <c r="L56" i="3"/>
  <c r="L57" i="3"/>
  <c r="L58" i="3"/>
  <c r="L59" i="3"/>
  <c r="L60" i="3"/>
  <c r="L61" i="3"/>
  <c r="L62" i="3"/>
  <c r="AV62" i="3" s="1"/>
  <c r="L63" i="3"/>
  <c r="AV63" i="3" s="1"/>
  <c r="L64" i="3"/>
  <c r="L65" i="3"/>
  <c r="L66" i="3"/>
  <c r="L67" i="3"/>
  <c r="AV67" i="3" s="1"/>
  <c r="L68" i="3"/>
  <c r="L69" i="3"/>
  <c r="L70" i="3"/>
  <c r="AV70" i="3" s="1"/>
  <c r="L71" i="3"/>
  <c r="L72" i="3"/>
  <c r="AV72" i="3" s="1"/>
  <c r="L73" i="3"/>
  <c r="L74" i="3"/>
  <c r="AV74" i="3" s="1"/>
  <c r="L75" i="3"/>
  <c r="L76" i="3"/>
  <c r="L77" i="3"/>
  <c r="L78" i="3"/>
  <c r="AV78" i="3" s="1"/>
  <c r="L79" i="3"/>
  <c r="L80" i="3"/>
  <c r="L81" i="3"/>
  <c r="L82" i="3"/>
  <c r="L83" i="3"/>
  <c r="L84" i="3"/>
  <c r="L85" i="3"/>
  <c r="L86" i="3"/>
  <c r="AV86" i="3" s="1"/>
  <c r="L87" i="3"/>
  <c r="AV87" i="3" s="1"/>
  <c r="L88" i="3"/>
  <c r="L89" i="3"/>
  <c r="L90" i="3"/>
  <c r="L91" i="3"/>
  <c r="AV91" i="3" s="1"/>
  <c r="L92" i="3"/>
  <c r="L93" i="3"/>
  <c r="L94" i="3"/>
  <c r="AV94" i="3" s="1"/>
  <c r="L95" i="3"/>
  <c r="L96" i="3"/>
  <c r="AV96" i="3" s="1"/>
  <c r="L97" i="3"/>
  <c r="L98" i="3"/>
  <c r="AV98" i="3" s="1"/>
  <c r="L99" i="3"/>
  <c r="L100" i="3"/>
  <c r="L101" i="3"/>
  <c r="L102" i="3"/>
  <c r="AV102" i="3" s="1"/>
  <c r="L103" i="3"/>
  <c r="L104" i="3"/>
  <c r="L105" i="3"/>
  <c r="L106" i="3"/>
  <c r="L107" i="3"/>
  <c r="L108" i="3"/>
  <c r="L109" i="3"/>
  <c r="L110" i="3"/>
  <c r="AV110" i="3" s="1"/>
  <c r="L111" i="3"/>
  <c r="AV111" i="3" s="1"/>
  <c r="L112" i="3"/>
  <c r="L113" i="3"/>
  <c r="L114" i="3"/>
  <c r="L115" i="3"/>
  <c r="AV115" i="3" s="1"/>
  <c r="L116" i="3"/>
  <c r="L117" i="3"/>
  <c r="L118" i="3"/>
  <c r="AV118" i="3" s="1"/>
  <c r="L119" i="3"/>
  <c r="L120" i="3"/>
  <c r="L121" i="3"/>
  <c r="L122" i="3"/>
  <c r="AV122" i="3" s="1"/>
  <c r="L123" i="3"/>
  <c r="L124" i="3"/>
  <c r="L125" i="3"/>
  <c r="L126" i="3"/>
  <c r="AV126" i="3" s="1"/>
  <c r="L127" i="3"/>
  <c r="L128" i="3"/>
  <c r="L129" i="3"/>
  <c r="L130" i="3"/>
  <c r="L131" i="3"/>
  <c r="L132" i="3"/>
  <c r="L133" i="3"/>
  <c r="L134" i="3"/>
  <c r="AV134" i="3" s="1"/>
  <c r="L135" i="3"/>
  <c r="AV135" i="3" s="1"/>
  <c r="L136" i="3"/>
  <c r="L137" i="3"/>
  <c r="L138" i="3"/>
  <c r="L139" i="3"/>
  <c r="AV139" i="3" s="1"/>
  <c r="L140" i="3"/>
  <c r="L141" i="3"/>
  <c r="L142" i="3"/>
  <c r="AV142" i="3" s="1"/>
  <c r="L143" i="3"/>
  <c r="L144" i="3"/>
  <c r="AV144" i="3" s="1"/>
  <c r="L145" i="3"/>
  <c r="L146" i="3"/>
  <c r="AV146" i="3" s="1"/>
  <c r="L147" i="3"/>
  <c r="L148" i="3"/>
  <c r="L149" i="3"/>
  <c r="L150" i="3"/>
  <c r="AV150" i="3" s="1"/>
  <c r="L151" i="3"/>
  <c r="L152" i="3"/>
  <c r="L153" i="3"/>
  <c r="L154" i="3"/>
  <c r="L155" i="3"/>
  <c r="L156" i="3"/>
  <c r="L157" i="3"/>
  <c r="L158" i="3"/>
  <c r="AV158" i="3" s="1"/>
  <c r="L159" i="3"/>
  <c r="AV159" i="3" s="1"/>
  <c r="L160" i="3"/>
  <c r="L161" i="3"/>
  <c r="L162" i="3"/>
  <c r="L163" i="3"/>
  <c r="AV163" i="3" s="1"/>
  <c r="L164" i="3"/>
  <c r="L165" i="3"/>
  <c r="L166" i="3"/>
  <c r="AV166" i="3" s="1"/>
  <c r="L167" i="3"/>
  <c r="L168" i="3"/>
  <c r="L169" i="3"/>
  <c r="L170" i="3"/>
  <c r="AV170" i="3" s="1"/>
  <c r="L171" i="3"/>
  <c r="L172" i="3"/>
  <c r="L173" i="3"/>
  <c r="L174" i="3"/>
  <c r="AV174" i="3" s="1"/>
  <c r="L175" i="3"/>
  <c r="L176" i="3"/>
  <c r="L177" i="3"/>
  <c r="L178" i="3"/>
  <c r="L179" i="3"/>
  <c r="L180" i="3"/>
  <c r="L181" i="3"/>
  <c r="L182" i="3"/>
  <c r="AV182" i="3" s="1"/>
  <c r="L183" i="3"/>
  <c r="AV183" i="3" s="1"/>
  <c r="L184" i="3"/>
  <c r="L185" i="3"/>
  <c r="L186" i="3"/>
  <c r="L187" i="3"/>
  <c r="AV187" i="3" s="1"/>
  <c r="L188" i="3"/>
  <c r="L189" i="3"/>
  <c r="L190" i="3"/>
  <c r="AV190" i="3" s="1"/>
  <c r="L191" i="3"/>
  <c r="L192" i="3"/>
  <c r="AV192" i="3" s="1"/>
  <c r="L193" i="3"/>
  <c r="K2" i="3"/>
  <c r="AW2" i="3" s="1"/>
  <c r="K3" i="3"/>
  <c r="AW3" i="3" s="1"/>
  <c r="K4" i="3"/>
  <c r="AW4" i="3" s="1"/>
  <c r="K5" i="3"/>
  <c r="AW5" i="3" s="1"/>
  <c r="K6" i="3"/>
  <c r="AW6" i="3" s="1"/>
  <c r="K7" i="3"/>
  <c r="K8" i="3"/>
  <c r="K9" i="3"/>
  <c r="AW9" i="3" s="1"/>
  <c r="K10" i="3"/>
  <c r="AW10" i="3" s="1"/>
  <c r="K11" i="3"/>
  <c r="K12" i="3"/>
  <c r="K13" i="3"/>
  <c r="K14" i="3"/>
  <c r="AW14" i="3" s="1"/>
  <c r="K15" i="3"/>
  <c r="AW15" i="3" s="1"/>
  <c r="K16" i="3"/>
  <c r="K17" i="3"/>
  <c r="K18" i="3"/>
  <c r="K19" i="3"/>
  <c r="K20" i="3"/>
  <c r="K21" i="3"/>
  <c r="K22" i="3"/>
  <c r="K23" i="3"/>
  <c r="K24" i="3"/>
  <c r="K25" i="3"/>
  <c r="K26" i="3"/>
  <c r="AW26" i="3" s="1"/>
  <c r="K27" i="3"/>
  <c r="AW27" i="3" s="1"/>
  <c r="K28" i="3"/>
  <c r="AW28" i="3" s="1"/>
  <c r="K29" i="3"/>
  <c r="AW29" i="3" s="1"/>
  <c r="K30" i="3"/>
  <c r="AW30" i="3" s="1"/>
  <c r="K31" i="3"/>
  <c r="K32" i="3"/>
  <c r="K33" i="3"/>
  <c r="AW33" i="3" s="1"/>
  <c r="K34" i="3"/>
  <c r="AW34" i="3" s="1"/>
  <c r="K35" i="3"/>
  <c r="K36" i="3"/>
  <c r="K37" i="3"/>
  <c r="K38" i="3"/>
  <c r="AW38" i="3" s="1"/>
  <c r="K39" i="3"/>
  <c r="AW39" i="3" s="1"/>
  <c r="K40" i="3"/>
  <c r="K41" i="3"/>
  <c r="K42" i="3"/>
  <c r="K43" i="3"/>
  <c r="K44" i="3"/>
  <c r="K45" i="3"/>
  <c r="K46" i="3"/>
  <c r="K47" i="3"/>
  <c r="K48" i="3"/>
  <c r="AW48" i="3" s="1"/>
  <c r="K49" i="3"/>
  <c r="K50" i="3"/>
  <c r="AW50" i="3" s="1"/>
  <c r="K51" i="3"/>
  <c r="AW51" i="3" s="1"/>
  <c r="K52" i="3"/>
  <c r="AW52" i="3" s="1"/>
  <c r="K53" i="3"/>
  <c r="AW53" i="3" s="1"/>
  <c r="K54" i="3"/>
  <c r="AW54" i="3" s="1"/>
  <c r="K55" i="3"/>
  <c r="K56" i="3"/>
  <c r="K57" i="3"/>
  <c r="AW57" i="3" s="1"/>
  <c r="K58" i="3"/>
  <c r="AW58" i="3" s="1"/>
  <c r="K59" i="3"/>
  <c r="K60" i="3"/>
  <c r="K61" i="3"/>
  <c r="K62" i="3"/>
  <c r="AW62" i="3" s="1"/>
  <c r="K63" i="3"/>
  <c r="AW63" i="3" s="1"/>
  <c r="K64" i="3"/>
  <c r="K65" i="3"/>
  <c r="K66" i="3"/>
  <c r="K67" i="3"/>
  <c r="K68" i="3"/>
  <c r="K69" i="3"/>
  <c r="K70" i="3"/>
  <c r="K71" i="3"/>
  <c r="K72" i="3"/>
  <c r="AW72" i="3" s="1"/>
  <c r="K73" i="3"/>
  <c r="K74" i="3"/>
  <c r="AW74" i="3" s="1"/>
  <c r="K75" i="3"/>
  <c r="AW75" i="3" s="1"/>
  <c r="K76" i="3"/>
  <c r="AW76" i="3" s="1"/>
  <c r="K77" i="3"/>
  <c r="AW77" i="3" s="1"/>
  <c r="K78" i="3"/>
  <c r="AW78" i="3" s="1"/>
  <c r="K79" i="3"/>
  <c r="K80" i="3"/>
  <c r="K81" i="3"/>
  <c r="AW81" i="3" s="1"/>
  <c r="K82" i="3"/>
  <c r="AW82" i="3" s="1"/>
  <c r="K83" i="3"/>
  <c r="K84" i="3"/>
  <c r="K85" i="3"/>
  <c r="K86" i="3"/>
  <c r="AW86" i="3" s="1"/>
  <c r="K87" i="3"/>
  <c r="AW87" i="3" s="1"/>
  <c r="K88" i="3"/>
  <c r="K89" i="3"/>
  <c r="K90" i="3"/>
  <c r="K91" i="3"/>
  <c r="K92" i="3"/>
  <c r="K93" i="3"/>
  <c r="K94" i="3"/>
  <c r="K95" i="3"/>
  <c r="K96" i="3"/>
  <c r="AW96" i="3" s="1"/>
  <c r="K97" i="3"/>
  <c r="K98" i="3"/>
  <c r="AW98" i="3" s="1"/>
  <c r="K99" i="3"/>
  <c r="AW99" i="3" s="1"/>
  <c r="K100" i="3"/>
  <c r="AW100" i="3" s="1"/>
  <c r="K101" i="3"/>
  <c r="AW101" i="3" s="1"/>
  <c r="K102" i="3"/>
  <c r="AW102" i="3" s="1"/>
  <c r="K103" i="3"/>
  <c r="K104" i="3"/>
  <c r="K105" i="3"/>
  <c r="AW105" i="3" s="1"/>
  <c r="K106" i="3"/>
  <c r="AW106" i="3" s="1"/>
  <c r="K107" i="3"/>
  <c r="K108" i="3"/>
  <c r="K109" i="3"/>
  <c r="K110" i="3"/>
  <c r="AW110" i="3" s="1"/>
  <c r="K111" i="3"/>
  <c r="AW111" i="3" s="1"/>
  <c r="K112" i="3"/>
  <c r="K113" i="3"/>
  <c r="K114" i="3"/>
  <c r="K115" i="3"/>
  <c r="K116" i="3"/>
  <c r="K117" i="3"/>
  <c r="K118" i="3"/>
  <c r="K119" i="3"/>
  <c r="K120" i="3"/>
  <c r="K121" i="3"/>
  <c r="K122" i="3"/>
  <c r="AW122" i="3" s="1"/>
  <c r="K123" i="3"/>
  <c r="AW123" i="3" s="1"/>
  <c r="K124" i="3"/>
  <c r="AW124" i="3" s="1"/>
  <c r="K125" i="3"/>
  <c r="AW125" i="3" s="1"/>
  <c r="K126" i="3"/>
  <c r="AW126" i="3" s="1"/>
  <c r="K127" i="3"/>
  <c r="K128" i="3"/>
  <c r="K129" i="3"/>
  <c r="AW129" i="3" s="1"/>
  <c r="K130" i="3"/>
  <c r="AW130" i="3" s="1"/>
  <c r="K131" i="3"/>
  <c r="K132" i="3"/>
  <c r="K133" i="3"/>
  <c r="K134" i="3"/>
  <c r="AW134" i="3" s="1"/>
  <c r="K135" i="3"/>
  <c r="AW135" i="3" s="1"/>
  <c r="K136" i="3"/>
  <c r="K137" i="3"/>
  <c r="K138" i="3"/>
  <c r="K139" i="3"/>
  <c r="K140" i="3"/>
  <c r="K141" i="3"/>
  <c r="K142" i="3"/>
  <c r="K143" i="3"/>
  <c r="K144" i="3"/>
  <c r="AW144" i="3" s="1"/>
  <c r="K145" i="3"/>
  <c r="K146" i="3"/>
  <c r="AW146" i="3" s="1"/>
  <c r="K147" i="3"/>
  <c r="AW147" i="3" s="1"/>
  <c r="K148" i="3"/>
  <c r="AW148" i="3" s="1"/>
  <c r="K149" i="3"/>
  <c r="AW149" i="3" s="1"/>
  <c r="K150" i="3"/>
  <c r="AW150" i="3" s="1"/>
  <c r="K151" i="3"/>
  <c r="K152" i="3"/>
  <c r="K153" i="3"/>
  <c r="AW153" i="3" s="1"/>
  <c r="K154" i="3"/>
  <c r="AW154" i="3" s="1"/>
  <c r="K155" i="3"/>
  <c r="K156" i="3"/>
  <c r="K157" i="3"/>
  <c r="K158" i="3"/>
  <c r="AW158" i="3" s="1"/>
  <c r="K159" i="3"/>
  <c r="AW159" i="3" s="1"/>
  <c r="K160" i="3"/>
  <c r="K161" i="3"/>
  <c r="K162" i="3"/>
  <c r="K163" i="3"/>
  <c r="K164" i="3"/>
  <c r="K165" i="3"/>
  <c r="K166" i="3"/>
  <c r="K167" i="3"/>
  <c r="K168" i="3"/>
  <c r="AW168" i="3" s="1"/>
  <c r="K169" i="3"/>
  <c r="K170" i="3"/>
  <c r="AW170" i="3" s="1"/>
  <c r="K171" i="3"/>
  <c r="AW171" i="3" s="1"/>
  <c r="K172" i="3"/>
  <c r="AW172" i="3" s="1"/>
  <c r="K173" i="3"/>
  <c r="AW173" i="3" s="1"/>
  <c r="K174" i="3"/>
  <c r="AW174" i="3" s="1"/>
  <c r="K175" i="3"/>
  <c r="K176" i="3"/>
  <c r="K177" i="3"/>
  <c r="AW177" i="3" s="1"/>
  <c r="K178" i="3"/>
  <c r="AW178" i="3" s="1"/>
  <c r="K179" i="3"/>
  <c r="K180" i="3"/>
  <c r="K181" i="3"/>
  <c r="K182" i="3"/>
  <c r="AW182" i="3" s="1"/>
  <c r="K183" i="3"/>
  <c r="AW183" i="3" s="1"/>
  <c r="K184" i="3"/>
  <c r="K185" i="3"/>
  <c r="K186" i="3"/>
  <c r="K187" i="3"/>
  <c r="K188" i="3"/>
  <c r="K189" i="3"/>
  <c r="K190" i="3"/>
  <c r="K191" i="3"/>
  <c r="K192" i="3"/>
  <c r="K193" i="3"/>
  <c r="AW79" i="2"/>
  <c r="AV241" i="2"/>
  <c r="AV231" i="2"/>
  <c r="AV221" i="2"/>
  <c r="AV211" i="2"/>
  <c r="AV201" i="2"/>
  <c r="AV191" i="2"/>
  <c r="AV181" i="2"/>
  <c r="AV171" i="2"/>
  <c r="AV161" i="2"/>
  <c r="AV151" i="2"/>
  <c r="AV141" i="2"/>
  <c r="AV131" i="2"/>
  <c r="AV121" i="2"/>
  <c r="AV111" i="2"/>
  <c r="AV101" i="2"/>
  <c r="AV91" i="2"/>
  <c r="AV81" i="2"/>
  <c r="AV71" i="2"/>
  <c r="AV61" i="2"/>
  <c r="AV51" i="2"/>
  <c r="AV41" i="2"/>
  <c r="AV31" i="2"/>
  <c r="AV21" i="2"/>
  <c r="AV11" i="2"/>
  <c r="AV240" i="2"/>
  <c r="AV230" i="2"/>
  <c r="AV220" i="2"/>
  <c r="AV210" i="2"/>
  <c r="AV200" i="2"/>
  <c r="AV190" i="2"/>
  <c r="AV180" i="2"/>
  <c r="AV170" i="2"/>
  <c r="AV160" i="2"/>
  <c r="AV150" i="2"/>
  <c r="AV140" i="2"/>
  <c r="AV130" i="2"/>
  <c r="AV120" i="2"/>
  <c r="AV110" i="2"/>
  <c r="AV100" i="2"/>
  <c r="AV90" i="2"/>
  <c r="AV80" i="2"/>
  <c r="AV70" i="2"/>
  <c r="AV60" i="2"/>
  <c r="AV50" i="2"/>
  <c r="AV40" i="2"/>
  <c r="AV30" i="2"/>
  <c r="AV20" i="2"/>
  <c r="AV10" i="2"/>
  <c r="AV239" i="2"/>
  <c r="AV229" i="2"/>
  <c r="AV219" i="2"/>
  <c r="AV209" i="2"/>
  <c r="AV199" i="2"/>
  <c r="AV189" i="2"/>
  <c r="AV179" i="2"/>
  <c r="AV169" i="2"/>
  <c r="AV159" i="2"/>
  <c r="AV149" i="2"/>
  <c r="AV139" i="2"/>
  <c r="AV129" i="2"/>
  <c r="AV119" i="2"/>
  <c r="AV109" i="2"/>
  <c r="AV99" i="2"/>
  <c r="AV89" i="2"/>
  <c r="AV79" i="2"/>
  <c r="AV69" i="2"/>
  <c r="AV59" i="2"/>
  <c r="AV49" i="2"/>
  <c r="AV39" i="2"/>
  <c r="AV29" i="2"/>
  <c r="AV19" i="2"/>
  <c r="AV9" i="2"/>
  <c r="AV238" i="2"/>
  <c r="AV228" i="2"/>
  <c r="AV218" i="2"/>
  <c r="AV208" i="2"/>
  <c r="AV198" i="2"/>
  <c r="AV188" i="2"/>
  <c r="AV178" i="2"/>
  <c r="AV168" i="2"/>
  <c r="AV158" i="2"/>
  <c r="AV148" i="2"/>
  <c r="AV138" i="2"/>
  <c r="AV128" i="2"/>
  <c r="AV118" i="2"/>
  <c r="AV108" i="2"/>
  <c r="AV98" i="2"/>
  <c r="AV88" i="2"/>
  <c r="AV78" i="2"/>
  <c r="AV68" i="2"/>
  <c r="AV58" i="2"/>
  <c r="AV48" i="2"/>
  <c r="AV38" i="2"/>
  <c r="AV28" i="2"/>
  <c r="AV18" i="2"/>
  <c r="AV8" i="2"/>
  <c r="AV237" i="2"/>
  <c r="AV227" i="2"/>
  <c r="AV217" i="2"/>
  <c r="AV207" i="2"/>
  <c r="AV197" i="2"/>
  <c r="AV187" i="2"/>
  <c r="AV177" i="2"/>
  <c r="AV167" i="2"/>
  <c r="AV157" i="2"/>
  <c r="AV147" i="2"/>
  <c r="AV137" i="2"/>
  <c r="AV127" i="2"/>
  <c r="AV117" i="2"/>
  <c r="AV107" i="2"/>
  <c r="AV97" i="2"/>
  <c r="AV87" i="2"/>
  <c r="AV77" i="2"/>
  <c r="AV67" i="2"/>
  <c r="AV57" i="2"/>
  <c r="AV47" i="2"/>
  <c r="AV37" i="2"/>
  <c r="AV27" i="2"/>
  <c r="AV17" i="2"/>
  <c r="AV7" i="2"/>
  <c r="AV236" i="2"/>
  <c r="AV226" i="2"/>
  <c r="AV216" i="2"/>
  <c r="AV206" i="2"/>
  <c r="AV196" i="2"/>
  <c r="AV186" i="2"/>
  <c r="AV176" i="2"/>
  <c r="AV166" i="2"/>
  <c r="AV156" i="2"/>
  <c r="AV146" i="2"/>
  <c r="AV136" i="2"/>
  <c r="AV126" i="2"/>
  <c r="AV116" i="2"/>
  <c r="AV106" i="2"/>
  <c r="AV96" i="2"/>
  <c r="AV86" i="2"/>
  <c r="AV76" i="2"/>
  <c r="AV66" i="2"/>
  <c r="AV56" i="2"/>
  <c r="AV46" i="2"/>
  <c r="AV36" i="2"/>
  <c r="AV26" i="2"/>
  <c r="AV16" i="2"/>
  <c r="AV6" i="2"/>
  <c r="AV235" i="2"/>
  <c r="AV225" i="2"/>
  <c r="AV215" i="2"/>
  <c r="AV205" i="2"/>
  <c r="AV195" i="2"/>
  <c r="AV185" i="2"/>
  <c r="AV175" i="2"/>
  <c r="AV165" i="2"/>
  <c r="AV155" i="2"/>
  <c r="AV145" i="2"/>
  <c r="AV135" i="2"/>
  <c r="AV125" i="2"/>
  <c r="AV115" i="2"/>
  <c r="AV105" i="2"/>
  <c r="AV95" i="2"/>
  <c r="AV85" i="2"/>
  <c r="AV75" i="2"/>
  <c r="AV65" i="2"/>
  <c r="AV55" i="2"/>
  <c r="AV45" i="2"/>
  <c r="AV35" i="2"/>
  <c r="AV25" i="2"/>
  <c r="AV15" i="2"/>
  <c r="AV5" i="2"/>
  <c r="AV234" i="2"/>
  <c r="AV224" i="2"/>
  <c r="AV214" i="2"/>
  <c r="AV204" i="2"/>
  <c r="AV194" i="2"/>
  <c r="AV184" i="2"/>
  <c r="AV174" i="2"/>
  <c r="AV164" i="2"/>
  <c r="AV154" i="2"/>
  <c r="AV144" i="2"/>
  <c r="AV134" i="2"/>
  <c r="AV124" i="2"/>
  <c r="AV114" i="2"/>
  <c r="AV104" i="2"/>
  <c r="AV94" i="2"/>
  <c r="AV84" i="2"/>
  <c r="AV74" i="2"/>
  <c r="AV64" i="2"/>
  <c r="AV54" i="2"/>
  <c r="AV44" i="2"/>
  <c r="AV34" i="2"/>
  <c r="AV24" i="2"/>
  <c r="AV14" i="2"/>
  <c r="AV4" i="2"/>
  <c r="AV233" i="2"/>
  <c r="AV223" i="2"/>
  <c r="AV213" i="2"/>
  <c r="AV203" i="2"/>
  <c r="AV193" i="2"/>
  <c r="AV183" i="2"/>
  <c r="AV173" i="2"/>
  <c r="AV163" i="2"/>
  <c r="AV153" i="2"/>
  <c r="AV143" i="2"/>
  <c r="AV133" i="2"/>
  <c r="AV123" i="2"/>
  <c r="AV113" i="2"/>
  <c r="AV103" i="2"/>
  <c r="AV93" i="2"/>
  <c r="AV83" i="2"/>
  <c r="AV73" i="2"/>
  <c r="AV63" i="2"/>
  <c r="AV53" i="2"/>
  <c r="AV43" i="2"/>
  <c r="AV33" i="2"/>
  <c r="AV23" i="2"/>
  <c r="AV13" i="2"/>
  <c r="AV3" i="2"/>
  <c r="AV232" i="2"/>
  <c r="AV222" i="2"/>
  <c r="AV212" i="2"/>
  <c r="AV202" i="2"/>
  <c r="AV192" i="2"/>
  <c r="AV182" i="2"/>
  <c r="AV172" i="2"/>
  <c r="AV162" i="2"/>
  <c r="AV152" i="2"/>
  <c r="AV142" i="2"/>
  <c r="AV132" i="2"/>
  <c r="AV122" i="2"/>
  <c r="AV112" i="2"/>
  <c r="AV102" i="2"/>
  <c r="AV92" i="2"/>
  <c r="AV82" i="2"/>
  <c r="AV72" i="2"/>
  <c r="AV62" i="2"/>
  <c r="AV52" i="2"/>
  <c r="AV42" i="2"/>
  <c r="AV32" i="2"/>
  <c r="AV22" i="2"/>
  <c r="AV12" i="2"/>
  <c r="AV2" i="2"/>
  <c r="AU241" i="2"/>
  <c r="AU231" i="2"/>
  <c r="AU221" i="2"/>
  <c r="AU211" i="2"/>
  <c r="AU201" i="2"/>
  <c r="AU191" i="2"/>
  <c r="AU181" i="2"/>
  <c r="AU171" i="2"/>
  <c r="AU161" i="2"/>
  <c r="AU151" i="2"/>
  <c r="AU141" i="2"/>
  <c r="AU131" i="2"/>
  <c r="AU121" i="2"/>
  <c r="AU111" i="2"/>
  <c r="AU101" i="2"/>
  <c r="AU91" i="2"/>
  <c r="AU81" i="2"/>
  <c r="AU71" i="2"/>
  <c r="AU61" i="2"/>
  <c r="AU51" i="2"/>
  <c r="AU41" i="2"/>
  <c r="AU31" i="2"/>
  <c r="AU21" i="2"/>
  <c r="AU11" i="2"/>
  <c r="AU240" i="2"/>
  <c r="AU230" i="2"/>
  <c r="AU220" i="2"/>
  <c r="AU210" i="2"/>
  <c r="AU200" i="2"/>
  <c r="AU190" i="2"/>
  <c r="AU180" i="2"/>
  <c r="AU170" i="2"/>
  <c r="AU160" i="2"/>
  <c r="AU150" i="2"/>
  <c r="AU140" i="2"/>
  <c r="AU130" i="2"/>
  <c r="AU120" i="2"/>
  <c r="AU110" i="2"/>
  <c r="AU100" i="2"/>
  <c r="AU90" i="2"/>
  <c r="AU80" i="2"/>
  <c r="AU70" i="2"/>
  <c r="AU60" i="2"/>
  <c r="AU50" i="2"/>
  <c r="AU40" i="2"/>
  <c r="AU30" i="2"/>
  <c r="AU20" i="2"/>
  <c r="AU10" i="2"/>
  <c r="AU239" i="2"/>
  <c r="AU229" i="2"/>
  <c r="AU219" i="2"/>
  <c r="AU209" i="2"/>
  <c r="AU199" i="2"/>
  <c r="AU189" i="2"/>
  <c r="AU179" i="2"/>
  <c r="AU169" i="2"/>
  <c r="AU159" i="2"/>
  <c r="AU149" i="2"/>
  <c r="AU139" i="2"/>
  <c r="AU129" i="2"/>
  <c r="AU119" i="2"/>
  <c r="AU109" i="2"/>
  <c r="AU99" i="2"/>
  <c r="AU89" i="2"/>
  <c r="AU79" i="2"/>
  <c r="AU69" i="2"/>
  <c r="AU59" i="2"/>
  <c r="AU49" i="2"/>
  <c r="AU39" i="2"/>
  <c r="AU29" i="2"/>
  <c r="AU19" i="2"/>
  <c r="AU9" i="2"/>
  <c r="AU238" i="2"/>
  <c r="AU228" i="2"/>
  <c r="AU218" i="2"/>
  <c r="AU208" i="2"/>
  <c r="AU198" i="2"/>
  <c r="AU188" i="2"/>
  <c r="AU178" i="2"/>
  <c r="AU168" i="2"/>
  <c r="AU158" i="2"/>
  <c r="AU148" i="2"/>
  <c r="AU138" i="2"/>
  <c r="AU128" i="2"/>
  <c r="AU118" i="2"/>
  <c r="AU108" i="2"/>
  <c r="AU98" i="2"/>
  <c r="AU88" i="2"/>
  <c r="AU78" i="2"/>
  <c r="AU68" i="2"/>
  <c r="AU58" i="2"/>
  <c r="AU48" i="2"/>
  <c r="AU38" i="2"/>
  <c r="AU28" i="2"/>
  <c r="AU18" i="2"/>
  <c r="AU8" i="2"/>
  <c r="AU237" i="2"/>
  <c r="AU227" i="2"/>
  <c r="AU217" i="2"/>
  <c r="AU207" i="2"/>
  <c r="AU197" i="2"/>
  <c r="AU187" i="2"/>
  <c r="AU177" i="2"/>
  <c r="AU167" i="2"/>
  <c r="AU157" i="2"/>
  <c r="AU147" i="2"/>
  <c r="AU137" i="2"/>
  <c r="AU127" i="2"/>
  <c r="AU117" i="2"/>
  <c r="AU107" i="2"/>
  <c r="AU97" i="2"/>
  <c r="AU87" i="2"/>
  <c r="AU77" i="2"/>
  <c r="AU67" i="2"/>
  <c r="AU57" i="2"/>
  <c r="AU47" i="2"/>
  <c r="AU37" i="2"/>
  <c r="AU27" i="2"/>
  <c r="AU17" i="2"/>
  <c r="AU7" i="2"/>
  <c r="AU236" i="2"/>
  <c r="AU226" i="2"/>
  <c r="AU216" i="2"/>
  <c r="AU206" i="2"/>
  <c r="AU196" i="2"/>
  <c r="AU186" i="2"/>
  <c r="AU176" i="2"/>
  <c r="AU166" i="2"/>
  <c r="AU156" i="2"/>
  <c r="AU146" i="2"/>
  <c r="AU136" i="2"/>
  <c r="AU126" i="2"/>
  <c r="AU116" i="2"/>
  <c r="AU106" i="2"/>
  <c r="AU96" i="2"/>
  <c r="AU86" i="2"/>
  <c r="AU76" i="2"/>
  <c r="AU66" i="2"/>
  <c r="AU56" i="2"/>
  <c r="AU46" i="2"/>
  <c r="AU36" i="2"/>
  <c r="AU26" i="2"/>
  <c r="AU16" i="2"/>
  <c r="AU6" i="2"/>
  <c r="AU235" i="2"/>
  <c r="AU225" i="2"/>
  <c r="AU215" i="2"/>
  <c r="AU205" i="2"/>
  <c r="AU195" i="2"/>
  <c r="AU185" i="2"/>
  <c r="AU175" i="2"/>
  <c r="AU165" i="2"/>
  <c r="AU155" i="2"/>
  <c r="AU145" i="2"/>
  <c r="AU135" i="2"/>
  <c r="AU125" i="2"/>
  <c r="AU115" i="2"/>
  <c r="AU105" i="2"/>
  <c r="AU95" i="2"/>
  <c r="AU85" i="2"/>
  <c r="AU75" i="2"/>
  <c r="AU65" i="2"/>
  <c r="AU55" i="2"/>
  <c r="AU45" i="2"/>
  <c r="AU35" i="2"/>
  <c r="AU25" i="2"/>
  <c r="AU15" i="2"/>
  <c r="AU5" i="2"/>
  <c r="AU234" i="2"/>
  <c r="AU224" i="2"/>
  <c r="AU214" i="2"/>
  <c r="AU204" i="2"/>
  <c r="AU194" i="2"/>
  <c r="AU184" i="2"/>
  <c r="AU174" i="2"/>
  <c r="AU164" i="2"/>
  <c r="AU154" i="2"/>
  <c r="AU144" i="2"/>
  <c r="AU134" i="2"/>
  <c r="AU124" i="2"/>
  <c r="AU114" i="2"/>
  <c r="AU104" i="2"/>
  <c r="AU94" i="2"/>
  <c r="AU84" i="2"/>
  <c r="AU74" i="2"/>
  <c r="AU64" i="2"/>
  <c r="AU54" i="2"/>
  <c r="AU44" i="2"/>
  <c r="AU34" i="2"/>
  <c r="AU24" i="2"/>
  <c r="AU14" i="2"/>
  <c r="AU4" i="2"/>
  <c r="AU233" i="2"/>
  <c r="AU223" i="2"/>
  <c r="AU213" i="2"/>
  <c r="AU203" i="2"/>
  <c r="AU193" i="2"/>
  <c r="AU183" i="2"/>
  <c r="AU173" i="2"/>
  <c r="AU163" i="2"/>
  <c r="AU153" i="2"/>
  <c r="AU143" i="2"/>
  <c r="AU133" i="2"/>
  <c r="AU123" i="2"/>
  <c r="AU113" i="2"/>
  <c r="AU103" i="2"/>
  <c r="AU93" i="2"/>
  <c r="AU83" i="2"/>
  <c r="AU73" i="2"/>
  <c r="AU63" i="2"/>
  <c r="AU53" i="2"/>
  <c r="AU43" i="2"/>
  <c r="AU33" i="2"/>
  <c r="AU23" i="2"/>
  <c r="AU13" i="2"/>
  <c r="AU3" i="2"/>
  <c r="AU232" i="2"/>
  <c r="AU222" i="2"/>
  <c r="AU212" i="2"/>
  <c r="AU202" i="2"/>
  <c r="AU192" i="2"/>
  <c r="AU182" i="2"/>
  <c r="AU172" i="2"/>
  <c r="AU162" i="2"/>
  <c r="AU152" i="2"/>
  <c r="AU142" i="2"/>
  <c r="AU132" i="2"/>
  <c r="AU122" i="2"/>
  <c r="AU112" i="2"/>
  <c r="AU102" i="2"/>
  <c r="AU92" i="2"/>
  <c r="AU82" i="2"/>
  <c r="AU72" i="2"/>
  <c r="AU62" i="2"/>
  <c r="AU52" i="2"/>
  <c r="AU42" i="2"/>
  <c r="AU32" i="2"/>
  <c r="AU22" i="2"/>
  <c r="AU12" i="2"/>
  <c r="AU2" i="2"/>
  <c r="AT241" i="2"/>
  <c r="AT231" i="2"/>
  <c r="AT221" i="2"/>
  <c r="AT211" i="2"/>
  <c r="AT201" i="2"/>
  <c r="AT191" i="2"/>
  <c r="AT181" i="2"/>
  <c r="AT171" i="2"/>
  <c r="AT161" i="2"/>
  <c r="AT151" i="2"/>
  <c r="AT141" i="2"/>
  <c r="AT131" i="2"/>
  <c r="AT121" i="2"/>
  <c r="AT111" i="2"/>
  <c r="AT101" i="2"/>
  <c r="AT91" i="2"/>
  <c r="AT81" i="2"/>
  <c r="AT71" i="2"/>
  <c r="AT61" i="2"/>
  <c r="AT51" i="2"/>
  <c r="AT41" i="2"/>
  <c r="AT31" i="2"/>
  <c r="AT21" i="2"/>
  <c r="AT11" i="2"/>
  <c r="AT240" i="2"/>
  <c r="AT230" i="2"/>
  <c r="AT220" i="2"/>
  <c r="AT210" i="2"/>
  <c r="AT200" i="2"/>
  <c r="AT190" i="2"/>
  <c r="AT180" i="2"/>
  <c r="AT170" i="2"/>
  <c r="AT160" i="2"/>
  <c r="AT150" i="2"/>
  <c r="AT140" i="2"/>
  <c r="AT130" i="2"/>
  <c r="AT120" i="2"/>
  <c r="AT110" i="2"/>
  <c r="AT100" i="2"/>
  <c r="AT90" i="2"/>
  <c r="AT80" i="2"/>
  <c r="AT70" i="2"/>
  <c r="AT60" i="2"/>
  <c r="AT50" i="2"/>
  <c r="AT40" i="2"/>
  <c r="AT30" i="2"/>
  <c r="AT20" i="2"/>
  <c r="AT10" i="2"/>
  <c r="AT239" i="2"/>
  <c r="AT229" i="2"/>
  <c r="AT219" i="2"/>
  <c r="AT209" i="2"/>
  <c r="AT199" i="2"/>
  <c r="AT189" i="2"/>
  <c r="AT179" i="2"/>
  <c r="AT169" i="2"/>
  <c r="AT159" i="2"/>
  <c r="AT149" i="2"/>
  <c r="AT139" i="2"/>
  <c r="AT129" i="2"/>
  <c r="AT119" i="2"/>
  <c r="AT109" i="2"/>
  <c r="AT99" i="2"/>
  <c r="AT89" i="2"/>
  <c r="AT79" i="2"/>
  <c r="AT69" i="2"/>
  <c r="AT59" i="2"/>
  <c r="AT49" i="2"/>
  <c r="AT39" i="2"/>
  <c r="AT29" i="2"/>
  <c r="AT19" i="2"/>
  <c r="AT9" i="2"/>
  <c r="AT238" i="2"/>
  <c r="AT228" i="2"/>
  <c r="AT218" i="2"/>
  <c r="AT208" i="2"/>
  <c r="AT198" i="2"/>
  <c r="AT188" i="2"/>
  <c r="AT178" i="2"/>
  <c r="AT168" i="2"/>
  <c r="AT158" i="2"/>
  <c r="AT148" i="2"/>
  <c r="AT138" i="2"/>
  <c r="AT128" i="2"/>
  <c r="AT118" i="2"/>
  <c r="AT108" i="2"/>
  <c r="AT98" i="2"/>
  <c r="AT88" i="2"/>
  <c r="AT78" i="2"/>
  <c r="AT68" i="2"/>
  <c r="AT58" i="2"/>
  <c r="AT48" i="2"/>
  <c r="AT38" i="2"/>
  <c r="AT28" i="2"/>
  <c r="AT18" i="2"/>
  <c r="AT8" i="2"/>
  <c r="AT237" i="2"/>
  <c r="AT227" i="2"/>
  <c r="AT217" i="2"/>
  <c r="AT207" i="2"/>
  <c r="AT197" i="2"/>
  <c r="AT187" i="2"/>
  <c r="AT177" i="2"/>
  <c r="AT167" i="2"/>
  <c r="AT157" i="2"/>
  <c r="AT147" i="2"/>
  <c r="AT137" i="2"/>
  <c r="AT127" i="2"/>
  <c r="AT117" i="2"/>
  <c r="AT107" i="2"/>
  <c r="AT97" i="2"/>
  <c r="AT87" i="2"/>
  <c r="AT77" i="2"/>
  <c r="AT67" i="2"/>
  <c r="AT57" i="2"/>
  <c r="AT47" i="2"/>
  <c r="AT37" i="2"/>
  <c r="AT27" i="2"/>
  <c r="AT17" i="2"/>
  <c r="AT7" i="2"/>
  <c r="AT236" i="2"/>
  <c r="AT226" i="2"/>
  <c r="AT216" i="2"/>
  <c r="AT206" i="2"/>
  <c r="AT196" i="2"/>
  <c r="AT186" i="2"/>
  <c r="AT176" i="2"/>
  <c r="AT166" i="2"/>
  <c r="AT156" i="2"/>
  <c r="AT146" i="2"/>
  <c r="AT136" i="2"/>
  <c r="AT126" i="2"/>
  <c r="AT116" i="2"/>
  <c r="AT106" i="2"/>
  <c r="AT96" i="2"/>
  <c r="AT86" i="2"/>
  <c r="AT76" i="2"/>
  <c r="AT66" i="2"/>
  <c r="AT56" i="2"/>
  <c r="AT46" i="2"/>
  <c r="AT36" i="2"/>
  <c r="AT26" i="2"/>
  <c r="AT16" i="2"/>
  <c r="AT6" i="2"/>
  <c r="AT235" i="2"/>
  <c r="AT225" i="2"/>
  <c r="AT215" i="2"/>
  <c r="AT205" i="2"/>
  <c r="AT195" i="2"/>
  <c r="AT185" i="2"/>
  <c r="AT175" i="2"/>
  <c r="AT165" i="2"/>
  <c r="AT155" i="2"/>
  <c r="AT145" i="2"/>
  <c r="AT135" i="2"/>
  <c r="AT125" i="2"/>
  <c r="AT115" i="2"/>
  <c r="AT105" i="2"/>
  <c r="AT95" i="2"/>
  <c r="AT85" i="2"/>
  <c r="AT75" i="2"/>
  <c r="AT65" i="2"/>
  <c r="AT55" i="2"/>
  <c r="AT45" i="2"/>
  <c r="AT35" i="2"/>
  <c r="AT25" i="2"/>
  <c r="AT15" i="2"/>
  <c r="AT5" i="2"/>
  <c r="AT234" i="2"/>
  <c r="AT224" i="2"/>
  <c r="AT214" i="2"/>
  <c r="AT204" i="2"/>
  <c r="AT194" i="2"/>
  <c r="AT184" i="2"/>
  <c r="AT174" i="2"/>
  <c r="AT164" i="2"/>
  <c r="AT154" i="2"/>
  <c r="AT144" i="2"/>
  <c r="AT134" i="2"/>
  <c r="AT124" i="2"/>
  <c r="AT114" i="2"/>
  <c r="AT104" i="2"/>
  <c r="AT94" i="2"/>
  <c r="AT84" i="2"/>
  <c r="AT74" i="2"/>
  <c r="AT64" i="2"/>
  <c r="AT54" i="2"/>
  <c r="AT44" i="2"/>
  <c r="AT34" i="2"/>
  <c r="AT24" i="2"/>
  <c r="AT14" i="2"/>
  <c r="AT4" i="2"/>
  <c r="AT233" i="2"/>
  <c r="AT223" i="2"/>
  <c r="AT213" i="2"/>
  <c r="AT203" i="2"/>
  <c r="AT193" i="2"/>
  <c r="AT183" i="2"/>
  <c r="AT173" i="2"/>
  <c r="AT163" i="2"/>
  <c r="AT153" i="2"/>
  <c r="AT143" i="2"/>
  <c r="AT133" i="2"/>
  <c r="AT123" i="2"/>
  <c r="AT113" i="2"/>
  <c r="AT103" i="2"/>
  <c r="AT93" i="2"/>
  <c r="AT83" i="2"/>
  <c r="AT73" i="2"/>
  <c r="AT63" i="2"/>
  <c r="AT53" i="2"/>
  <c r="AT43" i="2"/>
  <c r="AT33" i="2"/>
  <c r="AT23" i="2"/>
  <c r="AT13" i="2"/>
  <c r="AT3" i="2"/>
  <c r="AT232" i="2"/>
  <c r="AT222" i="2"/>
  <c r="AT212" i="2"/>
  <c r="AT202" i="2"/>
  <c r="AT192" i="2"/>
  <c r="AT182" i="2"/>
  <c r="AT172" i="2"/>
  <c r="AT162" i="2"/>
  <c r="AT152" i="2"/>
  <c r="AT142" i="2"/>
  <c r="AT132" i="2"/>
  <c r="AT122" i="2"/>
  <c r="AT112" i="2"/>
  <c r="AT102" i="2"/>
  <c r="AT92" i="2"/>
  <c r="AT82" i="2"/>
  <c r="AT72" i="2"/>
  <c r="AT62" i="2"/>
  <c r="AT52" i="2"/>
  <c r="AT42" i="2"/>
  <c r="AT32" i="2"/>
  <c r="AT22" i="2"/>
  <c r="AT12" i="2"/>
  <c r="AT2" i="2"/>
  <c r="AS241" i="2"/>
  <c r="AS231" i="2"/>
  <c r="AS221" i="2"/>
  <c r="AS211" i="2"/>
  <c r="AS201" i="2"/>
  <c r="AS191" i="2"/>
  <c r="AS181" i="2"/>
  <c r="AS171" i="2"/>
  <c r="AS161" i="2"/>
  <c r="AS151" i="2"/>
  <c r="AS141" i="2"/>
  <c r="AS131" i="2"/>
  <c r="AS121" i="2"/>
  <c r="AS111" i="2"/>
  <c r="AS101" i="2"/>
  <c r="AS91" i="2"/>
  <c r="AS81" i="2"/>
  <c r="AS71" i="2"/>
  <c r="AS61" i="2"/>
  <c r="AS51" i="2"/>
  <c r="AS41" i="2"/>
  <c r="AS31" i="2"/>
  <c r="AS21" i="2"/>
  <c r="AS11" i="2"/>
  <c r="AS240" i="2"/>
  <c r="AS230" i="2"/>
  <c r="AS220" i="2"/>
  <c r="AS210" i="2"/>
  <c r="AS200" i="2"/>
  <c r="AS190" i="2"/>
  <c r="AS180" i="2"/>
  <c r="AS170" i="2"/>
  <c r="AS160" i="2"/>
  <c r="AS150" i="2"/>
  <c r="AS140" i="2"/>
  <c r="AS130" i="2"/>
  <c r="AS120" i="2"/>
  <c r="AS110" i="2"/>
  <c r="AS100" i="2"/>
  <c r="AS90" i="2"/>
  <c r="AS80" i="2"/>
  <c r="AS70" i="2"/>
  <c r="AS60" i="2"/>
  <c r="AS50" i="2"/>
  <c r="AS40" i="2"/>
  <c r="AS30" i="2"/>
  <c r="AS20" i="2"/>
  <c r="AS10" i="2"/>
  <c r="AS239" i="2"/>
  <c r="AS229" i="2"/>
  <c r="AS219" i="2"/>
  <c r="AS209" i="2"/>
  <c r="AS199" i="2"/>
  <c r="AS189" i="2"/>
  <c r="AS179" i="2"/>
  <c r="AS169" i="2"/>
  <c r="AS159" i="2"/>
  <c r="AS149" i="2"/>
  <c r="AS139" i="2"/>
  <c r="AS129" i="2"/>
  <c r="AS119" i="2"/>
  <c r="AS109" i="2"/>
  <c r="AS99" i="2"/>
  <c r="AS89" i="2"/>
  <c r="AS79" i="2"/>
  <c r="AS69" i="2"/>
  <c r="AS59" i="2"/>
  <c r="AS49" i="2"/>
  <c r="AS39" i="2"/>
  <c r="AS29" i="2"/>
  <c r="AS19" i="2"/>
  <c r="AS9" i="2"/>
  <c r="AS238" i="2"/>
  <c r="AS228" i="2"/>
  <c r="AS218" i="2"/>
  <c r="AS208" i="2"/>
  <c r="AS198" i="2"/>
  <c r="AS188" i="2"/>
  <c r="AS178" i="2"/>
  <c r="AS168" i="2"/>
  <c r="AS158" i="2"/>
  <c r="AS148" i="2"/>
  <c r="AS138" i="2"/>
  <c r="AS128" i="2"/>
  <c r="AS118" i="2"/>
  <c r="AS108" i="2"/>
  <c r="AS98" i="2"/>
  <c r="AS88" i="2"/>
  <c r="AS78" i="2"/>
  <c r="AS68" i="2"/>
  <c r="AS58" i="2"/>
  <c r="AS48" i="2"/>
  <c r="AS38" i="2"/>
  <c r="AS28" i="2"/>
  <c r="AS18" i="2"/>
  <c r="AS8" i="2"/>
  <c r="AS237" i="2"/>
  <c r="AS227" i="2"/>
  <c r="AS217" i="2"/>
  <c r="AS207" i="2"/>
  <c r="AS197" i="2"/>
  <c r="AS187" i="2"/>
  <c r="AS177" i="2"/>
  <c r="AS167" i="2"/>
  <c r="AS157" i="2"/>
  <c r="AS147" i="2"/>
  <c r="AS137" i="2"/>
  <c r="AS127" i="2"/>
  <c r="AS117" i="2"/>
  <c r="AS107" i="2"/>
  <c r="AS97" i="2"/>
  <c r="AS87" i="2"/>
  <c r="AS77" i="2"/>
  <c r="AS67" i="2"/>
  <c r="AS57" i="2"/>
  <c r="AS47" i="2"/>
  <c r="AS37" i="2"/>
  <c r="AS27" i="2"/>
  <c r="AS17" i="2"/>
  <c r="AS7" i="2"/>
  <c r="AS236" i="2"/>
  <c r="AS226" i="2"/>
  <c r="AS216" i="2"/>
  <c r="AS206" i="2"/>
  <c r="AS196" i="2"/>
  <c r="AS186" i="2"/>
  <c r="AS176" i="2"/>
  <c r="AS166" i="2"/>
  <c r="AS156" i="2"/>
  <c r="AS146" i="2"/>
  <c r="AS136" i="2"/>
  <c r="AS126" i="2"/>
  <c r="AS116" i="2"/>
  <c r="AS106" i="2"/>
  <c r="AS96" i="2"/>
  <c r="AS86" i="2"/>
  <c r="AS76" i="2"/>
  <c r="AS66" i="2"/>
  <c r="AS56" i="2"/>
  <c r="AS46" i="2"/>
  <c r="AS36" i="2"/>
  <c r="AS26" i="2"/>
  <c r="AS16" i="2"/>
  <c r="AS6" i="2"/>
  <c r="AS235" i="2"/>
  <c r="AS225" i="2"/>
  <c r="AS215" i="2"/>
  <c r="AS205" i="2"/>
  <c r="AS195" i="2"/>
  <c r="AS185" i="2"/>
  <c r="AS175" i="2"/>
  <c r="AS165" i="2"/>
  <c r="AS155" i="2"/>
  <c r="AS145" i="2"/>
  <c r="AS135" i="2"/>
  <c r="AS125" i="2"/>
  <c r="AS115" i="2"/>
  <c r="AS105" i="2"/>
  <c r="AS95" i="2"/>
  <c r="AS85" i="2"/>
  <c r="AS75" i="2"/>
  <c r="AS65" i="2"/>
  <c r="AS55" i="2"/>
  <c r="AS45" i="2"/>
  <c r="AS35" i="2"/>
  <c r="AS25" i="2"/>
  <c r="AS15" i="2"/>
  <c r="AS5" i="2"/>
  <c r="AS234" i="2"/>
  <c r="AS224" i="2"/>
  <c r="AS214" i="2"/>
  <c r="AS204" i="2"/>
  <c r="AS194" i="2"/>
  <c r="AS184" i="2"/>
  <c r="AS174" i="2"/>
  <c r="AS164" i="2"/>
  <c r="AS154" i="2"/>
  <c r="AS144" i="2"/>
  <c r="AS134" i="2"/>
  <c r="AS124" i="2"/>
  <c r="AS114" i="2"/>
  <c r="AS104" i="2"/>
  <c r="AS94" i="2"/>
  <c r="AS84" i="2"/>
  <c r="AS74" i="2"/>
  <c r="AS64" i="2"/>
  <c r="AS54" i="2"/>
  <c r="AS44" i="2"/>
  <c r="AS34" i="2"/>
  <c r="AS24" i="2"/>
  <c r="AS14" i="2"/>
  <c r="AS4" i="2"/>
  <c r="AS233" i="2"/>
  <c r="AS223" i="2"/>
  <c r="AS213" i="2"/>
  <c r="AS203" i="2"/>
  <c r="AS193" i="2"/>
  <c r="AS183" i="2"/>
  <c r="AS173" i="2"/>
  <c r="AS163" i="2"/>
  <c r="AS153" i="2"/>
  <c r="AS143" i="2"/>
  <c r="AS133" i="2"/>
  <c r="AS123" i="2"/>
  <c r="AS113" i="2"/>
  <c r="AS103" i="2"/>
  <c r="AS93" i="2"/>
  <c r="AS83" i="2"/>
  <c r="AS73" i="2"/>
  <c r="AS63" i="2"/>
  <c r="AS53" i="2"/>
  <c r="AS43" i="2"/>
  <c r="AS33" i="2"/>
  <c r="AS23" i="2"/>
  <c r="AS13" i="2"/>
  <c r="AS3" i="2"/>
  <c r="AS232" i="2"/>
  <c r="AS222" i="2"/>
  <c r="AS212" i="2"/>
  <c r="AS202" i="2"/>
  <c r="AS192" i="2"/>
  <c r="AS182" i="2"/>
  <c r="AS172" i="2"/>
  <c r="AS162" i="2"/>
  <c r="AS152" i="2"/>
  <c r="AS142" i="2"/>
  <c r="AS132" i="2"/>
  <c r="AS122" i="2"/>
  <c r="AS112" i="2"/>
  <c r="AS102" i="2"/>
  <c r="AS92" i="2"/>
  <c r="AS82" i="2"/>
  <c r="AS72" i="2"/>
  <c r="AS62" i="2"/>
  <c r="AS52" i="2"/>
  <c r="AS42" i="2"/>
  <c r="AS32" i="2"/>
  <c r="AS22" i="2"/>
  <c r="AS12" i="2"/>
  <c r="AS2" i="2"/>
  <c r="AR241" i="2"/>
  <c r="AR231" i="2"/>
  <c r="AR221" i="2"/>
  <c r="AR211" i="2"/>
  <c r="AR201" i="2"/>
  <c r="AR191" i="2"/>
  <c r="AR181" i="2"/>
  <c r="AR171" i="2"/>
  <c r="AR161" i="2"/>
  <c r="AR151" i="2"/>
  <c r="AR141" i="2"/>
  <c r="AR131" i="2"/>
  <c r="AR121" i="2"/>
  <c r="AR111" i="2"/>
  <c r="AR101" i="2"/>
  <c r="AR91" i="2"/>
  <c r="AR81" i="2"/>
  <c r="AR71" i="2"/>
  <c r="AR61" i="2"/>
  <c r="AR51" i="2"/>
  <c r="AR41" i="2"/>
  <c r="AR31" i="2"/>
  <c r="AR21" i="2"/>
  <c r="AR11" i="2"/>
  <c r="AR240" i="2"/>
  <c r="AR230" i="2"/>
  <c r="AR220" i="2"/>
  <c r="AR210" i="2"/>
  <c r="AR200" i="2"/>
  <c r="AR190" i="2"/>
  <c r="AR180" i="2"/>
  <c r="AR170" i="2"/>
  <c r="AR160" i="2"/>
  <c r="AR150" i="2"/>
  <c r="AR140" i="2"/>
  <c r="AR130" i="2"/>
  <c r="AR120" i="2"/>
  <c r="AR110" i="2"/>
  <c r="AR100" i="2"/>
  <c r="AR90" i="2"/>
  <c r="AR80" i="2"/>
  <c r="AR70" i="2"/>
  <c r="AR60" i="2"/>
  <c r="AR50" i="2"/>
  <c r="AR40" i="2"/>
  <c r="AR30" i="2"/>
  <c r="AR20" i="2"/>
  <c r="AR10" i="2"/>
  <c r="AR239" i="2"/>
  <c r="AR229" i="2"/>
  <c r="AR219" i="2"/>
  <c r="AR209" i="2"/>
  <c r="AR199" i="2"/>
  <c r="AR189" i="2"/>
  <c r="AR179" i="2"/>
  <c r="AR169" i="2"/>
  <c r="AR159" i="2"/>
  <c r="AR149" i="2"/>
  <c r="AR139" i="2"/>
  <c r="AR129" i="2"/>
  <c r="AR119" i="2"/>
  <c r="AR109" i="2"/>
  <c r="AR99" i="2"/>
  <c r="AR89" i="2"/>
  <c r="AR79" i="2"/>
  <c r="AR69" i="2"/>
  <c r="AR59" i="2"/>
  <c r="AR49" i="2"/>
  <c r="AR39" i="2"/>
  <c r="AR29" i="2"/>
  <c r="AR19" i="2"/>
  <c r="AR9" i="2"/>
  <c r="AR238" i="2"/>
  <c r="AR228" i="2"/>
  <c r="AR218" i="2"/>
  <c r="AR208" i="2"/>
  <c r="AR198" i="2"/>
  <c r="AR188" i="2"/>
  <c r="AR178" i="2"/>
  <c r="AR168" i="2"/>
  <c r="AR158" i="2"/>
  <c r="AR148" i="2"/>
  <c r="AR138" i="2"/>
  <c r="AR128" i="2"/>
  <c r="AR118" i="2"/>
  <c r="AR108" i="2"/>
  <c r="AR98" i="2"/>
  <c r="AR88" i="2"/>
  <c r="AR78" i="2"/>
  <c r="AR68" i="2"/>
  <c r="AR58" i="2"/>
  <c r="AR48" i="2"/>
  <c r="AR38" i="2"/>
  <c r="AR28" i="2"/>
  <c r="AR18" i="2"/>
  <c r="AR8" i="2"/>
  <c r="AR237" i="2"/>
  <c r="AR227" i="2"/>
  <c r="AR217" i="2"/>
  <c r="AR207" i="2"/>
  <c r="AR197" i="2"/>
  <c r="AR187" i="2"/>
  <c r="AR177" i="2"/>
  <c r="AR167" i="2"/>
  <c r="AR157" i="2"/>
  <c r="AR147" i="2"/>
  <c r="AR137" i="2"/>
  <c r="AR127" i="2"/>
  <c r="AR117" i="2"/>
  <c r="AR107" i="2"/>
  <c r="AR97" i="2"/>
  <c r="AR87" i="2"/>
  <c r="AR77" i="2"/>
  <c r="AR67" i="2"/>
  <c r="AR57" i="2"/>
  <c r="AR47" i="2"/>
  <c r="AR37" i="2"/>
  <c r="AR27" i="2"/>
  <c r="AR17" i="2"/>
  <c r="AR7" i="2"/>
  <c r="AR236" i="2"/>
  <c r="AR226" i="2"/>
  <c r="AR216" i="2"/>
  <c r="AR206" i="2"/>
  <c r="AR196" i="2"/>
  <c r="AR186" i="2"/>
  <c r="AR176" i="2"/>
  <c r="AR166" i="2"/>
  <c r="AR156" i="2"/>
  <c r="AR146" i="2"/>
  <c r="AR136" i="2"/>
  <c r="AR126" i="2"/>
  <c r="AR116" i="2"/>
  <c r="AR106" i="2"/>
  <c r="AR96" i="2"/>
  <c r="AR86" i="2"/>
  <c r="AR76" i="2"/>
  <c r="AR66" i="2"/>
  <c r="AR56" i="2"/>
  <c r="AR46" i="2"/>
  <c r="AR36" i="2"/>
  <c r="AR26" i="2"/>
  <c r="AR16" i="2"/>
  <c r="AR6" i="2"/>
  <c r="AR235" i="2"/>
  <c r="AR225" i="2"/>
  <c r="AR215" i="2"/>
  <c r="AR205" i="2"/>
  <c r="AR195" i="2"/>
  <c r="AR185" i="2"/>
  <c r="AR175" i="2"/>
  <c r="AR165" i="2"/>
  <c r="AR155" i="2"/>
  <c r="AR145" i="2"/>
  <c r="AR135" i="2"/>
  <c r="AR125" i="2"/>
  <c r="AR115" i="2"/>
  <c r="AR105" i="2"/>
  <c r="AR95" i="2"/>
  <c r="AR85" i="2"/>
  <c r="AR75" i="2"/>
  <c r="AR65" i="2"/>
  <c r="AR55" i="2"/>
  <c r="AR45" i="2"/>
  <c r="AR35" i="2"/>
  <c r="AR25" i="2"/>
  <c r="AR15" i="2"/>
  <c r="AR5" i="2"/>
  <c r="AR234" i="2"/>
  <c r="AR224" i="2"/>
  <c r="AR214" i="2"/>
  <c r="AR204" i="2"/>
  <c r="AR194" i="2"/>
  <c r="AR184" i="2"/>
  <c r="AR174" i="2"/>
  <c r="AR164" i="2"/>
  <c r="AR154" i="2"/>
  <c r="AR144" i="2"/>
  <c r="AR134" i="2"/>
  <c r="AR124" i="2"/>
  <c r="AR114" i="2"/>
  <c r="AR104" i="2"/>
  <c r="AR94" i="2"/>
  <c r="AR84" i="2"/>
  <c r="AR74" i="2"/>
  <c r="AR64" i="2"/>
  <c r="AR54" i="2"/>
  <c r="AR44" i="2"/>
  <c r="AR34" i="2"/>
  <c r="AR24" i="2"/>
  <c r="AR14" i="2"/>
  <c r="AR4" i="2"/>
  <c r="AR233" i="2"/>
  <c r="AR223" i="2"/>
  <c r="AR213" i="2"/>
  <c r="AR203" i="2"/>
  <c r="AR193" i="2"/>
  <c r="AR183" i="2"/>
  <c r="AR173" i="2"/>
  <c r="AR163" i="2"/>
  <c r="AR153" i="2"/>
  <c r="AR143" i="2"/>
  <c r="AR133" i="2"/>
  <c r="AR123" i="2"/>
  <c r="AR113" i="2"/>
  <c r="AR103" i="2"/>
  <c r="AR93" i="2"/>
  <c r="AR83" i="2"/>
  <c r="AR73" i="2"/>
  <c r="AR63" i="2"/>
  <c r="AR53" i="2"/>
  <c r="AR43" i="2"/>
  <c r="AR33" i="2"/>
  <c r="AR23" i="2"/>
  <c r="AR13" i="2"/>
  <c r="AR3" i="2"/>
  <c r="AR232" i="2"/>
  <c r="AR222" i="2"/>
  <c r="AR212" i="2"/>
  <c r="AR202" i="2"/>
  <c r="AR192" i="2"/>
  <c r="AR182" i="2"/>
  <c r="AR172" i="2"/>
  <c r="AR162" i="2"/>
  <c r="AR152" i="2"/>
  <c r="AR142" i="2"/>
  <c r="AR132" i="2"/>
  <c r="AR122" i="2"/>
  <c r="AR112" i="2"/>
  <c r="AR102" i="2"/>
  <c r="AR92" i="2"/>
  <c r="AR82" i="2"/>
  <c r="AR72" i="2"/>
  <c r="AR62" i="2"/>
  <c r="AR52" i="2"/>
  <c r="AR42" i="2"/>
  <c r="AR32" i="2"/>
  <c r="AR22" i="2"/>
  <c r="AR12" i="2"/>
  <c r="AR2" i="2"/>
  <c r="AQ241" i="2"/>
  <c r="AQ231" i="2"/>
  <c r="AQ221" i="2"/>
  <c r="AQ211" i="2"/>
  <c r="AQ201" i="2"/>
  <c r="AQ191" i="2"/>
  <c r="AQ181" i="2"/>
  <c r="AQ171" i="2"/>
  <c r="AQ161" i="2"/>
  <c r="AQ151" i="2"/>
  <c r="AQ141" i="2"/>
  <c r="AQ131" i="2"/>
  <c r="AQ121" i="2"/>
  <c r="AQ111" i="2"/>
  <c r="AQ101" i="2"/>
  <c r="AQ91" i="2"/>
  <c r="AQ81" i="2"/>
  <c r="AQ71" i="2"/>
  <c r="AQ61" i="2"/>
  <c r="AQ51" i="2"/>
  <c r="AQ41" i="2"/>
  <c r="AQ31" i="2"/>
  <c r="AQ21" i="2"/>
  <c r="AQ11" i="2"/>
  <c r="AQ240" i="2"/>
  <c r="AQ230" i="2"/>
  <c r="AQ220" i="2"/>
  <c r="AQ210" i="2"/>
  <c r="AQ200" i="2"/>
  <c r="AQ190" i="2"/>
  <c r="AQ180" i="2"/>
  <c r="AQ170" i="2"/>
  <c r="AQ160" i="2"/>
  <c r="AQ150" i="2"/>
  <c r="AQ140" i="2"/>
  <c r="AQ130" i="2"/>
  <c r="AQ120" i="2"/>
  <c r="AQ110" i="2"/>
  <c r="AQ100" i="2"/>
  <c r="AQ90" i="2"/>
  <c r="AQ80" i="2"/>
  <c r="AQ70" i="2"/>
  <c r="AQ60" i="2"/>
  <c r="AQ50" i="2"/>
  <c r="AQ40" i="2"/>
  <c r="AQ30" i="2"/>
  <c r="AQ20" i="2"/>
  <c r="AQ10" i="2"/>
  <c r="AQ239" i="2"/>
  <c r="AQ229" i="2"/>
  <c r="AQ219" i="2"/>
  <c r="AQ209" i="2"/>
  <c r="AQ199" i="2"/>
  <c r="AQ189" i="2"/>
  <c r="AQ179" i="2"/>
  <c r="AQ169" i="2"/>
  <c r="AQ159" i="2"/>
  <c r="AQ149" i="2"/>
  <c r="AQ139" i="2"/>
  <c r="AQ129" i="2"/>
  <c r="AQ119" i="2"/>
  <c r="AQ109" i="2"/>
  <c r="AQ99" i="2"/>
  <c r="AQ89" i="2"/>
  <c r="AQ79" i="2"/>
  <c r="AQ69" i="2"/>
  <c r="AQ59" i="2"/>
  <c r="AQ49" i="2"/>
  <c r="AQ39" i="2"/>
  <c r="AQ29" i="2"/>
  <c r="AQ19" i="2"/>
  <c r="AQ9" i="2"/>
  <c r="AQ238" i="2"/>
  <c r="AQ228" i="2"/>
  <c r="AQ218" i="2"/>
  <c r="AQ208" i="2"/>
  <c r="AQ198" i="2"/>
  <c r="AQ188" i="2"/>
  <c r="AQ178" i="2"/>
  <c r="AQ168" i="2"/>
  <c r="AQ158" i="2"/>
  <c r="AQ148" i="2"/>
  <c r="AQ138" i="2"/>
  <c r="AQ128" i="2"/>
  <c r="AQ118" i="2"/>
  <c r="AQ108" i="2"/>
  <c r="AQ98" i="2"/>
  <c r="AQ88" i="2"/>
  <c r="AQ78" i="2"/>
  <c r="AQ68" i="2"/>
  <c r="AQ58" i="2"/>
  <c r="AQ48" i="2"/>
  <c r="AQ38" i="2"/>
  <c r="AQ28" i="2"/>
  <c r="AQ18" i="2"/>
  <c r="AQ8" i="2"/>
  <c r="AQ237" i="2"/>
  <c r="AQ227" i="2"/>
  <c r="AQ217" i="2"/>
  <c r="AQ207" i="2"/>
  <c r="AQ197" i="2"/>
  <c r="AQ187" i="2"/>
  <c r="AQ177" i="2"/>
  <c r="AQ167" i="2"/>
  <c r="AQ157" i="2"/>
  <c r="AQ147" i="2"/>
  <c r="AQ137" i="2"/>
  <c r="AQ127" i="2"/>
  <c r="AQ117" i="2"/>
  <c r="AQ107" i="2"/>
  <c r="AQ97" i="2"/>
  <c r="AQ87" i="2"/>
  <c r="AQ77" i="2"/>
  <c r="AQ67" i="2"/>
  <c r="AQ57" i="2"/>
  <c r="AQ47" i="2"/>
  <c r="AQ37" i="2"/>
  <c r="AQ27" i="2"/>
  <c r="AQ17" i="2"/>
  <c r="AQ7" i="2"/>
  <c r="AQ236" i="2"/>
  <c r="AQ226" i="2"/>
  <c r="AQ216" i="2"/>
  <c r="AQ206" i="2"/>
  <c r="AQ196" i="2"/>
  <c r="AQ186" i="2"/>
  <c r="AQ176" i="2"/>
  <c r="AQ166" i="2"/>
  <c r="AQ156" i="2"/>
  <c r="AQ146" i="2"/>
  <c r="AQ136" i="2"/>
  <c r="AQ126" i="2"/>
  <c r="AQ116" i="2"/>
  <c r="AQ106" i="2"/>
  <c r="AQ96" i="2"/>
  <c r="AQ86" i="2"/>
  <c r="AQ76" i="2"/>
  <c r="AQ66" i="2"/>
  <c r="AQ56" i="2"/>
  <c r="AQ46" i="2"/>
  <c r="AQ36" i="2"/>
  <c r="AQ26" i="2"/>
  <c r="AQ16" i="2"/>
  <c r="AQ6" i="2"/>
  <c r="AQ235" i="2"/>
  <c r="AQ225" i="2"/>
  <c r="AQ215" i="2"/>
  <c r="AQ205" i="2"/>
  <c r="AQ195" i="2"/>
  <c r="AQ185" i="2"/>
  <c r="AQ175" i="2"/>
  <c r="AQ165" i="2"/>
  <c r="AQ155" i="2"/>
  <c r="AQ145" i="2"/>
  <c r="AQ135" i="2"/>
  <c r="AQ125" i="2"/>
  <c r="AQ115" i="2"/>
  <c r="AQ105" i="2"/>
  <c r="AQ95" i="2"/>
  <c r="AQ85" i="2"/>
  <c r="AQ75" i="2"/>
  <c r="AQ65" i="2"/>
  <c r="AQ55" i="2"/>
  <c r="AQ45" i="2"/>
  <c r="AQ35" i="2"/>
  <c r="AQ25" i="2"/>
  <c r="AQ15" i="2"/>
  <c r="AQ5" i="2"/>
  <c r="AQ234" i="2"/>
  <c r="AQ224" i="2"/>
  <c r="AQ214" i="2"/>
  <c r="AQ204" i="2"/>
  <c r="AQ194" i="2"/>
  <c r="AQ184" i="2"/>
  <c r="AQ174" i="2"/>
  <c r="AQ164" i="2"/>
  <c r="AQ154" i="2"/>
  <c r="AQ144" i="2"/>
  <c r="AQ134" i="2"/>
  <c r="AQ124" i="2"/>
  <c r="AQ114" i="2"/>
  <c r="AQ104" i="2"/>
  <c r="AQ94" i="2"/>
  <c r="AQ84" i="2"/>
  <c r="AQ74" i="2"/>
  <c r="AQ64" i="2"/>
  <c r="AQ54" i="2"/>
  <c r="AQ44" i="2"/>
  <c r="AQ34" i="2"/>
  <c r="AQ24" i="2"/>
  <c r="AQ14" i="2"/>
  <c r="AQ4" i="2"/>
  <c r="AQ233" i="2"/>
  <c r="AQ223" i="2"/>
  <c r="AQ213" i="2"/>
  <c r="AQ203" i="2"/>
  <c r="AQ193" i="2"/>
  <c r="AQ183" i="2"/>
  <c r="AQ173" i="2"/>
  <c r="AQ163" i="2"/>
  <c r="AQ153" i="2"/>
  <c r="AQ143" i="2"/>
  <c r="AQ133" i="2"/>
  <c r="AQ123" i="2"/>
  <c r="AQ113" i="2"/>
  <c r="AQ103" i="2"/>
  <c r="AQ93" i="2"/>
  <c r="AQ83" i="2"/>
  <c r="AQ73" i="2"/>
  <c r="AQ63" i="2"/>
  <c r="AQ53" i="2"/>
  <c r="AQ43" i="2"/>
  <c r="AQ33" i="2"/>
  <c r="AQ23" i="2"/>
  <c r="AQ13" i="2"/>
  <c r="AQ3" i="2"/>
  <c r="AQ232" i="2"/>
  <c r="AQ222" i="2"/>
  <c r="AQ212" i="2"/>
  <c r="AQ202" i="2"/>
  <c r="AQ192" i="2"/>
  <c r="AQ182" i="2"/>
  <c r="AQ172" i="2"/>
  <c r="AQ162" i="2"/>
  <c r="AQ152" i="2"/>
  <c r="AQ142" i="2"/>
  <c r="AQ132" i="2"/>
  <c r="AQ122" i="2"/>
  <c r="AQ112" i="2"/>
  <c r="AQ102" i="2"/>
  <c r="AQ92" i="2"/>
  <c r="AQ82" i="2"/>
  <c r="AQ72" i="2"/>
  <c r="AQ62" i="2"/>
  <c r="AQ52" i="2"/>
  <c r="AQ42" i="2"/>
  <c r="AQ32" i="2"/>
  <c r="AQ22" i="2"/>
  <c r="AQ12" i="2"/>
  <c r="AQ2" i="2"/>
  <c r="AP241" i="2"/>
  <c r="AP231" i="2"/>
  <c r="AP221" i="2"/>
  <c r="AP211" i="2"/>
  <c r="AP201" i="2"/>
  <c r="AP191" i="2"/>
  <c r="AP181" i="2"/>
  <c r="AP171" i="2"/>
  <c r="AP161" i="2"/>
  <c r="AP151" i="2"/>
  <c r="AP141" i="2"/>
  <c r="AP131" i="2"/>
  <c r="AP121" i="2"/>
  <c r="AP111" i="2"/>
  <c r="AP101" i="2"/>
  <c r="AP91" i="2"/>
  <c r="AP81" i="2"/>
  <c r="AP71" i="2"/>
  <c r="AP61" i="2"/>
  <c r="AP51" i="2"/>
  <c r="AP41" i="2"/>
  <c r="AP31" i="2"/>
  <c r="AP21" i="2"/>
  <c r="AP11" i="2"/>
  <c r="AP240" i="2"/>
  <c r="AP230" i="2"/>
  <c r="AP220" i="2"/>
  <c r="AP210" i="2"/>
  <c r="AP200" i="2"/>
  <c r="AP190" i="2"/>
  <c r="AP180" i="2"/>
  <c r="AP170" i="2"/>
  <c r="AP160" i="2"/>
  <c r="AP150" i="2"/>
  <c r="AP140" i="2"/>
  <c r="AP130" i="2"/>
  <c r="AP120" i="2"/>
  <c r="AP110" i="2"/>
  <c r="AP100" i="2"/>
  <c r="AP90" i="2"/>
  <c r="AP80" i="2"/>
  <c r="AP70" i="2"/>
  <c r="AP60" i="2"/>
  <c r="AP50" i="2"/>
  <c r="AP40" i="2"/>
  <c r="AP30" i="2"/>
  <c r="AP20" i="2"/>
  <c r="AP10" i="2"/>
  <c r="AP239" i="2"/>
  <c r="AP229" i="2"/>
  <c r="AP219" i="2"/>
  <c r="AP209" i="2"/>
  <c r="AP199" i="2"/>
  <c r="AP189" i="2"/>
  <c r="AP179" i="2"/>
  <c r="AP169" i="2"/>
  <c r="AP159" i="2"/>
  <c r="AP149" i="2"/>
  <c r="AP139" i="2"/>
  <c r="AP129" i="2"/>
  <c r="AP119" i="2"/>
  <c r="AP109" i="2"/>
  <c r="AP99" i="2"/>
  <c r="AP89" i="2"/>
  <c r="AP79" i="2"/>
  <c r="AP69" i="2"/>
  <c r="AP59" i="2"/>
  <c r="AP49" i="2"/>
  <c r="AP39" i="2"/>
  <c r="AP29" i="2"/>
  <c r="AP19" i="2"/>
  <c r="AP9" i="2"/>
  <c r="AP238" i="2"/>
  <c r="AP228" i="2"/>
  <c r="AP218" i="2"/>
  <c r="AP208" i="2"/>
  <c r="AP198" i="2"/>
  <c r="AP188" i="2"/>
  <c r="AP178" i="2"/>
  <c r="AP168" i="2"/>
  <c r="AP158" i="2"/>
  <c r="AP148" i="2"/>
  <c r="AP138" i="2"/>
  <c r="AP128" i="2"/>
  <c r="AP118" i="2"/>
  <c r="AP108" i="2"/>
  <c r="AP98" i="2"/>
  <c r="AP88" i="2"/>
  <c r="AP78" i="2"/>
  <c r="AP68" i="2"/>
  <c r="AP58" i="2"/>
  <c r="AP48" i="2"/>
  <c r="AP38" i="2"/>
  <c r="AP28" i="2"/>
  <c r="AP18" i="2"/>
  <c r="AP8" i="2"/>
  <c r="AP237" i="2"/>
  <c r="AP227" i="2"/>
  <c r="AP217" i="2"/>
  <c r="AP207" i="2"/>
  <c r="AP197" i="2"/>
  <c r="AP187" i="2"/>
  <c r="AP177" i="2"/>
  <c r="AP167" i="2"/>
  <c r="AP157" i="2"/>
  <c r="AP147" i="2"/>
  <c r="AP137" i="2"/>
  <c r="AP127" i="2"/>
  <c r="AP117" i="2"/>
  <c r="AP107" i="2"/>
  <c r="AP97" i="2"/>
  <c r="AP87" i="2"/>
  <c r="AP77" i="2"/>
  <c r="AP67" i="2"/>
  <c r="AP57" i="2"/>
  <c r="AP47" i="2"/>
  <c r="AP37" i="2"/>
  <c r="AP27" i="2"/>
  <c r="AP17" i="2"/>
  <c r="AP7" i="2"/>
  <c r="AP236" i="2"/>
  <c r="AP226" i="2"/>
  <c r="AP216" i="2"/>
  <c r="AP206" i="2"/>
  <c r="AP196" i="2"/>
  <c r="AP186" i="2"/>
  <c r="AP176" i="2"/>
  <c r="AP166" i="2"/>
  <c r="AP156" i="2"/>
  <c r="AP146" i="2"/>
  <c r="AP136" i="2"/>
  <c r="AP126" i="2"/>
  <c r="AP116" i="2"/>
  <c r="AP106" i="2"/>
  <c r="AP96" i="2"/>
  <c r="AP86" i="2"/>
  <c r="AP76" i="2"/>
  <c r="AP66" i="2"/>
  <c r="AP56" i="2"/>
  <c r="AP46" i="2"/>
  <c r="AP36" i="2"/>
  <c r="AP26" i="2"/>
  <c r="AP16" i="2"/>
  <c r="AP6" i="2"/>
  <c r="AP235" i="2"/>
  <c r="AP225" i="2"/>
  <c r="AP215" i="2"/>
  <c r="AP205" i="2"/>
  <c r="AP195" i="2"/>
  <c r="AP185" i="2"/>
  <c r="AP175" i="2"/>
  <c r="AP165" i="2"/>
  <c r="AP155" i="2"/>
  <c r="AP145" i="2"/>
  <c r="AP135" i="2"/>
  <c r="AP125" i="2"/>
  <c r="AP115" i="2"/>
  <c r="AP105" i="2"/>
  <c r="AP95" i="2"/>
  <c r="AP85" i="2"/>
  <c r="AP75" i="2"/>
  <c r="AP65" i="2"/>
  <c r="AP55" i="2"/>
  <c r="AP45" i="2"/>
  <c r="AP35" i="2"/>
  <c r="AP25" i="2"/>
  <c r="AP15" i="2"/>
  <c r="AP5" i="2"/>
  <c r="AP234" i="2"/>
  <c r="AP224" i="2"/>
  <c r="AP214" i="2"/>
  <c r="AP204" i="2"/>
  <c r="AP194" i="2"/>
  <c r="AP184" i="2"/>
  <c r="AP174" i="2"/>
  <c r="AP164" i="2"/>
  <c r="AP154" i="2"/>
  <c r="AP144" i="2"/>
  <c r="AP134" i="2"/>
  <c r="AP124" i="2"/>
  <c r="AP114" i="2"/>
  <c r="AP104" i="2"/>
  <c r="AP94" i="2"/>
  <c r="AP84" i="2"/>
  <c r="AP74" i="2"/>
  <c r="AP64" i="2"/>
  <c r="AP54" i="2"/>
  <c r="AP44" i="2"/>
  <c r="AP34" i="2"/>
  <c r="AP24" i="2"/>
  <c r="AP14" i="2"/>
  <c r="AP4" i="2"/>
  <c r="AP233" i="2"/>
  <c r="AP223" i="2"/>
  <c r="AP213" i="2"/>
  <c r="AP203" i="2"/>
  <c r="AP193" i="2"/>
  <c r="AP183" i="2"/>
  <c r="AP173" i="2"/>
  <c r="AP163" i="2"/>
  <c r="AP153" i="2"/>
  <c r="AP143" i="2"/>
  <c r="AP133" i="2"/>
  <c r="AP123" i="2"/>
  <c r="AP113" i="2"/>
  <c r="AP103" i="2"/>
  <c r="AP93" i="2"/>
  <c r="AP83" i="2"/>
  <c r="AP73" i="2"/>
  <c r="AP63" i="2"/>
  <c r="AP53" i="2"/>
  <c r="AP43" i="2"/>
  <c r="AP33" i="2"/>
  <c r="AP23" i="2"/>
  <c r="AP13" i="2"/>
  <c r="AP3" i="2"/>
  <c r="AP232" i="2"/>
  <c r="AP222" i="2"/>
  <c r="AP212" i="2"/>
  <c r="AP202" i="2"/>
  <c r="AP192" i="2"/>
  <c r="AP182" i="2"/>
  <c r="AP172" i="2"/>
  <c r="AP162" i="2"/>
  <c r="AP152" i="2"/>
  <c r="AP142" i="2"/>
  <c r="AP132" i="2"/>
  <c r="AP122" i="2"/>
  <c r="AP112" i="2"/>
  <c r="AP102" i="2"/>
  <c r="AP92" i="2"/>
  <c r="AP82" i="2"/>
  <c r="AP72" i="2"/>
  <c r="AP62" i="2"/>
  <c r="AP52" i="2"/>
  <c r="AP42" i="2"/>
  <c r="AP32" i="2"/>
  <c r="AP22" i="2"/>
  <c r="AP12" i="2"/>
  <c r="AP2" i="2"/>
  <c r="AO241" i="2"/>
  <c r="AO231" i="2"/>
  <c r="AO221" i="2"/>
  <c r="AO211" i="2"/>
  <c r="AO201" i="2"/>
  <c r="AO191" i="2"/>
  <c r="AO181" i="2"/>
  <c r="AO171" i="2"/>
  <c r="AO161" i="2"/>
  <c r="AO151" i="2"/>
  <c r="AO141" i="2"/>
  <c r="AO131" i="2"/>
  <c r="AO121" i="2"/>
  <c r="AO111" i="2"/>
  <c r="AO101" i="2"/>
  <c r="AO91" i="2"/>
  <c r="AO81" i="2"/>
  <c r="AO71" i="2"/>
  <c r="AO61" i="2"/>
  <c r="AO51" i="2"/>
  <c r="AO41" i="2"/>
  <c r="AO31" i="2"/>
  <c r="AO21" i="2"/>
  <c r="AO11" i="2"/>
  <c r="AO240" i="2"/>
  <c r="AO230" i="2"/>
  <c r="AO220" i="2"/>
  <c r="AO210" i="2"/>
  <c r="AO200" i="2"/>
  <c r="AO190" i="2"/>
  <c r="AO180" i="2"/>
  <c r="AO170" i="2"/>
  <c r="AO160" i="2"/>
  <c r="AO150" i="2"/>
  <c r="AO140" i="2"/>
  <c r="AO130" i="2"/>
  <c r="AO120" i="2"/>
  <c r="AO110" i="2"/>
  <c r="AO100" i="2"/>
  <c r="AO90" i="2"/>
  <c r="AO80" i="2"/>
  <c r="AO70" i="2"/>
  <c r="AO60" i="2"/>
  <c r="AO50" i="2"/>
  <c r="AO40" i="2"/>
  <c r="AO30" i="2"/>
  <c r="AO20" i="2"/>
  <c r="AO10" i="2"/>
  <c r="AO239" i="2"/>
  <c r="AO229" i="2"/>
  <c r="AO219" i="2"/>
  <c r="AO209" i="2"/>
  <c r="AO199" i="2"/>
  <c r="AO189" i="2"/>
  <c r="AO179" i="2"/>
  <c r="AO169" i="2"/>
  <c r="AO159" i="2"/>
  <c r="AO149" i="2"/>
  <c r="AO139" i="2"/>
  <c r="AO129" i="2"/>
  <c r="AO119" i="2"/>
  <c r="AO109" i="2"/>
  <c r="AO99" i="2"/>
  <c r="AO89" i="2"/>
  <c r="AO79" i="2"/>
  <c r="AO69" i="2"/>
  <c r="AO59" i="2"/>
  <c r="AO49" i="2"/>
  <c r="AO39" i="2"/>
  <c r="AO29" i="2"/>
  <c r="AO19" i="2"/>
  <c r="AO9" i="2"/>
  <c r="AO238" i="2"/>
  <c r="AO228" i="2"/>
  <c r="AO218" i="2"/>
  <c r="AO208" i="2"/>
  <c r="AO198" i="2"/>
  <c r="AO188" i="2"/>
  <c r="AO178" i="2"/>
  <c r="AO168" i="2"/>
  <c r="AO158" i="2"/>
  <c r="AO148" i="2"/>
  <c r="AO138" i="2"/>
  <c r="AO128" i="2"/>
  <c r="AO118" i="2"/>
  <c r="AO108" i="2"/>
  <c r="AO98" i="2"/>
  <c r="AO88" i="2"/>
  <c r="AO78" i="2"/>
  <c r="AO68" i="2"/>
  <c r="AO58" i="2"/>
  <c r="AO48" i="2"/>
  <c r="AO38" i="2"/>
  <c r="AO28" i="2"/>
  <c r="AO18" i="2"/>
  <c r="AO8" i="2"/>
  <c r="AO237" i="2"/>
  <c r="AO227" i="2"/>
  <c r="AO217" i="2"/>
  <c r="AO207" i="2"/>
  <c r="AO197" i="2"/>
  <c r="AO187" i="2"/>
  <c r="AO177" i="2"/>
  <c r="AO167" i="2"/>
  <c r="AO157" i="2"/>
  <c r="AO147" i="2"/>
  <c r="AO137" i="2"/>
  <c r="AO127" i="2"/>
  <c r="AO117" i="2"/>
  <c r="AO107" i="2"/>
  <c r="AO97" i="2"/>
  <c r="AO87" i="2"/>
  <c r="AO77" i="2"/>
  <c r="AO67" i="2"/>
  <c r="AO57" i="2"/>
  <c r="AO47" i="2"/>
  <c r="AO37" i="2"/>
  <c r="AO27" i="2"/>
  <c r="AO17" i="2"/>
  <c r="AO7" i="2"/>
  <c r="AO236" i="2"/>
  <c r="AO226" i="2"/>
  <c r="AO216" i="2"/>
  <c r="AO206" i="2"/>
  <c r="AO196" i="2"/>
  <c r="AO186" i="2"/>
  <c r="AO176" i="2"/>
  <c r="AO166" i="2"/>
  <c r="AO156" i="2"/>
  <c r="AO146" i="2"/>
  <c r="AO136" i="2"/>
  <c r="AO126" i="2"/>
  <c r="AO116" i="2"/>
  <c r="AO106" i="2"/>
  <c r="AO96" i="2"/>
  <c r="AO86" i="2"/>
  <c r="AO76" i="2"/>
  <c r="AO66" i="2"/>
  <c r="AO56" i="2"/>
  <c r="AO46" i="2"/>
  <c r="AO36" i="2"/>
  <c r="AO26" i="2"/>
  <c r="AO16" i="2"/>
  <c r="AO6" i="2"/>
  <c r="AO235" i="2"/>
  <c r="AO225" i="2"/>
  <c r="AO215" i="2"/>
  <c r="AO205" i="2"/>
  <c r="AO195" i="2"/>
  <c r="AO185" i="2"/>
  <c r="AO175" i="2"/>
  <c r="AO165" i="2"/>
  <c r="AO155" i="2"/>
  <c r="AO145" i="2"/>
  <c r="AO135" i="2"/>
  <c r="AO125" i="2"/>
  <c r="AO115" i="2"/>
  <c r="AO105" i="2"/>
  <c r="AO95" i="2"/>
  <c r="AO85" i="2"/>
  <c r="AO75" i="2"/>
  <c r="AO65" i="2"/>
  <c r="AO55" i="2"/>
  <c r="AO45" i="2"/>
  <c r="AO35" i="2"/>
  <c r="AO25" i="2"/>
  <c r="AO15" i="2"/>
  <c r="AO5" i="2"/>
  <c r="AO234" i="2"/>
  <c r="AO224" i="2"/>
  <c r="AO214" i="2"/>
  <c r="AO204" i="2"/>
  <c r="AO194" i="2"/>
  <c r="AO184" i="2"/>
  <c r="AO174" i="2"/>
  <c r="AO164" i="2"/>
  <c r="AO154" i="2"/>
  <c r="AO144" i="2"/>
  <c r="AO134" i="2"/>
  <c r="AO124" i="2"/>
  <c r="AO114" i="2"/>
  <c r="AO104" i="2"/>
  <c r="AO94" i="2"/>
  <c r="AO84" i="2"/>
  <c r="AO74" i="2"/>
  <c r="AO64" i="2"/>
  <c r="AO54" i="2"/>
  <c r="AO44" i="2"/>
  <c r="AO34" i="2"/>
  <c r="AO24" i="2"/>
  <c r="AO14" i="2"/>
  <c r="AO4" i="2"/>
  <c r="AO233" i="2"/>
  <c r="AO223" i="2"/>
  <c r="AO213" i="2"/>
  <c r="AO203" i="2"/>
  <c r="AO193" i="2"/>
  <c r="AO183" i="2"/>
  <c r="AO173" i="2"/>
  <c r="AO163" i="2"/>
  <c r="AO153" i="2"/>
  <c r="AO143" i="2"/>
  <c r="AO133" i="2"/>
  <c r="AO123" i="2"/>
  <c r="AO113" i="2"/>
  <c r="AO103" i="2"/>
  <c r="AO93" i="2"/>
  <c r="AO83" i="2"/>
  <c r="AO73" i="2"/>
  <c r="AO63" i="2"/>
  <c r="AO53" i="2"/>
  <c r="AO43" i="2"/>
  <c r="AO33" i="2"/>
  <c r="AO23" i="2"/>
  <c r="AO13" i="2"/>
  <c r="AO3" i="2"/>
  <c r="AO232" i="2"/>
  <c r="AO222" i="2"/>
  <c r="AO212" i="2"/>
  <c r="AO202" i="2"/>
  <c r="AO192" i="2"/>
  <c r="AO182" i="2"/>
  <c r="AO172" i="2"/>
  <c r="AO162" i="2"/>
  <c r="AO152" i="2"/>
  <c r="AO142" i="2"/>
  <c r="AO132" i="2"/>
  <c r="AO122" i="2"/>
  <c r="AO112" i="2"/>
  <c r="AO102" i="2"/>
  <c r="AO92" i="2"/>
  <c r="AO82" i="2"/>
  <c r="AO72" i="2"/>
  <c r="AO62" i="2"/>
  <c r="AO52" i="2"/>
  <c r="AO42" i="2"/>
  <c r="AO32" i="2"/>
  <c r="AO22" i="2"/>
  <c r="AO12" i="2"/>
  <c r="AO2" i="2"/>
  <c r="AN241" i="2"/>
  <c r="AN231" i="2"/>
  <c r="AN221" i="2"/>
  <c r="AN211" i="2"/>
  <c r="AN201" i="2"/>
  <c r="AN191" i="2"/>
  <c r="AN181" i="2"/>
  <c r="AN171" i="2"/>
  <c r="AN161" i="2"/>
  <c r="AN151" i="2"/>
  <c r="AN141" i="2"/>
  <c r="AN131" i="2"/>
  <c r="AN121" i="2"/>
  <c r="AN111" i="2"/>
  <c r="AN101" i="2"/>
  <c r="AN91" i="2"/>
  <c r="AN81" i="2"/>
  <c r="AN71" i="2"/>
  <c r="AN61" i="2"/>
  <c r="AN51" i="2"/>
  <c r="AN41" i="2"/>
  <c r="AN31" i="2"/>
  <c r="AN21" i="2"/>
  <c r="AN11" i="2"/>
  <c r="AN240" i="2"/>
  <c r="AN230" i="2"/>
  <c r="AN220" i="2"/>
  <c r="AN210" i="2"/>
  <c r="AN200" i="2"/>
  <c r="AN190" i="2"/>
  <c r="AN180" i="2"/>
  <c r="AN170" i="2"/>
  <c r="AN160" i="2"/>
  <c r="AN150" i="2"/>
  <c r="AN140" i="2"/>
  <c r="AN130" i="2"/>
  <c r="AN120" i="2"/>
  <c r="AN110" i="2"/>
  <c r="AN100" i="2"/>
  <c r="AN90" i="2"/>
  <c r="AN80" i="2"/>
  <c r="AN70" i="2"/>
  <c r="AN60" i="2"/>
  <c r="AN50" i="2"/>
  <c r="AN40" i="2"/>
  <c r="AN30" i="2"/>
  <c r="AN20" i="2"/>
  <c r="AN10" i="2"/>
  <c r="AN239" i="2"/>
  <c r="AN229" i="2"/>
  <c r="AN219" i="2"/>
  <c r="AN209" i="2"/>
  <c r="AN199" i="2"/>
  <c r="AN189" i="2"/>
  <c r="AN179" i="2"/>
  <c r="AN169" i="2"/>
  <c r="AN159" i="2"/>
  <c r="AN149" i="2"/>
  <c r="AN139" i="2"/>
  <c r="AN129" i="2"/>
  <c r="AN119" i="2"/>
  <c r="AN109" i="2"/>
  <c r="AN99" i="2"/>
  <c r="AN89" i="2"/>
  <c r="AN79" i="2"/>
  <c r="AN69" i="2"/>
  <c r="AN59" i="2"/>
  <c r="AN49" i="2"/>
  <c r="AN39" i="2"/>
  <c r="AN29" i="2"/>
  <c r="AN19" i="2"/>
  <c r="AN9" i="2"/>
  <c r="AN238" i="2"/>
  <c r="AN228" i="2"/>
  <c r="AN218" i="2"/>
  <c r="AN208" i="2"/>
  <c r="AN198" i="2"/>
  <c r="AN188" i="2"/>
  <c r="AN178" i="2"/>
  <c r="AN168" i="2"/>
  <c r="AN158" i="2"/>
  <c r="AN148" i="2"/>
  <c r="AN138" i="2"/>
  <c r="AN128" i="2"/>
  <c r="AN118" i="2"/>
  <c r="AN108" i="2"/>
  <c r="AN98" i="2"/>
  <c r="AN88" i="2"/>
  <c r="AN78" i="2"/>
  <c r="AN68" i="2"/>
  <c r="AN58" i="2"/>
  <c r="AN48" i="2"/>
  <c r="AN38" i="2"/>
  <c r="AN28" i="2"/>
  <c r="AN18" i="2"/>
  <c r="AN8" i="2"/>
  <c r="AN237" i="2"/>
  <c r="AN227" i="2"/>
  <c r="AN217" i="2"/>
  <c r="AN207" i="2"/>
  <c r="AN197" i="2"/>
  <c r="AN187" i="2"/>
  <c r="AN177" i="2"/>
  <c r="AN167" i="2"/>
  <c r="AN157" i="2"/>
  <c r="AN147" i="2"/>
  <c r="AN137" i="2"/>
  <c r="AN127" i="2"/>
  <c r="AN117" i="2"/>
  <c r="AN107" i="2"/>
  <c r="AN97" i="2"/>
  <c r="AN87" i="2"/>
  <c r="AN77" i="2"/>
  <c r="AN67" i="2"/>
  <c r="AN57" i="2"/>
  <c r="AN47" i="2"/>
  <c r="AN37" i="2"/>
  <c r="AN27" i="2"/>
  <c r="AN17" i="2"/>
  <c r="AN7" i="2"/>
  <c r="AN236" i="2"/>
  <c r="AN226" i="2"/>
  <c r="AN216" i="2"/>
  <c r="AN206" i="2"/>
  <c r="AN196" i="2"/>
  <c r="AN186" i="2"/>
  <c r="AN176" i="2"/>
  <c r="AN166" i="2"/>
  <c r="AN156" i="2"/>
  <c r="AN146" i="2"/>
  <c r="AN136" i="2"/>
  <c r="AN126" i="2"/>
  <c r="AN116" i="2"/>
  <c r="AN106" i="2"/>
  <c r="AN96" i="2"/>
  <c r="AN86" i="2"/>
  <c r="AN76" i="2"/>
  <c r="AN66" i="2"/>
  <c r="AN56" i="2"/>
  <c r="AN46" i="2"/>
  <c r="AN36" i="2"/>
  <c r="AN26" i="2"/>
  <c r="AN16" i="2"/>
  <c r="AN6" i="2"/>
  <c r="AN235" i="2"/>
  <c r="AN225" i="2"/>
  <c r="AN215" i="2"/>
  <c r="AN205" i="2"/>
  <c r="AN195" i="2"/>
  <c r="AN185" i="2"/>
  <c r="AN175" i="2"/>
  <c r="AN165" i="2"/>
  <c r="AN155" i="2"/>
  <c r="AN145" i="2"/>
  <c r="AN135" i="2"/>
  <c r="AN125" i="2"/>
  <c r="AN115" i="2"/>
  <c r="AN105" i="2"/>
  <c r="AN95" i="2"/>
  <c r="AN85" i="2"/>
  <c r="AN75" i="2"/>
  <c r="AN65" i="2"/>
  <c r="AN55" i="2"/>
  <c r="AN45" i="2"/>
  <c r="AN35" i="2"/>
  <c r="AN25" i="2"/>
  <c r="AN15" i="2"/>
  <c r="AN5" i="2"/>
  <c r="AN234" i="2"/>
  <c r="AN224" i="2"/>
  <c r="AN214" i="2"/>
  <c r="AN204" i="2"/>
  <c r="AN194" i="2"/>
  <c r="AN184" i="2"/>
  <c r="AN174" i="2"/>
  <c r="AN164" i="2"/>
  <c r="AN154" i="2"/>
  <c r="AN144" i="2"/>
  <c r="AN134" i="2"/>
  <c r="AN124" i="2"/>
  <c r="AN114" i="2"/>
  <c r="AN104" i="2"/>
  <c r="AN94" i="2"/>
  <c r="AN84" i="2"/>
  <c r="AN74" i="2"/>
  <c r="AN64" i="2"/>
  <c r="AN54" i="2"/>
  <c r="AN44" i="2"/>
  <c r="AN34" i="2"/>
  <c r="AN24" i="2"/>
  <c r="AN14" i="2"/>
  <c r="AN4" i="2"/>
  <c r="AN233" i="2"/>
  <c r="AN223" i="2"/>
  <c r="AN213" i="2"/>
  <c r="AN203" i="2"/>
  <c r="AN193" i="2"/>
  <c r="AN183" i="2"/>
  <c r="AN173" i="2"/>
  <c r="AN163" i="2"/>
  <c r="AN153" i="2"/>
  <c r="AN143" i="2"/>
  <c r="AN133" i="2"/>
  <c r="AN123" i="2"/>
  <c r="AN113" i="2"/>
  <c r="AN103" i="2"/>
  <c r="AN93" i="2"/>
  <c r="AN83" i="2"/>
  <c r="AN73" i="2"/>
  <c r="AN63" i="2"/>
  <c r="AN53" i="2"/>
  <c r="AN43" i="2"/>
  <c r="AN33" i="2"/>
  <c r="AN23" i="2"/>
  <c r="AN13" i="2"/>
  <c r="AN3" i="2"/>
  <c r="AN232" i="2"/>
  <c r="AN222" i="2"/>
  <c r="AN212" i="2"/>
  <c r="AN202" i="2"/>
  <c r="AN192" i="2"/>
  <c r="AN182" i="2"/>
  <c r="AN172" i="2"/>
  <c r="AN162" i="2"/>
  <c r="AN152" i="2"/>
  <c r="AN142" i="2"/>
  <c r="AN132" i="2"/>
  <c r="AN122" i="2"/>
  <c r="AN112" i="2"/>
  <c r="AN102" i="2"/>
  <c r="AN92" i="2"/>
  <c r="AN82" i="2"/>
  <c r="AN72" i="2"/>
  <c r="AN62" i="2"/>
  <c r="AN52" i="2"/>
  <c r="AN42" i="2"/>
  <c r="AN32" i="2"/>
  <c r="AN22" i="2"/>
  <c r="AN12" i="2"/>
  <c r="AN2" i="2"/>
  <c r="AM241" i="2"/>
  <c r="AM231" i="2"/>
  <c r="AM221" i="2"/>
  <c r="AM211" i="2"/>
  <c r="AM201" i="2"/>
  <c r="AM191" i="2"/>
  <c r="AM181" i="2"/>
  <c r="AM171" i="2"/>
  <c r="AM161" i="2"/>
  <c r="AM151" i="2"/>
  <c r="AM141" i="2"/>
  <c r="AM131" i="2"/>
  <c r="AM121" i="2"/>
  <c r="AM111" i="2"/>
  <c r="AM101" i="2"/>
  <c r="AM91" i="2"/>
  <c r="AM81" i="2"/>
  <c r="AM71" i="2"/>
  <c r="AM61" i="2"/>
  <c r="AM51" i="2"/>
  <c r="AM41" i="2"/>
  <c r="AM31" i="2"/>
  <c r="AM21" i="2"/>
  <c r="AM11" i="2"/>
  <c r="AM240" i="2"/>
  <c r="AM230" i="2"/>
  <c r="AM220" i="2"/>
  <c r="AM210" i="2"/>
  <c r="AM200" i="2"/>
  <c r="AM190" i="2"/>
  <c r="AM180" i="2"/>
  <c r="AM170" i="2"/>
  <c r="AM160" i="2"/>
  <c r="AM150" i="2"/>
  <c r="AM140" i="2"/>
  <c r="AM130" i="2"/>
  <c r="AM120" i="2"/>
  <c r="AM110" i="2"/>
  <c r="AM100" i="2"/>
  <c r="AM90" i="2"/>
  <c r="AM80" i="2"/>
  <c r="AM70" i="2"/>
  <c r="AM60" i="2"/>
  <c r="AM50" i="2"/>
  <c r="AM40" i="2"/>
  <c r="AM30" i="2"/>
  <c r="AM20" i="2"/>
  <c r="AM10" i="2"/>
  <c r="AM239" i="2"/>
  <c r="AM229" i="2"/>
  <c r="AM219" i="2"/>
  <c r="AM209" i="2"/>
  <c r="AM199" i="2"/>
  <c r="AM189" i="2"/>
  <c r="AM179" i="2"/>
  <c r="AM169" i="2"/>
  <c r="AM159" i="2"/>
  <c r="AM149" i="2"/>
  <c r="AM139" i="2"/>
  <c r="AM129" i="2"/>
  <c r="AM119" i="2"/>
  <c r="AM109" i="2"/>
  <c r="AM99" i="2"/>
  <c r="AM89" i="2"/>
  <c r="AM79" i="2"/>
  <c r="AM69" i="2"/>
  <c r="AM59" i="2"/>
  <c r="AM49" i="2"/>
  <c r="AM39" i="2"/>
  <c r="AM29" i="2"/>
  <c r="AM19" i="2"/>
  <c r="AM9" i="2"/>
  <c r="AM238" i="2"/>
  <c r="AM228" i="2"/>
  <c r="AM218" i="2"/>
  <c r="AM208" i="2"/>
  <c r="AM198" i="2"/>
  <c r="AM188" i="2"/>
  <c r="AM178" i="2"/>
  <c r="AM168" i="2"/>
  <c r="AM158" i="2"/>
  <c r="AM148" i="2"/>
  <c r="AM138" i="2"/>
  <c r="AM128" i="2"/>
  <c r="AM118" i="2"/>
  <c r="AM108" i="2"/>
  <c r="AM98" i="2"/>
  <c r="AM88" i="2"/>
  <c r="AM78" i="2"/>
  <c r="AM68" i="2"/>
  <c r="AM58" i="2"/>
  <c r="AM48" i="2"/>
  <c r="AM38" i="2"/>
  <c r="AM28" i="2"/>
  <c r="AM18" i="2"/>
  <c r="AM8" i="2"/>
  <c r="AM237" i="2"/>
  <c r="AM227" i="2"/>
  <c r="AM217" i="2"/>
  <c r="AM207" i="2"/>
  <c r="AM197" i="2"/>
  <c r="AM187" i="2"/>
  <c r="AM177" i="2"/>
  <c r="AM167" i="2"/>
  <c r="AM157" i="2"/>
  <c r="AM147" i="2"/>
  <c r="AM137" i="2"/>
  <c r="AM127" i="2"/>
  <c r="AM117" i="2"/>
  <c r="AM107" i="2"/>
  <c r="AM97" i="2"/>
  <c r="AM87" i="2"/>
  <c r="AM77" i="2"/>
  <c r="AM67" i="2"/>
  <c r="AM57" i="2"/>
  <c r="AM47" i="2"/>
  <c r="AM37" i="2"/>
  <c r="AM27" i="2"/>
  <c r="AM17" i="2"/>
  <c r="AM7" i="2"/>
  <c r="AM236" i="2"/>
  <c r="AM226" i="2"/>
  <c r="AM216" i="2"/>
  <c r="AM206" i="2"/>
  <c r="AM196" i="2"/>
  <c r="AM186" i="2"/>
  <c r="AM176" i="2"/>
  <c r="AM166" i="2"/>
  <c r="AM156" i="2"/>
  <c r="AM146" i="2"/>
  <c r="AM136" i="2"/>
  <c r="AM126" i="2"/>
  <c r="AM116" i="2"/>
  <c r="AM106" i="2"/>
  <c r="AM96" i="2"/>
  <c r="AM86" i="2"/>
  <c r="AM76" i="2"/>
  <c r="AM66" i="2"/>
  <c r="AM56" i="2"/>
  <c r="AM46" i="2"/>
  <c r="AM36" i="2"/>
  <c r="AM26" i="2"/>
  <c r="AM16" i="2"/>
  <c r="AM6" i="2"/>
  <c r="AM235" i="2"/>
  <c r="AM225" i="2"/>
  <c r="AM215" i="2"/>
  <c r="AM205" i="2"/>
  <c r="AM195" i="2"/>
  <c r="AM185" i="2"/>
  <c r="AM175" i="2"/>
  <c r="AM165" i="2"/>
  <c r="AM155" i="2"/>
  <c r="AM145" i="2"/>
  <c r="AM135" i="2"/>
  <c r="AM125" i="2"/>
  <c r="AM115" i="2"/>
  <c r="AM105" i="2"/>
  <c r="AM95" i="2"/>
  <c r="AM85" i="2"/>
  <c r="AM75" i="2"/>
  <c r="AM65" i="2"/>
  <c r="AM55" i="2"/>
  <c r="AM45" i="2"/>
  <c r="AM35" i="2"/>
  <c r="AM25" i="2"/>
  <c r="AM15" i="2"/>
  <c r="AM5" i="2"/>
  <c r="AM234" i="2"/>
  <c r="AM224" i="2"/>
  <c r="AM214" i="2"/>
  <c r="AM204" i="2"/>
  <c r="AM194" i="2"/>
  <c r="AM184" i="2"/>
  <c r="AM174" i="2"/>
  <c r="AM164" i="2"/>
  <c r="AM154" i="2"/>
  <c r="AM144" i="2"/>
  <c r="AM134" i="2"/>
  <c r="AM124" i="2"/>
  <c r="AM114" i="2"/>
  <c r="AM104" i="2"/>
  <c r="AM94" i="2"/>
  <c r="AM84" i="2"/>
  <c r="AM74" i="2"/>
  <c r="AM64" i="2"/>
  <c r="AM54" i="2"/>
  <c r="AM44" i="2"/>
  <c r="AM34" i="2"/>
  <c r="AM24" i="2"/>
  <c r="AM14" i="2"/>
  <c r="AM4" i="2"/>
  <c r="AM233" i="2"/>
  <c r="AM223" i="2"/>
  <c r="AM213" i="2"/>
  <c r="AM203" i="2"/>
  <c r="AM193" i="2"/>
  <c r="AM183" i="2"/>
  <c r="AM173" i="2"/>
  <c r="AM163" i="2"/>
  <c r="AM153" i="2"/>
  <c r="AM143" i="2"/>
  <c r="AM133" i="2"/>
  <c r="AM123" i="2"/>
  <c r="AM113" i="2"/>
  <c r="AM103" i="2"/>
  <c r="AM93" i="2"/>
  <c r="AM83" i="2"/>
  <c r="AM73" i="2"/>
  <c r="AM63" i="2"/>
  <c r="AM53" i="2"/>
  <c r="AM43" i="2"/>
  <c r="AM33" i="2"/>
  <c r="AM23" i="2"/>
  <c r="AM13" i="2"/>
  <c r="AM3" i="2"/>
  <c r="AM232" i="2"/>
  <c r="AM222" i="2"/>
  <c r="AM212" i="2"/>
  <c r="AM202" i="2"/>
  <c r="AM192" i="2"/>
  <c r="AM182" i="2"/>
  <c r="AM172" i="2"/>
  <c r="AM162" i="2"/>
  <c r="AM152" i="2"/>
  <c r="AM142" i="2"/>
  <c r="AM132" i="2"/>
  <c r="AM122" i="2"/>
  <c r="AM112" i="2"/>
  <c r="AM102" i="2"/>
  <c r="AM92" i="2"/>
  <c r="AM82" i="2"/>
  <c r="AM72" i="2"/>
  <c r="AM62" i="2"/>
  <c r="AM52" i="2"/>
  <c r="AM42" i="2"/>
  <c r="AM32" i="2"/>
  <c r="AM22" i="2"/>
  <c r="AM12" i="2"/>
  <c r="AM2" i="2"/>
  <c r="AL241" i="2"/>
  <c r="AL231" i="2"/>
  <c r="AL221" i="2"/>
  <c r="AL211" i="2"/>
  <c r="AL201" i="2"/>
  <c r="AL191" i="2"/>
  <c r="AL181" i="2"/>
  <c r="AL171" i="2"/>
  <c r="AL161" i="2"/>
  <c r="AL151" i="2"/>
  <c r="AL141" i="2"/>
  <c r="AL131" i="2"/>
  <c r="AL121" i="2"/>
  <c r="AL111" i="2"/>
  <c r="AL101" i="2"/>
  <c r="AL91" i="2"/>
  <c r="AL81" i="2"/>
  <c r="AL71" i="2"/>
  <c r="AL61" i="2"/>
  <c r="AL51" i="2"/>
  <c r="AL41" i="2"/>
  <c r="AL31" i="2"/>
  <c r="AL21" i="2"/>
  <c r="AL11" i="2"/>
  <c r="AL240" i="2"/>
  <c r="AL230" i="2"/>
  <c r="AL220" i="2"/>
  <c r="AL210" i="2"/>
  <c r="AL200" i="2"/>
  <c r="AL190" i="2"/>
  <c r="AL180" i="2"/>
  <c r="AL170" i="2"/>
  <c r="AL160" i="2"/>
  <c r="AL150" i="2"/>
  <c r="AL140" i="2"/>
  <c r="AL130" i="2"/>
  <c r="AL120" i="2"/>
  <c r="AL110" i="2"/>
  <c r="AL100" i="2"/>
  <c r="AL90" i="2"/>
  <c r="AL80" i="2"/>
  <c r="AL70" i="2"/>
  <c r="AL60" i="2"/>
  <c r="AL50" i="2"/>
  <c r="AL40" i="2"/>
  <c r="AL30" i="2"/>
  <c r="AL20" i="2"/>
  <c r="AL10" i="2"/>
  <c r="AL239" i="2"/>
  <c r="AL229" i="2"/>
  <c r="AL219" i="2"/>
  <c r="AL209" i="2"/>
  <c r="AL199" i="2"/>
  <c r="AL189" i="2"/>
  <c r="AL179" i="2"/>
  <c r="AL169" i="2"/>
  <c r="AL159" i="2"/>
  <c r="AL149" i="2"/>
  <c r="AL139" i="2"/>
  <c r="AL129" i="2"/>
  <c r="AL119" i="2"/>
  <c r="AL109" i="2"/>
  <c r="AL99" i="2"/>
  <c r="AL89" i="2"/>
  <c r="AL79" i="2"/>
  <c r="AL69" i="2"/>
  <c r="AL59" i="2"/>
  <c r="AL49" i="2"/>
  <c r="AL39" i="2"/>
  <c r="AL29" i="2"/>
  <c r="AL19" i="2"/>
  <c r="AL9" i="2"/>
  <c r="AL238" i="2"/>
  <c r="AL228" i="2"/>
  <c r="AL218" i="2"/>
  <c r="AL208" i="2"/>
  <c r="AL198" i="2"/>
  <c r="AL188" i="2"/>
  <c r="AL178" i="2"/>
  <c r="AL168" i="2"/>
  <c r="AL158" i="2"/>
  <c r="AL148" i="2"/>
  <c r="AL138" i="2"/>
  <c r="AL128" i="2"/>
  <c r="AL118" i="2"/>
  <c r="AL108" i="2"/>
  <c r="AL98" i="2"/>
  <c r="AL88" i="2"/>
  <c r="AL78" i="2"/>
  <c r="AL68" i="2"/>
  <c r="AL58" i="2"/>
  <c r="AL48" i="2"/>
  <c r="AL38" i="2"/>
  <c r="AL28" i="2"/>
  <c r="AL18" i="2"/>
  <c r="AL8" i="2"/>
  <c r="AL237" i="2"/>
  <c r="AL227" i="2"/>
  <c r="AL217" i="2"/>
  <c r="AL207" i="2"/>
  <c r="AL197" i="2"/>
  <c r="AL187" i="2"/>
  <c r="AL177" i="2"/>
  <c r="AL167" i="2"/>
  <c r="AL157" i="2"/>
  <c r="AL147" i="2"/>
  <c r="AL137" i="2"/>
  <c r="AL127" i="2"/>
  <c r="AL117" i="2"/>
  <c r="AL107" i="2"/>
  <c r="AL97" i="2"/>
  <c r="AL87" i="2"/>
  <c r="AL77" i="2"/>
  <c r="AL67" i="2"/>
  <c r="AL57" i="2"/>
  <c r="AL47" i="2"/>
  <c r="AL37" i="2"/>
  <c r="AL27" i="2"/>
  <c r="AL17" i="2"/>
  <c r="AL7" i="2"/>
  <c r="AL236" i="2"/>
  <c r="AL226" i="2"/>
  <c r="AL216" i="2"/>
  <c r="AL206" i="2"/>
  <c r="AL196" i="2"/>
  <c r="AL186" i="2"/>
  <c r="AL176" i="2"/>
  <c r="AL166" i="2"/>
  <c r="AL156" i="2"/>
  <c r="AL146" i="2"/>
  <c r="AL136" i="2"/>
  <c r="AL126" i="2"/>
  <c r="AL116" i="2"/>
  <c r="AL106" i="2"/>
  <c r="AL96" i="2"/>
  <c r="AL86" i="2"/>
  <c r="AL76" i="2"/>
  <c r="AL66" i="2"/>
  <c r="AL56" i="2"/>
  <c r="AL46" i="2"/>
  <c r="AL36" i="2"/>
  <c r="AL26" i="2"/>
  <c r="AL16" i="2"/>
  <c r="AL6" i="2"/>
  <c r="AL235" i="2"/>
  <c r="AL225" i="2"/>
  <c r="AL215" i="2"/>
  <c r="AL205" i="2"/>
  <c r="AL195" i="2"/>
  <c r="AL185" i="2"/>
  <c r="AL175" i="2"/>
  <c r="AL165" i="2"/>
  <c r="AL155" i="2"/>
  <c r="AL145" i="2"/>
  <c r="AL135" i="2"/>
  <c r="AL125" i="2"/>
  <c r="AL115" i="2"/>
  <c r="AL105" i="2"/>
  <c r="AL95" i="2"/>
  <c r="AL85" i="2"/>
  <c r="AL75" i="2"/>
  <c r="AL65" i="2"/>
  <c r="AL55" i="2"/>
  <c r="AL45" i="2"/>
  <c r="AL35" i="2"/>
  <c r="AL25" i="2"/>
  <c r="AL15" i="2"/>
  <c r="AL5" i="2"/>
  <c r="AL234" i="2"/>
  <c r="AL224" i="2"/>
  <c r="AL214" i="2"/>
  <c r="AL204" i="2"/>
  <c r="AL194" i="2"/>
  <c r="AL184" i="2"/>
  <c r="AL174" i="2"/>
  <c r="AL164" i="2"/>
  <c r="AL154" i="2"/>
  <c r="AL144" i="2"/>
  <c r="AL134" i="2"/>
  <c r="AL124" i="2"/>
  <c r="AL114" i="2"/>
  <c r="AL104" i="2"/>
  <c r="AL94" i="2"/>
  <c r="AL84" i="2"/>
  <c r="AL74" i="2"/>
  <c r="AL64" i="2"/>
  <c r="AL54" i="2"/>
  <c r="AL44" i="2"/>
  <c r="AL34" i="2"/>
  <c r="AL24" i="2"/>
  <c r="AL14" i="2"/>
  <c r="AL4" i="2"/>
  <c r="AL233" i="2"/>
  <c r="AL223" i="2"/>
  <c r="AL213" i="2"/>
  <c r="AL203" i="2"/>
  <c r="AL193" i="2"/>
  <c r="AL183" i="2"/>
  <c r="AL173" i="2"/>
  <c r="AL163" i="2"/>
  <c r="AL153" i="2"/>
  <c r="AL143" i="2"/>
  <c r="AL133" i="2"/>
  <c r="AL123" i="2"/>
  <c r="AL113" i="2"/>
  <c r="AL103" i="2"/>
  <c r="AL93" i="2"/>
  <c r="AL83" i="2"/>
  <c r="AL73" i="2"/>
  <c r="AL63" i="2"/>
  <c r="AL53" i="2"/>
  <c r="AL43" i="2"/>
  <c r="AL33" i="2"/>
  <c r="AL23" i="2"/>
  <c r="AL13" i="2"/>
  <c r="AL3" i="2"/>
  <c r="AL232" i="2"/>
  <c r="AL222" i="2"/>
  <c r="AL212" i="2"/>
  <c r="AL202" i="2"/>
  <c r="AL192" i="2"/>
  <c r="AL182" i="2"/>
  <c r="AL172" i="2"/>
  <c r="AL162" i="2"/>
  <c r="AL152" i="2"/>
  <c r="AL142" i="2"/>
  <c r="AL132" i="2"/>
  <c r="AL122" i="2"/>
  <c r="AL112" i="2"/>
  <c r="AL102" i="2"/>
  <c r="AL92" i="2"/>
  <c r="AL82" i="2"/>
  <c r="AL72" i="2"/>
  <c r="AL62" i="2"/>
  <c r="AL52" i="2"/>
  <c r="AL42" i="2"/>
  <c r="AL32" i="2"/>
  <c r="AL22" i="2"/>
  <c r="AL12" i="2"/>
  <c r="AL2" i="2"/>
  <c r="AK241" i="2"/>
  <c r="AK231" i="2"/>
  <c r="AK221" i="2"/>
  <c r="AK211" i="2"/>
  <c r="AK201" i="2"/>
  <c r="AK191" i="2"/>
  <c r="AK181" i="2"/>
  <c r="AK171" i="2"/>
  <c r="AK161" i="2"/>
  <c r="AK151" i="2"/>
  <c r="AK141" i="2"/>
  <c r="AK131" i="2"/>
  <c r="AK121" i="2"/>
  <c r="AK111" i="2"/>
  <c r="AK101" i="2"/>
  <c r="AK91" i="2"/>
  <c r="AK81" i="2"/>
  <c r="AK71" i="2"/>
  <c r="AK61" i="2"/>
  <c r="AK51" i="2"/>
  <c r="AK41" i="2"/>
  <c r="AK31" i="2"/>
  <c r="AK21" i="2"/>
  <c r="AK11" i="2"/>
  <c r="AK240" i="2"/>
  <c r="AK230" i="2"/>
  <c r="AK220" i="2"/>
  <c r="AK210" i="2"/>
  <c r="AK200" i="2"/>
  <c r="AK190" i="2"/>
  <c r="AK180" i="2"/>
  <c r="AK170" i="2"/>
  <c r="AK160" i="2"/>
  <c r="AK150" i="2"/>
  <c r="AK140" i="2"/>
  <c r="AK130" i="2"/>
  <c r="AK120" i="2"/>
  <c r="AK110" i="2"/>
  <c r="AK100" i="2"/>
  <c r="AK90" i="2"/>
  <c r="AK80" i="2"/>
  <c r="AK70" i="2"/>
  <c r="AK60" i="2"/>
  <c r="AK50" i="2"/>
  <c r="AK40" i="2"/>
  <c r="AK30" i="2"/>
  <c r="AK20" i="2"/>
  <c r="AK10" i="2"/>
  <c r="AK239" i="2"/>
  <c r="AK229" i="2"/>
  <c r="AK219" i="2"/>
  <c r="AK209" i="2"/>
  <c r="AK199" i="2"/>
  <c r="AK189" i="2"/>
  <c r="AK179" i="2"/>
  <c r="AK169" i="2"/>
  <c r="AK159" i="2"/>
  <c r="AK149" i="2"/>
  <c r="AK139" i="2"/>
  <c r="AK129" i="2"/>
  <c r="AK119" i="2"/>
  <c r="AK109" i="2"/>
  <c r="AK99" i="2"/>
  <c r="AK89" i="2"/>
  <c r="AK79" i="2"/>
  <c r="AK69" i="2"/>
  <c r="AK59" i="2"/>
  <c r="AK49" i="2"/>
  <c r="AK39" i="2"/>
  <c r="AK29" i="2"/>
  <c r="AK19" i="2"/>
  <c r="AK9" i="2"/>
  <c r="AK238" i="2"/>
  <c r="AK228" i="2"/>
  <c r="AK218" i="2"/>
  <c r="AK208" i="2"/>
  <c r="AK198" i="2"/>
  <c r="AK188" i="2"/>
  <c r="AK178" i="2"/>
  <c r="AK168" i="2"/>
  <c r="AK158" i="2"/>
  <c r="AK148" i="2"/>
  <c r="AK138" i="2"/>
  <c r="AK128" i="2"/>
  <c r="AK118" i="2"/>
  <c r="AK108" i="2"/>
  <c r="AK98" i="2"/>
  <c r="AK88" i="2"/>
  <c r="AK78" i="2"/>
  <c r="AK68" i="2"/>
  <c r="AK58" i="2"/>
  <c r="AK48" i="2"/>
  <c r="AK38" i="2"/>
  <c r="AK28" i="2"/>
  <c r="AK18" i="2"/>
  <c r="AK8" i="2"/>
  <c r="AK237" i="2"/>
  <c r="AK227" i="2"/>
  <c r="AK217" i="2"/>
  <c r="AK207" i="2"/>
  <c r="AK197" i="2"/>
  <c r="AK187" i="2"/>
  <c r="AK177" i="2"/>
  <c r="AK167" i="2"/>
  <c r="AK157" i="2"/>
  <c r="AK147" i="2"/>
  <c r="AK137" i="2"/>
  <c r="AK127" i="2"/>
  <c r="AK117" i="2"/>
  <c r="AK107" i="2"/>
  <c r="AK97" i="2"/>
  <c r="AK87" i="2"/>
  <c r="AK77" i="2"/>
  <c r="AK67" i="2"/>
  <c r="AK57" i="2"/>
  <c r="AK47" i="2"/>
  <c r="AK37" i="2"/>
  <c r="AK27" i="2"/>
  <c r="AK17" i="2"/>
  <c r="AK7" i="2"/>
  <c r="AK236" i="2"/>
  <c r="AK226" i="2"/>
  <c r="AK216" i="2"/>
  <c r="AK206" i="2"/>
  <c r="AK196" i="2"/>
  <c r="AK186" i="2"/>
  <c r="AK176" i="2"/>
  <c r="AK166" i="2"/>
  <c r="AK156" i="2"/>
  <c r="AK146" i="2"/>
  <c r="AK136" i="2"/>
  <c r="AK126" i="2"/>
  <c r="AK116" i="2"/>
  <c r="AK106" i="2"/>
  <c r="AK96" i="2"/>
  <c r="AK86" i="2"/>
  <c r="AK76" i="2"/>
  <c r="AK66" i="2"/>
  <c r="AK56" i="2"/>
  <c r="AK46" i="2"/>
  <c r="AK36" i="2"/>
  <c r="AK26" i="2"/>
  <c r="AK16" i="2"/>
  <c r="AK6" i="2"/>
  <c r="AK235" i="2"/>
  <c r="AK225" i="2"/>
  <c r="AK215" i="2"/>
  <c r="AK205" i="2"/>
  <c r="AK195" i="2"/>
  <c r="AK185" i="2"/>
  <c r="AK175" i="2"/>
  <c r="AK165" i="2"/>
  <c r="AK155" i="2"/>
  <c r="AK145" i="2"/>
  <c r="AK135" i="2"/>
  <c r="AK125" i="2"/>
  <c r="AK115" i="2"/>
  <c r="AK105" i="2"/>
  <c r="AK95" i="2"/>
  <c r="AK85" i="2"/>
  <c r="AK75" i="2"/>
  <c r="AK65" i="2"/>
  <c r="AK55" i="2"/>
  <c r="AK45" i="2"/>
  <c r="AK35" i="2"/>
  <c r="AK25" i="2"/>
  <c r="AK15" i="2"/>
  <c r="AK5" i="2"/>
  <c r="AK234" i="2"/>
  <c r="AK224" i="2"/>
  <c r="AK214" i="2"/>
  <c r="AK204" i="2"/>
  <c r="AK194" i="2"/>
  <c r="AK184" i="2"/>
  <c r="AK174" i="2"/>
  <c r="AK164" i="2"/>
  <c r="AK154" i="2"/>
  <c r="AK144" i="2"/>
  <c r="AK134" i="2"/>
  <c r="AK124" i="2"/>
  <c r="AK114" i="2"/>
  <c r="AK104" i="2"/>
  <c r="AK94" i="2"/>
  <c r="AK84" i="2"/>
  <c r="AK74" i="2"/>
  <c r="AK64" i="2"/>
  <c r="AK54" i="2"/>
  <c r="AK44" i="2"/>
  <c r="AK34" i="2"/>
  <c r="AK24" i="2"/>
  <c r="AK14" i="2"/>
  <c r="AK4" i="2"/>
  <c r="AK233" i="2"/>
  <c r="AK223" i="2"/>
  <c r="AK213" i="2"/>
  <c r="AK203" i="2"/>
  <c r="AK193" i="2"/>
  <c r="AK183" i="2"/>
  <c r="AK173" i="2"/>
  <c r="AK163" i="2"/>
  <c r="AK153" i="2"/>
  <c r="AK143" i="2"/>
  <c r="AK133" i="2"/>
  <c r="AK123" i="2"/>
  <c r="AK113" i="2"/>
  <c r="AK103" i="2"/>
  <c r="AK93" i="2"/>
  <c r="AK83" i="2"/>
  <c r="AK73" i="2"/>
  <c r="AK63" i="2"/>
  <c r="AK53" i="2"/>
  <c r="AK43" i="2"/>
  <c r="AK33" i="2"/>
  <c r="AK23" i="2"/>
  <c r="AK13" i="2"/>
  <c r="AK3" i="2"/>
  <c r="AK232" i="2"/>
  <c r="AK222" i="2"/>
  <c r="AK212" i="2"/>
  <c r="AK202" i="2"/>
  <c r="AK192" i="2"/>
  <c r="AK182" i="2"/>
  <c r="AK172" i="2"/>
  <c r="AK162" i="2"/>
  <c r="AK152" i="2"/>
  <c r="AK142" i="2"/>
  <c r="AK132" i="2"/>
  <c r="AK122" i="2"/>
  <c r="AK112" i="2"/>
  <c r="AK102" i="2"/>
  <c r="AK92" i="2"/>
  <c r="AK82" i="2"/>
  <c r="AK72" i="2"/>
  <c r="AK62" i="2"/>
  <c r="AK52" i="2"/>
  <c r="AK42" i="2"/>
  <c r="AK32" i="2"/>
  <c r="AK22" i="2"/>
  <c r="AK12" i="2"/>
  <c r="AK2" i="2"/>
  <c r="AJ241" i="2"/>
  <c r="AJ231" i="2"/>
  <c r="AJ221" i="2"/>
  <c r="AJ211" i="2"/>
  <c r="AJ201" i="2"/>
  <c r="AJ191" i="2"/>
  <c r="AJ181" i="2"/>
  <c r="AJ171" i="2"/>
  <c r="AJ161" i="2"/>
  <c r="AJ151" i="2"/>
  <c r="AJ141" i="2"/>
  <c r="AJ131" i="2"/>
  <c r="AJ121" i="2"/>
  <c r="AJ111" i="2"/>
  <c r="AJ101" i="2"/>
  <c r="AJ91" i="2"/>
  <c r="AJ81" i="2"/>
  <c r="AJ71" i="2"/>
  <c r="AJ61" i="2"/>
  <c r="AJ51" i="2"/>
  <c r="AJ41" i="2"/>
  <c r="AJ31" i="2"/>
  <c r="AJ21" i="2"/>
  <c r="AJ11" i="2"/>
  <c r="AJ240" i="2"/>
  <c r="AJ230" i="2"/>
  <c r="AJ220" i="2"/>
  <c r="AJ210" i="2"/>
  <c r="AJ200" i="2"/>
  <c r="AJ190" i="2"/>
  <c r="AJ180" i="2"/>
  <c r="AJ170" i="2"/>
  <c r="AJ160" i="2"/>
  <c r="AJ150" i="2"/>
  <c r="AJ140" i="2"/>
  <c r="AJ130" i="2"/>
  <c r="AJ120" i="2"/>
  <c r="AJ110" i="2"/>
  <c r="AJ100" i="2"/>
  <c r="AJ90" i="2"/>
  <c r="AJ80" i="2"/>
  <c r="AJ70" i="2"/>
  <c r="AJ60" i="2"/>
  <c r="AJ50" i="2"/>
  <c r="AJ40" i="2"/>
  <c r="AJ30" i="2"/>
  <c r="AJ20" i="2"/>
  <c r="AJ10" i="2"/>
  <c r="AJ239" i="2"/>
  <c r="AJ229" i="2"/>
  <c r="AJ219" i="2"/>
  <c r="AJ209" i="2"/>
  <c r="AJ199" i="2"/>
  <c r="AJ189" i="2"/>
  <c r="AJ179" i="2"/>
  <c r="AJ169" i="2"/>
  <c r="AJ159" i="2"/>
  <c r="AJ149" i="2"/>
  <c r="AJ139" i="2"/>
  <c r="AJ129" i="2"/>
  <c r="AJ119" i="2"/>
  <c r="AJ109" i="2"/>
  <c r="AJ99" i="2"/>
  <c r="AJ89" i="2"/>
  <c r="AJ79" i="2"/>
  <c r="AJ69" i="2"/>
  <c r="AJ59" i="2"/>
  <c r="AJ49" i="2"/>
  <c r="AJ39" i="2"/>
  <c r="AJ29" i="2"/>
  <c r="AJ19" i="2"/>
  <c r="AJ9" i="2"/>
  <c r="AJ238" i="2"/>
  <c r="AJ228" i="2"/>
  <c r="AJ218" i="2"/>
  <c r="AJ208" i="2"/>
  <c r="AJ198" i="2"/>
  <c r="AJ188" i="2"/>
  <c r="AJ178" i="2"/>
  <c r="AJ168" i="2"/>
  <c r="AJ158" i="2"/>
  <c r="AJ148" i="2"/>
  <c r="AJ138" i="2"/>
  <c r="AJ128" i="2"/>
  <c r="AJ118" i="2"/>
  <c r="AJ108" i="2"/>
  <c r="AJ98" i="2"/>
  <c r="AJ88" i="2"/>
  <c r="AJ78" i="2"/>
  <c r="AJ68" i="2"/>
  <c r="AJ58" i="2"/>
  <c r="AJ48" i="2"/>
  <c r="AJ38" i="2"/>
  <c r="AJ28" i="2"/>
  <c r="AJ18" i="2"/>
  <c r="AJ8" i="2"/>
  <c r="AJ237" i="2"/>
  <c r="AJ227" i="2"/>
  <c r="AJ217" i="2"/>
  <c r="AJ207" i="2"/>
  <c r="AJ197" i="2"/>
  <c r="AJ187" i="2"/>
  <c r="AJ177" i="2"/>
  <c r="AJ167" i="2"/>
  <c r="AJ157" i="2"/>
  <c r="AJ147" i="2"/>
  <c r="AJ137" i="2"/>
  <c r="AJ127" i="2"/>
  <c r="AJ117" i="2"/>
  <c r="AJ107" i="2"/>
  <c r="AJ97" i="2"/>
  <c r="AJ87" i="2"/>
  <c r="AJ77" i="2"/>
  <c r="AJ67" i="2"/>
  <c r="AJ57" i="2"/>
  <c r="AJ47" i="2"/>
  <c r="AJ37" i="2"/>
  <c r="AJ27" i="2"/>
  <c r="AJ17" i="2"/>
  <c r="AJ7" i="2"/>
  <c r="AJ236" i="2"/>
  <c r="AJ226" i="2"/>
  <c r="AJ216" i="2"/>
  <c r="AJ206" i="2"/>
  <c r="AJ196" i="2"/>
  <c r="AJ186" i="2"/>
  <c r="AJ176" i="2"/>
  <c r="AJ166" i="2"/>
  <c r="AJ156" i="2"/>
  <c r="AJ146" i="2"/>
  <c r="AJ136" i="2"/>
  <c r="AJ126" i="2"/>
  <c r="AJ116" i="2"/>
  <c r="AJ106" i="2"/>
  <c r="AJ96" i="2"/>
  <c r="AJ86" i="2"/>
  <c r="AJ76" i="2"/>
  <c r="AJ66" i="2"/>
  <c r="AJ56" i="2"/>
  <c r="AJ46" i="2"/>
  <c r="AJ36" i="2"/>
  <c r="AJ26" i="2"/>
  <c r="AJ16" i="2"/>
  <c r="AJ6" i="2"/>
  <c r="AJ235" i="2"/>
  <c r="AJ225" i="2"/>
  <c r="AJ215" i="2"/>
  <c r="AJ205" i="2"/>
  <c r="AJ195" i="2"/>
  <c r="AJ185" i="2"/>
  <c r="AJ175" i="2"/>
  <c r="AJ165" i="2"/>
  <c r="AJ155" i="2"/>
  <c r="AJ145" i="2"/>
  <c r="AJ135" i="2"/>
  <c r="AJ125" i="2"/>
  <c r="AJ115" i="2"/>
  <c r="AJ105" i="2"/>
  <c r="AJ95" i="2"/>
  <c r="AJ85" i="2"/>
  <c r="AJ75" i="2"/>
  <c r="AJ65" i="2"/>
  <c r="AJ55" i="2"/>
  <c r="AJ45" i="2"/>
  <c r="AJ35" i="2"/>
  <c r="AJ25" i="2"/>
  <c r="AJ15" i="2"/>
  <c r="AJ5" i="2"/>
  <c r="AJ234" i="2"/>
  <c r="AJ224" i="2"/>
  <c r="AJ214" i="2"/>
  <c r="AJ204" i="2"/>
  <c r="AJ194" i="2"/>
  <c r="AJ184" i="2"/>
  <c r="AJ174" i="2"/>
  <c r="AJ164" i="2"/>
  <c r="AJ154" i="2"/>
  <c r="AJ144" i="2"/>
  <c r="AJ134" i="2"/>
  <c r="AJ124" i="2"/>
  <c r="AJ114" i="2"/>
  <c r="AJ104" i="2"/>
  <c r="AJ94" i="2"/>
  <c r="AJ84" i="2"/>
  <c r="AJ74" i="2"/>
  <c r="AJ64" i="2"/>
  <c r="AJ54" i="2"/>
  <c r="AJ44" i="2"/>
  <c r="AJ34" i="2"/>
  <c r="AJ24" i="2"/>
  <c r="AJ14" i="2"/>
  <c r="AJ4" i="2"/>
  <c r="AJ233" i="2"/>
  <c r="AJ223" i="2"/>
  <c r="AJ213" i="2"/>
  <c r="AJ203" i="2"/>
  <c r="AJ193" i="2"/>
  <c r="AJ183" i="2"/>
  <c r="AJ173" i="2"/>
  <c r="AJ163" i="2"/>
  <c r="AJ153" i="2"/>
  <c r="AJ143" i="2"/>
  <c r="AJ133" i="2"/>
  <c r="AJ123" i="2"/>
  <c r="AJ113" i="2"/>
  <c r="AJ103" i="2"/>
  <c r="AJ93" i="2"/>
  <c r="AJ83" i="2"/>
  <c r="AJ73" i="2"/>
  <c r="AJ63" i="2"/>
  <c r="AJ53" i="2"/>
  <c r="AJ43" i="2"/>
  <c r="AJ33" i="2"/>
  <c r="AJ23" i="2"/>
  <c r="AJ13" i="2"/>
  <c r="AJ3" i="2"/>
  <c r="AJ232" i="2"/>
  <c r="AJ222" i="2"/>
  <c r="AJ212" i="2"/>
  <c r="AJ202" i="2"/>
  <c r="AJ192" i="2"/>
  <c r="AJ182" i="2"/>
  <c r="AJ172" i="2"/>
  <c r="AJ162" i="2"/>
  <c r="AJ152" i="2"/>
  <c r="AJ142" i="2"/>
  <c r="AJ132" i="2"/>
  <c r="AJ122" i="2"/>
  <c r="AJ112" i="2"/>
  <c r="AJ102" i="2"/>
  <c r="AJ92" i="2"/>
  <c r="AJ82" i="2"/>
  <c r="AJ72" i="2"/>
  <c r="AJ62" i="2"/>
  <c r="AJ52" i="2"/>
  <c r="AJ42" i="2"/>
  <c r="AJ32" i="2"/>
  <c r="AJ22" i="2"/>
  <c r="AJ12" i="2"/>
  <c r="AJ2" i="2"/>
  <c r="AI241" i="2"/>
  <c r="AI231" i="2"/>
  <c r="AI221" i="2"/>
  <c r="AI211" i="2"/>
  <c r="AI201" i="2"/>
  <c r="AI191" i="2"/>
  <c r="AI181" i="2"/>
  <c r="AI171" i="2"/>
  <c r="AI161" i="2"/>
  <c r="AI151" i="2"/>
  <c r="AI141" i="2"/>
  <c r="AI131" i="2"/>
  <c r="AI121" i="2"/>
  <c r="AI111" i="2"/>
  <c r="AI101" i="2"/>
  <c r="AI91" i="2"/>
  <c r="AI81" i="2"/>
  <c r="AI71" i="2"/>
  <c r="AI61" i="2"/>
  <c r="AI51" i="2"/>
  <c r="AI41" i="2"/>
  <c r="AI31" i="2"/>
  <c r="AI21" i="2"/>
  <c r="AI11" i="2"/>
  <c r="AI240" i="2"/>
  <c r="AI230" i="2"/>
  <c r="AI220" i="2"/>
  <c r="AI210" i="2"/>
  <c r="AI200" i="2"/>
  <c r="AI190" i="2"/>
  <c r="AI180" i="2"/>
  <c r="AI170" i="2"/>
  <c r="AI160" i="2"/>
  <c r="AI150" i="2"/>
  <c r="AI140" i="2"/>
  <c r="AI130" i="2"/>
  <c r="AI120" i="2"/>
  <c r="AI110" i="2"/>
  <c r="AI100" i="2"/>
  <c r="AI90" i="2"/>
  <c r="AI80" i="2"/>
  <c r="AI70" i="2"/>
  <c r="AI60" i="2"/>
  <c r="AI50" i="2"/>
  <c r="AI40" i="2"/>
  <c r="AI30" i="2"/>
  <c r="AI20" i="2"/>
  <c r="AI10" i="2"/>
  <c r="AI239" i="2"/>
  <c r="AI229" i="2"/>
  <c r="AI219" i="2"/>
  <c r="AI209" i="2"/>
  <c r="AI199" i="2"/>
  <c r="AI189" i="2"/>
  <c r="AI179" i="2"/>
  <c r="AI169" i="2"/>
  <c r="AI159" i="2"/>
  <c r="AI149" i="2"/>
  <c r="AI139" i="2"/>
  <c r="AI129" i="2"/>
  <c r="AI119" i="2"/>
  <c r="AI109" i="2"/>
  <c r="AI99" i="2"/>
  <c r="AI89" i="2"/>
  <c r="AI79" i="2"/>
  <c r="AI69" i="2"/>
  <c r="AI59" i="2"/>
  <c r="AI49" i="2"/>
  <c r="AI39" i="2"/>
  <c r="AI29" i="2"/>
  <c r="AI19" i="2"/>
  <c r="AI9" i="2"/>
  <c r="AI238" i="2"/>
  <c r="AI228" i="2"/>
  <c r="AI218" i="2"/>
  <c r="AI208" i="2"/>
  <c r="AI198" i="2"/>
  <c r="AI188" i="2"/>
  <c r="AI178" i="2"/>
  <c r="AI168" i="2"/>
  <c r="AI158" i="2"/>
  <c r="AI148" i="2"/>
  <c r="AI138" i="2"/>
  <c r="AI128" i="2"/>
  <c r="AI118" i="2"/>
  <c r="AI108" i="2"/>
  <c r="AI98" i="2"/>
  <c r="AI88" i="2"/>
  <c r="AI78" i="2"/>
  <c r="AI68" i="2"/>
  <c r="AI58" i="2"/>
  <c r="AI48" i="2"/>
  <c r="AI38" i="2"/>
  <c r="AI28" i="2"/>
  <c r="AI18" i="2"/>
  <c r="AI8" i="2"/>
  <c r="AI237" i="2"/>
  <c r="AI227" i="2"/>
  <c r="AI217" i="2"/>
  <c r="AI207" i="2"/>
  <c r="AI197" i="2"/>
  <c r="AI187" i="2"/>
  <c r="AI177" i="2"/>
  <c r="AI167" i="2"/>
  <c r="AI157" i="2"/>
  <c r="AI147" i="2"/>
  <c r="AI137" i="2"/>
  <c r="AI127" i="2"/>
  <c r="AI117" i="2"/>
  <c r="AI107" i="2"/>
  <c r="AI97" i="2"/>
  <c r="AI87" i="2"/>
  <c r="AI77" i="2"/>
  <c r="AI67" i="2"/>
  <c r="AI57" i="2"/>
  <c r="AI47" i="2"/>
  <c r="AI37" i="2"/>
  <c r="AI27" i="2"/>
  <c r="AI17" i="2"/>
  <c r="AI7" i="2"/>
  <c r="AI236" i="2"/>
  <c r="AI226" i="2"/>
  <c r="AI216" i="2"/>
  <c r="AI206" i="2"/>
  <c r="AI196" i="2"/>
  <c r="AI186" i="2"/>
  <c r="AI176" i="2"/>
  <c r="AI166" i="2"/>
  <c r="AI156" i="2"/>
  <c r="AI146" i="2"/>
  <c r="AI136" i="2"/>
  <c r="AI126" i="2"/>
  <c r="AI116" i="2"/>
  <c r="AI106" i="2"/>
  <c r="AI96" i="2"/>
  <c r="AI86" i="2"/>
  <c r="AI76" i="2"/>
  <c r="AI66" i="2"/>
  <c r="AI56" i="2"/>
  <c r="AI46" i="2"/>
  <c r="AI36" i="2"/>
  <c r="AI26" i="2"/>
  <c r="AI16" i="2"/>
  <c r="AI6" i="2"/>
  <c r="AI235" i="2"/>
  <c r="AI225" i="2"/>
  <c r="AI215" i="2"/>
  <c r="AI205" i="2"/>
  <c r="AI195" i="2"/>
  <c r="AI185" i="2"/>
  <c r="AI175" i="2"/>
  <c r="AI165" i="2"/>
  <c r="AI155" i="2"/>
  <c r="AI145" i="2"/>
  <c r="AI135" i="2"/>
  <c r="AI125" i="2"/>
  <c r="AI115" i="2"/>
  <c r="AI105" i="2"/>
  <c r="AI95" i="2"/>
  <c r="AI85" i="2"/>
  <c r="AI75" i="2"/>
  <c r="AI65" i="2"/>
  <c r="AI55" i="2"/>
  <c r="AI45" i="2"/>
  <c r="AI35" i="2"/>
  <c r="AI25" i="2"/>
  <c r="AI15" i="2"/>
  <c r="AI5" i="2"/>
  <c r="AI234" i="2"/>
  <c r="AI224" i="2"/>
  <c r="AI214" i="2"/>
  <c r="AI204" i="2"/>
  <c r="AI194" i="2"/>
  <c r="AI184" i="2"/>
  <c r="AI174" i="2"/>
  <c r="AI164" i="2"/>
  <c r="AI154" i="2"/>
  <c r="AI144" i="2"/>
  <c r="AI134" i="2"/>
  <c r="AI124" i="2"/>
  <c r="AI114" i="2"/>
  <c r="AI104" i="2"/>
  <c r="AI94" i="2"/>
  <c r="AI84" i="2"/>
  <c r="AI74" i="2"/>
  <c r="AI64" i="2"/>
  <c r="AI54" i="2"/>
  <c r="AI44" i="2"/>
  <c r="AI34" i="2"/>
  <c r="AI24" i="2"/>
  <c r="AI14" i="2"/>
  <c r="AI4" i="2"/>
  <c r="AI233" i="2"/>
  <c r="AI223" i="2"/>
  <c r="AI213" i="2"/>
  <c r="AI203" i="2"/>
  <c r="AI193" i="2"/>
  <c r="AI183" i="2"/>
  <c r="AI173" i="2"/>
  <c r="AI163" i="2"/>
  <c r="AI153" i="2"/>
  <c r="AI143" i="2"/>
  <c r="AI133" i="2"/>
  <c r="AI123" i="2"/>
  <c r="AI113" i="2"/>
  <c r="AI103" i="2"/>
  <c r="AI93" i="2"/>
  <c r="AI83" i="2"/>
  <c r="AI73" i="2"/>
  <c r="AI63" i="2"/>
  <c r="AI53" i="2"/>
  <c r="AI43" i="2"/>
  <c r="AI33" i="2"/>
  <c r="AI23" i="2"/>
  <c r="AI13" i="2"/>
  <c r="AI3" i="2"/>
  <c r="AI232" i="2"/>
  <c r="AI222" i="2"/>
  <c r="AI212" i="2"/>
  <c r="AI202" i="2"/>
  <c r="AI192" i="2"/>
  <c r="AI182" i="2"/>
  <c r="AI172" i="2"/>
  <c r="AI162" i="2"/>
  <c r="AI152" i="2"/>
  <c r="AI142" i="2"/>
  <c r="AI132" i="2"/>
  <c r="AI122" i="2"/>
  <c r="AI112" i="2"/>
  <c r="AI102" i="2"/>
  <c r="AI92" i="2"/>
  <c r="AI82" i="2"/>
  <c r="AI72" i="2"/>
  <c r="AI62" i="2"/>
  <c r="AI52" i="2"/>
  <c r="AI42" i="2"/>
  <c r="AI32" i="2"/>
  <c r="AI22" i="2"/>
  <c r="AI12" i="2"/>
  <c r="AI2" i="2"/>
  <c r="AH241" i="2"/>
  <c r="AH231" i="2"/>
  <c r="AH221" i="2"/>
  <c r="AH211" i="2"/>
  <c r="AH201" i="2"/>
  <c r="AH191" i="2"/>
  <c r="AH181" i="2"/>
  <c r="AH171" i="2"/>
  <c r="AH161" i="2"/>
  <c r="AH151" i="2"/>
  <c r="AH141" i="2"/>
  <c r="AH131" i="2"/>
  <c r="AH121" i="2"/>
  <c r="AH111" i="2"/>
  <c r="AH101" i="2"/>
  <c r="AH91" i="2"/>
  <c r="AH81" i="2"/>
  <c r="AH71" i="2"/>
  <c r="AH61" i="2"/>
  <c r="AH51" i="2"/>
  <c r="AH41" i="2"/>
  <c r="AH31" i="2"/>
  <c r="AH21" i="2"/>
  <c r="AH11" i="2"/>
  <c r="AH240" i="2"/>
  <c r="AH230" i="2"/>
  <c r="AH220" i="2"/>
  <c r="AH210" i="2"/>
  <c r="AH200" i="2"/>
  <c r="AH190" i="2"/>
  <c r="AH180" i="2"/>
  <c r="AH170" i="2"/>
  <c r="AH160" i="2"/>
  <c r="AH150" i="2"/>
  <c r="AH140" i="2"/>
  <c r="AH130" i="2"/>
  <c r="AH120" i="2"/>
  <c r="AH110" i="2"/>
  <c r="AH100" i="2"/>
  <c r="AH90" i="2"/>
  <c r="AH80" i="2"/>
  <c r="AH70" i="2"/>
  <c r="AH60" i="2"/>
  <c r="AH50" i="2"/>
  <c r="AH40" i="2"/>
  <c r="AH30" i="2"/>
  <c r="AH20" i="2"/>
  <c r="AH10" i="2"/>
  <c r="AH239" i="2"/>
  <c r="AH229" i="2"/>
  <c r="AH219" i="2"/>
  <c r="AH209" i="2"/>
  <c r="AH199" i="2"/>
  <c r="AH189" i="2"/>
  <c r="AH179" i="2"/>
  <c r="AH169" i="2"/>
  <c r="AH159" i="2"/>
  <c r="AH149" i="2"/>
  <c r="AH139" i="2"/>
  <c r="AH129" i="2"/>
  <c r="AH119" i="2"/>
  <c r="AH109" i="2"/>
  <c r="AH99" i="2"/>
  <c r="AH89" i="2"/>
  <c r="AH79" i="2"/>
  <c r="AH69" i="2"/>
  <c r="AH59" i="2"/>
  <c r="AH49" i="2"/>
  <c r="AH39" i="2"/>
  <c r="AH29" i="2"/>
  <c r="AH19" i="2"/>
  <c r="AH9" i="2"/>
  <c r="AH238" i="2"/>
  <c r="AH228" i="2"/>
  <c r="AH218" i="2"/>
  <c r="AH208" i="2"/>
  <c r="AH198" i="2"/>
  <c r="AH188" i="2"/>
  <c r="AH178" i="2"/>
  <c r="AH168" i="2"/>
  <c r="AH158" i="2"/>
  <c r="AH148" i="2"/>
  <c r="AH138" i="2"/>
  <c r="AH128" i="2"/>
  <c r="AH118" i="2"/>
  <c r="AH108" i="2"/>
  <c r="AH98" i="2"/>
  <c r="AH88" i="2"/>
  <c r="AH78" i="2"/>
  <c r="AH68" i="2"/>
  <c r="AH58" i="2"/>
  <c r="AH48" i="2"/>
  <c r="AH38" i="2"/>
  <c r="AH28" i="2"/>
  <c r="AH18" i="2"/>
  <c r="AH8" i="2"/>
  <c r="AH237" i="2"/>
  <c r="AH227" i="2"/>
  <c r="AH217" i="2"/>
  <c r="AH207" i="2"/>
  <c r="AH197" i="2"/>
  <c r="AH187" i="2"/>
  <c r="AH177" i="2"/>
  <c r="AH167" i="2"/>
  <c r="AH157" i="2"/>
  <c r="AH147" i="2"/>
  <c r="AH137" i="2"/>
  <c r="AH127" i="2"/>
  <c r="AH117" i="2"/>
  <c r="AH107" i="2"/>
  <c r="AH97" i="2"/>
  <c r="AH87" i="2"/>
  <c r="AH77" i="2"/>
  <c r="AH67" i="2"/>
  <c r="AH57" i="2"/>
  <c r="AH47" i="2"/>
  <c r="AH37" i="2"/>
  <c r="AH27" i="2"/>
  <c r="AH17" i="2"/>
  <c r="AH7" i="2"/>
  <c r="AH236" i="2"/>
  <c r="AH226" i="2"/>
  <c r="AH216" i="2"/>
  <c r="AH206" i="2"/>
  <c r="AH196" i="2"/>
  <c r="AH186" i="2"/>
  <c r="AH176" i="2"/>
  <c r="AH166" i="2"/>
  <c r="AH156" i="2"/>
  <c r="AH146" i="2"/>
  <c r="AH136" i="2"/>
  <c r="AH126" i="2"/>
  <c r="AH116" i="2"/>
  <c r="AH106" i="2"/>
  <c r="AH96" i="2"/>
  <c r="AH86" i="2"/>
  <c r="AH76" i="2"/>
  <c r="AH66" i="2"/>
  <c r="AH56" i="2"/>
  <c r="AH46" i="2"/>
  <c r="AH36" i="2"/>
  <c r="AH26" i="2"/>
  <c r="AH16" i="2"/>
  <c r="AH6" i="2"/>
  <c r="AH235" i="2"/>
  <c r="AH225" i="2"/>
  <c r="AH215" i="2"/>
  <c r="AH205" i="2"/>
  <c r="AH195" i="2"/>
  <c r="AH185" i="2"/>
  <c r="AH175" i="2"/>
  <c r="AH165" i="2"/>
  <c r="AH155" i="2"/>
  <c r="AH145" i="2"/>
  <c r="AH135" i="2"/>
  <c r="AH125" i="2"/>
  <c r="AH115" i="2"/>
  <c r="AH105" i="2"/>
  <c r="AH95" i="2"/>
  <c r="AH85" i="2"/>
  <c r="AH75" i="2"/>
  <c r="AH65" i="2"/>
  <c r="AH55" i="2"/>
  <c r="AH45" i="2"/>
  <c r="AH35" i="2"/>
  <c r="AH25" i="2"/>
  <c r="AH15" i="2"/>
  <c r="AH5" i="2"/>
  <c r="AH234" i="2"/>
  <c r="AH224" i="2"/>
  <c r="AH214" i="2"/>
  <c r="AH204" i="2"/>
  <c r="AH194" i="2"/>
  <c r="AH184" i="2"/>
  <c r="AH174" i="2"/>
  <c r="AH164" i="2"/>
  <c r="AH154" i="2"/>
  <c r="AH144" i="2"/>
  <c r="AH134" i="2"/>
  <c r="AH124" i="2"/>
  <c r="AH114" i="2"/>
  <c r="AH104" i="2"/>
  <c r="AH94" i="2"/>
  <c r="AH84" i="2"/>
  <c r="AH74" i="2"/>
  <c r="AH64" i="2"/>
  <c r="AH54" i="2"/>
  <c r="AH44" i="2"/>
  <c r="AH34" i="2"/>
  <c r="AH24" i="2"/>
  <c r="AH14" i="2"/>
  <c r="AH4" i="2"/>
  <c r="AH233" i="2"/>
  <c r="AH223" i="2"/>
  <c r="AH213" i="2"/>
  <c r="AH203" i="2"/>
  <c r="AH193" i="2"/>
  <c r="AH183" i="2"/>
  <c r="AH173" i="2"/>
  <c r="AH163" i="2"/>
  <c r="AH153" i="2"/>
  <c r="AH143" i="2"/>
  <c r="AH133" i="2"/>
  <c r="AH123" i="2"/>
  <c r="AH113" i="2"/>
  <c r="AH103" i="2"/>
  <c r="AH93" i="2"/>
  <c r="AH83" i="2"/>
  <c r="AH73" i="2"/>
  <c r="AH63" i="2"/>
  <c r="AH53" i="2"/>
  <c r="AH43" i="2"/>
  <c r="AH33" i="2"/>
  <c r="AH23" i="2"/>
  <c r="AH13" i="2"/>
  <c r="AH3" i="2"/>
  <c r="AH232" i="2"/>
  <c r="AH222" i="2"/>
  <c r="AH212" i="2"/>
  <c r="AH202" i="2"/>
  <c r="AH192" i="2"/>
  <c r="AH182" i="2"/>
  <c r="AH172" i="2"/>
  <c r="AH162" i="2"/>
  <c r="AH152" i="2"/>
  <c r="AH142" i="2"/>
  <c r="AH132" i="2"/>
  <c r="AH122" i="2"/>
  <c r="AH112" i="2"/>
  <c r="AH102" i="2"/>
  <c r="AH92" i="2"/>
  <c r="AH82" i="2"/>
  <c r="AH72" i="2"/>
  <c r="AH62" i="2"/>
  <c r="AH52" i="2"/>
  <c r="AH42" i="2"/>
  <c r="AH32" i="2"/>
  <c r="AH22" i="2"/>
  <c r="AH12" i="2"/>
  <c r="AH2" i="2"/>
  <c r="AG241" i="2"/>
  <c r="AG231" i="2"/>
  <c r="AG221" i="2"/>
  <c r="AG211" i="2"/>
  <c r="AG201" i="2"/>
  <c r="AG191" i="2"/>
  <c r="AG181" i="2"/>
  <c r="AG171" i="2"/>
  <c r="AG161" i="2"/>
  <c r="AG151" i="2"/>
  <c r="AG141" i="2"/>
  <c r="AG131" i="2"/>
  <c r="AG121" i="2"/>
  <c r="AG111" i="2"/>
  <c r="AG101" i="2"/>
  <c r="AG91" i="2"/>
  <c r="AG81" i="2"/>
  <c r="AG71" i="2"/>
  <c r="AG61" i="2"/>
  <c r="AG51" i="2"/>
  <c r="AG41" i="2"/>
  <c r="AG31" i="2"/>
  <c r="AG21" i="2"/>
  <c r="AG11" i="2"/>
  <c r="AG240" i="2"/>
  <c r="AG230" i="2"/>
  <c r="AG220" i="2"/>
  <c r="AG210" i="2"/>
  <c r="AG200" i="2"/>
  <c r="AG190" i="2"/>
  <c r="AG180" i="2"/>
  <c r="AG170" i="2"/>
  <c r="AG160" i="2"/>
  <c r="AG150" i="2"/>
  <c r="AG140" i="2"/>
  <c r="AG130" i="2"/>
  <c r="AG120" i="2"/>
  <c r="AG110" i="2"/>
  <c r="AG100" i="2"/>
  <c r="AG90" i="2"/>
  <c r="AG80" i="2"/>
  <c r="AG70" i="2"/>
  <c r="AG60" i="2"/>
  <c r="AG50" i="2"/>
  <c r="AG40" i="2"/>
  <c r="AG30" i="2"/>
  <c r="AG20" i="2"/>
  <c r="AG10" i="2"/>
  <c r="AG239" i="2"/>
  <c r="AG229" i="2"/>
  <c r="AG219" i="2"/>
  <c r="AG209" i="2"/>
  <c r="AG199" i="2"/>
  <c r="AG189" i="2"/>
  <c r="AG179" i="2"/>
  <c r="AG169" i="2"/>
  <c r="AG159" i="2"/>
  <c r="AG149" i="2"/>
  <c r="AG139" i="2"/>
  <c r="AG129" i="2"/>
  <c r="AG119" i="2"/>
  <c r="AG109" i="2"/>
  <c r="AG99" i="2"/>
  <c r="AG89" i="2"/>
  <c r="AG79" i="2"/>
  <c r="AG69" i="2"/>
  <c r="AG59" i="2"/>
  <c r="AG49" i="2"/>
  <c r="AG39" i="2"/>
  <c r="AG29" i="2"/>
  <c r="AG19" i="2"/>
  <c r="AG9" i="2"/>
  <c r="AG238" i="2"/>
  <c r="AG228" i="2"/>
  <c r="AG218" i="2"/>
  <c r="AG208" i="2"/>
  <c r="AG198" i="2"/>
  <c r="AG188" i="2"/>
  <c r="AG178" i="2"/>
  <c r="AG168" i="2"/>
  <c r="AG158" i="2"/>
  <c r="AG148" i="2"/>
  <c r="AG138" i="2"/>
  <c r="AG128" i="2"/>
  <c r="AG118" i="2"/>
  <c r="AG108" i="2"/>
  <c r="AG98" i="2"/>
  <c r="AG88" i="2"/>
  <c r="AG78" i="2"/>
  <c r="AG68" i="2"/>
  <c r="AG58" i="2"/>
  <c r="AG48" i="2"/>
  <c r="AG38" i="2"/>
  <c r="AG28" i="2"/>
  <c r="AG18" i="2"/>
  <c r="AG8" i="2"/>
  <c r="AG237" i="2"/>
  <c r="AG227" i="2"/>
  <c r="AG217" i="2"/>
  <c r="AG207" i="2"/>
  <c r="AG197" i="2"/>
  <c r="AG187" i="2"/>
  <c r="AG177" i="2"/>
  <c r="AG167" i="2"/>
  <c r="AG157" i="2"/>
  <c r="AG147" i="2"/>
  <c r="AG137" i="2"/>
  <c r="AG127" i="2"/>
  <c r="AG117" i="2"/>
  <c r="AG107" i="2"/>
  <c r="AG97" i="2"/>
  <c r="AG87" i="2"/>
  <c r="AG77" i="2"/>
  <c r="AG67" i="2"/>
  <c r="AG57" i="2"/>
  <c r="AG47" i="2"/>
  <c r="AG37" i="2"/>
  <c r="AG27" i="2"/>
  <c r="AG17" i="2"/>
  <c r="AG7" i="2"/>
  <c r="AG236" i="2"/>
  <c r="AG226" i="2"/>
  <c r="AG216" i="2"/>
  <c r="AG206" i="2"/>
  <c r="AG196" i="2"/>
  <c r="AG186" i="2"/>
  <c r="AG176" i="2"/>
  <c r="AG166" i="2"/>
  <c r="AG156" i="2"/>
  <c r="AG146" i="2"/>
  <c r="AG136" i="2"/>
  <c r="AG126" i="2"/>
  <c r="AG116" i="2"/>
  <c r="AG106" i="2"/>
  <c r="AG96" i="2"/>
  <c r="AG86" i="2"/>
  <c r="AG76" i="2"/>
  <c r="AG66" i="2"/>
  <c r="AG56" i="2"/>
  <c r="AG46" i="2"/>
  <c r="AG36" i="2"/>
  <c r="AG26" i="2"/>
  <c r="AG16" i="2"/>
  <c r="AG6" i="2"/>
  <c r="AG235" i="2"/>
  <c r="AG225" i="2"/>
  <c r="AG215" i="2"/>
  <c r="AG205" i="2"/>
  <c r="AG195" i="2"/>
  <c r="AG185" i="2"/>
  <c r="AG175" i="2"/>
  <c r="AG165" i="2"/>
  <c r="AG155" i="2"/>
  <c r="AG145" i="2"/>
  <c r="AG135" i="2"/>
  <c r="AG125" i="2"/>
  <c r="AG115" i="2"/>
  <c r="AG105" i="2"/>
  <c r="AG95" i="2"/>
  <c r="AG85" i="2"/>
  <c r="AG75" i="2"/>
  <c r="AG65" i="2"/>
  <c r="AG55" i="2"/>
  <c r="AG45" i="2"/>
  <c r="AG35" i="2"/>
  <c r="AG25" i="2"/>
  <c r="AG15" i="2"/>
  <c r="AG5" i="2"/>
  <c r="AG234" i="2"/>
  <c r="AG224" i="2"/>
  <c r="AG214" i="2"/>
  <c r="AG204" i="2"/>
  <c r="AG194" i="2"/>
  <c r="AG184" i="2"/>
  <c r="AG174" i="2"/>
  <c r="AG164" i="2"/>
  <c r="AG154" i="2"/>
  <c r="AG144" i="2"/>
  <c r="AG134" i="2"/>
  <c r="AG124" i="2"/>
  <c r="AG114" i="2"/>
  <c r="AG104" i="2"/>
  <c r="AG94" i="2"/>
  <c r="AG84" i="2"/>
  <c r="AG74" i="2"/>
  <c r="AG64" i="2"/>
  <c r="AG54" i="2"/>
  <c r="AG44" i="2"/>
  <c r="AG34" i="2"/>
  <c r="AG24" i="2"/>
  <c r="AG14" i="2"/>
  <c r="AG4" i="2"/>
  <c r="AG233" i="2"/>
  <c r="AG223" i="2"/>
  <c r="AG213" i="2"/>
  <c r="AG203" i="2"/>
  <c r="AG193" i="2"/>
  <c r="AG183" i="2"/>
  <c r="AG173" i="2"/>
  <c r="AG163" i="2"/>
  <c r="AG153" i="2"/>
  <c r="AG143" i="2"/>
  <c r="AG133" i="2"/>
  <c r="AG123" i="2"/>
  <c r="AG113" i="2"/>
  <c r="AG103" i="2"/>
  <c r="AG93" i="2"/>
  <c r="AG83" i="2"/>
  <c r="AG73" i="2"/>
  <c r="AG63" i="2"/>
  <c r="AG53" i="2"/>
  <c r="AG43" i="2"/>
  <c r="AG33" i="2"/>
  <c r="AG23" i="2"/>
  <c r="AG13" i="2"/>
  <c r="AG3" i="2"/>
  <c r="AG232" i="2"/>
  <c r="AG222" i="2"/>
  <c r="AG212" i="2"/>
  <c r="AG202" i="2"/>
  <c r="AG192" i="2"/>
  <c r="AG182" i="2"/>
  <c r="AG172" i="2"/>
  <c r="AG162" i="2"/>
  <c r="AG152" i="2"/>
  <c r="AG142" i="2"/>
  <c r="AG132" i="2"/>
  <c r="AG122" i="2"/>
  <c r="AG112" i="2"/>
  <c r="AG102" i="2"/>
  <c r="AG92" i="2"/>
  <c r="AG82" i="2"/>
  <c r="AG72" i="2"/>
  <c r="AG62" i="2"/>
  <c r="AG52" i="2"/>
  <c r="AG42" i="2"/>
  <c r="AG32" i="2"/>
  <c r="AG22" i="2"/>
  <c r="AG12" i="2"/>
  <c r="AG2" i="2"/>
  <c r="AF241" i="2"/>
  <c r="AF231" i="2"/>
  <c r="AF221" i="2"/>
  <c r="AF211" i="2"/>
  <c r="AF201" i="2"/>
  <c r="AF191" i="2"/>
  <c r="AF181" i="2"/>
  <c r="AF171" i="2"/>
  <c r="AF161" i="2"/>
  <c r="AF151" i="2"/>
  <c r="AF141" i="2"/>
  <c r="AF131" i="2"/>
  <c r="AF121" i="2"/>
  <c r="AF111" i="2"/>
  <c r="AF101" i="2"/>
  <c r="AF91" i="2"/>
  <c r="AF81" i="2"/>
  <c r="AF71" i="2"/>
  <c r="AF61" i="2"/>
  <c r="AF51" i="2"/>
  <c r="AF41" i="2"/>
  <c r="AF31" i="2"/>
  <c r="AF21" i="2"/>
  <c r="AF11" i="2"/>
  <c r="AF240" i="2"/>
  <c r="AF230" i="2"/>
  <c r="AF220" i="2"/>
  <c r="AF210" i="2"/>
  <c r="AF200" i="2"/>
  <c r="AF190" i="2"/>
  <c r="AF180" i="2"/>
  <c r="AF170" i="2"/>
  <c r="AF160" i="2"/>
  <c r="AF150" i="2"/>
  <c r="AF140" i="2"/>
  <c r="AF130" i="2"/>
  <c r="AF120" i="2"/>
  <c r="AF110" i="2"/>
  <c r="AF100" i="2"/>
  <c r="AF90" i="2"/>
  <c r="AF80" i="2"/>
  <c r="AF70" i="2"/>
  <c r="AF60" i="2"/>
  <c r="AF50" i="2"/>
  <c r="AF40" i="2"/>
  <c r="AF30" i="2"/>
  <c r="AF20" i="2"/>
  <c r="AF10" i="2"/>
  <c r="AF239" i="2"/>
  <c r="AF229" i="2"/>
  <c r="AF219" i="2"/>
  <c r="AF209" i="2"/>
  <c r="AF199" i="2"/>
  <c r="AF189" i="2"/>
  <c r="AF179" i="2"/>
  <c r="AF169" i="2"/>
  <c r="AF159" i="2"/>
  <c r="AF149" i="2"/>
  <c r="AF139" i="2"/>
  <c r="AF129" i="2"/>
  <c r="AF119" i="2"/>
  <c r="AF109" i="2"/>
  <c r="AF99" i="2"/>
  <c r="AF89" i="2"/>
  <c r="AF79" i="2"/>
  <c r="AF69" i="2"/>
  <c r="AF59" i="2"/>
  <c r="AF49" i="2"/>
  <c r="AF39" i="2"/>
  <c r="AF29" i="2"/>
  <c r="AF19" i="2"/>
  <c r="AF9" i="2"/>
  <c r="AF238" i="2"/>
  <c r="AF228" i="2"/>
  <c r="AF218" i="2"/>
  <c r="AF208" i="2"/>
  <c r="AF198" i="2"/>
  <c r="AF188" i="2"/>
  <c r="AF178" i="2"/>
  <c r="AF168" i="2"/>
  <c r="AF158" i="2"/>
  <c r="AF148" i="2"/>
  <c r="AF138" i="2"/>
  <c r="AF128" i="2"/>
  <c r="AF118" i="2"/>
  <c r="AF108" i="2"/>
  <c r="AF98" i="2"/>
  <c r="AF88" i="2"/>
  <c r="AF78" i="2"/>
  <c r="AF68" i="2"/>
  <c r="AF58" i="2"/>
  <c r="AF48" i="2"/>
  <c r="AF38" i="2"/>
  <c r="AF28" i="2"/>
  <c r="AF18" i="2"/>
  <c r="AF8" i="2"/>
  <c r="AF237" i="2"/>
  <c r="AF227" i="2"/>
  <c r="AF217" i="2"/>
  <c r="AF207" i="2"/>
  <c r="AF197" i="2"/>
  <c r="AF187" i="2"/>
  <c r="AF177" i="2"/>
  <c r="AF167" i="2"/>
  <c r="AF157" i="2"/>
  <c r="AF147" i="2"/>
  <c r="AF137" i="2"/>
  <c r="AF127" i="2"/>
  <c r="AF117" i="2"/>
  <c r="AF107" i="2"/>
  <c r="AF97" i="2"/>
  <c r="AF87" i="2"/>
  <c r="AF77" i="2"/>
  <c r="AF67" i="2"/>
  <c r="AF57" i="2"/>
  <c r="AF47" i="2"/>
  <c r="AF37" i="2"/>
  <c r="AF27" i="2"/>
  <c r="AF17" i="2"/>
  <c r="AF7" i="2"/>
  <c r="AF236" i="2"/>
  <c r="AF226" i="2"/>
  <c r="AF216" i="2"/>
  <c r="AF206" i="2"/>
  <c r="AF196" i="2"/>
  <c r="AF186" i="2"/>
  <c r="AF176" i="2"/>
  <c r="AF166" i="2"/>
  <c r="AF156" i="2"/>
  <c r="AF146" i="2"/>
  <c r="AF136" i="2"/>
  <c r="AF126" i="2"/>
  <c r="AF116" i="2"/>
  <c r="AF106" i="2"/>
  <c r="AF96" i="2"/>
  <c r="AF86" i="2"/>
  <c r="AF76" i="2"/>
  <c r="AF66" i="2"/>
  <c r="AF56" i="2"/>
  <c r="AF46" i="2"/>
  <c r="AF36" i="2"/>
  <c r="AF26" i="2"/>
  <c r="AF16" i="2"/>
  <c r="AF6" i="2"/>
  <c r="AF235" i="2"/>
  <c r="AF225" i="2"/>
  <c r="AF215" i="2"/>
  <c r="AF205" i="2"/>
  <c r="AF195" i="2"/>
  <c r="AF185" i="2"/>
  <c r="AF175" i="2"/>
  <c r="AF165" i="2"/>
  <c r="AF155" i="2"/>
  <c r="AF145" i="2"/>
  <c r="AF135" i="2"/>
  <c r="AF125" i="2"/>
  <c r="AF115" i="2"/>
  <c r="AF105" i="2"/>
  <c r="AF95" i="2"/>
  <c r="AF85" i="2"/>
  <c r="AF75" i="2"/>
  <c r="AF65" i="2"/>
  <c r="AF55" i="2"/>
  <c r="AF45" i="2"/>
  <c r="AF35" i="2"/>
  <c r="AF25" i="2"/>
  <c r="AF15" i="2"/>
  <c r="AF5" i="2"/>
  <c r="AF234" i="2"/>
  <c r="AF224" i="2"/>
  <c r="AF214" i="2"/>
  <c r="AF204" i="2"/>
  <c r="AF194" i="2"/>
  <c r="AF184" i="2"/>
  <c r="AF174" i="2"/>
  <c r="AF164" i="2"/>
  <c r="AF154" i="2"/>
  <c r="AF144" i="2"/>
  <c r="AF134" i="2"/>
  <c r="AF124" i="2"/>
  <c r="AF114" i="2"/>
  <c r="AF104" i="2"/>
  <c r="AF94" i="2"/>
  <c r="AF84" i="2"/>
  <c r="AF74" i="2"/>
  <c r="AF64" i="2"/>
  <c r="AF54" i="2"/>
  <c r="AF44" i="2"/>
  <c r="AF34" i="2"/>
  <c r="AF24" i="2"/>
  <c r="AF14" i="2"/>
  <c r="AF4" i="2"/>
  <c r="AF233" i="2"/>
  <c r="AF223" i="2"/>
  <c r="AF213" i="2"/>
  <c r="AF203" i="2"/>
  <c r="AF193" i="2"/>
  <c r="AF183" i="2"/>
  <c r="AF173" i="2"/>
  <c r="AF163" i="2"/>
  <c r="AF153" i="2"/>
  <c r="AF143" i="2"/>
  <c r="AF133" i="2"/>
  <c r="AF123" i="2"/>
  <c r="AF113" i="2"/>
  <c r="AF103" i="2"/>
  <c r="AF93" i="2"/>
  <c r="AF83" i="2"/>
  <c r="AF73" i="2"/>
  <c r="AF63" i="2"/>
  <c r="AF53" i="2"/>
  <c r="AF43" i="2"/>
  <c r="AF33" i="2"/>
  <c r="AF23" i="2"/>
  <c r="AF13" i="2"/>
  <c r="AF3" i="2"/>
  <c r="AF232" i="2"/>
  <c r="AF222" i="2"/>
  <c r="AF212" i="2"/>
  <c r="AF202" i="2"/>
  <c r="AF192" i="2"/>
  <c r="AF182" i="2"/>
  <c r="AF172" i="2"/>
  <c r="AF162" i="2"/>
  <c r="AF152" i="2"/>
  <c r="AF142" i="2"/>
  <c r="AF132" i="2"/>
  <c r="AF122" i="2"/>
  <c r="AF112" i="2"/>
  <c r="AF102" i="2"/>
  <c r="AF92" i="2"/>
  <c r="AF82" i="2"/>
  <c r="AF72" i="2"/>
  <c r="AF62" i="2"/>
  <c r="AF52" i="2"/>
  <c r="AF42" i="2"/>
  <c r="AF32" i="2"/>
  <c r="AF22" i="2"/>
  <c r="AF12" i="2"/>
  <c r="AF2" i="2"/>
  <c r="AE241" i="2"/>
  <c r="AE231" i="2"/>
  <c r="AE221" i="2"/>
  <c r="AE211" i="2"/>
  <c r="AE201" i="2"/>
  <c r="AE191" i="2"/>
  <c r="AE181" i="2"/>
  <c r="AE171" i="2"/>
  <c r="AE161" i="2"/>
  <c r="AE151" i="2"/>
  <c r="AE141" i="2"/>
  <c r="AE131" i="2"/>
  <c r="AE121" i="2"/>
  <c r="AE111" i="2"/>
  <c r="AE101" i="2"/>
  <c r="AE91" i="2"/>
  <c r="AE81" i="2"/>
  <c r="AE71" i="2"/>
  <c r="AE61" i="2"/>
  <c r="AE51" i="2"/>
  <c r="AE41" i="2"/>
  <c r="AE31" i="2"/>
  <c r="AE21" i="2"/>
  <c r="AE11" i="2"/>
  <c r="AE240" i="2"/>
  <c r="AE230" i="2"/>
  <c r="AE220" i="2"/>
  <c r="AE210" i="2"/>
  <c r="AE200" i="2"/>
  <c r="AE190" i="2"/>
  <c r="AE180" i="2"/>
  <c r="AE170" i="2"/>
  <c r="AE160" i="2"/>
  <c r="AE150" i="2"/>
  <c r="AE140" i="2"/>
  <c r="AE130" i="2"/>
  <c r="AE120" i="2"/>
  <c r="AE110" i="2"/>
  <c r="AE100" i="2"/>
  <c r="AE90" i="2"/>
  <c r="AE80" i="2"/>
  <c r="AE70" i="2"/>
  <c r="AE60" i="2"/>
  <c r="AE50" i="2"/>
  <c r="AE40" i="2"/>
  <c r="AE30" i="2"/>
  <c r="AE20" i="2"/>
  <c r="AE10" i="2"/>
  <c r="AE239" i="2"/>
  <c r="AE229" i="2"/>
  <c r="AE219" i="2"/>
  <c r="AE209" i="2"/>
  <c r="AE199" i="2"/>
  <c r="AE189" i="2"/>
  <c r="AE179" i="2"/>
  <c r="AE169" i="2"/>
  <c r="AE159" i="2"/>
  <c r="AE149" i="2"/>
  <c r="AE139" i="2"/>
  <c r="AE129" i="2"/>
  <c r="AE119" i="2"/>
  <c r="AE109" i="2"/>
  <c r="AE99" i="2"/>
  <c r="AE89" i="2"/>
  <c r="AE79" i="2"/>
  <c r="AE69" i="2"/>
  <c r="AE59" i="2"/>
  <c r="AE49" i="2"/>
  <c r="AE39" i="2"/>
  <c r="AE29" i="2"/>
  <c r="AE19" i="2"/>
  <c r="AE9" i="2"/>
  <c r="AE238" i="2"/>
  <c r="AE228" i="2"/>
  <c r="AE218" i="2"/>
  <c r="AE208" i="2"/>
  <c r="AE198" i="2"/>
  <c r="AE188" i="2"/>
  <c r="AE178" i="2"/>
  <c r="AE168" i="2"/>
  <c r="AE158" i="2"/>
  <c r="AE148" i="2"/>
  <c r="AE138" i="2"/>
  <c r="AE128" i="2"/>
  <c r="AE118" i="2"/>
  <c r="AE108" i="2"/>
  <c r="AE98" i="2"/>
  <c r="AE88" i="2"/>
  <c r="AE78" i="2"/>
  <c r="AE68" i="2"/>
  <c r="AE58" i="2"/>
  <c r="AE48" i="2"/>
  <c r="AE38" i="2"/>
  <c r="AE28" i="2"/>
  <c r="AE18" i="2"/>
  <c r="AE8" i="2"/>
  <c r="AE237" i="2"/>
  <c r="AE227" i="2"/>
  <c r="AE217" i="2"/>
  <c r="AE207" i="2"/>
  <c r="AE197" i="2"/>
  <c r="AE187" i="2"/>
  <c r="AE177" i="2"/>
  <c r="AE167" i="2"/>
  <c r="AE157" i="2"/>
  <c r="AE147" i="2"/>
  <c r="AE137" i="2"/>
  <c r="AE127" i="2"/>
  <c r="AE117" i="2"/>
  <c r="AE107" i="2"/>
  <c r="AE97" i="2"/>
  <c r="AE87" i="2"/>
  <c r="AE77" i="2"/>
  <c r="AE67" i="2"/>
  <c r="AE57" i="2"/>
  <c r="AE47" i="2"/>
  <c r="AE37" i="2"/>
  <c r="AE27" i="2"/>
  <c r="AE17" i="2"/>
  <c r="AE7" i="2"/>
  <c r="AE236" i="2"/>
  <c r="AE226" i="2"/>
  <c r="AE216" i="2"/>
  <c r="AE206" i="2"/>
  <c r="AE196" i="2"/>
  <c r="AE186" i="2"/>
  <c r="AE176" i="2"/>
  <c r="AE166" i="2"/>
  <c r="AE156" i="2"/>
  <c r="AE146" i="2"/>
  <c r="AE136" i="2"/>
  <c r="AE126" i="2"/>
  <c r="AE116" i="2"/>
  <c r="AE106" i="2"/>
  <c r="AE96" i="2"/>
  <c r="AE86" i="2"/>
  <c r="AE76" i="2"/>
  <c r="AE66" i="2"/>
  <c r="AE56" i="2"/>
  <c r="AE46" i="2"/>
  <c r="AE36" i="2"/>
  <c r="AE26" i="2"/>
  <c r="AE16" i="2"/>
  <c r="AE6" i="2"/>
  <c r="AE235" i="2"/>
  <c r="AE225" i="2"/>
  <c r="AE215" i="2"/>
  <c r="AE205" i="2"/>
  <c r="AE195" i="2"/>
  <c r="AE185" i="2"/>
  <c r="AE175" i="2"/>
  <c r="AE165" i="2"/>
  <c r="AE155" i="2"/>
  <c r="AE145" i="2"/>
  <c r="AE135" i="2"/>
  <c r="AE125" i="2"/>
  <c r="AE115" i="2"/>
  <c r="AE105" i="2"/>
  <c r="AE95" i="2"/>
  <c r="AE85" i="2"/>
  <c r="AE75" i="2"/>
  <c r="AE65" i="2"/>
  <c r="AE55" i="2"/>
  <c r="AE45" i="2"/>
  <c r="AE35" i="2"/>
  <c r="AE25" i="2"/>
  <c r="AE15" i="2"/>
  <c r="AE5" i="2"/>
  <c r="AE234" i="2"/>
  <c r="AE224" i="2"/>
  <c r="AE214" i="2"/>
  <c r="AE204" i="2"/>
  <c r="AE194" i="2"/>
  <c r="AE184" i="2"/>
  <c r="AE174" i="2"/>
  <c r="AE164" i="2"/>
  <c r="AE154" i="2"/>
  <c r="AE144" i="2"/>
  <c r="AE134" i="2"/>
  <c r="AE124" i="2"/>
  <c r="AE114" i="2"/>
  <c r="AE104" i="2"/>
  <c r="AE94" i="2"/>
  <c r="AE84" i="2"/>
  <c r="AE74" i="2"/>
  <c r="AE64" i="2"/>
  <c r="AE54" i="2"/>
  <c r="AE44" i="2"/>
  <c r="AE34" i="2"/>
  <c r="AE24" i="2"/>
  <c r="AE14" i="2"/>
  <c r="AE4" i="2"/>
  <c r="AE233" i="2"/>
  <c r="AE223" i="2"/>
  <c r="AE213" i="2"/>
  <c r="AE203" i="2"/>
  <c r="AE193" i="2"/>
  <c r="AE183" i="2"/>
  <c r="AE173" i="2"/>
  <c r="AE163" i="2"/>
  <c r="AE153" i="2"/>
  <c r="AE143" i="2"/>
  <c r="AE133" i="2"/>
  <c r="AE123" i="2"/>
  <c r="AE113" i="2"/>
  <c r="AE103" i="2"/>
  <c r="AE93" i="2"/>
  <c r="AE83" i="2"/>
  <c r="AE73" i="2"/>
  <c r="AE63" i="2"/>
  <c r="AE53" i="2"/>
  <c r="AE43" i="2"/>
  <c r="AE33" i="2"/>
  <c r="AE23" i="2"/>
  <c r="AE13" i="2"/>
  <c r="AE3" i="2"/>
  <c r="AE232" i="2"/>
  <c r="AE222" i="2"/>
  <c r="AE212" i="2"/>
  <c r="AE202" i="2"/>
  <c r="AE192" i="2"/>
  <c r="AE182" i="2"/>
  <c r="AE172" i="2"/>
  <c r="AE162" i="2"/>
  <c r="AE152" i="2"/>
  <c r="AE142" i="2"/>
  <c r="AE132" i="2"/>
  <c r="AE122" i="2"/>
  <c r="AE112" i="2"/>
  <c r="AE102" i="2"/>
  <c r="AE92" i="2"/>
  <c r="AE82" i="2"/>
  <c r="AE72" i="2"/>
  <c r="AE62" i="2"/>
  <c r="AE52" i="2"/>
  <c r="AE42" i="2"/>
  <c r="AE32" i="2"/>
  <c r="AE22" i="2"/>
  <c r="AE12" i="2"/>
  <c r="AE2" i="2"/>
  <c r="AD241" i="2"/>
  <c r="AD231" i="2"/>
  <c r="AD221" i="2"/>
  <c r="AD211" i="2"/>
  <c r="AD201" i="2"/>
  <c r="AD191" i="2"/>
  <c r="AD181" i="2"/>
  <c r="AD171" i="2"/>
  <c r="AD161" i="2"/>
  <c r="AD151" i="2"/>
  <c r="AD141" i="2"/>
  <c r="AD131" i="2"/>
  <c r="AD121" i="2"/>
  <c r="AD111" i="2"/>
  <c r="AD101" i="2"/>
  <c r="AD91" i="2"/>
  <c r="AD81" i="2"/>
  <c r="AD71" i="2"/>
  <c r="AD61" i="2"/>
  <c r="AD51" i="2"/>
  <c r="AD41" i="2"/>
  <c r="AD31" i="2"/>
  <c r="AD21" i="2"/>
  <c r="AD11" i="2"/>
  <c r="AD240" i="2"/>
  <c r="AD230" i="2"/>
  <c r="AD220" i="2"/>
  <c r="AD210" i="2"/>
  <c r="AD200" i="2"/>
  <c r="AD190" i="2"/>
  <c r="AD180" i="2"/>
  <c r="AD170" i="2"/>
  <c r="AD160" i="2"/>
  <c r="AD150" i="2"/>
  <c r="AD140" i="2"/>
  <c r="AD130" i="2"/>
  <c r="AD120" i="2"/>
  <c r="AD110" i="2"/>
  <c r="AD100" i="2"/>
  <c r="AD90" i="2"/>
  <c r="AD80" i="2"/>
  <c r="AD70" i="2"/>
  <c r="AD60" i="2"/>
  <c r="AD50" i="2"/>
  <c r="AD40" i="2"/>
  <c r="AD30" i="2"/>
  <c r="AD20" i="2"/>
  <c r="AD10" i="2"/>
  <c r="AD239" i="2"/>
  <c r="AD229" i="2"/>
  <c r="AD219" i="2"/>
  <c r="AD209" i="2"/>
  <c r="AD199" i="2"/>
  <c r="AD189" i="2"/>
  <c r="AD179" i="2"/>
  <c r="AD169" i="2"/>
  <c r="AD159" i="2"/>
  <c r="AD149" i="2"/>
  <c r="AD139" i="2"/>
  <c r="AD129" i="2"/>
  <c r="AD119" i="2"/>
  <c r="AD109" i="2"/>
  <c r="AD99" i="2"/>
  <c r="AD89" i="2"/>
  <c r="AD79" i="2"/>
  <c r="AD69" i="2"/>
  <c r="AD59" i="2"/>
  <c r="AD49" i="2"/>
  <c r="AD39" i="2"/>
  <c r="AD29" i="2"/>
  <c r="AD19" i="2"/>
  <c r="AD9" i="2"/>
  <c r="AD238" i="2"/>
  <c r="AD228" i="2"/>
  <c r="AD218" i="2"/>
  <c r="AD208" i="2"/>
  <c r="AD198" i="2"/>
  <c r="AD188" i="2"/>
  <c r="AD178" i="2"/>
  <c r="AD168" i="2"/>
  <c r="AD158" i="2"/>
  <c r="AD148" i="2"/>
  <c r="AD138" i="2"/>
  <c r="AD128" i="2"/>
  <c r="AD118" i="2"/>
  <c r="AD108" i="2"/>
  <c r="AD98" i="2"/>
  <c r="AD88" i="2"/>
  <c r="AD78" i="2"/>
  <c r="AD68" i="2"/>
  <c r="AD58" i="2"/>
  <c r="AD48" i="2"/>
  <c r="AD38" i="2"/>
  <c r="AD28" i="2"/>
  <c r="AD18" i="2"/>
  <c r="AD8" i="2"/>
  <c r="AD237" i="2"/>
  <c r="AD227" i="2"/>
  <c r="AD217" i="2"/>
  <c r="AD207" i="2"/>
  <c r="AD197" i="2"/>
  <c r="AD187" i="2"/>
  <c r="AD177" i="2"/>
  <c r="AD167" i="2"/>
  <c r="AD157" i="2"/>
  <c r="AD147" i="2"/>
  <c r="AD137" i="2"/>
  <c r="AD127" i="2"/>
  <c r="AD117" i="2"/>
  <c r="AD107" i="2"/>
  <c r="AD97" i="2"/>
  <c r="AD87" i="2"/>
  <c r="AD77" i="2"/>
  <c r="AD67" i="2"/>
  <c r="AD57" i="2"/>
  <c r="AD47" i="2"/>
  <c r="AD37" i="2"/>
  <c r="AD27" i="2"/>
  <c r="AD17" i="2"/>
  <c r="AD7" i="2"/>
  <c r="AD236" i="2"/>
  <c r="AD226" i="2"/>
  <c r="AD216" i="2"/>
  <c r="AD206" i="2"/>
  <c r="AD196" i="2"/>
  <c r="AD186" i="2"/>
  <c r="AD176" i="2"/>
  <c r="AD166" i="2"/>
  <c r="AD156" i="2"/>
  <c r="AD146" i="2"/>
  <c r="AD136" i="2"/>
  <c r="AD126" i="2"/>
  <c r="AD116" i="2"/>
  <c r="AD106" i="2"/>
  <c r="AD96" i="2"/>
  <c r="AD86" i="2"/>
  <c r="AD76" i="2"/>
  <c r="AD66" i="2"/>
  <c r="AD56" i="2"/>
  <c r="AD46" i="2"/>
  <c r="AD36" i="2"/>
  <c r="AD26" i="2"/>
  <c r="AD16" i="2"/>
  <c r="AD6" i="2"/>
  <c r="AD235" i="2"/>
  <c r="AD225" i="2"/>
  <c r="AD215" i="2"/>
  <c r="AD205" i="2"/>
  <c r="AD195" i="2"/>
  <c r="AD185" i="2"/>
  <c r="AD175" i="2"/>
  <c r="AD165" i="2"/>
  <c r="AD155" i="2"/>
  <c r="AD145" i="2"/>
  <c r="AD135" i="2"/>
  <c r="AD125" i="2"/>
  <c r="AD115" i="2"/>
  <c r="AD105" i="2"/>
  <c r="AD95" i="2"/>
  <c r="AD85" i="2"/>
  <c r="AD75" i="2"/>
  <c r="AD65" i="2"/>
  <c r="AD55" i="2"/>
  <c r="AD45" i="2"/>
  <c r="AD35" i="2"/>
  <c r="AD25" i="2"/>
  <c r="AD15" i="2"/>
  <c r="AD5" i="2"/>
  <c r="AD234" i="2"/>
  <c r="AD224" i="2"/>
  <c r="AD214" i="2"/>
  <c r="AD204" i="2"/>
  <c r="AD194" i="2"/>
  <c r="AD184" i="2"/>
  <c r="AD174" i="2"/>
  <c r="AD164" i="2"/>
  <c r="AD154" i="2"/>
  <c r="AD144" i="2"/>
  <c r="AD134" i="2"/>
  <c r="AD124" i="2"/>
  <c r="AD114" i="2"/>
  <c r="AD104" i="2"/>
  <c r="AD94" i="2"/>
  <c r="AD84" i="2"/>
  <c r="AD74" i="2"/>
  <c r="AD64" i="2"/>
  <c r="AD54" i="2"/>
  <c r="AD44" i="2"/>
  <c r="AD34" i="2"/>
  <c r="AD24" i="2"/>
  <c r="AD14" i="2"/>
  <c r="AD4" i="2"/>
  <c r="AD233" i="2"/>
  <c r="AD223" i="2"/>
  <c r="AD213" i="2"/>
  <c r="AD203" i="2"/>
  <c r="AD193" i="2"/>
  <c r="AD183" i="2"/>
  <c r="AD173" i="2"/>
  <c r="AD163" i="2"/>
  <c r="AD153" i="2"/>
  <c r="AD143" i="2"/>
  <c r="AD133" i="2"/>
  <c r="AD123" i="2"/>
  <c r="AD113" i="2"/>
  <c r="AD103" i="2"/>
  <c r="AD93" i="2"/>
  <c r="AD83" i="2"/>
  <c r="AD73" i="2"/>
  <c r="AD63" i="2"/>
  <c r="AD53" i="2"/>
  <c r="AD43" i="2"/>
  <c r="AD33" i="2"/>
  <c r="AD23" i="2"/>
  <c r="AD13" i="2"/>
  <c r="AD3" i="2"/>
  <c r="AD232" i="2"/>
  <c r="AD222" i="2"/>
  <c r="AD212" i="2"/>
  <c r="AD202" i="2"/>
  <c r="AD192" i="2"/>
  <c r="AD182" i="2"/>
  <c r="AD172" i="2"/>
  <c r="AD162" i="2"/>
  <c r="AD152" i="2"/>
  <c r="AD142" i="2"/>
  <c r="AD132" i="2"/>
  <c r="AD122" i="2"/>
  <c r="AD112" i="2"/>
  <c r="AD102" i="2"/>
  <c r="AD92" i="2"/>
  <c r="AD82" i="2"/>
  <c r="AD72" i="2"/>
  <c r="AD62" i="2"/>
  <c r="AD52" i="2"/>
  <c r="AD42" i="2"/>
  <c r="AD32" i="2"/>
  <c r="AD22" i="2"/>
  <c r="AD12" i="2"/>
  <c r="AD2" i="2"/>
  <c r="AC241" i="2"/>
  <c r="AC231" i="2"/>
  <c r="AC221" i="2"/>
  <c r="AC211" i="2"/>
  <c r="AC201" i="2"/>
  <c r="AC191" i="2"/>
  <c r="AC181" i="2"/>
  <c r="AC171" i="2"/>
  <c r="AC161" i="2"/>
  <c r="AC151" i="2"/>
  <c r="AC141" i="2"/>
  <c r="AC131" i="2"/>
  <c r="AC121" i="2"/>
  <c r="AC111" i="2"/>
  <c r="AC101" i="2"/>
  <c r="AC91" i="2"/>
  <c r="AC81" i="2"/>
  <c r="AC71" i="2"/>
  <c r="AC61" i="2"/>
  <c r="AC51" i="2"/>
  <c r="AC41" i="2"/>
  <c r="AC31" i="2"/>
  <c r="AC21" i="2"/>
  <c r="AC11" i="2"/>
  <c r="AC240" i="2"/>
  <c r="AC230" i="2"/>
  <c r="AC220" i="2"/>
  <c r="AC210" i="2"/>
  <c r="AC200" i="2"/>
  <c r="AC190" i="2"/>
  <c r="AC180" i="2"/>
  <c r="AC170" i="2"/>
  <c r="AC160" i="2"/>
  <c r="AC150" i="2"/>
  <c r="AC140" i="2"/>
  <c r="AC130" i="2"/>
  <c r="AC120" i="2"/>
  <c r="AC110" i="2"/>
  <c r="AC100" i="2"/>
  <c r="AC90" i="2"/>
  <c r="AC80" i="2"/>
  <c r="AC70" i="2"/>
  <c r="AC60" i="2"/>
  <c r="AC50" i="2"/>
  <c r="AC40" i="2"/>
  <c r="AC30" i="2"/>
  <c r="AC20" i="2"/>
  <c r="AC10" i="2"/>
  <c r="AC239" i="2"/>
  <c r="AC229" i="2"/>
  <c r="AC219" i="2"/>
  <c r="AC209" i="2"/>
  <c r="AC199" i="2"/>
  <c r="AC189" i="2"/>
  <c r="AC179" i="2"/>
  <c r="AC169" i="2"/>
  <c r="AC159" i="2"/>
  <c r="AC149" i="2"/>
  <c r="AC139" i="2"/>
  <c r="AC129" i="2"/>
  <c r="AC119" i="2"/>
  <c r="AC109" i="2"/>
  <c r="AC99" i="2"/>
  <c r="AC89" i="2"/>
  <c r="AC79" i="2"/>
  <c r="AC69" i="2"/>
  <c r="AC59" i="2"/>
  <c r="AC49" i="2"/>
  <c r="AC39" i="2"/>
  <c r="AC29" i="2"/>
  <c r="AC19" i="2"/>
  <c r="AC9" i="2"/>
  <c r="AC238" i="2"/>
  <c r="AC228" i="2"/>
  <c r="AC218" i="2"/>
  <c r="AC208" i="2"/>
  <c r="AC198" i="2"/>
  <c r="AC188" i="2"/>
  <c r="AC178" i="2"/>
  <c r="AC168" i="2"/>
  <c r="AC158" i="2"/>
  <c r="AC148" i="2"/>
  <c r="AC138" i="2"/>
  <c r="AC128" i="2"/>
  <c r="AC118" i="2"/>
  <c r="AC108" i="2"/>
  <c r="AC98" i="2"/>
  <c r="AC88" i="2"/>
  <c r="AC78" i="2"/>
  <c r="AC68" i="2"/>
  <c r="AC58" i="2"/>
  <c r="AC48" i="2"/>
  <c r="AC38" i="2"/>
  <c r="AC28" i="2"/>
  <c r="AC18" i="2"/>
  <c r="AC8" i="2"/>
  <c r="AC237" i="2"/>
  <c r="AC227" i="2"/>
  <c r="AC217" i="2"/>
  <c r="AC207" i="2"/>
  <c r="AC197" i="2"/>
  <c r="AC187" i="2"/>
  <c r="AC177" i="2"/>
  <c r="AC167" i="2"/>
  <c r="AC157" i="2"/>
  <c r="AC147" i="2"/>
  <c r="AC137" i="2"/>
  <c r="AC127" i="2"/>
  <c r="AC117" i="2"/>
  <c r="AC107" i="2"/>
  <c r="AC97" i="2"/>
  <c r="AC87" i="2"/>
  <c r="AC77" i="2"/>
  <c r="AC67" i="2"/>
  <c r="AC57" i="2"/>
  <c r="AC47" i="2"/>
  <c r="AC37" i="2"/>
  <c r="AC27" i="2"/>
  <c r="AC17" i="2"/>
  <c r="AC7" i="2"/>
  <c r="AC236" i="2"/>
  <c r="AC226" i="2"/>
  <c r="AC216" i="2"/>
  <c r="AC206" i="2"/>
  <c r="AC196" i="2"/>
  <c r="AC186" i="2"/>
  <c r="AC176" i="2"/>
  <c r="AC166" i="2"/>
  <c r="AC156" i="2"/>
  <c r="AC146" i="2"/>
  <c r="AC136" i="2"/>
  <c r="AC126" i="2"/>
  <c r="AC116" i="2"/>
  <c r="AC106" i="2"/>
  <c r="AC96" i="2"/>
  <c r="AC86" i="2"/>
  <c r="AC76" i="2"/>
  <c r="AC66" i="2"/>
  <c r="AC56" i="2"/>
  <c r="AC46" i="2"/>
  <c r="AC36" i="2"/>
  <c r="AC26" i="2"/>
  <c r="AC16" i="2"/>
  <c r="AC6" i="2"/>
  <c r="AC235" i="2"/>
  <c r="AC225" i="2"/>
  <c r="AC215" i="2"/>
  <c r="AC205" i="2"/>
  <c r="AC195" i="2"/>
  <c r="AC185" i="2"/>
  <c r="AC175" i="2"/>
  <c r="AC165" i="2"/>
  <c r="AC155" i="2"/>
  <c r="AC145" i="2"/>
  <c r="AC135" i="2"/>
  <c r="AC125" i="2"/>
  <c r="AC115" i="2"/>
  <c r="AC105" i="2"/>
  <c r="AC95" i="2"/>
  <c r="AC85" i="2"/>
  <c r="AC75" i="2"/>
  <c r="AC65" i="2"/>
  <c r="AC55" i="2"/>
  <c r="AC45" i="2"/>
  <c r="AC35" i="2"/>
  <c r="AC25" i="2"/>
  <c r="AC15" i="2"/>
  <c r="AC5" i="2"/>
  <c r="AC234" i="2"/>
  <c r="AC224" i="2"/>
  <c r="AC214" i="2"/>
  <c r="AC204" i="2"/>
  <c r="AC194" i="2"/>
  <c r="AC184" i="2"/>
  <c r="AC174" i="2"/>
  <c r="AC164" i="2"/>
  <c r="AC154" i="2"/>
  <c r="AC144" i="2"/>
  <c r="AC134" i="2"/>
  <c r="AC124" i="2"/>
  <c r="AC114" i="2"/>
  <c r="AC104" i="2"/>
  <c r="AC94" i="2"/>
  <c r="AC84" i="2"/>
  <c r="AC74" i="2"/>
  <c r="AC64" i="2"/>
  <c r="AC54" i="2"/>
  <c r="AC44" i="2"/>
  <c r="AC34" i="2"/>
  <c r="AC24" i="2"/>
  <c r="AC14" i="2"/>
  <c r="AC4" i="2"/>
  <c r="AC233" i="2"/>
  <c r="AC223" i="2"/>
  <c r="AC213" i="2"/>
  <c r="AC203" i="2"/>
  <c r="AC193" i="2"/>
  <c r="AC183" i="2"/>
  <c r="AC173" i="2"/>
  <c r="AC163" i="2"/>
  <c r="AC153" i="2"/>
  <c r="AC143" i="2"/>
  <c r="AC133" i="2"/>
  <c r="AC123" i="2"/>
  <c r="AC113" i="2"/>
  <c r="AC103" i="2"/>
  <c r="AC93" i="2"/>
  <c r="AC83" i="2"/>
  <c r="AC73" i="2"/>
  <c r="AC63" i="2"/>
  <c r="AC53" i="2"/>
  <c r="AC43" i="2"/>
  <c r="AC33" i="2"/>
  <c r="AC23" i="2"/>
  <c r="AC13" i="2"/>
  <c r="AC3" i="2"/>
  <c r="AC232" i="2"/>
  <c r="AC222" i="2"/>
  <c r="AC212" i="2"/>
  <c r="AC202" i="2"/>
  <c r="AC192" i="2"/>
  <c r="AC182" i="2"/>
  <c r="AC172" i="2"/>
  <c r="AC162" i="2"/>
  <c r="AC152" i="2"/>
  <c r="AC142" i="2"/>
  <c r="AC132" i="2"/>
  <c r="AC122" i="2"/>
  <c r="AC112" i="2"/>
  <c r="AC102" i="2"/>
  <c r="AC92" i="2"/>
  <c r="AC82" i="2"/>
  <c r="AC72" i="2"/>
  <c r="AC62" i="2"/>
  <c r="AC52" i="2"/>
  <c r="AC42" i="2"/>
  <c r="AC32" i="2"/>
  <c r="AC22" i="2"/>
  <c r="AC12" i="2"/>
  <c r="AC2" i="2"/>
  <c r="AB241" i="2"/>
  <c r="AB231" i="2"/>
  <c r="AB221" i="2"/>
  <c r="AB211" i="2"/>
  <c r="AB201" i="2"/>
  <c r="AB191" i="2"/>
  <c r="AB181" i="2"/>
  <c r="AB171" i="2"/>
  <c r="AB161" i="2"/>
  <c r="AB151" i="2"/>
  <c r="AB141" i="2"/>
  <c r="AB131" i="2"/>
  <c r="AB121" i="2"/>
  <c r="AB111" i="2"/>
  <c r="AB101" i="2"/>
  <c r="AB91" i="2"/>
  <c r="AB81" i="2"/>
  <c r="AB71" i="2"/>
  <c r="AB61" i="2"/>
  <c r="AB51" i="2"/>
  <c r="AB41" i="2"/>
  <c r="AB31" i="2"/>
  <c r="AB21" i="2"/>
  <c r="AB11" i="2"/>
  <c r="AB240" i="2"/>
  <c r="AB230" i="2"/>
  <c r="AB220" i="2"/>
  <c r="AB210" i="2"/>
  <c r="AB200" i="2"/>
  <c r="AB190" i="2"/>
  <c r="AB180" i="2"/>
  <c r="AB170" i="2"/>
  <c r="AB160" i="2"/>
  <c r="AB150" i="2"/>
  <c r="AB140" i="2"/>
  <c r="AB130" i="2"/>
  <c r="AB120" i="2"/>
  <c r="AB110" i="2"/>
  <c r="AB100" i="2"/>
  <c r="AB90" i="2"/>
  <c r="AB80" i="2"/>
  <c r="AB70" i="2"/>
  <c r="AB60" i="2"/>
  <c r="AB50" i="2"/>
  <c r="AB40" i="2"/>
  <c r="AB30" i="2"/>
  <c r="AB20" i="2"/>
  <c r="AB10" i="2"/>
  <c r="AB239" i="2"/>
  <c r="AB229" i="2"/>
  <c r="AB219" i="2"/>
  <c r="AB209" i="2"/>
  <c r="AB199" i="2"/>
  <c r="AB189" i="2"/>
  <c r="AB179" i="2"/>
  <c r="AB169" i="2"/>
  <c r="AB159" i="2"/>
  <c r="AB149" i="2"/>
  <c r="AB139" i="2"/>
  <c r="AB129" i="2"/>
  <c r="AB119" i="2"/>
  <c r="AB109" i="2"/>
  <c r="AB99" i="2"/>
  <c r="AB89" i="2"/>
  <c r="AB79" i="2"/>
  <c r="AB69" i="2"/>
  <c r="AB59" i="2"/>
  <c r="AB49" i="2"/>
  <c r="AB39" i="2"/>
  <c r="AB29" i="2"/>
  <c r="AB19" i="2"/>
  <c r="AB9" i="2"/>
  <c r="AB238" i="2"/>
  <c r="AB228" i="2"/>
  <c r="AB218" i="2"/>
  <c r="AB208" i="2"/>
  <c r="AB198" i="2"/>
  <c r="AB188" i="2"/>
  <c r="AB178" i="2"/>
  <c r="AB168" i="2"/>
  <c r="AB158" i="2"/>
  <c r="AB148" i="2"/>
  <c r="AB138" i="2"/>
  <c r="AB128" i="2"/>
  <c r="AB118" i="2"/>
  <c r="AB108" i="2"/>
  <c r="AB98" i="2"/>
  <c r="AB88" i="2"/>
  <c r="AB78" i="2"/>
  <c r="AB68" i="2"/>
  <c r="AB58" i="2"/>
  <c r="AB48" i="2"/>
  <c r="AB38" i="2"/>
  <c r="AB28" i="2"/>
  <c r="AB18" i="2"/>
  <c r="AB8" i="2"/>
  <c r="AB237" i="2"/>
  <c r="AB227" i="2"/>
  <c r="AB217" i="2"/>
  <c r="AB207" i="2"/>
  <c r="AB197" i="2"/>
  <c r="AB187" i="2"/>
  <c r="AB177" i="2"/>
  <c r="AB167" i="2"/>
  <c r="AB157" i="2"/>
  <c r="AB147" i="2"/>
  <c r="AB137" i="2"/>
  <c r="AB127" i="2"/>
  <c r="AB117" i="2"/>
  <c r="AB107" i="2"/>
  <c r="AB97" i="2"/>
  <c r="AB87" i="2"/>
  <c r="AB77" i="2"/>
  <c r="AB67" i="2"/>
  <c r="AB57" i="2"/>
  <c r="AB47" i="2"/>
  <c r="AB37" i="2"/>
  <c r="AB27" i="2"/>
  <c r="AB17" i="2"/>
  <c r="AB7" i="2"/>
  <c r="AB236" i="2"/>
  <c r="AB226" i="2"/>
  <c r="AB216" i="2"/>
  <c r="AB206" i="2"/>
  <c r="AB196" i="2"/>
  <c r="AB186" i="2"/>
  <c r="AB176" i="2"/>
  <c r="AB166" i="2"/>
  <c r="AB156" i="2"/>
  <c r="AB146" i="2"/>
  <c r="AB136" i="2"/>
  <c r="AB126" i="2"/>
  <c r="AB116" i="2"/>
  <c r="AB106" i="2"/>
  <c r="AB96" i="2"/>
  <c r="AB86" i="2"/>
  <c r="AB76" i="2"/>
  <c r="AB66" i="2"/>
  <c r="AB56" i="2"/>
  <c r="AB46" i="2"/>
  <c r="AB36" i="2"/>
  <c r="AB26" i="2"/>
  <c r="AB16" i="2"/>
  <c r="AB6" i="2"/>
  <c r="AB235" i="2"/>
  <c r="AB225" i="2"/>
  <c r="AB215" i="2"/>
  <c r="AB205" i="2"/>
  <c r="AB195" i="2"/>
  <c r="AB185" i="2"/>
  <c r="AB175" i="2"/>
  <c r="AB165" i="2"/>
  <c r="AB155" i="2"/>
  <c r="AB145" i="2"/>
  <c r="AB135" i="2"/>
  <c r="AB125" i="2"/>
  <c r="AB115" i="2"/>
  <c r="AB105" i="2"/>
  <c r="AB95" i="2"/>
  <c r="AB85" i="2"/>
  <c r="AB75" i="2"/>
  <c r="AB65" i="2"/>
  <c r="AB55" i="2"/>
  <c r="AB45" i="2"/>
  <c r="AB35" i="2"/>
  <c r="AB25" i="2"/>
  <c r="AB15" i="2"/>
  <c r="AB5" i="2"/>
  <c r="AB234" i="2"/>
  <c r="AB224" i="2"/>
  <c r="AB214" i="2"/>
  <c r="AB204" i="2"/>
  <c r="AB194" i="2"/>
  <c r="AB184" i="2"/>
  <c r="AB174" i="2"/>
  <c r="AB164" i="2"/>
  <c r="AB154" i="2"/>
  <c r="AB144" i="2"/>
  <c r="AB134" i="2"/>
  <c r="AB124" i="2"/>
  <c r="AB114" i="2"/>
  <c r="AB104" i="2"/>
  <c r="AB94" i="2"/>
  <c r="AB84" i="2"/>
  <c r="AB74" i="2"/>
  <c r="AB64" i="2"/>
  <c r="AB54" i="2"/>
  <c r="AB44" i="2"/>
  <c r="AB34" i="2"/>
  <c r="AB24" i="2"/>
  <c r="AB14" i="2"/>
  <c r="AB4" i="2"/>
  <c r="AB233" i="2"/>
  <c r="AB223" i="2"/>
  <c r="AB213" i="2"/>
  <c r="AB203" i="2"/>
  <c r="AB193" i="2"/>
  <c r="AB183" i="2"/>
  <c r="AB173" i="2"/>
  <c r="AB163" i="2"/>
  <c r="AB153" i="2"/>
  <c r="AB143" i="2"/>
  <c r="AB133" i="2"/>
  <c r="AB123" i="2"/>
  <c r="AB113" i="2"/>
  <c r="AB103" i="2"/>
  <c r="AB93" i="2"/>
  <c r="AB83" i="2"/>
  <c r="AB73" i="2"/>
  <c r="AB63" i="2"/>
  <c r="AB53" i="2"/>
  <c r="AB43" i="2"/>
  <c r="AB33" i="2"/>
  <c r="AB23" i="2"/>
  <c r="AB13" i="2"/>
  <c r="AB3" i="2"/>
  <c r="AB232" i="2"/>
  <c r="AB222" i="2"/>
  <c r="AB212" i="2"/>
  <c r="AB202" i="2"/>
  <c r="AB192" i="2"/>
  <c r="AB182" i="2"/>
  <c r="AB172" i="2"/>
  <c r="AB162" i="2"/>
  <c r="AB152" i="2"/>
  <c r="AB142" i="2"/>
  <c r="AB132" i="2"/>
  <c r="AB122" i="2"/>
  <c r="AB112" i="2"/>
  <c r="AB102" i="2"/>
  <c r="AB92" i="2"/>
  <c r="AB82" i="2"/>
  <c r="AB72" i="2"/>
  <c r="AB62" i="2"/>
  <c r="AB52" i="2"/>
  <c r="AB42" i="2"/>
  <c r="AB32" i="2"/>
  <c r="AB22" i="2"/>
  <c r="AB12" i="2"/>
  <c r="AB2" i="2"/>
  <c r="AA241" i="2"/>
  <c r="AA231" i="2"/>
  <c r="AA221" i="2"/>
  <c r="AA211" i="2"/>
  <c r="AA201" i="2"/>
  <c r="AA191" i="2"/>
  <c r="AA181" i="2"/>
  <c r="AA171" i="2"/>
  <c r="AA161" i="2"/>
  <c r="AA151" i="2"/>
  <c r="AA141" i="2"/>
  <c r="AA131" i="2"/>
  <c r="AA121" i="2"/>
  <c r="AA111" i="2"/>
  <c r="AA101" i="2"/>
  <c r="AA91" i="2"/>
  <c r="AA81" i="2"/>
  <c r="AA71" i="2"/>
  <c r="AA61" i="2"/>
  <c r="AA51" i="2"/>
  <c r="AA41" i="2"/>
  <c r="AA31" i="2"/>
  <c r="AA21" i="2"/>
  <c r="AA11" i="2"/>
  <c r="AA240" i="2"/>
  <c r="AA230" i="2"/>
  <c r="AA220" i="2"/>
  <c r="AA210" i="2"/>
  <c r="AA200" i="2"/>
  <c r="AA190" i="2"/>
  <c r="AA180" i="2"/>
  <c r="AA170" i="2"/>
  <c r="AA160" i="2"/>
  <c r="AA150" i="2"/>
  <c r="AA140" i="2"/>
  <c r="AA130" i="2"/>
  <c r="AA120" i="2"/>
  <c r="AA110" i="2"/>
  <c r="AA100" i="2"/>
  <c r="AA90" i="2"/>
  <c r="AA80" i="2"/>
  <c r="AA70" i="2"/>
  <c r="AA60" i="2"/>
  <c r="AA50" i="2"/>
  <c r="AA40" i="2"/>
  <c r="AA30" i="2"/>
  <c r="AA20" i="2"/>
  <c r="AA10" i="2"/>
  <c r="AA239" i="2"/>
  <c r="AA229" i="2"/>
  <c r="AA219" i="2"/>
  <c r="AA209" i="2"/>
  <c r="AA199" i="2"/>
  <c r="AA189" i="2"/>
  <c r="AA179" i="2"/>
  <c r="AA169" i="2"/>
  <c r="AA159" i="2"/>
  <c r="AA149" i="2"/>
  <c r="AA139" i="2"/>
  <c r="AA129" i="2"/>
  <c r="AA119" i="2"/>
  <c r="AA109" i="2"/>
  <c r="AA99" i="2"/>
  <c r="AA89" i="2"/>
  <c r="AA79" i="2"/>
  <c r="AA69" i="2"/>
  <c r="AA59" i="2"/>
  <c r="AA49" i="2"/>
  <c r="AA39" i="2"/>
  <c r="AA29" i="2"/>
  <c r="AA19" i="2"/>
  <c r="AA9" i="2"/>
  <c r="AA238" i="2"/>
  <c r="AA228" i="2"/>
  <c r="AA218" i="2"/>
  <c r="AA208" i="2"/>
  <c r="AA198" i="2"/>
  <c r="AA188" i="2"/>
  <c r="AA178" i="2"/>
  <c r="AA168" i="2"/>
  <c r="AA158" i="2"/>
  <c r="AA148" i="2"/>
  <c r="AA138" i="2"/>
  <c r="AA128" i="2"/>
  <c r="AA118" i="2"/>
  <c r="AA108" i="2"/>
  <c r="AA98" i="2"/>
  <c r="AA88" i="2"/>
  <c r="AA78" i="2"/>
  <c r="AA68" i="2"/>
  <c r="AA58" i="2"/>
  <c r="AA48" i="2"/>
  <c r="AA38" i="2"/>
  <c r="AA28" i="2"/>
  <c r="AA18" i="2"/>
  <c r="AA8" i="2"/>
  <c r="AA237" i="2"/>
  <c r="AA227" i="2"/>
  <c r="AA217" i="2"/>
  <c r="AA207" i="2"/>
  <c r="AA197" i="2"/>
  <c r="AA187" i="2"/>
  <c r="AA177" i="2"/>
  <c r="AA167" i="2"/>
  <c r="AA157" i="2"/>
  <c r="AA147" i="2"/>
  <c r="AA137" i="2"/>
  <c r="AA127" i="2"/>
  <c r="AA117" i="2"/>
  <c r="AA107" i="2"/>
  <c r="AA97" i="2"/>
  <c r="AA87" i="2"/>
  <c r="AA77" i="2"/>
  <c r="AA67" i="2"/>
  <c r="AA57" i="2"/>
  <c r="AA47" i="2"/>
  <c r="AA37" i="2"/>
  <c r="AA27" i="2"/>
  <c r="AA17" i="2"/>
  <c r="AA7" i="2"/>
  <c r="AA236" i="2"/>
  <c r="AA226" i="2"/>
  <c r="AA216" i="2"/>
  <c r="AA206" i="2"/>
  <c r="AA196" i="2"/>
  <c r="AA186" i="2"/>
  <c r="AA176" i="2"/>
  <c r="AA166" i="2"/>
  <c r="AA156" i="2"/>
  <c r="AA146" i="2"/>
  <c r="AA136" i="2"/>
  <c r="AA126" i="2"/>
  <c r="AA116" i="2"/>
  <c r="AA106" i="2"/>
  <c r="AA96" i="2"/>
  <c r="AA86" i="2"/>
  <c r="AA76" i="2"/>
  <c r="AA66" i="2"/>
  <c r="AA56" i="2"/>
  <c r="AA46" i="2"/>
  <c r="AA36" i="2"/>
  <c r="AA26" i="2"/>
  <c r="AA16" i="2"/>
  <c r="AA6" i="2"/>
  <c r="AA235" i="2"/>
  <c r="AA225" i="2"/>
  <c r="AA215" i="2"/>
  <c r="AA205" i="2"/>
  <c r="AA195" i="2"/>
  <c r="AA185" i="2"/>
  <c r="AA175" i="2"/>
  <c r="AA165" i="2"/>
  <c r="AA155" i="2"/>
  <c r="AA145" i="2"/>
  <c r="AA135" i="2"/>
  <c r="AA125" i="2"/>
  <c r="AA115" i="2"/>
  <c r="AA105" i="2"/>
  <c r="AA95" i="2"/>
  <c r="AA85" i="2"/>
  <c r="AA75" i="2"/>
  <c r="AA65" i="2"/>
  <c r="AA55" i="2"/>
  <c r="AA45" i="2"/>
  <c r="AA35" i="2"/>
  <c r="AA25" i="2"/>
  <c r="AA15" i="2"/>
  <c r="AA5" i="2"/>
  <c r="AA234" i="2"/>
  <c r="AA224" i="2"/>
  <c r="AA214" i="2"/>
  <c r="AA204" i="2"/>
  <c r="AA194" i="2"/>
  <c r="AA184" i="2"/>
  <c r="AA174" i="2"/>
  <c r="AA164" i="2"/>
  <c r="AA154" i="2"/>
  <c r="AA144" i="2"/>
  <c r="AA134" i="2"/>
  <c r="AA124" i="2"/>
  <c r="AA114" i="2"/>
  <c r="AA104" i="2"/>
  <c r="AA94" i="2"/>
  <c r="AA84" i="2"/>
  <c r="AA74" i="2"/>
  <c r="AA64" i="2"/>
  <c r="AA54" i="2"/>
  <c r="AA44" i="2"/>
  <c r="AA34" i="2"/>
  <c r="AA24" i="2"/>
  <c r="AA14" i="2"/>
  <c r="AA4" i="2"/>
  <c r="AA233" i="2"/>
  <c r="AA223" i="2"/>
  <c r="AA213" i="2"/>
  <c r="AA203" i="2"/>
  <c r="AA193" i="2"/>
  <c r="AA183" i="2"/>
  <c r="AA173" i="2"/>
  <c r="AA163" i="2"/>
  <c r="AA153" i="2"/>
  <c r="AA143" i="2"/>
  <c r="AA133" i="2"/>
  <c r="AA123" i="2"/>
  <c r="AA113" i="2"/>
  <c r="AA103" i="2"/>
  <c r="AA93" i="2"/>
  <c r="AA83" i="2"/>
  <c r="AA73" i="2"/>
  <c r="AA63" i="2"/>
  <c r="AA53" i="2"/>
  <c r="AA43" i="2"/>
  <c r="AA33" i="2"/>
  <c r="AA23" i="2"/>
  <c r="AA13" i="2"/>
  <c r="AA3" i="2"/>
  <c r="AA232" i="2"/>
  <c r="AA222" i="2"/>
  <c r="AA212" i="2"/>
  <c r="AA202" i="2"/>
  <c r="AA192" i="2"/>
  <c r="AA182" i="2"/>
  <c r="AA172" i="2"/>
  <c r="AA162" i="2"/>
  <c r="AA152" i="2"/>
  <c r="AA142" i="2"/>
  <c r="AA132" i="2"/>
  <c r="AA122" i="2"/>
  <c r="AA112" i="2"/>
  <c r="AA102" i="2"/>
  <c r="AA92" i="2"/>
  <c r="AA82" i="2"/>
  <c r="AA72" i="2"/>
  <c r="AA62" i="2"/>
  <c r="AA52" i="2"/>
  <c r="AA42" i="2"/>
  <c r="AA32" i="2"/>
  <c r="AA22" i="2"/>
  <c r="AA12" i="2"/>
  <c r="AA2" i="2"/>
  <c r="Z241" i="2"/>
  <c r="Z231" i="2"/>
  <c r="Z221" i="2"/>
  <c r="Z211" i="2"/>
  <c r="Z201" i="2"/>
  <c r="Z191" i="2"/>
  <c r="Z181" i="2"/>
  <c r="Z171" i="2"/>
  <c r="Z161" i="2"/>
  <c r="Z151" i="2"/>
  <c r="Z141" i="2"/>
  <c r="Z131" i="2"/>
  <c r="Z121" i="2"/>
  <c r="Z111" i="2"/>
  <c r="Z101" i="2"/>
  <c r="Z91" i="2"/>
  <c r="Z81" i="2"/>
  <c r="Z71" i="2"/>
  <c r="Z61" i="2"/>
  <c r="Z51" i="2"/>
  <c r="Z41" i="2"/>
  <c r="Z31" i="2"/>
  <c r="Z21" i="2"/>
  <c r="Z11" i="2"/>
  <c r="Z240" i="2"/>
  <c r="Z230" i="2"/>
  <c r="Z220" i="2"/>
  <c r="Z210" i="2"/>
  <c r="Z200" i="2"/>
  <c r="Z190" i="2"/>
  <c r="Z180" i="2"/>
  <c r="Z170" i="2"/>
  <c r="Z160" i="2"/>
  <c r="Z150" i="2"/>
  <c r="Z140" i="2"/>
  <c r="Z130" i="2"/>
  <c r="Z120" i="2"/>
  <c r="Z110" i="2"/>
  <c r="Z100" i="2"/>
  <c r="Z90" i="2"/>
  <c r="Z80" i="2"/>
  <c r="Z70" i="2"/>
  <c r="Z60" i="2"/>
  <c r="Z50" i="2"/>
  <c r="Z40" i="2"/>
  <c r="Z30" i="2"/>
  <c r="Z20" i="2"/>
  <c r="Z10" i="2"/>
  <c r="Z239" i="2"/>
  <c r="Z229" i="2"/>
  <c r="Z219" i="2"/>
  <c r="Z209" i="2"/>
  <c r="Z199" i="2"/>
  <c r="Z189" i="2"/>
  <c r="Z179" i="2"/>
  <c r="Z169" i="2"/>
  <c r="Z159" i="2"/>
  <c r="Z149" i="2"/>
  <c r="Z139" i="2"/>
  <c r="Z129" i="2"/>
  <c r="Z119" i="2"/>
  <c r="Z109" i="2"/>
  <c r="Z99" i="2"/>
  <c r="Z89" i="2"/>
  <c r="Z79" i="2"/>
  <c r="Z69" i="2"/>
  <c r="Z59" i="2"/>
  <c r="Z49" i="2"/>
  <c r="Z39" i="2"/>
  <c r="Z29" i="2"/>
  <c r="Z19" i="2"/>
  <c r="Z9" i="2"/>
  <c r="Z238" i="2"/>
  <c r="Z228" i="2"/>
  <c r="Z218" i="2"/>
  <c r="Z208" i="2"/>
  <c r="Z198" i="2"/>
  <c r="Z188" i="2"/>
  <c r="Z178" i="2"/>
  <c r="Z168" i="2"/>
  <c r="Z158" i="2"/>
  <c r="Z148" i="2"/>
  <c r="Z138" i="2"/>
  <c r="Z128" i="2"/>
  <c r="Z118" i="2"/>
  <c r="Z108" i="2"/>
  <c r="Z98" i="2"/>
  <c r="Z88" i="2"/>
  <c r="Z78" i="2"/>
  <c r="Z68" i="2"/>
  <c r="Z58" i="2"/>
  <c r="Z48" i="2"/>
  <c r="Z38" i="2"/>
  <c r="Z28" i="2"/>
  <c r="Z18" i="2"/>
  <c r="Z8" i="2"/>
  <c r="Z237" i="2"/>
  <c r="Z227" i="2"/>
  <c r="Z217" i="2"/>
  <c r="Z207" i="2"/>
  <c r="Z197" i="2"/>
  <c r="Z187" i="2"/>
  <c r="Z177" i="2"/>
  <c r="Z167" i="2"/>
  <c r="Z157" i="2"/>
  <c r="Z147" i="2"/>
  <c r="Z137" i="2"/>
  <c r="Z127" i="2"/>
  <c r="Z117" i="2"/>
  <c r="Z107" i="2"/>
  <c r="Z97" i="2"/>
  <c r="Z87" i="2"/>
  <c r="Z77" i="2"/>
  <c r="Z67" i="2"/>
  <c r="Z57" i="2"/>
  <c r="Z47" i="2"/>
  <c r="Z37" i="2"/>
  <c r="Z27" i="2"/>
  <c r="Z17" i="2"/>
  <c r="Z7" i="2"/>
  <c r="Z236" i="2"/>
  <c r="Z226" i="2"/>
  <c r="Z216" i="2"/>
  <c r="Z206" i="2"/>
  <c r="Z196" i="2"/>
  <c r="Z186" i="2"/>
  <c r="Z176" i="2"/>
  <c r="Z166" i="2"/>
  <c r="Z156" i="2"/>
  <c r="Z146" i="2"/>
  <c r="Z136" i="2"/>
  <c r="Z126" i="2"/>
  <c r="Z116" i="2"/>
  <c r="Z106" i="2"/>
  <c r="Z96" i="2"/>
  <c r="Z86" i="2"/>
  <c r="Z76" i="2"/>
  <c r="Z66" i="2"/>
  <c r="Z56" i="2"/>
  <c r="Z46" i="2"/>
  <c r="Z36" i="2"/>
  <c r="Z26" i="2"/>
  <c r="Z16" i="2"/>
  <c r="Z6" i="2"/>
  <c r="Z235" i="2"/>
  <c r="Z225" i="2"/>
  <c r="Z215" i="2"/>
  <c r="Z205" i="2"/>
  <c r="Z195" i="2"/>
  <c r="Z185" i="2"/>
  <c r="Z175" i="2"/>
  <c r="Z165" i="2"/>
  <c r="Z155" i="2"/>
  <c r="Z145" i="2"/>
  <c r="Z135" i="2"/>
  <c r="Z125" i="2"/>
  <c r="Z115" i="2"/>
  <c r="Z105" i="2"/>
  <c r="Z95" i="2"/>
  <c r="Z85" i="2"/>
  <c r="Z75" i="2"/>
  <c r="Z65" i="2"/>
  <c r="Z55" i="2"/>
  <c r="Z45" i="2"/>
  <c r="Z35" i="2"/>
  <c r="Z25" i="2"/>
  <c r="Z15" i="2"/>
  <c r="Z5" i="2"/>
  <c r="Z234" i="2"/>
  <c r="Z224" i="2"/>
  <c r="Z214" i="2"/>
  <c r="Z204" i="2"/>
  <c r="Z194" i="2"/>
  <c r="Z184" i="2"/>
  <c r="Z174" i="2"/>
  <c r="Z164" i="2"/>
  <c r="Z154" i="2"/>
  <c r="Z144" i="2"/>
  <c r="Z134" i="2"/>
  <c r="Z124" i="2"/>
  <c r="Z114" i="2"/>
  <c r="Z104" i="2"/>
  <c r="Z94" i="2"/>
  <c r="Z84" i="2"/>
  <c r="Z74" i="2"/>
  <c r="Z64" i="2"/>
  <c r="Z54" i="2"/>
  <c r="Z44" i="2"/>
  <c r="Z34" i="2"/>
  <c r="Z24" i="2"/>
  <c r="Z14" i="2"/>
  <c r="Z4" i="2"/>
  <c r="Z233" i="2"/>
  <c r="Z223" i="2"/>
  <c r="Z213" i="2"/>
  <c r="Z203" i="2"/>
  <c r="Z193" i="2"/>
  <c r="Z183" i="2"/>
  <c r="Z173" i="2"/>
  <c r="Z163" i="2"/>
  <c r="Z153" i="2"/>
  <c r="Z143" i="2"/>
  <c r="Z133" i="2"/>
  <c r="Z123" i="2"/>
  <c r="Z113" i="2"/>
  <c r="Z103" i="2"/>
  <c r="Z93" i="2"/>
  <c r="Z83" i="2"/>
  <c r="Z73" i="2"/>
  <c r="Z63" i="2"/>
  <c r="Z53" i="2"/>
  <c r="Z43" i="2"/>
  <c r="Z33" i="2"/>
  <c r="Z23" i="2"/>
  <c r="Z13" i="2"/>
  <c r="Z3" i="2"/>
  <c r="Z232" i="2"/>
  <c r="Z222" i="2"/>
  <c r="Z212" i="2"/>
  <c r="Z202" i="2"/>
  <c r="Z192" i="2"/>
  <c r="Z182" i="2"/>
  <c r="Z172" i="2"/>
  <c r="Z162" i="2"/>
  <c r="Z152" i="2"/>
  <c r="Z142" i="2"/>
  <c r="Z132" i="2"/>
  <c r="Z122" i="2"/>
  <c r="Z112" i="2"/>
  <c r="Z102" i="2"/>
  <c r="Z92" i="2"/>
  <c r="Z82" i="2"/>
  <c r="Z72" i="2"/>
  <c r="Z62" i="2"/>
  <c r="Z52" i="2"/>
  <c r="Z42" i="2"/>
  <c r="Z32" i="2"/>
  <c r="Z22" i="2"/>
  <c r="Z12" i="2"/>
  <c r="Z2" i="2"/>
  <c r="Y241" i="2"/>
  <c r="Y231" i="2"/>
  <c r="Y221" i="2"/>
  <c r="Y211" i="2"/>
  <c r="Y201" i="2"/>
  <c r="Y191" i="2"/>
  <c r="Y181" i="2"/>
  <c r="Y171" i="2"/>
  <c r="Y161" i="2"/>
  <c r="Y151" i="2"/>
  <c r="Y141" i="2"/>
  <c r="Y131" i="2"/>
  <c r="Y121" i="2"/>
  <c r="Y111" i="2"/>
  <c r="Y101" i="2"/>
  <c r="Y91" i="2"/>
  <c r="Y81" i="2"/>
  <c r="Y71" i="2"/>
  <c r="Y61" i="2"/>
  <c r="Y51" i="2"/>
  <c r="Y41" i="2"/>
  <c r="Y31" i="2"/>
  <c r="Y21" i="2"/>
  <c r="Y11" i="2"/>
  <c r="Y240" i="2"/>
  <c r="Y230" i="2"/>
  <c r="Y220" i="2"/>
  <c r="Y210" i="2"/>
  <c r="Y200" i="2"/>
  <c r="Y190" i="2"/>
  <c r="Y180" i="2"/>
  <c r="Y170" i="2"/>
  <c r="Y160" i="2"/>
  <c r="Y150" i="2"/>
  <c r="Y140" i="2"/>
  <c r="Y130" i="2"/>
  <c r="Y120" i="2"/>
  <c r="Y110" i="2"/>
  <c r="Y100" i="2"/>
  <c r="Y90" i="2"/>
  <c r="Y80" i="2"/>
  <c r="Y70" i="2"/>
  <c r="Y60" i="2"/>
  <c r="Y50" i="2"/>
  <c r="Y40" i="2"/>
  <c r="Y30" i="2"/>
  <c r="Y20" i="2"/>
  <c r="Y10" i="2"/>
  <c r="Y239" i="2"/>
  <c r="Y229" i="2"/>
  <c r="Y219" i="2"/>
  <c r="Y209" i="2"/>
  <c r="Y199" i="2"/>
  <c r="Y189" i="2"/>
  <c r="Y179" i="2"/>
  <c r="Y169" i="2"/>
  <c r="Y159" i="2"/>
  <c r="Y149" i="2"/>
  <c r="Y139" i="2"/>
  <c r="Y129" i="2"/>
  <c r="Y119" i="2"/>
  <c r="Y109" i="2"/>
  <c r="Y99" i="2"/>
  <c r="Y89" i="2"/>
  <c r="Y79" i="2"/>
  <c r="Y69" i="2"/>
  <c r="Y59" i="2"/>
  <c r="Y49" i="2"/>
  <c r="Y39" i="2"/>
  <c r="Y29" i="2"/>
  <c r="Y19" i="2"/>
  <c r="Y9" i="2"/>
  <c r="Y238" i="2"/>
  <c r="Y228" i="2"/>
  <c r="Y218" i="2"/>
  <c r="Y208" i="2"/>
  <c r="Y198" i="2"/>
  <c r="Y188" i="2"/>
  <c r="Y178" i="2"/>
  <c r="Y168" i="2"/>
  <c r="Y158" i="2"/>
  <c r="Y148" i="2"/>
  <c r="Y138" i="2"/>
  <c r="Y128" i="2"/>
  <c r="Y118" i="2"/>
  <c r="Y108" i="2"/>
  <c r="Y98" i="2"/>
  <c r="Y88" i="2"/>
  <c r="Y78" i="2"/>
  <c r="Y68" i="2"/>
  <c r="Y58" i="2"/>
  <c r="Y48" i="2"/>
  <c r="Y38" i="2"/>
  <c r="Y28" i="2"/>
  <c r="Y18" i="2"/>
  <c r="Y8" i="2"/>
  <c r="Y237" i="2"/>
  <c r="Y227" i="2"/>
  <c r="Y217" i="2"/>
  <c r="Y207" i="2"/>
  <c r="Y197" i="2"/>
  <c r="Y187" i="2"/>
  <c r="Y177" i="2"/>
  <c r="Y167" i="2"/>
  <c r="Y157" i="2"/>
  <c r="Y147" i="2"/>
  <c r="Y137" i="2"/>
  <c r="Y127" i="2"/>
  <c r="Y117" i="2"/>
  <c r="Y107" i="2"/>
  <c r="Y97" i="2"/>
  <c r="Y87" i="2"/>
  <c r="Y77" i="2"/>
  <c r="Y67" i="2"/>
  <c r="Y57" i="2"/>
  <c r="Y47" i="2"/>
  <c r="Y37" i="2"/>
  <c r="Y27" i="2"/>
  <c r="Y17" i="2"/>
  <c r="Y7" i="2"/>
  <c r="Y236" i="2"/>
  <c r="Y226" i="2"/>
  <c r="Y216" i="2"/>
  <c r="Y206" i="2"/>
  <c r="Y196" i="2"/>
  <c r="Y186" i="2"/>
  <c r="Y176" i="2"/>
  <c r="Y166" i="2"/>
  <c r="Y156" i="2"/>
  <c r="Y146" i="2"/>
  <c r="Y136" i="2"/>
  <c r="Y126" i="2"/>
  <c r="Y116" i="2"/>
  <c r="Y106" i="2"/>
  <c r="Y96" i="2"/>
  <c r="Y86" i="2"/>
  <c r="Y76" i="2"/>
  <c r="Y66" i="2"/>
  <c r="Y56" i="2"/>
  <c r="Y46" i="2"/>
  <c r="Y36" i="2"/>
  <c r="Y26" i="2"/>
  <c r="Y16" i="2"/>
  <c r="Y6" i="2"/>
  <c r="Y235" i="2"/>
  <c r="Y225" i="2"/>
  <c r="Y215" i="2"/>
  <c r="Y205" i="2"/>
  <c r="Y195" i="2"/>
  <c r="Y185" i="2"/>
  <c r="Y175" i="2"/>
  <c r="Y165" i="2"/>
  <c r="Y155" i="2"/>
  <c r="Y145" i="2"/>
  <c r="Y135" i="2"/>
  <c r="Y125" i="2"/>
  <c r="Y115" i="2"/>
  <c r="Y105" i="2"/>
  <c r="Y95" i="2"/>
  <c r="Y85" i="2"/>
  <c r="Y75" i="2"/>
  <c r="Y65" i="2"/>
  <c r="Y55" i="2"/>
  <c r="Y45" i="2"/>
  <c r="Y35" i="2"/>
  <c r="Y25" i="2"/>
  <c r="Y15" i="2"/>
  <c r="Y5" i="2"/>
  <c r="Y234" i="2"/>
  <c r="Y224" i="2"/>
  <c r="Y214" i="2"/>
  <c r="Y204" i="2"/>
  <c r="Y194" i="2"/>
  <c r="Y184" i="2"/>
  <c r="Y174" i="2"/>
  <c r="Y164" i="2"/>
  <c r="Y154" i="2"/>
  <c r="Y144" i="2"/>
  <c r="Y134" i="2"/>
  <c r="Y124" i="2"/>
  <c r="Y114" i="2"/>
  <c r="Y104" i="2"/>
  <c r="Y94" i="2"/>
  <c r="Y84" i="2"/>
  <c r="Y74" i="2"/>
  <c r="Y64" i="2"/>
  <c r="Y54" i="2"/>
  <c r="Y44" i="2"/>
  <c r="Y34" i="2"/>
  <c r="Y24" i="2"/>
  <c r="Y14" i="2"/>
  <c r="Y4" i="2"/>
  <c r="Y233" i="2"/>
  <c r="Y223" i="2"/>
  <c r="Y213" i="2"/>
  <c r="Y203" i="2"/>
  <c r="Y193" i="2"/>
  <c r="Y183" i="2"/>
  <c r="Y173" i="2"/>
  <c r="Y163" i="2"/>
  <c r="Y153" i="2"/>
  <c r="Y143" i="2"/>
  <c r="Y133" i="2"/>
  <c r="Y123" i="2"/>
  <c r="Y113" i="2"/>
  <c r="Y103" i="2"/>
  <c r="Y93" i="2"/>
  <c r="Y83" i="2"/>
  <c r="Y73" i="2"/>
  <c r="Y63" i="2"/>
  <c r="Y53" i="2"/>
  <c r="Y43" i="2"/>
  <c r="Y33" i="2"/>
  <c r="Y23" i="2"/>
  <c r="Y13" i="2"/>
  <c r="Y3" i="2"/>
  <c r="Y232" i="2"/>
  <c r="Y222" i="2"/>
  <c r="Y212" i="2"/>
  <c r="Y202" i="2"/>
  <c r="Y192" i="2"/>
  <c r="Y182" i="2"/>
  <c r="Y172" i="2"/>
  <c r="Y162" i="2"/>
  <c r="Y152" i="2"/>
  <c r="Y142" i="2"/>
  <c r="Y132" i="2"/>
  <c r="Y122" i="2"/>
  <c r="Y112" i="2"/>
  <c r="Y102" i="2"/>
  <c r="Y92" i="2"/>
  <c r="Y82" i="2"/>
  <c r="Y72" i="2"/>
  <c r="Y62" i="2"/>
  <c r="Y52" i="2"/>
  <c r="Y42" i="2"/>
  <c r="Y32" i="2"/>
  <c r="Y22" i="2"/>
  <c r="Y12" i="2"/>
  <c r="Y2" i="2"/>
  <c r="X241" i="2"/>
  <c r="X231" i="2"/>
  <c r="X221" i="2"/>
  <c r="X211" i="2"/>
  <c r="X201" i="2"/>
  <c r="X191" i="2"/>
  <c r="X181" i="2"/>
  <c r="X171" i="2"/>
  <c r="X161" i="2"/>
  <c r="X151" i="2"/>
  <c r="X141" i="2"/>
  <c r="X131" i="2"/>
  <c r="X121" i="2"/>
  <c r="X111" i="2"/>
  <c r="X101" i="2"/>
  <c r="X91" i="2"/>
  <c r="X81" i="2"/>
  <c r="X71" i="2"/>
  <c r="X61" i="2"/>
  <c r="X51" i="2"/>
  <c r="X41" i="2"/>
  <c r="X31" i="2"/>
  <c r="X21" i="2"/>
  <c r="X11" i="2"/>
  <c r="X240" i="2"/>
  <c r="X230" i="2"/>
  <c r="X220" i="2"/>
  <c r="X210" i="2"/>
  <c r="X200" i="2"/>
  <c r="X190" i="2"/>
  <c r="X180" i="2"/>
  <c r="X170" i="2"/>
  <c r="X160" i="2"/>
  <c r="X150" i="2"/>
  <c r="X140" i="2"/>
  <c r="X130" i="2"/>
  <c r="X120" i="2"/>
  <c r="X110" i="2"/>
  <c r="X100" i="2"/>
  <c r="X90" i="2"/>
  <c r="X80" i="2"/>
  <c r="X70" i="2"/>
  <c r="X60" i="2"/>
  <c r="X50" i="2"/>
  <c r="X40" i="2"/>
  <c r="X30" i="2"/>
  <c r="X20" i="2"/>
  <c r="X10" i="2"/>
  <c r="X239" i="2"/>
  <c r="X229" i="2"/>
  <c r="X219" i="2"/>
  <c r="X209" i="2"/>
  <c r="X199" i="2"/>
  <c r="X189" i="2"/>
  <c r="X179" i="2"/>
  <c r="X169" i="2"/>
  <c r="X159" i="2"/>
  <c r="X149" i="2"/>
  <c r="X139" i="2"/>
  <c r="X129" i="2"/>
  <c r="X119" i="2"/>
  <c r="X109" i="2"/>
  <c r="X99" i="2"/>
  <c r="X89" i="2"/>
  <c r="X79" i="2"/>
  <c r="X69" i="2"/>
  <c r="X59" i="2"/>
  <c r="X49" i="2"/>
  <c r="X39" i="2"/>
  <c r="X29" i="2"/>
  <c r="X19" i="2"/>
  <c r="X9" i="2"/>
  <c r="X238" i="2"/>
  <c r="X228" i="2"/>
  <c r="X218" i="2"/>
  <c r="X208" i="2"/>
  <c r="X198" i="2"/>
  <c r="X188" i="2"/>
  <c r="X178" i="2"/>
  <c r="X168" i="2"/>
  <c r="X158" i="2"/>
  <c r="X148" i="2"/>
  <c r="X138" i="2"/>
  <c r="X128" i="2"/>
  <c r="X118" i="2"/>
  <c r="X108" i="2"/>
  <c r="X98" i="2"/>
  <c r="X88" i="2"/>
  <c r="X78" i="2"/>
  <c r="X68" i="2"/>
  <c r="X58" i="2"/>
  <c r="X48" i="2"/>
  <c r="X38" i="2"/>
  <c r="X28" i="2"/>
  <c r="X18" i="2"/>
  <c r="X8" i="2"/>
  <c r="X237" i="2"/>
  <c r="X227" i="2"/>
  <c r="X217" i="2"/>
  <c r="X207" i="2"/>
  <c r="X197" i="2"/>
  <c r="X187" i="2"/>
  <c r="X177" i="2"/>
  <c r="X167" i="2"/>
  <c r="X157" i="2"/>
  <c r="X147" i="2"/>
  <c r="X137" i="2"/>
  <c r="X127" i="2"/>
  <c r="X117" i="2"/>
  <c r="X107" i="2"/>
  <c r="X97" i="2"/>
  <c r="X87" i="2"/>
  <c r="X77" i="2"/>
  <c r="X67" i="2"/>
  <c r="X57" i="2"/>
  <c r="X47" i="2"/>
  <c r="X37" i="2"/>
  <c r="X27" i="2"/>
  <c r="X17" i="2"/>
  <c r="X7" i="2"/>
  <c r="X236" i="2"/>
  <c r="X226" i="2"/>
  <c r="X216" i="2"/>
  <c r="X206" i="2"/>
  <c r="X196" i="2"/>
  <c r="X186" i="2"/>
  <c r="X176" i="2"/>
  <c r="X166" i="2"/>
  <c r="X156" i="2"/>
  <c r="X146" i="2"/>
  <c r="X136" i="2"/>
  <c r="X126" i="2"/>
  <c r="X116" i="2"/>
  <c r="X106" i="2"/>
  <c r="X96" i="2"/>
  <c r="X86" i="2"/>
  <c r="X76" i="2"/>
  <c r="X66" i="2"/>
  <c r="X56" i="2"/>
  <c r="X46" i="2"/>
  <c r="X36" i="2"/>
  <c r="X26" i="2"/>
  <c r="X16" i="2"/>
  <c r="X6" i="2"/>
  <c r="X235" i="2"/>
  <c r="X225" i="2"/>
  <c r="X215" i="2"/>
  <c r="X205" i="2"/>
  <c r="X195" i="2"/>
  <c r="X185" i="2"/>
  <c r="X175" i="2"/>
  <c r="X165" i="2"/>
  <c r="X155" i="2"/>
  <c r="X145" i="2"/>
  <c r="X135" i="2"/>
  <c r="X125" i="2"/>
  <c r="X115" i="2"/>
  <c r="X105" i="2"/>
  <c r="X95" i="2"/>
  <c r="X85" i="2"/>
  <c r="X75" i="2"/>
  <c r="X65" i="2"/>
  <c r="X55" i="2"/>
  <c r="X45" i="2"/>
  <c r="X35" i="2"/>
  <c r="X25" i="2"/>
  <c r="X15" i="2"/>
  <c r="X5" i="2"/>
  <c r="X234" i="2"/>
  <c r="X224" i="2"/>
  <c r="X214" i="2"/>
  <c r="X204" i="2"/>
  <c r="X194" i="2"/>
  <c r="X184" i="2"/>
  <c r="X174" i="2"/>
  <c r="X164" i="2"/>
  <c r="X154" i="2"/>
  <c r="X144" i="2"/>
  <c r="X134" i="2"/>
  <c r="X124" i="2"/>
  <c r="X114" i="2"/>
  <c r="X104" i="2"/>
  <c r="X94" i="2"/>
  <c r="X84" i="2"/>
  <c r="X74" i="2"/>
  <c r="X64" i="2"/>
  <c r="X54" i="2"/>
  <c r="X44" i="2"/>
  <c r="X34" i="2"/>
  <c r="X24" i="2"/>
  <c r="X14" i="2"/>
  <c r="X4" i="2"/>
  <c r="X233" i="2"/>
  <c r="X223" i="2"/>
  <c r="X213" i="2"/>
  <c r="X203" i="2"/>
  <c r="X193" i="2"/>
  <c r="X183" i="2"/>
  <c r="X173" i="2"/>
  <c r="X163" i="2"/>
  <c r="X153" i="2"/>
  <c r="X143" i="2"/>
  <c r="X133" i="2"/>
  <c r="X123" i="2"/>
  <c r="X113" i="2"/>
  <c r="X103" i="2"/>
  <c r="X93" i="2"/>
  <c r="X83" i="2"/>
  <c r="X73" i="2"/>
  <c r="X63" i="2"/>
  <c r="X53" i="2"/>
  <c r="X43" i="2"/>
  <c r="X33" i="2"/>
  <c r="X23" i="2"/>
  <c r="X13" i="2"/>
  <c r="X3" i="2"/>
  <c r="X232" i="2"/>
  <c r="X222" i="2"/>
  <c r="X212" i="2"/>
  <c r="X202" i="2"/>
  <c r="X192" i="2"/>
  <c r="X182" i="2"/>
  <c r="X172" i="2"/>
  <c r="X162" i="2"/>
  <c r="X152" i="2"/>
  <c r="X142" i="2"/>
  <c r="X132" i="2"/>
  <c r="X122" i="2"/>
  <c r="X112" i="2"/>
  <c r="X102" i="2"/>
  <c r="X92" i="2"/>
  <c r="X82" i="2"/>
  <c r="X72" i="2"/>
  <c r="X62" i="2"/>
  <c r="X52" i="2"/>
  <c r="X42" i="2"/>
  <c r="X32" i="2"/>
  <c r="X22" i="2"/>
  <c r="X12" i="2"/>
  <c r="X2" i="2"/>
  <c r="W241" i="2"/>
  <c r="W231" i="2"/>
  <c r="W221" i="2"/>
  <c r="W211" i="2"/>
  <c r="W201" i="2"/>
  <c r="W191" i="2"/>
  <c r="W181" i="2"/>
  <c r="W171" i="2"/>
  <c r="W161" i="2"/>
  <c r="W151" i="2"/>
  <c r="W141" i="2"/>
  <c r="W131" i="2"/>
  <c r="W121" i="2"/>
  <c r="W111" i="2"/>
  <c r="W101" i="2"/>
  <c r="W91" i="2"/>
  <c r="W81" i="2"/>
  <c r="W71" i="2"/>
  <c r="W61" i="2"/>
  <c r="W51" i="2"/>
  <c r="W41" i="2"/>
  <c r="W31" i="2"/>
  <c r="W21" i="2"/>
  <c r="W11" i="2"/>
  <c r="W240" i="2"/>
  <c r="W230" i="2"/>
  <c r="W220" i="2"/>
  <c r="W210" i="2"/>
  <c r="W200" i="2"/>
  <c r="W190" i="2"/>
  <c r="W180" i="2"/>
  <c r="W170" i="2"/>
  <c r="W160" i="2"/>
  <c r="W150" i="2"/>
  <c r="W140" i="2"/>
  <c r="W130" i="2"/>
  <c r="W120" i="2"/>
  <c r="W110" i="2"/>
  <c r="W100" i="2"/>
  <c r="W90" i="2"/>
  <c r="W80" i="2"/>
  <c r="W70" i="2"/>
  <c r="W60" i="2"/>
  <c r="W50" i="2"/>
  <c r="W40" i="2"/>
  <c r="W30" i="2"/>
  <c r="W20" i="2"/>
  <c r="W10" i="2"/>
  <c r="W239" i="2"/>
  <c r="W229" i="2"/>
  <c r="W219" i="2"/>
  <c r="W209" i="2"/>
  <c r="W199" i="2"/>
  <c r="W189" i="2"/>
  <c r="W179" i="2"/>
  <c r="W169" i="2"/>
  <c r="W159" i="2"/>
  <c r="W149" i="2"/>
  <c r="W139" i="2"/>
  <c r="W129" i="2"/>
  <c r="W119" i="2"/>
  <c r="W109" i="2"/>
  <c r="W99" i="2"/>
  <c r="W89" i="2"/>
  <c r="W79" i="2"/>
  <c r="W69" i="2"/>
  <c r="W59" i="2"/>
  <c r="W49" i="2"/>
  <c r="W39" i="2"/>
  <c r="W29" i="2"/>
  <c r="W19" i="2"/>
  <c r="W9" i="2"/>
  <c r="W238" i="2"/>
  <c r="W228" i="2"/>
  <c r="W218" i="2"/>
  <c r="W208" i="2"/>
  <c r="W198" i="2"/>
  <c r="W188" i="2"/>
  <c r="W178" i="2"/>
  <c r="W168" i="2"/>
  <c r="W158" i="2"/>
  <c r="W148" i="2"/>
  <c r="W138" i="2"/>
  <c r="W128" i="2"/>
  <c r="W118" i="2"/>
  <c r="W108" i="2"/>
  <c r="W98" i="2"/>
  <c r="W88" i="2"/>
  <c r="W78" i="2"/>
  <c r="W68" i="2"/>
  <c r="W58" i="2"/>
  <c r="W48" i="2"/>
  <c r="W38" i="2"/>
  <c r="W28" i="2"/>
  <c r="W18" i="2"/>
  <c r="W8" i="2"/>
  <c r="W237" i="2"/>
  <c r="W227" i="2"/>
  <c r="W217" i="2"/>
  <c r="W207" i="2"/>
  <c r="W197" i="2"/>
  <c r="W187" i="2"/>
  <c r="W177" i="2"/>
  <c r="W167" i="2"/>
  <c r="W157" i="2"/>
  <c r="W147" i="2"/>
  <c r="W137" i="2"/>
  <c r="W127" i="2"/>
  <c r="W117" i="2"/>
  <c r="W107" i="2"/>
  <c r="W97" i="2"/>
  <c r="W87" i="2"/>
  <c r="W77" i="2"/>
  <c r="W67" i="2"/>
  <c r="W57" i="2"/>
  <c r="W47" i="2"/>
  <c r="W37" i="2"/>
  <c r="W27" i="2"/>
  <c r="W17" i="2"/>
  <c r="W7" i="2"/>
  <c r="W236" i="2"/>
  <c r="W226" i="2"/>
  <c r="W216" i="2"/>
  <c r="W206" i="2"/>
  <c r="W196" i="2"/>
  <c r="W186" i="2"/>
  <c r="W176" i="2"/>
  <c r="W166" i="2"/>
  <c r="W156" i="2"/>
  <c r="W146" i="2"/>
  <c r="W136" i="2"/>
  <c r="W126" i="2"/>
  <c r="W116" i="2"/>
  <c r="W106" i="2"/>
  <c r="W96" i="2"/>
  <c r="W86" i="2"/>
  <c r="W76" i="2"/>
  <c r="W66" i="2"/>
  <c r="W56" i="2"/>
  <c r="W46" i="2"/>
  <c r="W36" i="2"/>
  <c r="W26" i="2"/>
  <c r="W16" i="2"/>
  <c r="W6" i="2"/>
  <c r="W235" i="2"/>
  <c r="W225" i="2"/>
  <c r="W215" i="2"/>
  <c r="W205" i="2"/>
  <c r="W195" i="2"/>
  <c r="W185" i="2"/>
  <c r="W175" i="2"/>
  <c r="W165" i="2"/>
  <c r="W155" i="2"/>
  <c r="W145" i="2"/>
  <c r="W135" i="2"/>
  <c r="W125" i="2"/>
  <c r="W115" i="2"/>
  <c r="W105" i="2"/>
  <c r="W95" i="2"/>
  <c r="W85" i="2"/>
  <c r="W75" i="2"/>
  <c r="W65" i="2"/>
  <c r="W55" i="2"/>
  <c r="W45" i="2"/>
  <c r="W35" i="2"/>
  <c r="W25" i="2"/>
  <c r="W15" i="2"/>
  <c r="W5" i="2"/>
  <c r="W234" i="2"/>
  <c r="W224" i="2"/>
  <c r="W214" i="2"/>
  <c r="W204" i="2"/>
  <c r="W194" i="2"/>
  <c r="W184" i="2"/>
  <c r="W174" i="2"/>
  <c r="W164" i="2"/>
  <c r="W154" i="2"/>
  <c r="W144" i="2"/>
  <c r="W134" i="2"/>
  <c r="W124" i="2"/>
  <c r="W114" i="2"/>
  <c r="W104" i="2"/>
  <c r="W94" i="2"/>
  <c r="W84" i="2"/>
  <c r="W74" i="2"/>
  <c r="W64" i="2"/>
  <c r="W54" i="2"/>
  <c r="W44" i="2"/>
  <c r="W34" i="2"/>
  <c r="W24" i="2"/>
  <c r="W14" i="2"/>
  <c r="W4" i="2"/>
  <c r="W233" i="2"/>
  <c r="W223" i="2"/>
  <c r="W213" i="2"/>
  <c r="W203" i="2"/>
  <c r="W193" i="2"/>
  <c r="W183" i="2"/>
  <c r="W173" i="2"/>
  <c r="W163" i="2"/>
  <c r="W153" i="2"/>
  <c r="W143" i="2"/>
  <c r="W133" i="2"/>
  <c r="W123" i="2"/>
  <c r="W113" i="2"/>
  <c r="W103" i="2"/>
  <c r="W93" i="2"/>
  <c r="W83" i="2"/>
  <c r="W73" i="2"/>
  <c r="W63" i="2"/>
  <c r="W53" i="2"/>
  <c r="W43" i="2"/>
  <c r="W33" i="2"/>
  <c r="W23" i="2"/>
  <c r="W13" i="2"/>
  <c r="W3" i="2"/>
  <c r="W232" i="2"/>
  <c r="W222" i="2"/>
  <c r="W212" i="2"/>
  <c r="W202" i="2"/>
  <c r="W192" i="2"/>
  <c r="W182" i="2"/>
  <c r="W172" i="2"/>
  <c r="W162" i="2"/>
  <c r="W152" i="2"/>
  <c r="W142" i="2"/>
  <c r="W132" i="2"/>
  <c r="W122" i="2"/>
  <c r="W112" i="2"/>
  <c r="W102" i="2"/>
  <c r="W92" i="2"/>
  <c r="W82" i="2"/>
  <c r="W72" i="2"/>
  <c r="W62" i="2"/>
  <c r="W52" i="2"/>
  <c r="W42" i="2"/>
  <c r="W32" i="2"/>
  <c r="W22" i="2"/>
  <c r="W12" i="2"/>
  <c r="W2" i="2"/>
  <c r="V241" i="2"/>
  <c r="V231" i="2"/>
  <c r="V221" i="2"/>
  <c r="V211" i="2"/>
  <c r="V201" i="2"/>
  <c r="V191" i="2"/>
  <c r="V181" i="2"/>
  <c r="V171" i="2"/>
  <c r="V161" i="2"/>
  <c r="V151" i="2"/>
  <c r="V141" i="2"/>
  <c r="V131" i="2"/>
  <c r="V121" i="2"/>
  <c r="V111" i="2"/>
  <c r="V101" i="2"/>
  <c r="V91" i="2"/>
  <c r="V81" i="2"/>
  <c r="V71" i="2"/>
  <c r="V61" i="2"/>
  <c r="V51" i="2"/>
  <c r="V41" i="2"/>
  <c r="V31" i="2"/>
  <c r="V21" i="2"/>
  <c r="V11" i="2"/>
  <c r="V240" i="2"/>
  <c r="V230" i="2"/>
  <c r="V220" i="2"/>
  <c r="V210" i="2"/>
  <c r="V200" i="2"/>
  <c r="V190" i="2"/>
  <c r="V180" i="2"/>
  <c r="V170" i="2"/>
  <c r="V160" i="2"/>
  <c r="V150" i="2"/>
  <c r="V140" i="2"/>
  <c r="V130" i="2"/>
  <c r="V120" i="2"/>
  <c r="V110" i="2"/>
  <c r="V100" i="2"/>
  <c r="V90" i="2"/>
  <c r="V80" i="2"/>
  <c r="V70" i="2"/>
  <c r="V60" i="2"/>
  <c r="V50" i="2"/>
  <c r="V40" i="2"/>
  <c r="V30" i="2"/>
  <c r="V20" i="2"/>
  <c r="V10" i="2"/>
  <c r="V239" i="2"/>
  <c r="V229" i="2"/>
  <c r="V219" i="2"/>
  <c r="V209" i="2"/>
  <c r="V199" i="2"/>
  <c r="V189" i="2"/>
  <c r="V179" i="2"/>
  <c r="V169" i="2"/>
  <c r="V159" i="2"/>
  <c r="V149" i="2"/>
  <c r="V139" i="2"/>
  <c r="V129" i="2"/>
  <c r="V119" i="2"/>
  <c r="V109" i="2"/>
  <c r="V99" i="2"/>
  <c r="V89" i="2"/>
  <c r="V79" i="2"/>
  <c r="V69" i="2"/>
  <c r="V59" i="2"/>
  <c r="V49" i="2"/>
  <c r="V39" i="2"/>
  <c r="V29" i="2"/>
  <c r="V19" i="2"/>
  <c r="V9" i="2"/>
  <c r="V238" i="2"/>
  <c r="V228" i="2"/>
  <c r="V218" i="2"/>
  <c r="V208" i="2"/>
  <c r="V198" i="2"/>
  <c r="V188" i="2"/>
  <c r="V178" i="2"/>
  <c r="V168" i="2"/>
  <c r="V158" i="2"/>
  <c r="V148" i="2"/>
  <c r="V138" i="2"/>
  <c r="V128" i="2"/>
  <c r="V118" i="2"/>
  <c r="V108" i="2"/>
  <c r="V98" i="2"/>
  <c r="V88" i="2"/>
  <c r="V78" i="2"/>
  <c r="V68" i="2"/>
  <c r="V58" i="2"/>
  <c r="V48" i="2"/>
  <c r="V38" i="2"/>
  <c r="V28" i="2"/>
  <c r="V18" i="2"/>
  <c r="V8" i="2"/>
  <c r="V237" i="2"/>
  <c r="V227" i="2"/>
  <c r="V217" i="2"/>
  <c r="V207" i="2"/>
  <c r="V197" i="2"/>
  <c r="V187" i="2"/>
  <c r="V177" i="2"/>
  <c r="V167" i="2"/>
  <c r="V157" i="2"/>
  <c r="V147" i="2"/>
  <c r="V137" i="2"/>
  <c r="V127" i="2"/>
  <c r="V117" i="2"/>
  <c r="V107" i="2"/>
  <c r="V97" i="2"/>
  <c r="V87" i="2"/>
  <c r="V77" i="2"/>
  <c r="V67" i="2"/>
  <c r="V57" i="2"/>
  <c r="V47" i="2"/>
  <c r="V37" i="2"/>
  <c r="V27" i="2"/>
  <c r="V17" i="2"/>
  <c r="V7" i="2"/>
  <c r="V236" i="2"/>
  <c r="V226" i="2"/>
  <c r="V216" i="2"/>
  <c r="V206" i="2"/>
  <c r="V196" i="2"/>
  <c r="V186" i="2"/>
  <c r="V176" i="2"/>
  <c r="V166" i="2"/>
  <c r="V156" i="2"/>
  <c r="V146" i="2"/>
  <c r="V136" i="2"/>
  <c r="V126" i="2"/>
  <c r="V116" i="2"/>
  <c r="V106" i="2"/>
  <c r="V96" i="2"/>
  <c r="V86" i="2"/>
  <c r="V76" i="2"/>
  <c r="V66" i="2"/>
  <c r="V56" i="2"/>
  <c r="V46" i="2"/>
  <c r="V36" i="2"/>
  <c r="V26" i="2"/>
  <c r="V16" i="2"/>
  <c r="V6" i="2"/>
  <c r="V235" i="2"/>
  <c r="V225" i="2"/>
  <c r="V215" i="2"/>
  <c r="V205" i="2"/>
  <c r="V195" i="2"/>
  <c r="V185" i="2"/>
  <c r="V175" i="2"/>
  <c r="V165" i="2"/>
  <c r="V155" i="2"/>
  <c r="V145" i="2"/>
  <c r="V135" i="2"/>
  <c r="V125" i="2"/>
  <c r="V115" i="2"/>
  <c r="V105" i="2"/>
  <c r="V95" i="2"/>
  <c r="V85" i="2"/>
  <c r="V75" i="2"/>
  <c r="V65" i="2"/>
  <c r="V55" i="2"/>
  <c r="V45" i="2"/>
  <c r="V35" i="2"/>
  <c r="V25" i="2"/>
  <c r="V15" i="2"/>
  <c r="V5" i="2"/>
  <c r="V234" i="2"/>
  <c r="V224" i="2"/>
  <c r="V214" i="2"/>
  <c r="V204" i="2"/>
  <c r="V194" i="2"/>
  <c r="V184" i="2"/>
  <c r="V174" i="2"/>
  <c r="V164" i="2"/>
  <c r="V154" i="2"/>
  <c r="V144" i="2"/>
  <c r="V134" i="2"/>
  <c r="V124" i="2"/>
  <c r="V114" i="2"/>
  <c r="V104" i="2"/>
  <c r="V94" i="2"/>
  <c r="V84" i="2"/>
  <c r="V74" i="2"/>
  <c r="V64" i="2"/>
  <c r="V54" i="2"/>
  <c r="V44" i="2"/>
  <c r="V34" i="2"/>
  <c r="V24" i="2"/>
  <c r="V14" i="2"/>
  <c r="V4" i="2"/>
  <c r="V233" i="2"/>
  <c r="V223" i="2"/>
  <c r="V213" i="2"/>
  <c r="V203" i="2"/>
  <c r="V193" i="2"/>
  <c r="V183" i="2"/>
  <c r="V173" i="2"/>
  <c r="V163" i="2"/>
  <c r="V153" i="2"/>
  <c r="V143" i="2"/>
  <c r="V133" i="2"/>
  <c r="V123" i="2"/>
  <c r="V113" i="2"/>
  <c r="V103" i="2"/>
  <c r="V93" i="2"/>
  <c r="V83" i="2"/>
  <c r="V73" i="2"/>
  <c r="V63" i="2"/>
  <c r="V53" i="2"/>
  <c r="V43" i="2"/>
  <c r="V33" i="2"/>
  <c r="V23" i="2"/>
  <c r="V13" i="2"/>
  <c r="V3" i="2"/>
  <c r="V232" i="2"/>
  <c r="V222" i="2"/>
  <c r="V212" i="2"/>
  <c r="V202" i="2"/>
  <c r="V192" i="2"/>
  <c r="V182" i="2"/>
  <c r="V172" i="2"/>
  <c r="V162" i="2"/>
  <c r="V152" i="2"/>
  <c r="V142" i="2"/>
  <c r="V132" i="2"/>
  <c r="V122" i="2"/>
  <c r="V112" i="2"/>
  <c r="V102" i="2"/>
  <c r="V92" i="2"/>
  <c r="V82" i="2"/>
  <c r="V72" i="2"/>
  <c r="V62" i="2"/>
  <c r="V52" i="2"/>
  <c r="V42" i="2"/>
  <c r="V32" i="2"/>
  <c r="V22" i="2"/>
  <c r="V12" i="2"/>
  <c r="V2" i="2"/>
  <c r="U241" i="2"/>
  <c r="U231" i="2"/>
  <c r="U221" i="2"/>
  <c r="U211" i="2"/>
  <c r="U201" i="2"/>
  <c r="U191" i="2"/>
  <c r="U181" i="2"/>
  <c r="U171" i="2"/>
  <c r="U161" i="2"/>
  <c r="U151" i="2"/>
  <c r="U141" i="2"/>
  <c r="U131" i="2"/>
  <c r="U121" i="2"/>
  <c r="U111" i="2"/>
  <c r="U101" i="2"/>
  <c r="U91" i="2"/>
  <c r="U81" i="2"/>
  <c r="U71" i="2"/>
  <c r="U61" i="2"/>
  <c r="U51" i="2"/>
  <c r="U41" i="2"/>
  <c r="U31" i="2"/>
  <c r="U21" i="2"/>
  <c r="U11" i="2"/>
  <c r="U240" i="2"/>
  <c r="U230" i="2"/>
  <c r="U220" i="2"/>
  <c r="U210" i="2"/>
  <c r="U200" i="2"/>
  <c r="U190" i="2"/>
  <c r="U180" i="2"/>
  <c r="U170" i="2"/>
  <c r="U160" i="2"/>
  <c r="U150" i="2"/>
  <c r="U140" i="2"/>
  <c r="U130" i="2"/>
  <c r="U120" i="2"/>
  <c r="U110" i="2"/>
  <c r="U100" i="2"/>
  <c r="U90" i="2"/>
  <c r="U80" i="2"/>
  <c r="U70" i="2"/>
  <c r="U60" i="2"/>
  <c r="U50" i="2"/>
  <c r="U40" i="2"/>
  <c r="U30" i="2"/>
  <c r="U20" i="2"/>
  <c r="U10" i="2"/>
  <c r="U239" i="2"/>
  <c r="U229" i="2"/>
  <c r="U219" i="2"/>
  <c r="U209" i="2"/>
  <c r="U199" i="2"/>
  <c r="U189" i="2"/>
  <c r="U179" i="2"/>
  <c r="U169" i="2"/>
  <c r="U159" i="2"/>
  <c r="U149" i="2"/>
  <c r="U139" i="2"/>
  <c r="U129" i="2"/>
  <c r="U119" i="2"/>
  <c r="U109" i="2"/>
  <c r="U99" i="2"/>
  <c r="U89" i="2"/>
  <c r="U79" i="2"/>
  <c r="U69" i="2"/>
  <c r="U59" i="2"/>
  <c r="U49" i="2"/>
  <c r="U39" i="2"/>
  <c r="U29" i="2"/>
  <c r="U19" i="2"/>
  <c r="U9" i="2"/>
  <c r="U238" i="2"/>
  <c r="U228" i="2"/>
  <c r="U218" i="2"/>
  <c r="U208" i="2"/>
  <c r="U198" i="2"/>
  <c r="U188" i="2"/>
  <c r="U178" i="2"/>
  <c r="U168" i="2"/>
  <c r="U158" i="2"/>
  <c r="U148" i="2"/>
  <c r="U138" i="2"/>
  <c r="U128" i="2"/>
  <c r="U118" i="2"/>
  <c r="U108" i="2"/>
  <c r="U98" i="2"/>
  <c r="U88" i="2"/>
  <c r="U78" i="2"/>
  <c r="U68" i="2"/>
  <c r="U58" i="2"/>
  <c r="U48" i="2"/>
  <c r="U38" i="2"/>
  <c r="U28" i="2"/>
  <c r="U18" i="2"/>
  <c r="U8" i="2"/>
  <c r="U237" i="2"/>
  <c r="U227" i="2"/>
  <c r="U217" i="2"/>
  <c r="U207" i="2"/>
  <c r="U197" i="2"/>
  <c r="U187" i="2"/>
  <c r="U177" i="2"/>
  <c r="U167" i="2"/>
  <c r="U157" i="2"/>
  <c r="U147" i="2"/>
  <c r="U137" i="2"/>
  <c r="U127" i="2"/>
  <c r="U117" i="2"/>
  <c r="U107" i="2"/>
  <c r="U97" i="2"/>
  <c r="U87" i="2"/>
  <c r="U77" i="2"/>
  <c r="U67" i="2"/>
  <c r="U57" i="2"/>
  <c r="U47" i="2"/>
  <c r="U37" i="2"/>
  <c r="U27" i="2"/>
  <c r="U17" i="2"/>
  <c r="U7" i="2"/>
  <c r="U236" i="2"/>
  <c r="U226" i="2"/>
  <c r="U216" i="2"/>
  <c r="U206" i="2"/>
  <c r="U196" i="2"/>
  <c r="U186" i="2"/>
  <c r="U176" i="2"/>
  <c r="U166" i="2"/>
  <c r="U156" i="2"/>
  <c r="U146" i="2"/>
  <c r="U136" i="2"/>
  <c r="U126" i="2"/>
  <c r="U116" i="2"/>
  <c r="U106" i="2"/>
  <c r="U96" i="2"/>
  <c r="U86" i="2"/>
  <c r="U76" i="2"/>
  <c r="U66" i="2"/>
  <c r="U56" i="2"/>
  <c r="U46" i="2"/>
  <c r="U36" i="2"/>
  <c r="U26" i="2"/>
  <c r="U16" i="2"/>
  <c r="U6" i="2"/>
  <c r="U235" i="2"/>
  <c r="U225" i="2"/>
  <c r="U215" i="2"/>
  <c r="U205" i="2"/>
  <c r="U195" i="2"/>
  <c r="U185" i="2"/>
  <c r="U175" i="2"/>
  <c r="U165" i="2"/>
  <c r="U155" i="2"/>
  <c r="U145" i="2"/>
  <c r="U135" i="2"/>
  <c r="U125" i="2"/>
  <c r="U115" i="2"/>
  <c r="U105" i="2"/>
  <c r="U95" i="2"/>
  <c r="U85" i="2"/>
  <c r="U75" i="2"/>
  <c r="U65" i="2"/>
  <c r="U55" i="2"/>
  <c r="U45" i="2"/>
  <c r="U35" i="2"/>
  <c r="U25" i="2"/>
  <c r="U15" i="2"/>
  <c r="U5" i="2"/>
  <c r="U234" i="2"/>
  <c r="U224" i="2"/>
  <c r="U214" i="2"/>
  <c r="U204" i="2"/>
  <c r="U194" i="2"/>
  <c r="U184" i="2"/>
  <c r="U174" i="2"/>
  <c r="U164" i="2"/>
  <c r="U154" i="2"/>
  <c r="U144" i="2"/>
  <c r="U134" i="2"/>
  <c r="U124" i="2"/>
  <c r="U114" i="2"/>
  <c r="U104" i="2"/>
  <c r="U94" i="2"/>
  <c r="U84" i="2"/>
  <c r="U74" i="2"/>
  <c r="U64" i="2"/>
  <c r="U54" i="2"/>
  <c r="U44" i="2"/>
  <c r="U34" i="2"/>
  <c r="U24" i="2"/>
  <c r="U14" i="2"/>
  <c r="U4" i="2"/>
  <c r="U233" i="2"/>
  <c r="U223" i="2"/>
  <c r="U213" i="2"/>
  <c r="U203" i="2"/>
  <c r="U193" i="2"/>
  <c r="U183" i="2"/>
  <c r="U173" i="2"/>
  <c r="U163" i="2"/>
  <c r="U153" i="2"/>
  <c r="U143" i="2"/>
  <c r="U133" i="2"/>
  <c r="U123" i="2"/>
  <c r="U113" i="2"/>
  <c r="U103" i="2"/>
  <c r="U93" i="2"/>
  <c r="U83" i="2"/>
  <c r="U73" i="2"/>
  <c r="U63" i="2"/>
  <c r="U53" i="2"/>
  <c r="U43" i="2"/>
  <c r="U33" i="2"/>
  <c r="U23" i="2"/>
  <c r="U13" i="2"/>
  <c r="U3" i="2"/>
  <c r="U232" i="2"/>
  <c r="U222" i="2"/>
  <c r="U212" i="2"/>
  <c r="U202" i="2"/>
  <c r="U192" i="2"/>
  <c r="U182" i="2"/>
  <c r="U172" i="2"/>
  <c r="U162" i="2"/>
  <c r="U152" i="2"/>
  <c r="U142" i="2"/>
  <c r="U132" i="2"/>
  <c r="U122" i="2"/>
  <c r="U112" i="2"/>
  <c r="U102" i="2"/>
  <c r="U92" i="2"/>
  <c r="U82" i="2"/>
  <c r="U72" i="2"/>
  <c r="U62" i="2"/>
  <c r="U52" i="2"/>
  <c r="U42" i="2"/>
  <c r="U32" i="2"/>
  <c r="U22" i="2"/>
  <c r="U12" i="2"/>
  <c r="U2" i="2"/>
  <c r="T241" i="2"/>
  <c r="T231" i="2"/>
  <c r="T221" i="2"/>
  <c r="T211" i="2"/>
  <c r="T201" i="2"/>
  <c r="T191" i="2"/>
  <c r="T181" i="2"/>
  <c r="T171" i="2"/>
  <c r="T161" i="2"/>
  <c r="T151" i="2"/>
  <c r="T141" i="2"/>
  <c r="T131" i="2"/>
  <c r="T121" i="2"/>
  <c r="T111" i="2"/>
  <c r="T101" i="2"/>
  <c r="T91" i="2"/>
  <c r="T81" i="2"/>
  <c r="T71" i="2"/>
  <c r="T61" i="2"/>
  <c r="T51" i="2"/>
  <c r="T41" i="2"/>
  <c r="T31" i="2"/>
  <c r="T21" i="2"/>
  <c r="T11" i="2"/>
  <c r="T240" i="2"/>
  <c r="T230" i="2"/>
  <c r="T220" i="2"/>
  <c r="T210" i="2"/>
  <c r="T200" i="2"/>
  <c r="T190" i="2"/>
  <c r="T180" i="2"/>
  <c r="T170" i="2"/>
  <c r="T160" i="2"/>
  <c r="T150" i="2"/>
  <c r="T140" i="2"/>
  <c r="T130" i="2"/>
  <c r="T120" i="2"/>
  <c r="T110" i="2"/>
  <c r="T100" i="2"/>
  <c r="T90" i="2"/>
  <c r="T80" i="2"/>
  <c r="T70" i="2"/>
  <c r="T60" i="2"/>
  <c r="T50" i="2"/>
  <c r="T40" i="2"/>
  <c r="T30" i="2"/>
  <c r="T20" i="2"/>
  <c r="T10" i="2"/>
  <c r="T239" i="2"/>
  <c r="T229" i="2"/>
  <c r="T219" i="2"/>
  <c r="T209" i="2"/>
  <c r="T199" i="2"/>
  <c r="T189" i="2"/>
  <c r="T179" i="2"/>
  <c r="T169" i="2"/>
  <c r="T159" i="2"/>
  <c r="T149" i="2"/>
  <c r="T139" i="2"/>
  <c r="T129" i="2"/>
  <c r="T119" i="2"/>
  <c r="T109" i="2"/>
  <c r="T99" i="2"/>
  <c r="T89" i="2"/>
  <c r="T79" i="2"/>
  <c r="T69" i="2"/>
  <c r="T59" i="2"/>
  <c r="T49" i="2"/>
  <c r="T39" i="2"/>
  <c r="T29" i="2"/>
  <c r="T19" i="2"/>
  <c r="T9" i="2"/>
  <c r="T238" i="2"/>
  <c r="T228" i="2"/>
  <c r="T218" i="2"/>
  <c r="T208" i="2"/>
  <c r="T198" i="2"/>
  <c r="T188" i="2"/>
  <c r="T178" i="2"/>
  <c r="T168" i="2"/>
  <c r="T158" i="2"/>
  <c r="T148" i="2"/>
  <c r="T138" i="2"/>
  <c r="T128" i="2"/>
  <c r="T118" i="2"/>
  <c r="T108" i="2"/>
  <c r="T98" i="2"/>
  <c r="T88" i="2"/>
  <c r="T78" i="2"/>
  <c r="T68" i="2"/>
  <c r="T58" i="2"/>
  <c r="T48" i="2"/>
  <c r="T38" i="2"/>
  <c r="T28" i="2"/>
  <c r="T18" i="2"/>
  <c r="T8" i="2"/>
  <c r="T237" i="2"/>
  <c r="T227" i="2"/>
  <c r="T217" i="2"/>
  <c r="T207" i="2"/>
  <c r="T197" i="2"/>
  <c r="T187" i="2"/>
  <c r="T177" i="2"/>
  <c r="T167" i="2"/>
  <c r="T157" i="2"/>
  <c r="T147" i="2"/>
  <c r="T137" i="2"/>
  <c r="T127" i="2"/>
  <c r="T117" i="2"/>
  <c r="T107" i="2"/>
  <c r="T97" i="2"/>
  <c r="T87" i="2"/>
  <c r="T77" i="2"/>
  <c r="T67" i="2"/>
  <c r="T57" i="2"/>
  <c r="T47" i="2"/>
  <c r="T37" i="2"/>
  <c r="T27" i="2"/>
  <c r="T17" i="2"/>
  <c r="T7" i="2"/>
  <c r="T236" i="2"/>
  <c r="T226" i="2"/>
  <c r="T216" i="2"/>
  <c r="T206" i="2"/>
  <c r="T196" i="2"/>
  <c r="T186" i="2"/>
  <c r="T176" i="2"/>
  <c r="T166" i="2"/>
  <c r="T156" i="2"/>
  <c r="T146" i="2"/>
  <c r="T136" i="2"/>
  <c r="T126" i="2"/>
  <c r="T116" i="2"/>
  <c r="T106" i="2"/>
  <c r="T96" i="2"/>
  <c r="T86" i="2"/>
  <c r="T76" i="2"/>
  <c r="T66" i="2"/>
  <c r="T56" i="2"/>
  <c r="T46" i="2"/>
  <c r="T36" i="2"/>
  <c r="T26" i="2"/>
  <c r="T16" i="2"/>
  <c r="T6" i="2"/>
  <c r="T235" i="2"/>
  <c r="T225" i="2"/>
  <c r="T215" i="2"/>
  <c r="T205" i="2"/>
  <c r="T195" i="2"/>
  <c r="T185" i="2"/>
  <c r="T175" i="2"/>
  <c r="T165" i="2"/>
  <c r="T155" i="2"/>
  <c r="T145" i="2"/>
  <c r="T135" i="2"/>
  <c r="T125" i="2"/>
  <c r="T115" i="2"/>
  <c r="T105" i="2"/>
  <c r="T95" i="2"/>
  <c r="T85" i="2"/>
  <c r="T75" i="2"/>
  <c r="T65" i="2"/>
  <c r="T55" i="2"/>
  <c r="T45" i="2"/>
  <c r="T35" i="2"/>
  <c r="T25" i="2"/>
  <c r="T15" i="2"/>
  <c r="T5" i="2"/>
  <c r="T234" i="2"/>
  <c r="T224" i="2"/>
  <c r="T214" i="2"/>
  <c r="T204" i="2"/>
  <c r="T194" i="2"/>
  <c r="T184" i="2"/>
  <c r="T174" i="2"/>
  <c r="T164" i="2"/>
  <c r="T154" i="2"/>
  <c r="T144" i="2"/>
  <c r="T134" i="2"/>
  <c r="T124" i="2"/>
  <c r="T114" i="2"/>
  <c r="T104" i="2"/>
  <c r="T94" i="2"/>
  <c r="T84" i="2"/>
  <c r="T74" i="2"/>
  <c r="T64" i="2"/>
  <c r="T54" i="2"/>
  <c r="T44" i="2"/>
  <c r="T34" i="2"/>
  <c r="T24" i="2"/>
  <c r="T14" i="2"/>
  <c r="T4" i="2"/>
  <c r="T233" i="2"/>
  <c r="T223" i="2"/>
  <c r="T213" i="2"/>
  <c r="T203" i="2"/>
  <c r="T193" i="2"/>
  <c r="T183" i="2"/>
  <c r="T173" i="2"/>
  <c r="T163" i="2"/>
  <c r="T153" i="2"/>
  <c r="T143" i="2"/>
  <c r="T133" i="2"/>
  <c r="T123" i="2"/>
  <c r="T113" i="2"/>
  <c r="T103" i="2"/>
  <c r="T93" i="2"/>
  <c r="T83" i="2"/>
  <c r="T73" i="2"/>
  <c r="T63" i="2"/>
  <c r="T53" i="2"/>
  <c r="T43" i="2"/>
  <c r="T33" i="2"/>
  <c r="T23" i="2"/>
  <c r="T13" i="2"/>
  <c r="T3" i="2"/>
  <c r="T232" i="2"/>
  <c r="T222" i="2"/>
  <c r="T212" i="2"/>
  <c r="T202" i="2"/>
  <c r="T192" i="2"/>
  <c r="T182" i="2"/>
  <c r="T172" i="2"/>
  <c r="T162" i="2"/>
  <c r="T152" i="2"/>
  <c r="T142" i="2"/>
  <c r="T132" i="2"/>
  <c r="T122" i="2"/>
  <c r="T112" i="2"/>
  <c r="T102" i="2"/>
  <c r="T92" i="2"/>
  <c r="T82" i="2"/>
  <c r="T72" i="2"/>
  <c r="T62" i="2"/>
  <c r="T52" i="2"/>
  <c r="T42" i="2"/>
  <c r="T32" i="2"/>
  <c r="T22" i="2"/>
  <c r="T12" i="2"/>
  <c r="T2" i="2"/>
  <c r="S241" i="2"/>
  <c r="S231" i="2"/>
  <c r="S221" i="2"/>
  <c r="S211" i="2"/>
  <c r="S201" i="2"/>
  <c r="S191" i="2"/>
  <c r="S181" i="2"/>
  <c r="S171" i="2"/>
  <c r="S161" i="2"/>
  <c r="S151" i="2"/>
  <c r="S141" i="2"/>
  <c r="S131" i="2"/>
  <c r="S121" i="2"/>
  <c r="S111" i="2"/>
  <c r="S101" i="2"/>
  <c r="S91" i="2"/>
  <c r="S81" i="2"/>
  <c r="S71" i="2"/>
  <c r="S61" i="2"/>
  <c r="S51" i="2"/>
  <c r="S41" i="2"/>
  <c r="S31" i="2"/>
  <c r="S21" i="2"/>
  <c r="S11" i="2"/>
  <c r="S240" i="2"/>
  <c r="S230" i="2"/>
  <c r="S220" i="2"/>
  <c r="S210" i="2"/>
  <c r="S200" i="2"/>
  <c r="S190" i="2"/>
  <c r="S180" i="2"/>
  <c r="S170" i="2"/>
  <c r="S160" i="2"/>
  <c r="S150" i="2"/>
  <c r="S140" i="2"/>
  <c r="S130" i="2"/>
  <c r="S120" i="2"/>
  <c r="S110" i="2"/>
  <c r="S100" i="2"/>
  <c r="S90" i="2"/>
  <c r="S80" i="2"/>
  <c r="S70" i="2"/>
  <c r="S60" i="2"/>
  <c r="S50" i="2"/>
  <c r="S40" i="2"/>
  <c r="S30" i="2"/>
  <c r="S20" i="2"/>
  <c r="S10" i="2"/>
  <c r="S239" i="2"/>
  <c r="S229" i="2"/>
  <c r="S219" i="2"/>
  <c r="S209" i="2"/>
  <c r="S199" i="2"/>
  <c r="S189" i="2"/>
  <c r="S179" i="2"/>
  <c r="S169" i="2"/>
  <c r="S159" i="2"/>
  <c r="S149" i="2"/>
  <c r="S139" i="2"/>
  <c r="S129" i="2"/>
  <c r="S119" i="2"/>
  <c r="S109" i="2"/>
  <c r="S99" i="2"/>
  <c r="S89" i="2"/>
  <c r="S79" i="2"/>
  <c r="S69" i="2"/>
  <c r="S59" i="2"/>
  <c r="S49" i="2"/>
  <c r="S39" i="2"/>
  <c r="S29" i="2"/>
  <c r="S19" i="2"/>
  <c r="S9" i="2"/>
  <c r="S238" i="2"/>
  <c r="S228" i="2"/>
  <c r="S218" i="2"/>
  <c r="S208" i="2"/>
  <c r="S198" i="2"/>
  <c r="S188" i="2"/>
  <c r="S178" i="2"/>
  <c r="S168" i="2"/>
  <c r="S158" i="2"/>
  <c r="S148" i="2"/>
  <c r="S138" i="2"/>
  <c r="S128" i="2"/>
  <c r="S118" i="2"/>
  <c r="S108" i="2"/>
  <c r="S98" i="2"/>
  <c r="S88" i="2"/>
  <c r="S78" i="2"/>
  <c r="S68" i="2"/>
  <c r="S58" i="2"/>
  <c r="S48" i="2"/>
  <c r="S38" i="2"/>
  <c r="S28" i="2"/>
  <c r="S18" i="2"/>
  <c r="S8" i="2"/>
  <c r="S237" i="2"/>
  <c r="S227" i="2"/>
  <c r="S217" i="2"/>
  <c r="S207" i="2"/>
  <c r="S197" i="2"/>
  <c r="S187" i="2"/>
  <c r="S177" i="2"/>
  <c r="S167" i="2"/>
  <c r="S157" i="2"/>
  <c r="S147" i="2"/>
  <c r="S137" i="2"/>
  <c r="S127" i="2"/>
  <c r="S117" i="2"/>
  <c r="S107" i="2"/>
  <c r="S97" i="2"/>
  <c r="S87" i="2"/>
  <c r="S77" i="2"/>
  <c r="S67" i="2"/>
  <c r="S57" i="2"/>
  <c r="S47" i="2"/>
  <c r="S37" i="2"/>
  <c r="S27" i="2"/>
  <c r="S17" i="2"/>
  <c r="S7" i="2"/>
  <c r="S236" i="2"/>
  <c r="S226" i="2"/>
  <c r="S216" i="2"/>
  <c r="S206" i="2"/>
  <c r="S196" i="2"/>
  <c r="S186" i="2"/>
  <c r="S176" i="2"/>
  <c r="S166" i="2"/>
  <c r="S156" i="2"/>
  <c r="S146" i="2"/>
  <c r="S136" i="2"/>
  <c r="S126" i="2"/>
  <c r="S116" i="2"/>
  <c r="S106" i="2"/>
  <c r="S96" i="2"/>
  <c r="S86" i="2"/>
  <c r="S76" i="2"/>
  <c r="S66" i="2"/>
  <c r="S56" i="2"/>
  <c r="S46" i="2"/>
  <c r="S36" i="2"/>
  <c r="S26" i="2"/>
  <c r="S16" i="2"/>
  <c r="S6" i="2"/>
  <c r="S235" i="2"/>
  <c r="S225" i="2"/>
  <c r="S215" i="2"/>
  <c r="S205" i="2"/>
  <c r="S195" i="2"/>
  <c r="S185" i="2"/>
  <c r="S175" i="2"/>
  <c r="S165" i="2"/>
  <c r="S155" i="2"/>
  <c r="S145" i="2"/>
  <c r="S135" i="2"/>
  <c r="S125" i="2"/>
  <c r="S115" i="2"/>
  <c r="S105" i="2"/>
  <c r="S95" i="2"/>
  <c r="S85" i="2"/>
  <c r="S75" i="2"/>
  <c r="S65" i="2"/>
  <c r="S55" i="2"/>
  <c r="S45" i="2"/>
  <c r="S35" i="2"/>
  <c r="S25" i="2"/>
  <c r="S15" i="2"/>
  <c r="S5" i="2"/>
  <c r="S234" i="2"/>
  <c r="S224" i="2"/>
  <c r="S214" i="2"/>
  <c r="S204" i="2"/>
  <c r="S194" i="2"/>
  <c r="S184" i="2"/>
  <c r="S174" i="2"/>
  <c r="S164" i="2"/>
  <c r="S154" i="2"/>
  <c r="S144" i="2"/>
  <c r="S134" i="2"/>
  <c r="S124" i="2"/>
  <c r="S114" i="2"/>
  <c r="S104" i="2"/>
  <c r="S94" i="2"/>
  <c r="S84" i="2"/>
  <c r="S74" i="2"/>
  <c r="S64" i="2"/>
  <c r="S54" i="2"/>
  <c r="S44" i="2"/>
  <c r="S34" i="2"/>
  <c r="S24" i="2"/>
  <c r="S14" i="2"/>
  <c r="S4" i="2"/>
  <c r="S233" i="2"/>
  <c r="S223" i="2"/>
  <c r="S213" i="2"/>
  <c r="S203" i="2"/>
  <c r="S193" i="2"/>
  <c r="S183" i="2"/>
  <c r="S173" i="2"/>
  <c r="S163" i="2"/>
  <c r="S153" i="2"/>
  <c r="S143" i="2"/>
  <c r="S133" i="2"/>
  <c r="S123" i="2"/>
  <c r="S113" i="2"/>
  <c r="S103" i="2"/>
  <c r="S93" i="2"/>
  <c r="S83" i="2"/>
  <c r="S73" i="2"/>
  <c r="S63" i="2"/>
  <c r="S53" i="2"/>
  <c r="S43" i="2"/>
  <c r="S33" i="2"/>
  <c r="S23" i="2"/>
  <c r="S13" i="2"/>
  <c r="S3" i="2"/>
  <c r="S232" i="2"/>
  <c r="S222" i="2"/>
  <c r="S212" i="2"/>
  <c r="S202" i="2"/>
  <c r="S192" i="2"/>
  <c r="S182" i="2"/>
  <c r="S172" i="2"/>
  <c r="S162" i="2"/>
  <c r="S152" i="2"/>
  <c r="S142" i="2"/>
  <c r="S132" i="2"/>
  <c r="S122" i="2"/>
  <c r="S112" i="2"/>
  <c r="S102" i="2"/>
  <c r="S92" i="2"/>
  <c r="S82" i="2"/>
  <c r="S72" i="2"/>
  <c r="S62" i="2"/>
  <c r="S52" i="2"/>
  <c r="S42" i="2"/>
  <c r="S32" i="2"/>
  <c r="S22" i="2"/>
  <c r="S12" i="2"/>
  <c r="S2" i="2"/>
  <c r="R241" i="2"/>
  <c r="R231" i="2"/>
  <c r="R221" i="2"/>
  <c r="R211" i="2"/>
  <c r="R201" i="2"/>
  <c r="R191" i="2"/>
  <c r="R181" i="2"/>
  <c r="R171" i="2"/>
  <c r="R161" i="2"/>
  <c r="R151" i="2"/>
  <c r="R141" i="2"/>
  <c r="R131" i="2"/>
  <c r="R121" i="2"/>
  <c r="R111" i="2"/>
  <c r="R101" i="2"/>
  <c r="R91" i="2"/>
  <c r="R81" i="2"/>
  <c r="R71" i="2"/>
  <c r="R61" i="2"/>
  <c r="R51" i="2"/>
  <c r="R41" i="2"/>
  <c r="R31" i="2"/>
  <c r="R21" i="2"/>
  <c r="R11" i="2"/>
  <c r="R240" i="2"/>
  <c r="R230" i="2"/>
  <c r="R220" i="2"/>
  <c r="R210" i="2"/>
  <c r="R200" i="2"/>
  <c r="R190" i="2"/>
  <c r="R180" i="2"/>
  <c r="R170" i="2"/>
  <c r="R160" i="2"/>
  <c r="R150" i="2"/>
  <c r="R140" i="2"/>
  <c r="R130" i="2"/>
  <c r="R120" i="2"/>
  <c r="R110" i="2"/>
  <c r="R100" i="2"/>
  <c r="R90" i="2"/>
  <c r="R80" i="2"/>
  <c r="R70" i="2"/>
  <c r="R60" i="2"/>
  <c r="R50" i="2"/>
  <c r="R40" i="2"/>
  <c r="R30" i="2"/>
  <c r="R20" i="2"/>
  <c r="R10" i="2"/>
  <c r="R239" i="2"/>
  <c r="R229" i="2"/>
  <c r="R219" i="2"/>
  <c r="R209" i="2"/>
  <c r="R199" i="2"/>
  <c r="R189" i="2"/>
  <c r="R179" i="2"/>
  <c r="R169" i="2"/>
  <c r="R159" i="2"/>
  <c r="R149" i="2"/>
  <c r="R139" i="2"/>
  <c r="R129" i="2"/>
  <c r="R119" i="2"/>
  <c r="R109" i="2"/>
  <c r="R99" i="2"/>
  <c r="R89" i="2"/>
  <c r="R79" i="2"/>
  <c r="R69" i="2"/>
  <c r="R59" i="2"/>
  <c r="R49" i="2"/>
  <c r="R39" i="2"/>
  <c r="R29" i="2"/>
  <c r="R19" i="2"/>
  <c r="R9" i="2"/>
  <c r="R238" i="2"/>
  <c r="R228" i="2"/>
  <c r="R218" i="2"/>
  <c r="R208" i="2"/>
  <c r="R198" i="2"/>
  <c r="R188" i="2"/>
  <c r="R178" i="2"/>
  <c r="R168" i="2"/>
  <c r="R158" i="2"/>
  <c r="R148" i="2"/>
  <c r="R138" i="2"/>
  <c r="R128" i="2"/>
  <c r="R118" i="2"/>
  <c r="R108" i="2"/>
  <c r="R98" i="2"/>
  <c r="R88" i="2"/>
  <c r="R78" i="2"/>
  <c r="R68" i="2"/>
  <c r="R58" i="2"/>
  <c r="R48" i="2"/>
  <c r="R38" i="2"/>
  <c r="R28" i="2"/>
  <c r="R18" i="2"/>
  <c r="R8" i="2"/>
  <c r="R237" i="2"/>
  <c r="R227" i="2"/>
  <c r="R217" i="2"/>
  <c r="R207" i="2"/>
  <c r="R197" i="2"/>
  <c r="R187" i="2"/>
  <c r="R177" i="2"/>
  <c r="R167" i="2"/>
  <c r="R157" i="2"/>
  <c r="R147" i="2"/>
  <c r="R137" i="2"/>
  <c r="R127" i="2"/>
  <c r="R117" i="2"/>
  <c r="R107" i="2"/>
  <c r="R97" i="2"/>
  <c r="R87" i="2"/>
  <c r="R77" i="2"/>
  <c r="R67" i="2"/>
  <c r="R57" i="2"/>
  <c r="R47" i="2"/>
  <c r="R37" i="2"/>
  <c r="R27" i="2"/>
  <c r="R17" i="2"/>
  <c r="R7" i="2"/>
  <c r="R236" i="2"/>
  <c r="R226" i="2"/>
  <c r="R216" i="2"/>
  <c r="R206" i="2"/>
  <c r="R196" i="2"/>
  <c r="R186" i="2"/>
  <c r="R176" i="2"/>
  <c r="R166" i="2"/>
  <c r="R156" i="2"/>
  <c r="R146" i="2"/>
  <c r="R136" i="2"/>
  <c r="R126" i="2"/>
  <c r="R116" i="2"/>
  <c r="R106" i="2"/>
  <c r="R96" i="2"/>
  <c r="R86" i="2"/>
  <c r="R76" i="2"/>
  <c r="R66" i="2"/>
  <c r="R56" i="2"/>
  <c r="R46" i="2"/>
  <c r="R36" i="2"/>
  <c r="R26" i="2"/>
  <c r="R16" i="2"/>
  <c r="R6" i="2"/>
  <c r="R235" i="2"/>
  <c r="R225" i="2"/>
  <c r="R215" i="2"/>
  <c r="R205" i="2"/>
  <c r="R195" i="2"/>
  <c r="R185" i="2"/>
  <c r="R175" i="2"/>
  <c r="R165" i="2"/>
  <c r="R155" i="2"/>
  <c r="R145" i="2"/>
  <c r="R135" i="2"/>
  <c r="R125" i="2"/>
  <c r="R115" i="2"/>
  <c r="R105" i="2"/>
  <c r="R95" i="2"/>
  <c r="R85" i="2"/>
  <c r="R75" i="2"/>
  <c r="R65" i="2"/>
  <c r="R55" i="2"/>
  <c r="R45" i="2"/>
  <c r="R35" i="2"/>
  <c r="R25" i="2"/>
  <c r="R15" i="2"/>
  <c r="R5" i="2"/>
  <c r="R234" i="2"/>
  <c r="R224" i="2"/>
  <c r="R214" i="2"/>
  <c r="R204" i="2"/>
  <c r="R194" i="2"/>
  <c r="R184" i="2"/>
  <c r="R174" i="2"/>
  <c r="R164" i="2"/>
  <c r="R154" i="2"/>
  <c r="R144" i="2"/>
  <c r="R134" i="2"/>
  <c r="R124" i="2"/>
  <c r="R114" i="2"/>
  <c r="R104" i="2"/>
  <c r="R94" i="2"/>
  <c r="R84" i="2"/>
  <c r="R74" i="2"/>
  <c r="R64" i="2"/>
  <c r="R54" i="2"/>
  <c r="R44" i="2"/>
  <c r="R34" i="2"/>
  <c r="R24" i="2"/>
  <c r="R14" i="2"/>
  <c r="R4" i="2"/>
  <c r="R233" i="2"/>
  <c r="R223" i="2"/>
  <c r="R213" i="2"/>
  <c r="R203" i="2"/>
  <c r="R193" i="2"/>
  <c r="R183" i="2"/>
  <c r="R173" i="2"/>
  <c r="R163" i="2"/>
  <c r="R153" i="2"/>
  <c r="R143" i="2"/>
  <c r="R133" i="2"/>
  <c r="R123" i="2"/>
  <c r="R113" i="2"/>
  <c r="R103" i="2"/>
  <c r="R93" i="2"/>
  <c r="R83" i="2"/>
  <c r="R73" i="2"/>
  <c r="R63" i="2"/>
  <c r="R53" i="2"/>
  <c r="R43" i="2"/>
  <c r="R33" i="2"/>
  <c r="R23" i="2"/>
  <c r="R13" i="2"/>
  <c r="R3" i="2"/>
  <c r="R232" i="2"/>
  <c r="R222" i="2"/>
  <c r="R212" i="2"/>
  <c r="R202" i="2"/>
  <c r="R192" i="2"/>
  <c r="R182" i="2"/>
  <c r="R172" i="2"/>
  <c r="R162" i="2"/>
  <c r="R152" i="2"/>
  <c r="R142" i="2"/>
  <c r="R132" i="2"/>
  <c r="R122" i="2"/>
  <c r="R112" i="2"/>
  <c r="R102" i="2"/>
  <c r="R92" i="2"/>
  <c r="R82" i="2"/>
  <c r="R72" i="2"/>
  <c r="R62" i="2"/>
  <c r="R52" i="2"/>
  <c r="R42" i="2"/>
  <c r="R32" i="2"/>
  <c r="R22" i="2"/>
  <c r="R12" i="2"/>
  <c r="R2" i="2"/>
  <c r="Q241" i="2"/>
  <c r="Q231" i="2"/>
  <c r="Q221" i="2"/>
  <c r="Q211" i="2"/>
  <c r="Q201" i="2"/>
  <c r="Q191" i="2"/>
  <c r="Q181" i="2"/>
  <c r="Q171" i="2"/>
  <c r="Q161" i="2"/>
  <c r="Q151" i="2"/>
  <c r="Q141" i="2"/>
  <c r="Q131" i="2"/>
  <c r="Q121" i="2"/>
  <c r="Q111" i="2"/>
  <c r="Q101" i="2"/>
  <c r="Q91" i="2"/>
  <c r="Q81" i="2"/>
  <c r="Q71" i="2"/>
  <c r="Q61" i="2"/>
  <c r="Q51" i="2"/>
  <c r="Q41" i="2"/>
  <c r="Q31" i="2"/>
  <c r="Q21" i="2"/>
  <c r="Q11" i="2"/>
  <c r="Q240" i="2"/>
  <c r="Q230" i="2"/>
  <c r="Q220" i="2"/>
  <c r="Q210" i="2"/>
  <c r="Q200" i="2"/>
  <c r="Q190" i="2"/>
  <c r="Q180" i="2"/>
  <c r="Q170" i="2"/>
  <c r="Q160" i="2"/>
  <c r="Q150" i="2"/>
  <c r="Q140" i="2"/>
  <c r="Q130" i="2"/>
  <c r="Q120" i="2"/>
  <c r="Q110" i="2"/>
  <c r="Q100" i="2"/>
  <c r="Q90" i="2"/>
  <c r="Q80" i="2"/>
  <c r="Q70" i="2"/>
  <c r="Q60" i="2"/>
  <c r="Q50" i="2"/>
  <c r="Q40" i="2"/>
  <c r="Q30" i="2"/>
  <c r="Q20" i="2"/>
  <c r="Q10" i="2"/>
  <c r="Q239" i="2"/>
  <c r="Q229" i="2"/>
  <c r="Q219" i="2"/>
  <c r="Q209" i="2"/>
  <c r="Q199" i="2"/>
  <c r="Q189" i="2"/>
  <c r="Q179" i="2"/>
  <c r="Q169" i="2"/>
  <c r="Q159" i="2"/>
  <c r="Q149" i="2"/>
  <c r="Q139" i="2"/>
  <c r="Q129" i="2"/>
  <c r="Q119" i="2"/>
  <c r="Q109" i="2"/>
  <c r="Q99" i="2"/>
  <c r="Q89" i="2"/>
  <c r="Q79" i="2"/>
  <c r="Q69" i="2"/>
  <c r="Q59" i="2"/>
  <c r="Q49" i="2"/>
  <c r="Q39" i="2"/>
  <c r="Q29" i="2"/>
  <c r="Q19" i="2"/>
  <c r="Q9" i="2"/>
  <c r="Q238" i="2"/>
  <c r="Q228" i="2"/>
  <c r="Q218" i="2"/>
  <c r="Q208" i="2"/>
  <c r="Q198" i="2"/>
  <c r="Q188" i="2"/>
  <c r="Q178" i="2"/>
  <c r="Q168" i="2"/>
  <c r="Q158" i="2"/>
  <c r="Q148" i="2"/>
  <c r="Q138" i="2"/>
  <c r="Q128" i="2"/>
  <c r="Q118" i="2"/>
  <c r="Q108" i="2"/>
  <c r="Q98" i="2"/>
  <c r="Q88" i="2"/>
  <c r="Q78" i="2"/>
  <c r="Q68" i="2"/>
  <c r="Q58" i="2"/>
  <c r="Q48" i="2"/>
  <c r="Q38" i="2"/>
  <c r="Q28" i="2"/>
  <c r="Q18" i="2"/>
  <c r="Q8" i="2"/>
  <c r="Q237" i="2"/>
  <c r="Q227" i="2"/>
  <c r="Q217" i="2"/>
  <c r="Q207" i="2"/>
  <c r="Q197" i="2"/>
  <c r="Q187" i="2"/>
  <c r="Q177" i="2"/>
  <c r="Q167" i="2"/>
  <c r="Q157" i="2"/>
  <c r="Q147" i="2"/>
  <c r="Q137" i="2"/>
  <c r="Q127" i="2"/>
  <c r="Q117" i="2"/>
  <c r="Q107" i="2"/>
  <c r="Q97" i="2"/>
  <c r="Q87" i="2"/>
  <c r="Q77" i="2"/>
  <c r="Q67" i="2"/>
  <c r="Q57" i="2"/>
  <c r="Q47" i="2"/>
  <c r="Q37" i="2"/>
  <c r="Q27" i="2"/>
  <c r="Q17" i="2"/>
  <c r="Q7" i="2"/>
  <c r="Q236" i="2"/>
  <c r="Q226" i="2"/>
  <c r="Q216" i="2"/>
  <c r="Q206" i="2"/>
  <c r="Q196" i="2"/>
  <c r="Q186" i="2"/>
  <c r="Q176" i="2"/>
  <c r="Q166" i="2"/>
  <c r="Q156" i="2"/>
  <c r="Q146" i="2"/>
  <c r="Q136" i="2"/>
  <c r="Q126" i="2"/>
  <c r="Q116" i="2"/>
  <c r="Q106" i="2"/>
  <c r="Q96" i="2"/>
  <c r="Q86" i="2"/>
  <c r="Q76" i="2"/>
  <c r="Q66" i="2"/>
  <c r="Q56" i="2"/>
  <c r="Q46" i="2"/>
  <c r="Q36" i="2"/>
  <c r="Q26" i="2"/>
  <c r="Q16" i="2"/>
  <c r="Q6" i="2"/>
  <c r="Q235" i="2"/>
  <c r="Q225" i="2"/>
  <c r="Q215" i="2"/>
  <c r="Q205" i="2"/>
  <c r="Q195" i="2"/>
  <c r="Q185" i="2"/>
  <c r="Q175" i="2"/>
  <c r="Q165" i="2"/>
  <c r="Q155" i="2"/>
  <c r="Q145" i="2"/>
  <c r="Q135" i="2"/>
  <c r="Q125" i="2"/>
  <c r="Q115" i="2"/>
  <c r="Q105" i="2"/>
  <c r="Q95" i="2"/>
  <c r="Q85" i="2"/>
  <c r="Q75" i="2"/>
  <c r="Q65" i="2"/>
  <c r="Q55" i="2"/>
  <c r="Q45" i="2"/>
  <c r="Q35" i="2"/>
  <c r="Q25" i="2"/>
  <c r="Q15" i="2"/>
  <c r="Q5" i="2"/>
  <c r="Q234" i="2"/>
  <c r="Q224" i="2"/>
  <c r="Q214" i="2"/>
  <c r="Q204" i="2"/>
  <c r="Q194" i="2"/>
  <c r="Q184" i="2"/>
  <c r="Q174" i="2"/>
  <c r="Q164" i="2"/>
  <c r="Q154" i="2"/>
  <c r="Q144" i="2"/>
  <c r="Q134" i="2"/>
  <c r="Q124" i="2"/>
  <c r="Q114" i="2"/>
  <c r="Q104" i="2"/>
  <c r="Q94" i="2"/>
  <c r="Q84" i="2"/>
  <c r="Q74" i="2"/>
  <c r="Q64" i="2"/>
  <c r="Q54" i="2"/>
  <c r="Q44" i="2"/>
  <c r="Q34" i="2"/>
  <c r="Q24" i="2"/>
  <c r="Q14" i="2"/>
  <c r="Q4" i="2"/>
  <c r="Q233" i="2"/>
  <c r="Q223" i="2"/>
  <c r="Q213" i="2"/>
  <c r="Q203" i="2"/>
  <c r="Q193" i="2"/>
  <c r="Q183" i="2"/>
  <c r="Q173" i="2"/>
  <c r="Q163" i="2"/>
  <c r="Q153" i="2"/>
  <c r="Q143" i="2"/>
  <c r="Q133" i="2"/>
  <c r="Q123" i="2"/>
  <c r="Q113" i="2"/>
  <c r="Q103" i="2"/>
  <c r="Q93" i="2"/>
  <c r="Q83" i="2"/>
  <c r="Q73" i="2"/>
  <c r="Q63" i="2"/>
  <c r="Q53" i="2"/>
  <c r="Q43" i="2"/>
  <c r="Q33" i="2"/>
  <c r="Q23" i="2"/>
  <c r="Q13" i="2"/>
  <c r="Q3" i="2"/>
  <c r="Q232" i="2"/>
  <c r="Q222" i="2"/>
  <c r="Q212" i="2"/>
  <c r="Q202" i="2"/>
  <c r="Q192" i="2"/>
  <c r="Q182" i="2"/>
  <c r="Q172" i="2"/>
  <c r="Q162" i="2"/>
  <c r="Q152" i="2"/>
  <c r="Q142" i="2"/>
  <c r="Q132" i="2"/>
  <c r="Q122" i="2"/>
  <c r="Q112" i="2"/>
  <c r="Q102" i="2"/>
  <c r="Q92" i="2"/>
  <c r="Q82" i="2"/>
  <c r="Q72" i="2"/>
  <c r="Q62" i="2"/>
  <c r="Q52" i="2"/>
  <c r="Q42" i="2"/>
  <c r="Q32" i="2"/>
  <c r="Q22" i="2"/>
  <c r="Q12" i="2"/>
  <c r="Q2" i="2"/>
  <c r="P241" i="2"/>
  <c r="P231" i="2"/>
  <c r="P221" i="2"/>
  <c r="P211" i="2"/>
  <c r="P201" i="2"/>
  <c r="P191" i="2"/>
  <c r="P181" i="2"/>
  <c r="P171" i="2"/>
  <c r="P161" i="2"/>
  <c r="P151" i="2"/>
  <c r="P141" i="2"/>
  <c r="P131" i="2"/>
  <c r="P121" i="2"/>
  <c r="P111" i="2"/>
  <c r="P101" i="2"/>
  <c r="P91" i="2"/>
  <c r="P81" i="2"/>
  <c r="P71" i="2"/>
  <c r="P61" i="2"/>
  <c r="P51" i="2"/>
  <c r="P41" i="2"/>
  <c r="P31" i="2"/>
  <c r="P21" i="2"/>
  <c r="P11" i="2"/>
  <c r="P240" i="2"/>
  <c r="P230" i="2"/>
  <c r="P220" i="2"/>
  <c r="P210" i="2"/>
  <c r="P200" i="2"/>
  <c r="P190" i="2"/>
  <c r="P180" i="2"/>
  <c r="P170" i="2"/>
  <c r="P160" i="2"/>
  <c r="P150" i="2"/>
  <c r="P140" i="2"/>
  <c r="P130" i="2"/>
  <c r="P120" i="2"/>
  <c r="P110" i="2"/>
  <c r="P100" i="2"/>
  <c r="P90" i="2"/>
  <c r="P80" i="2"/>
  <c r="P70" i="2"/>
  <c r="P60" i="2"/>
  <c r="P50" i="2"/>
  <c r="P40" i="2"/>
  <c r="P30" i="2"/>
  <c r="P20" i="2"/>
  <c r="P10" i="2"/>
  <c r="P239" i="2"/>
  <c r="P229" i="2"/>
  <c r="P219" i="2"/>
  <c r="P209" i="2"/>
  <c r="P199" i="2"/>
  <c r="P189" i="2"/>
  <c r="P179" i="2"/>
  <c r="P169" i="2"/>
  <c r="P159" i="2"/>
  <c r="P149" i="2"/>
  <c r="P139" i="2"/>
  <c r="P129" i="2"/>
  <c r="P119" i="2"/>
  <c r="P109" i="2"/>
  <c r="P99" i="2"/>
  <c r="P89" i="2"/>
  <c r="P79" i="2"/>
  <c r="P69" i="2"/>
  <c r="P59" i="2"/>
  <c r="P49" i="2"/>
  <c r="P39" i="2"/>
  <c r="P29" i="2"/>
  <c r="P19" i="2"/>
  <c r="P9" i="2"/>
  <c r="P238" i="2"/>
  <c r="P228" i="2"/>
  <c r="P218" i="2"/>
  <c r="P208" i="2"/>
  <c r="P198" i="2"/>
  <c r="P188" i="2"/>
  <c r="P178" i="2"/>
  <c r="P168" i="2"/>
  <c r="P158" i="2"/>
  <c r="P148" i="2"/>
  <c r="P138" i="2"/>
  <c r="P128" i="2"/>
  <c r="P118" i="2"/>
  <c r="P108" i="2"/>
  <c r="P98" i="2"/>
  <c r="P88" i="2"/>
  <c r="P78" i="2"/>
  <c r="P68" i="2"/>
  <c r="P58" i="2"/>
  <c r="P48" i="2"/>
  <c r="P38" i="2"/>
  <c r="P28" i="2"/>
  <c r="P18" i="2"/>
  <c r="P8" i="2"/>
  <c r="P237" i="2"/>
  <c r="P227" i="2"/>
  <c r="P217" i="2"/>
  <c r="P207" i="2"/>
  <c r="P197" i="2"/>
  <c r="P187" i="2"/>
  <c r="P177" i="2"/>
  <c r="P167" i="2"/>
  <c r="P157" i="2"/>
  <c r="P147" i="2"/>
  <c r="P137" i="2"/>
  <c r="P127" i="2"/>
  <c r="P117" i="2"/>
  <c r="P107" i="2"/>
  <c r="P97" i="2"/>
  <c r="P87" i="2"/>
  <c r="P77" i="2"/>
  <c r="P67" i="2"/>
  <c r="P57" i="2"/>
  <c r="P47" i="2"/>
  <c r="P37" i="2"/>
  <c r="P27" i="2"/>
  <c r="P17" i="2"/>
  <c r="P7" i="2"/>
  <c r="P236" i="2"/>
  <c r="P226" i="2"/>
  <c r="P216" i="2"/>
  <c r="P206" i="2"/>
  <c r="P196" i="2"/>
  <c r="P186" i="2"/>
  <c r="P176" i="2"/>
  <c r="P166" i="2"/>
  <c r="P156" i="2"/>
  <c r="P146" i="2"/>
  <c r="P136" i="2"/>
  <c r="P126" i="2"/>
  <c r="P116" i="2"/>
  <c r="P106" i="2"/>
  <c r="P96" i="2"/>
  <c r="P86" i="2"/>
  <c r="P76" i="2"/>
  <c r="P66" i="2"/>
  <c r="P56" i="2"/>
  <c r="P46" i="2"/>
  <c r="P36" i="2"/>
  <c r="P26" i="2"/>
  <c r="P16" i="2"/>
  <c r="P6" i="2"/>
  <c r="P235" i="2"/>
  <c r="P225" i="2"/>
  <c r="P215" i="2"/>
  <c r="P205" i="2"/>
  <c r="P195" i="2"/>
  <c r="P185" i="2"/>
  <c r="P175" i="2"/>
  <c r="P165" i="2"/>
  <c r="P155" i="2"/>
  <c r="P145" i="2"/>
  <c r="P135" i="2"/>
  <c r="P125" i="2"/>
  <c r="P115" i="2"/>
  <c r="P105" i="2"/>
  <c r="P95" i="2"/>
  <c r="P85" i="2"/>
  <c r="P75" i="2"/>
  <c r="P65" i="2"/>
  <c r="P55" i="2"/>
  <c r="P45" i="2"/>
  <c r="P35" i="2"/>
  <c r="P25" i="2"/>
  <c r="P15" i="2"/>
  <c r="P5" i="2"/>
  <c r="P234" i="2"/>
  <c r="P224" i="2"/>
  <c r="P214" i="2"/>
  <c r="P204" i="2"/>
  <c r="P194" i="2"/>
  <c r="P184" i="2"/>
  <c r="P174" i="2"/>
  <c r="P164" i="2"/>
  <c r="P154" i="2"/>
  <c r="P144" i="2"/>
  <c r="P134" i="2"/>
  <c r="P124" i="2"/>
  <c r="P114" i="2"/>
  <c r="P104" i="2"/>
  <c r="P94" i="2"/>
  <c r="P84" i="2"/>
  <c r="P74" i="2"/>
  <c r="P64" i="2"/>
  <c r="P54" i="2"/>
  <c r="P44" i="2"/>
  <c r="P34" i="2"/>
  <c r="P24" i="2"/>
  <c r="P14" i="2"/>
  <c r="P4" i="2"/>
  <c r="P233" i="2"/>
  <c r="P223" i="2"/>
  <c r="P213" i="2"/>
  <c r="P203" i="2"/>
  <c r="P193" i="2"/>
  <c r="P183" i="2"/>
  <c r="P173" i="2"/>
  <c r="P163" i="2"/>
  <c r="P153" i="2"/>
  <c r="P143" i="2"/>
  <c r="P133" i="2"/>
  <c r="P123" i="2"/>
  <c r="P113" i="2"/>
  <c r="P103" i="2"/>
  <c r="P93" i="2"/>
  <c r="P83" i="2"/>
  <c r="P73" i="2"/>
  <c r="P63" i="2"/>
  <c r="P53" i="2"/>
  <c r="P43" i="2"/>
  <c r="P33" i="2"/>
  <c r="P23" i="2"/>
  <c r="P13" i="2"/>
  <c r="P3" i="2"/>
  <c r="P232" i="2"/>
  <c r="P222" i="2"/>
  <c r="P212" i="2"/>
  <c r="P202" i="2"/>
  <c r="P192" i="2"/>
  <c r="P182" i="2"/>
  <c r="P172" i="2"/>
  <c r="P162" i="2"/>
  <c r="P152" i="2"/>
  <c r="P142" i="2"/>
  <c r="P132" i="2"/>
  <c r="P122" i="2"/>
  <c r="P112" i="2"/>
  <c r="P102" i="2"/>
  <c r="P92" i="2"/>
  <c r="P82" i="2"/>
  <c r="P72" i="2"/>
  <c r="P62" i="2"/>
  <c r="P52" i="2"/>
  <c r="P42" i="2"/>
  <c r="P32" i="2"/>
  <c r="P22" i="2"/>
  <c r="P12" i="2"/>
  <c r="P2" i="2"/>
  <c r="O241" i="2"/>
  <c r="O231" i="2"/>
  <c r="O221" i="2"/>
  <c r="O211" i="2"/>
  <c r="O201" i="2"/>
  <c r="O191" i="2"/>
  <c r="O181" i="2"/>
  <c r="O171" i="2"/>
  <c r="O161" i="2"/>
  <c r="O151" i="2"/>
  <c r="O141" i="2"/>
  <c r="O131" i="2"/>
  <c r="O121" i="2"/>
  <c r="O111" i="2"/>
  <c r="O101" i="2"/>
  <c r="O91" i="2"/>
  <c r="O81" i="2"/>
  <c r="O71" i="2"/>
  <c r="O61" i="2"/>
  <c r="O51" i="2"/>
  <c r="O41" i="2"/>
  <c r="O31" i="2"/>
  <c r="O21" i="2"/>
  <c r="O11" i="2"/>
  <c r="O240" i="2"/>
  <c r="O230" i="2"/>
  <c r="O220" i="2"/>
  <c r="O210" i="2"/>
  <c r="O200" i="2"/>
  <c r="O190" i="2"/>
  <c r="O180" i="2"/>
  <c r="O170" i="2"/>
  <c r="O160" i="2"/>
  <c r="O150" i="2"/>
  <c r="O140" i="2"/>
  <c r="O130" i="2"/>
  <c r="O120" i="2"/>
  <c r="O110" i="2"/>
  <c r="O100" i="2"/>
  <c r="O90" i="2"/>
  <c r="O80" i="2"/>
  <c r="O70" i="2"/>
  <c r="O60" i="2"/>
  <c r="O50" i="2"/>
  <c r="O40" i="2"/>
  <c r="O30" i="2"/>
  <c r="O20" i="2"/>
  <c r="O10" i="2"/>
  <c r="O239" i="2"/>
  <c r="O229" i="2"/>
  <c r="O219" i="2"/>
  <c r="O209" i="2"/>
  <c r="O199" i="2"/>
  <c r="O189" i="2"/>
  <c r="O179" i="2"/>
  <c r="O169" i="2"/>
  <c r="O159" i="2"/>
  <c r="O149" i="2"/>
  <c r="O139" i="2"/>
  <c r="O129" i="2"/>
  <c r="O119" i="2"/>
  <c r="O109" i="2"/>
  <c r="O99" i="2"/>
  <c r="O89" i="2"/>
  <c r="O79" i="2"/>
  <c r="O69" i="2"/>
  <c r="O59" i="2"/>
  <c r="O49" i="2"/>
  <c r="O39" i="2"/>
  <c r="O29" i="2"/>
  <c r="O19" i="2"/>
  <c r="O9" i="2"/>
  <c r="O238" i="2"/>
  <c r="O228" i="2"/>
  <c r="O218" i="2"/>
  <c r="O208" i="2"/>
  <c r="O198" i="2"/>
  <c r="O188" i="2"/>
  <c r="O178" i="2"/>
  <c r="O168" i="2"/>
  <c r="O158" i="2"/>
  <c r="O148" i="2"/>
  <c r="O138" i="2"/>
  <c r="O128" i="2"/>
  <c r="O118" i="2"/>
  <c r="O108" i="2"/>
  <c r="O98" i="2"/>
  <c r="O88" i="2"/>
  <c r="O78" i="2"/>
  <c r="O68" i="2"/>
  <c r="O58" i="2"/>
  <c r="O48" i="2"/>
  <c r="O38" i="2"/>
  <c r="O28" i="2"/>
  <c r="O18" i="2"/>
  <c r="O8" i="2"/>
  <c r="O237" i="2"/>
  <c r="O227" i="2"/>
  <c r="O217" i="2"/>
  <c r="O207" i="2"/>
  <c r="O197" i="2"/>
  <c r="O187" i="2"/>
  <c r="O177" i="2"/>
  <c r="O167" i="2"/>
  <c r="O157" i="2"/>
  <c r="O147" i="2"/>
  <c r="O137" i="2"/>
  <c r="O127" i="2"/>
  <c r="O117" i="2"/>
  <c r="O107" i="2"/>
  <c r="O97" i="2"/>
  <c r="O87" i="2"/>
  <c r="O77" i="2"/>
  <c r="O67" i="2"/>
  <c r="O57" i="2"/>
  <c r="O47" i="2"/>
  <c r="O37" i="2"/>
  <c r="O27" i="2"/>
  <c r="O17" i="2"/>
  <c r="O7" i="2"/>
  <c r="O236" i="2"/>
  <c r="O226" i="2"/>
  <c r="O216" i="2"/>
  <c r="O206" i="2"/>
  <c r="O196" i="2"/>
  <c r="O186" i="2"/>
  <c r="O176" i="2"/>
  <c r="O166" i="2"/>
  <c r="O156" i="2"/>
  <c r="O146" i="2"/>
  <c r="O136" i="2"/>
  <c r="O126" i="2"/>
  <c r="O116" i="2"/>
  <c r="O106" i="2"/>
  <c r="O96" i="2"/>
  <c r="O86" i="2"/>
  <c r="O76" i="2"/>
  <c r="O66" i="2"/>
  <c r="O56" i="2"/>
  <c r="O46" i="2"/>
  <c r="O36" i="2"/>
  <c r="O26" i="2"/>
  <c r="O16" i="2"/>
  <c r="O6" i="2"/>
  <c r="O235" i="2"/>
  <c r="O225" i="2"/>
  <c r="O215" i="2"/>
  <c r="O205" i="2"/>
  <c r="O195" i="2"/>
  <c r="O185" i="2"/>
  <c r="O175" i="2"/>
  <c r="O165" i="2"/>
  <c r="O155" i="2"/>
  <c r="O145" i="2"/>
  <c r="O135" i="2"/>
  <c r="O125" i="2"/>
  <c r="O115" i="2"/>
  <c r="O105" i="2"/>
  <c r="O95" i="2"/>
  <c r="O85" i="2"/>
  <c r="O75" i="2"/>
  <c r="O65" i="2"/>
  <c r="O55" i="2"/>
  <c r="O45" i="2"/>
  <c r="O35" i="2"/>
  <c r="O25" i="2"/>
  <c r="O15" i="2"/>
  <c r="O5" i="2"/>
  <c r="O234" i="2"/>
  <c r="O224" i="2"/>
  <c r="O214" i="2"/>
  <c r="O204" i="2"/>
  <c r="O194" i="2"/>
  <c r="O184" i="2"/>
  <c r="O174" i="2"/>
  <c r="O164" i="2"/>
  <c r="O154" i="2"/>
  <c r="O144" i="2"/>
  <c r="O134" i="2"/>
  <c r="O124" i="2"/>
  <c r="O114" i="2"/>
  <c r="O104" i="2"/>
  <c r="O94" i="2"/>
  <c r="O84" i="2"/>
  <c r="O74" i="2"/>
  <c r="O64" i="2"/>
  <c r="O54" i="2"/>
  <c r="O44" i="2"/>
  <c r="O34" i="2"/>
  <c r="O24" i="2"/>
  <c r="O14" i="2"/>
  <c r="O4" i="2"/>
  <c r="O233" i="2"/>
  <c r="O223" i="2"/>
  <c r="O213" i="2"/>
  <c r="O203" i="2"/>
  <c r="O193" i="2"/>
  <c r="O183" i="2"/>
  <c r="O173" i="2"/>
  <c r="O163" i="2"/>
  <c r="O153" i="2"/>
  <c r="O143" i="2"/>
  <c r="O133" i="2"/>
  <c r="O123" i="2"/>
  <c r="O113" i="2"/>
  <c r="O103" i="2"/>
  <c r="O93" i="2"/>
  <c r="O83" i="2"/>
  <c r="O73" i="2"/>
  <c r="O63" i="2"/>
  <c r="O53" i="2"/>
  <c r="O43" i="2"/>
  <c r="O33" i="2"/>
  <c r="O23" i="2"/>
  <c r="O13" i="2"/>
  <c r="O3" i="2"/>
  <c r="O232" i="2"/>
  <c r="O222" i="2"/>
  <c r="O212" i="2"/>
  <c r="O202" i="2"/>
  <c r="O192" i="2"/>
  <c r="O182" i="2"/>
  <c r="O172" i="2"/>
  <c r="O162" i="2"/>
  <c r="O152" i="2"/>
  <c r="O142" i="2"/>
  <c r="O132" i="2"/>
  <c r="O122" i="2"/>
  <c r="O112" i="2"/>
  <c r="O102" i="2"/>
  <c r="O92" i="2"/>
  <c r="O82" i="2"/>
  <c r="O72" i="2"/>
  <c r="O62" i="2"/>
  <c r="O52" i="2"/>
  <c r="O42" i="2"/>
  <c r="O32" i="2"/>
  <c r="O22" i="2"/>
  <c r="O12" i="2"/>
  <c r="O2" i="2"/>
  <c r="N241" i="2"/>
  <c r="N231" i="2"/>
  <c r="N221" i="2"/>
  <c r="N211" i="2"/>
  <c r="N201" i="2"/>
  <c r="N191" i="2"/>
  <c r="N181" i="2"/>
  <c r="N171" i="2"/>
  <c r="N161" i="2"/>
  <c r="N151" i="2"/>
  <c r="N141" i="2"/>
  <c r="N131" i="2"/>
  <c r="N121" i="2"/>
  <c r="N111" i="2"/>
  <c r="N101" i="2"/>
  <c r="N91" i="2"/>
  <c r="N81" i="2"/>
  <c r="N71" i="2"/>
  <c r="N61" i="2"/>
  <c r="N51" i="2"/>
  <c r="N41" i="2"/>
  <c r="N31" i="2"/>
  <c r="N21" i="2"/>
  <c r="N11" i="2"/>
  <c r="N240" i="2"/>
  <c r="N230" i="2"/>
  <c r="N220" i="2"/>
  <c r="N210" i="2"/>
  <c r="N200" i="2"/>
  <c r="N190" i="2"/>
  <c r="N180" i="2"/>
  <c r="N170" i="2"/>
  <c r="N160" i="2"/>
  <c r="N150" i="2"/>
  <c r="N140" i="2"/>
  <c r="N130" i="2"/>
  <c r="N120" i="2"/>
  <c r="N110" i="2"/>
  <c r="N100" i="2"/>
  <c r="N90" i="2"/>
  <c r="N80" i="2"/>
  <c r="N70" i="2"/>
  <c r="N60" i="2"/>
  <c r="N50" i="2"/>
  <c r="N40" i="2"/>
  <c r="N30" i="2"/>
  <c r="N20" i="2"/>
  <c r="N10" i="2"/>
  <c r="N239" i="2"/>
  <c r="N229" i="2"/>
  <c r="N219" i="2"/>
  <c r="N209" i="2"/>
  <c r="N199" i="2"/>
  <c r="N189" i="2"/>
  <c r="N179" i="2"/>
  <c r="N169" i="2"/>
  <c r="N159" i="2"/>
  <c r="N149" i="2"/>
  <c r="N139" i="2"/>
  <c r="N129" i="2"/>
  <c r="N119" i="2"/>
  <c r="N109" i="2"/>
  <c r="N99" i="2"/>
  <c r="N89" i="2"/>
  <c r="N79" i="2"/>
  <c r="N69" i="2"/>
  <c r="N59" i="2"/>
  <c r="N49" i="2"/>
  <c r="N39" i="2"/>
  <c r="N29" i="2"/>
  <c r="N19" i="2"/>
  <c r="N9" i="2"/>
  <c r="N238" i="2"/>
  <c r="N228" i="2"/>
  <c r="N218" i="2"/>
  <c r="N208" i="2"/>
  <c r="N198" i="2"/>
  <c r="N188" i="2"/>
  <c r="N178" i="2"/>
  <c r="N168" i="2"/>
  <c r="N158" i="2"/>
  <c r="N148" i="2"/>
  <c r="N138" i="2"/>
  <c r="N128" i="2"/>
  <c r="N118" i="2"/>
  <c r="N108" i="2"/>
  <c r="N98" i="2"/>
  <c r="N88" i="2"/>
  <c r="N78" i="2"/>
  <c r="N68" i="2"/>
  <c r="N58" i="2"/>
  <c r="N48" i="2"/>
  <c r="N38" i="2"/>
  <c r="N28" i="2"/>
  <c r="N18" i="2"/>
  <c r="N8" i="2"/>
  <c r="N237" i="2"/>
  <c r="N227" i="2"/>
  <c r="N217" i="2"/>
  <c r="N207" i="2"/>
  <c r="N197" i="2"/>
  <c r="N187" i="2"/>
  <c r="N177" i="2"/>
  <c r="N167" i="2"/>
  <c r="N157" i="2"/>
  <c r="N147" i="2"/>
  <c r="N137" i="2"/>
  <c r="N127" i="2"/>
  <c r="N117" i="2"/>
  <c r="N107" i="2"/>
  <c r="N97" i="2"/>
  <c r="N87" i="2"/>
  <c r="N77" i="2"/>
  <c r="N67" i="2"/>
  <c r="N57" i="2"/>
  <c r="N47" i="2"/>
  <c r="N37" i="2"/>
  <c r="N27" i="2"/>
  <c r="N17" i="2"/>
  <c r="N7" i="2"/>
  <c r="N236" i="2"/>
  <c r="N226" i="2"/>
  <c r="N216" i="2"/>
  <c r="N206" i="2"/>
  <c r="N196" i="2"/>
  <c r="N186" i="2"/>
  <c r="N176" i="2"/>
  <c r="N166" i="2"/>
  <c r="N156" i="2"/>
  <c r="N146" i="2"/>
  <c r="N136" i="2"/>
  <c r="N126" i="2"/>
  <c r="N116" i="2"/>
  <c r="N106" i="2"/>
  <c r="N96" i="2"/>
  <c r="N86" i="2"/>
  <c r="N76" i="2"/>
  <c r="N66" i="2"/>
  <c r="N56" i="2"/>
  <c r="N46" i="2"/>
  <c r="N36" i="2"/>
  <c r="N26" i="2"/>
  <c r="N16" i="2"/>
  <c r="N6" i="2"/>
  <c r="N235" i="2"/>
  <c r="N225" i="2"/>
  <c r="N215" i="2"/>
  <c r="N205" i="2"/>
  <c r="N195" i="2"/>
  <c r="N185" i="2"/>
  <c r="N175" i="2"/>
  <c r="N165" i="2"/>
  <c r="N155" i="2"/>
  <c r="N145" i="2"/>
  <c r="N135" i="2"/>
  <c r="N125" i="2"/>
  <c r="N115" i="2"/>
  <c r="N105" i="2"/>
  <c r="N95" i="2"/>
  <c r="N85" i="2"/>
  <c r="N75" i="2"/>
  <c r="N65" i="2"/>
  <c r="N55" i="2"/>
  <c r="N45" i="2"/>
  <c r="N35" i="2"/>
  <c r="N25" i="2"/>
  <c r="N15" i="2"/>
  <c r="N5" i="2"/>
  <c r="N234" i="2"/>
  <c r="N224" i="2"/>
  <c r="N214" i="2"/>
  <c r="N204" i="2"/>
  <c r="N194" i="2"/>
  <c r="N184" i="2"/>
  <c r="N174" i="2"/>
  <c r="N164" i="2"/>
  <c r="N154" i="2"/>
  <c r="N144" i="2"/>
  <c r="N134" i="2"/>
  <c r="N124" i="2"/>
  <c r="N114" i="2"/>
  <c r="N104" i="2"/>
  <c r="N94" i="2"/>
  <c r="N84" i="2"/>
  <c r="N74" i="2"/>
  <c r="N64" i="2"/>
  <c r="N54" i="2"/>
  <c r="N44" i="2"/>
  <c r="N34" i="2"/>
  <c r="N24" i="2"/>
  <c r="N14" i="2"/>
  <c r="N4" i="2"/>
  <c r="N233" i="2"/>
  <c r="N223" i="2"/>
  <c r="N213" i="2"/>
  <c r="N203" i="2"/>
  <c r="N193" i="2"/>
  <c r="N183" i="2"/>
  <c r="N173" i="2"/>
  <c r="N163" i="2"/>
  <c r="N153" i="2"/>
  <c r="N143" i="2"/>
  <c r="N133" i="2"/>
  <c r="N123" i="2"/>
  <c r="N113" i="2"/>
  <c r="N103" i="2"/>
  <c r="N93" i="2"/>
  <c r="N83" i="2"/>
  <c r="N73" i="2"/>
  <c r="N63" i="2"/>
  <c r="N53" i="2"/>
  <c r="N43" i="2"/>
  <c r="N33" i="2"/>
  <c r="N23" i="2"/>
  <c r="N13" i="2"/>
  <c r="N3" i="2"/>
  <c r="N232" i="2"/>
  <c r="N222" i="2"/>
  <c r="N212" i="2"/>
  <c r="N202" i="2"/>
  <c r="N192" i="2"/>
  <c r="N182" i="2"/>
  <c r="N172" i="2"/>
  <c r="N162" i="2"/>
  <c r="N152" i="2"/>
  <c r="N142" i="2"/>
  <c r="N132" i="2"/>
  <c r="N122" i="2"/>
  <c r="N112" i="2"/>
  <c r="N102" i="2"/>
  <c r="N92" i="2"/>
  <c r="N82" i="2"/>
  <c r="N72" i="2"/>
  <c r="N62" i="2"/>
  <c r="N52" i="2"/>
  <c r="N42" i="2"/>
  <c r="N32" i="2"/>
  <c r="N22" i="2"/>
  <c r="N12" i="2"/>
  <c r="N2" i="2"/>
  <c r="M241" i="2"/>
  <c r="M231" i="2"/>
  <c r="M221" i="2"/>
  <c r="M211" i="2"/>
  <c r="M201" i="2"/>
  <c r="M191" i="2"/>
  <c r="M181" i="2"/>
  <c r="M171" i="2"/>
  <c r="M161" i="2"/>
  <c r="M151" i="2"/>
  <c r="M141" i="2"/>
  <c r="M131" i="2"/>
  <c r="M121" i="2"/>
  <c r="M111" i="2"/>
  <c r="M101" i="2"/>
  <c r="M91" i="2"/>
  <c r="M81" i="2"/>
  <c r="M71" i="2"/>
  <c r="M61" i="2"/>
  <c r="M51" i="2"/>
  <c r="M41" i="2"/>
  <c r="M31" i="2"/>
  <c r="M21" i="2"/>
  <c r="M11" i="2"/>
  <c r="M240" i="2"/>
  <c r="M230" i="2"/>
  <c r="M220" i="2"/>
  <c r="M210" i="2"/>
  <c r="M200" i="2"/>
  <c r="M190" i="2"/>
  <c r="M180" i="2"/>
  <c r="M170" i="2"/>
  <c r="M160" i="2"/>
  <c r="M150" i="2"/>
  <c r="M140" i="2"/>
  <c r="M130" i="2"/>
  <c r="M120" i="2"/>
  <c r="M110" i="2"/>
  <c r="M100" i="2"/>
  <c r="M90" i="2"/>
  <c r="M80" i="2"/>
  <c r="M70" i="2"/>
  <c r="M60" i="2"/>
  <c r="M50" i="2"/>
  <c r="M40" i="2"/>
  <c r="M30" i="2"/>
  <c r="M20" i="2"/>
  <c r="M10" i="2"/>
  <c r="M239" i="2"/>
  <c r="M229" i="2"/>
  <c r="M219" i="2"/>
  <c r="M209" i="2"/>
  <c r="M199" i="2"/>
  <c r="M189" i="2"/>
  <c r="M179" i="2"/>
  <c r="M169" i="2"/>
  <c r="M159" i="2"/>
  <c r="M149" i="2"/>
  <c r="M139" i="2"/>
  <c r="M129" i="2"/>
  <c r="M119" i="2"/>
  <c r="M109" i="2"/>
  <c r="M99" i="2"/>
  <c r="M89" i="2"/>
  <c r="M79" i="2"/>
  <c r="M69" i="2"/>
  <c r="M59" i="2"/>
  <c r="M49" i="2"/>
  <c r="M39" i="2"/>
  <c r="M29" i="2"/>
  <c r="M19" i="2"/>
  <c r="M9" i="2"/>
  <c r="M238" i="2"/>
  <c r="M228" i="2"/>
  <c r="M218" i="2"/>
  <c r="M208" i="2"/>
  <c r="M198" i="2"/>
  <c r="M188" i="2"/>
  <c r="M178" i="2"/>
  <c r="M168" i="2"/>
  <c r="M158" i="2"/>
  <c r="M148" i="2"/>
  <c r="M138" i="2"/>
  <c r="M128" i="2"/>
  <c r="M118" i="2"/>
  <c r="M108" i="2"/>
  <c r="M98" i="2"/>
  <c r="M88" i="2"/>
  <c r="M78" i="2"/>
  <c r="M68" i="2"/>
  <c r="M58" i="2"/>
  <c r="M48" i="2"/>
  <c r="M38" i="2"/>
  <c r="M28" i="2"/>
  <c r="M18" i="2"/>
  <c r="M8" i="2"/>
  <c r="M237" i="2"/>
  <c r="M227" i="2"/>
  <c r="M217" i="2"/>
  <c r="M207" i="2"/>
  <c r="M197" i="2"/>
  <c r="M187" i="2"/>
  <c r="M177" i="2"/>
  <c r="M167" i="2"/>
  <c r="M157" i="2"/>
  <c r="M147" i="2"/>
  <c r="M137" i="2"/>
  <c r="M127" i="2"/>
  <c r="M117" i="2"/>
  <c r="M107" i="2"/>
  <c r="M97" i="2"/>
  <c r="M87" i="2"/>
  <c r="M77" i="2"/>
  <c r="M67" i="2"/>
  <c r="M57" i="2"/>
  <c r="M47" i="2"/>
  <c r="M37" i="2"/>
  <c r="M27" i="2"/>
  <c r="M17" i="2"/>
  <c r="M7" i="2"/>
  <c r="M236" i="2"/>
  <c r="M226" i="2"/>
  <c r="M216" i="2"/>
  <c r="M206" i="2"/>
  <c r="M196" i="2"/>
  <c r="M186" i="2"/>
  <c r="M176" i="2"/>
  <c r="M166" i="2"/>
  <c r="M156" i="2"/>
  <c r="M146" i="2"/>
  <c r="M136" i="2"/>
  <c r="M126" i="2"/>
  <c r="M116" i="2"/>
  <c r="M106" i="2"/>
  <c r="M96" i="2"/>
  <c r="M86" i="2"/>
  <c r="M76" i="2"/>
  <c r="M66" i="2"/>
  <c r="M56" i="2"/>
  <c r="M46" i="2"/>
  <c r="M36" i="2"/>
  <c r="M26" i="2"/>
  <c r="M16" i="2"/>
  <c r="M6" i="2"/>
  <c r="M235" i="2"/>
  <c r="M225" i="2"/>
  <c r="M215" i="2"/>
  <c r="M205" i="2"/>
  <c r="M195" i="2"/>
  <c r="M185" i="2"/>
  <c r="M175" i="2"/>
  <c r="M165" i="2"/>
  <c r="M155" i="2"/>
  <c r="M145" i="2"/>
  <c r="M135" i="2"/>
  <c r="M125" i="2"/>
  <c r="M115" i="2"/>
  <c r="M105" i="2"/>
  <c r="M95" i="2"/>
  <c r="M85" i="2"/>
  <c r="M75" i="2"/>
  <c r="M65" i="2"/>
  <c r="M55" i="2"/>
  <c r="M45" i="2"/>
  <c r="M35" i="2"/>
  <c r="M25" i="2"/>
  <c r="M15" i="2"/>
  <c r="M5" i="2"/>
  <c r="M234" i="2"/>
  <c r="M224" i="2"/>
  <c r="M214" i="2"/>
  <c r="M204" i="2"/>
  <c r="M194" i="2"/>
  <c r="M184" i="2"/>
  <c r="M174" i="2"/>
  <c r="M164" i="2"/>
  <c r="M154" i="2"/>
  <c r="M144" i="2"/>
  <c r="M134" i="2"/>
  <c r="M124" i="2"/>
  <c r="M114" i="2"/>
  <c r="M104" i="2"/>
  <c r="M94" i="2"/>
  <c r="M84" i="2"/>
  <c r="M74" i="2"/>
  <c r="M64" i="2"/>
  <c r="M54" i="2"/>
  <c r="M44" i="2"/>
  <c r="M34" i="2"/>
  <c r="M24" i="2"/>
  <c r="M14" i="2"/>
  <c r="M4" i="2"/>
  <c r="M233" i="2"/>
  <c r="M223" i="2"/>
  <c r="M213" i="2"/>
  <c r="M203" i="2"/>
  <c r="M193" i="2"/>
  <c r="M183" i="2"/>
  <c r="M173" i="2"/>
  <c r="M163" i="2"/>
  <c r="M153" i="2"/>
  <c r="M143" i="2"/>
  <c r="M133" i="2"/>
  <c r="M123" i="2"/>
  <c r="M113" i="2"/>
  <c r="M103" i="2"/>
  <c r="M93" i="2"/>
  <c r="M83" i="2"/>
  <c r="M73" i="2"/>
  <c r="M63" i="2"/>
  <c r="M53" i="2"/>
  <c r="M43" i="2"/>
  <c r="M33" i="2"/>
  <c r="M23" i="2"/>
  <c r="M13" i="2"/>
  <c r="M3" i="2"/>
  <c r="M232" i="2"/>
  <c r="M222" i="2"/>
  <c r="M212" i="2"/>
  <c r="M202" i="2"/>
  <c r="M192" i="2"/>
  <c r="M182" i="2"/>
  <c r="M172" i="2"/>
  <c r="M162" i="2"/>
  <c r="M152" i="2"/>
  <c r="M142" i="2"/>
  <c r="M132" i="2"/>
  <c r="M122" i="2"/>
  <c r="M112" i="2"/>
  <c r="M102" i="2"/>
  <c r="M92" i="2"/>
  <c r="M82" i="2"/>
  <c r="M72" i="2"/>
  <c r="M62" i="2"/>
  <c r="M52" i="2"/>
  <c r="M42" i="2"/>
  <c r="M32" i="2"/>
  <c r="M22" i="2"/>
  <c r="M12" i="2"/>
  <c r="M2" i="2"/>
  <c r="L241" i="2"/>
  <c r="L231" i="2"/>
  <c r="L221" i="2"/>
  <c r="L211" i="2"/>
  <c r="L201" i="2"/>
  <c r="L191" i="2"/>
  <c r="L181" i="2"/>
  <c r="L171" i="2"/>
  <c r="L161" i="2"/>
  <c r="L151" i="2"/>
  <c r="L141" i="2"/>
  <c r="L131" i="2"/>
  <c r="L121" i="2"/>
  <c r="L111" i="2"/>
  <c r="L101" i="2"/>
  <c r="L91" i="2"/>
  <c r="L81" i="2"/>
  <c r="L71" i="2"/>
  <c r="L61" i="2"/>
  <c r="L51" i="2"/>
  <c r="L41" i="2"/>
  <c r="L31" i="2"/>
  <c r="L21" i="2"/>
  <c r="L11" i="2"/>
  <c r="L240" i="2"/>
  <c r="L230" i="2"/>
  <c r="L220" i="2"/>
  <c r="L210" i="2"/>
  <c r="L200" i="2"/>
  <c r="L190" i="2"/>
  <c r="L180" i="2"/>
  <c r="L170" i="2"/>
  <c r="L160" i="2"/>
  <c r="L150" i="2"/>
  <c r="L140" i="2"/>
  <c r="L130" i="2"/>
  <c r="L120" i="2"/>
  <c r="L110" i="2"/>
  <c r="L100" i="2"/>
  <c r="L90" i="2"/>
  <c r="L80" i="2"/>
  <c r="L70" i="2"/>
  <c r="L60" i="2"/>
  <c r="L50" i="2"/>
  <c r="L40" i="2"/>
  <c r="L30" i="2"/>
  <c r="L20" i="2"/>
  <c r="L10" i="2"/>
  <c r="L239" i="2"/>
  <c r="L229" i="2"/>
  <c r="L219" i="2"/>
  <c r="L209" i="2"/>
  <c r="L199" i="2"/>
  <c r="L189" i="2"/>
  <c r="L179" i="2"/>
  <c r="L169" i="2"/>
  <c r="L159" i="2"/>
  <c r="L149" i="2"/>
  <c r="L139" i="2"/>
  <c r="L129" i="2"/>
  <c r="L119" i="2"/>
  <c r="L109" i="2"/>
  <c r="L99" i="2"/>
  <c r="L89" i="2"/>
  <c r="L79" i="2"/>
  <c r="L69" i="2"/>
  <c r="L59" i="2"/>
  <c r="L49" i="2"/>
  <c r="L39" i="2"/>
  <c r="L29" i="2"/>
  <c r="L19" i="2"/>
  <c r="L9" i="2"/>
  <c r="L238" i="2"/>
  <c r="L228" i="2"/>
  <c r="L218" i="2"/>
  <c r="L208" i="2"/>
  <c r="L198" i="2"/>
  <c r="L188" i="2"/>
  <c r="L178" i="2"/>
  <c r="L168" i="2"/>
  <c r="L158" i="2"/>
  <c r="L148" i="2"/>
  <c r="L138" i="2"/>
  <c r="L128" i="2"/>
  <c r="L118" i="2"/>
  <c r="L108" i="2"/>
  <c r="L98" i="2"/>
  <c r="L88" i="2"/>
  <c r="L78" i="2"/>
  <c r="L68" i="2"/>
  <c r="L58" i="2"/>
  <c r="L48" i="2"/>
  <c r="L38" i="2"/>
  <c r="L28" i="2"/>
  <c r="L18" i="2"/>
  <c r="L8" i="2"/>
  <c r="L237" i="2"/>
  <c r="L227" i="2"/>
  <c r="L217" i="2"/>
  <c r="L207" i="2"/>
  <c r="L197" i="2"/>
  <c r="L187" i="2"/>
  <c r="L177" i="2"/>
  <c r="L167" i="2"/>
  <c r="L157" i="2"/>
  <c r="L147" i="2"/>
  <c r="L137" i="2"/>
  <c r="L127" i="2"/>
  <c r="L117" i="2"/>
  <c r="L107" i="2"/>
  <c r="L97" i="2"/>
  <c r="L87" i="2"/>
  <c r="L77" i="2"/>
  <c r="L67" i="2"/>
  <c r="L57" i="2"/>
  <c r="L47" i="2"/>
  <c r="L37" i="2"/>
  <c r="L27" i="2"/>
  <c r="L17" i="2"/>
  <c r="L7" i="2"/>
  <c r="L236" i="2"/>
  <c r="L226" i="2"/>
  <c r="L216" i="2"/>
  <c r="L206" i="2"/>
  <c r="L196" i="2"/>
  <c r="L186" i="2"/>
  <c r="L176" i="2"/>
  <c r="L166" i="2"/>
  <c r="L156" i="2"/>
  <c r="L146" i="2"/>
  <c r="L136" i="2"/>
  <c r="L126" i="2"/>
  <c r="L116" i="2"/>
  <c r="L106" i="2"/>
  <c r="L96" i="2"/>
  <c r="L86" i="2"/>
  <c r="L76" i="2"/>
  <c r="L66" i="2"/>
  <c r="L56" i="2"/>
  <c r="L46" i="2"/>
  <c r="L36" i="2"/>
  <c r="L26" i="2"/>
  <c r="L16" i="2"/>
  <c r="L6" i="2"/>
  <c r="L235" i="2"/>
  <c r="L225" i="2"/>
  <c r="L215" i="2"/>
  <c r="L205" i="2"/>
  <c r="L195" i="2"/>
  <c r="L185" i="2"/>
  <c r="L175" i="2"/>
  <c r="L165" i="2"/>
  <c r="L155" i="2"/>
  <c r="L145" i="2"/>
  <c r="L135" i="2"/>
  <c r="L125" i="2"/>
  <c r="L115" i="2"/>
  <c r="L105" i="2"/>
  <c r="L95" i="2"/>
  <c r="L85" i="2"/>
  <c r="L75" i="2"/>
  <c r="L65" i="2"/>
  <c r="L55" i="2"/>
  <c r="L45" i="2"/>
  <c r="L35" i="2"/>
  <c r="L25" i="2"/>
  <c r="L15" i="2"/>
  <c r="L5" i="2"/>
  <c r="L234" i="2"/>
  <c r="L224" i="2"/>
  <c r="L214" i="2"/>
  <c r="L204" i="2"/>
  <c r="L194" i="2"/>
  <c r="L184" i="2"/>
  <c r="L174" i="2"/>
  <c r="L164" i="2"/>
  <c r="L154" i="2"/>
  <c r="L144" i="2"/>
  <c r="L134" i="2"/>
  <c r="L124" i="2"/>
  <c r="L114" i="2"/>
  <c r="L104" i="2"/>
  <c r="L94" i="2"/>
  <c r="L84" i="2"/>
  <c r="L74" i="2"/>
  <c r="L64" i="2"/>
  <c r="L54" i="2"/>
  <c r="L44" i="2"/>
  <c r="L34" i="2"/>
  <c r="L24" i="2"/>
  <c r="L14" i="2"/>
  <c r="L4" i="2"/>
  <c r="L233" i="2"/>
  <c r="L223" i="2"/>
  <c r="L213" i="2"/>
  <c r="L203" i="2"/>
  <c r="L193" i="2"/>
  <c r="L183" i="2"/>
  <c r="L173" i="2"/>
  <c r="L163" i="2"/>
  <c r="L153" i="2"/>
  <c r="L143" i="2"/>
  <c r="L133" i="2"/>
  <c r="L123" i="2"/>
  <c r="L113" i="2"/>
  <c r="L103" i="2"/>
  <c r="L93" i="2"/>
  <c r="L83" i="2"/>
  <c r="L73" i="2"/>
  <c r="L63" i="2"/>
  <c r="L53" i="2"/>
  <c r="L43" i="2"/>
  <c r="L33" i="2"/>
  <c r="L23" i="2"/>
  <c r="L13" i="2"/>
  <c r="L3" i="2"/>
  <c r="L232" i="2"/>
  <c r="L222" i="2"/>
  <c r="L212" i="2"/>
  <c r="L202" i="2"/>
  <c r="L192" i="2"/>
  <c r="L182" i="2"/>
  <c r="L172" i="2"/>
  <c r="L162" i="2"/>
  <c r="L152" i="2"/>
  <c r="L142" i="2"/>
  <c r="L132" i="2"/>
  <c r="L122" i="2"/>
  <c r="L112" i="2"/>
  <c r="L102" i="2"/>
  <c r="L92" i="2"/>
  <c r="L82" i="2"/>
  <c r="L72" i="2"/>
  <c r="L62" i="2"/>
  <c r="L52" i="2"/>
  <c r="L42" i="2"/>
  <c r="L32" i="2"/>
  <c r="L22" i="2"/>
  <c r="L12" i="2"/>
  <c r="L2" i="2"/>
  <c r="K241" i="2"/>
  <c r="AW241" i="2" s="1"/>
  <c r="K231" i="2"/>
  <c r="AW231" i="2" s="1"/>
  <c r="K221" i="2"/>
  <c r="AW221" i="2" s="1"/>
  <c r="K211" i="2"/>
  <c r="AW211" i="2" s="1"/>
  <c r="K201" i="2"/>
  <c r="AW201" i="2" s="1"/>
  <c r="K191" i="2"/>
  <c r="AW191" i="2" s="1"/>
  <c r="K181" i="2"/>
  <c r="K171" i="2"/>
  <c r="AW171" i="2" s="1"/>
  <c r="K161" i="2"/>
  <c r="AW161" i="2" s="1"/>
  <c r="K151" i="2"/>
  <c r="AW151" i="2" s="1"/>
  <c r="K141" i="2"/>
  <c r="AW141" i="2" s="1"/>
  <c r="K131" i="2"/>
  <c r="AW131" i="2" s="1"/>
  <c r="K121" i="2"/>
  <c r="AW121" i="2" s="1"/>
  <c r="K111" i="2"/>
  <c r="AW111" i="2" s="1"/>
  <c r="K101" i="2"/>
  <c r="AW101" i="2" s="1"/>
  <c r="K91" i="2"/>
  <c r="AW91" i="2" s="1"/>
  <c r="K81" i="2"/>
  <c r="AW81" i="2" s="1"/>
  <c r="K71" i="2"/>
  <c r="AW71" i="2" s="1"/>
  <c r="K61" i="2"/>
  <c r="AW61" i="2" s="1"/>
  <c r="K51" i="2"/>
  <c r="AW51" i="2" s="1"/>
  <c r="K41" i="2"/>
  <c r="AW41" i="2" s="1"/>
  <c r="K31" i="2"/>
  <c r="K21" i="2"/>
  <c r="AW21" i="2" s="1"/>
  <c r="K11" i="2"/>
  <c r="AW11" i="2" s="1"/>
  <c r="K240" i="2"/>
  <c r="AW240" i="2" s="1"/>
  <c r="K230" i="2"/>
  <c r="AW230" i="2" s="1"/>
  <c r="K220" i="2"/>
  <c r="AW220" i="2" s="1"/>
  <c r="K210" i="2"/>
  <c r="AW210" i="2" s="1"/>
  <c r="K200" i="2"/>
  <c r="AW200" i="2" s="1"/>
  <c r="K190" i="2"/>
  <c r="AW190" i="2" s="1"/>
  <c r="K180" i="2"/>
  <c r="K170" i="2"/>
  <c r="AW170" i="2" s="1"/>
  <c r="K160" i="2"/>
  <c r="AW160" i="2" s="1"/>
  <c r="K150" i="2"/>
  <c r="AW150" i="2" s="1"/>
  <c r="K140" i="2"/>
  <c r="AW140" i="2" s="1"/>
  <c r="K130" i="2"/>
  <c r="AW130" i="2" s="1"/>
  <c r="K120" i="2"/>
  <c r="AW120" i="2" s="1"/>
  <c r="K110" i="2"/>
  <c r="AW110" i="2" s="1"/>
  <c r="K100" i="2"/>
  <c r="AW100" i="2" s="1"/>
  <c r="K90" i="2"/>
  <c r="AW90" i="2" s="1"/>
  <c r="K80" i="2"/>
  <c r="AW80" i="2" s="1"/>
  <c r="K70" i="2"/>
  <c r="AW70" i="2" s="1"/>
  <c r="K60" i="2"/>
  <c r="AW60" i="2" s="1"/>
  <c r="K50" i="2"/>
  <c r="AW50" i="2" s="1"/>
  <c r="K40" i="2"/>
  <c r="AW40" i="2" s="1"/>
  <c r="K30" i="2"/>
  <c r="K20" i="2"/>
  <c r="AW20" i="2" s="1"/>
  <c r="K10" i="2"/>
  <c r="AW10" i="2" s="1"/>
  <c r="K239" i="2"/>
  <c r="AW239" i="2" s="1"/>
  <c r="K229" i="2"/>
  <c r="AW229" i="2" s="1"/>
  <c r="K219" i="2"/>
  <c r="AW219" i="2" s="1"/>
  <c r="K209" i="2"/>
  <c r="AW209" i="2" s="1"/>
  <c r="K199" i="2"/>
  <c r="AW199" i="2" s="1"/>
  <c r="K189" i="2"/>
  <c r="AW189" i="2" s="1"/>
  <c r="K179" i="2"/>
  <c r="AW179" i="2" s="1"/>
  <c r="K169" i="2"/>
  <c r="AW169" i="2" s="1"/>
  <c r="K159" i="2"/>
  <c r="AW159" i="2" s="1"/>
  <c r="K149" i="2"/>
  <c r="AW149" i="2" s="1"/>
  <c r="K139" i="2"/>
  <c r="AW139" i="2" s="1"/>
  <c r="K129" i="2"/>
  <c r="AW129" i="2" s="1"/>
  <c r="K119" i="2"/>
  <c r="AW119" i="2" s="1"/>
  <c r="K109" i="2"/>
  <c r="AW109" i="2" s="1"/>
  <c r="K99" i="2"/>
  <c r="AW99" i="2" s="1"/>
  <c r="K89" i="2"/>
  <c r="AW89" i="2" s="1"/>
  <c r="K79" i="2"/>
  <c r="K69" i="2"/>
  <c r="AW69" i="2" s="1"/>
  <c r="K59" i="2"/>
  <c r="AW59" i="2" s="1"/>
  <c r="K49" i="2"/>
  <c r="AW49" i="2" s="1"/>
  <c r="K39" i="2"/>
  <c r="AW39" i="2" s="1"/>
  <c r="K29" i="2"/>
  <c r="AW29" i="2" s="1"/>
  <c r="K19" i="2"/>
  <c r="AW19" i="2" s="1"/>
  <c r="K9" i="2"/>
  <c r="AW9" i="2" s="1"/>
  <c r="K238" i="2"/>
  <c r="AW238" i="2" s="1"/>
  <c r="K228" i="2"/>
  <c r="AW228" i="2" s="1"/>
  <c r="K218" i="2"/>
  <c r="AW218" i="2" s="1"/>
  <c r="K208" i="2"/>
  <c r="AW208" i="2" s="1"/>
  <c r="K198" i="2"/>
  <c r="AW198" i="2" s="1"/>
  <c r="K188" i="2"/>
  <c r="K178" i="2"/>
  <c r="K168" i="2"/>
  <c r="AW168" i="2" s="1"/>
  <c r="K158" i="2"/>
  <c r="AW158" i="2" s="1"/>
  <c r="K148" i="2"/>
  <c r="AW148" i="2" s="1"/>
  <c r="K138" i="2"/>
  <c r="AW138" i="2" s="1"/>
  <c r="K128" i="2"/>
  <c r="AW128" i="2" s="1"/>
  <c r="K118" i="2"/>
  <c r="AW118" i="2" s="1"/>
  <c r="K108" i="2"/>
  <c r="AW108" i="2" s="1"/>
  <c r="K98" i="2"/>
  <c r="AW98" i="2" s="1"/>
  <c r="K88" i="2"/>
  <c r="AW88" i="2" s="1"/>
  <c r="K78" i="2"/>
  <c r="AW78" i="2" s="1"/>
  <c r="K68" i="2"/>
  <c r="AW68" i="2" s="1"/>
  <c r="K58" i="2"/>
  <c r="AW58" i="2" s="1"/>
  <c r="K48" i="2"/>
  <c r="AW48" i="2" s="1"/>
  <c r="K38" i="2"/>
  <c r="AW38" i="2" s="1"/>
  <c r="K28" i="2"/>
  <c r="AW28" i="2" s="1"/>
  <c r="K18" i="2"/>
  <c r="AW18" i="2" s="1"/>
  <c r="K8" i="2"/>
  <c r="AW8" i="2" s="1"/>
  <c r="K237" i="2"/>
  <c r="AW237" i="2" s="1"/>
  <c r="K227" i="2"/>
  <c r="AW227" i="2" s="1"/>
  <c r="K217" i="2"/>
  <c r="AW217" i="2" s="1"/>
  <c r="K207" i="2"/>
  <c r="AW207" i="2" s="1"/>
  <c r="K197" i="2"/>
  <c r="AW197" i="2" s="1"/>
  <c r="K187" i="2"/>
  <c r="K177" i="2"/>
  <c r="AW177" i="2" s="1"/>
  <c r="K167" i="2"/>
  <c r="AW167" i="2" s="1"/>
  <c r="K157" i="2"/>
  <c r="AW157" i="2" s="1"/>
  <c r="K147" i="2"/>
  <c r="AW147" i="2" s="1"/>
  <c r="K137" i="2"/>
  <c r="AW137" i="2" s="1"/>
  <c r="K127" i="2"/>
  <c r="AW127" i="2" s="1"/>
  <c r="K117" i="2"/>
  <c r="AW117" i="2" s="1"/>
  <c r="K107" i="2"/>
  <c r="AW107" i="2" s="1"/>
  <c r="K97" i="2"/>
  <c r="AW97" i="2" s="1"/>
  <c r="K87" i="2"/>
  <c r="AW87" i="2" s="1"/>
  <c r="K77" i="2"/>
  <c r="AW77" i="2" s="1"/>
  <c r="K67" i="2"/>
  <c r="AW67" i="2" s="1"/>
  <c r="K57" i="2"/>
  <c r="AW57" i="2" s="1"/>
  <c r="K47" i="2"/>
  <c r="AW47" i="2" s="1"/>
  <c r="K37" i="2"/>
  <c r="AW37" i="2" s="1"/>
  <c r="K27" i="2"/>
  <c r="AW27" i="2" s="1"/>
  <c r="K17" i="2"/>
  <c r="AW17" i="2" s="1"/>
  <c r="K7" i="2"/>
  <c r="AW7" i="2" s="1"/>
  <c r="K236" i="2"/>
  <c r="AW236" i="2" s="1"/>
  <c r="K226" i="2"/>
  <c r="AW226" i="2" s="1"/>
  <c r="K216" i="2"/>
  <c r="AW216" i="2" s="1"/>
  <c r="K206" i="2"/>
  <c r="AW206" i="2" s="1"/>
  <c r="K196" i="2"/>
  <c r="AW196" i="2" s="1"/>
  <c r="K186" i="2"/>
  <c r="AW186" i="2" s="1"/>
  <c r="K176" i="2"/>
  <c r="K166" i="2"/>
  <c r="AW166" i="2" s="1"/>
  <c r="K156" i="2"/>
  <c r="AW156" i="2" s="1"/>
  <c r="K146" i="2"/>
  <c r="AW146" i="2" s="1"/>
  <c r="K136" i="2"/>
  <c r="AW136" i="2" s="1"/>
  <c r="K126" i="2"/>
  <c r="AW126" i="2" s="1"/>
  <c r="K116" i="2"/>
  <c r="AW116" i="2" s="1"/>
  <c r="K106" i="2"/>
  <c r="AW106" i="2" s="1"/>
  <c r="K96" i="2"/>
  <c r="AW96" i="2" s="1"/>
  <c r="K86" i="2"/>
  <c r="AW86" i="2" s="1"/>
  <c r="K76" i="2"/>
  <c r="AW76" i="2" s="1"/>
  <c r="K66" i="2"/>
  <c r="AW66" i="2" s="1"/>
  <c r="K56" i="2"/>
  <c r="AW56" i="2" s="1"/>
  <c r="K46" i="2"/>
  <c r="AW46" i="2" s="1"/>
  <c r="K36" i="2"/>
  <c r="AW36" i="2" s="1"/>
  <c r="K26" i="2"/>
  <c r="AW26" i="2" s="1"/>
  <c r="K16" i="2"/>
  <c r="AW16" i="2" s="1"/>
  <c r="K6" i="2"/>
  <c r="AW6" i="2" s="1"/>
  <c r="K235" i="2"/>
  <c r="AW235" i="2" s="1"/>
  <c r="K225" i="2"/>
  <c r="AW225" i="2" s="1"/>
  <c r="K215" i="2"/>
  <c r="AW215" i="2" s="1"/>
  <c r="K205" i="2"/>
  <c r="K195" i="2"/>
  <c r="AW195" i="2" s="1"/>
  <c r="K185" i="2"/>
  <c r="AW185" i="2" s="1"/>
  <c r="K175" i="2"/>
  <c r="AW175" i="2" s="1"/>
  <c r="K165" i="2"/>
  <c r="AW165" i="2" s="1"/>
  <c r="K155" i="2"/>
  <c r="AW155" i="2" s="1"/>
  <c r="K145" i="2"/>
  <c r="AW145" i="2" s="1"/>
  <c r="K135" i="2"/>
  <c r="AW135" i="2" s="1"/>
  <c r="K125" i="2"/>
  <c r="AW125" i="2" s="1"/>
  <c r="K115" i="2"/>
  <c r="AW115" i="2" s="1"/>
  <c r="K105" i="2"/>
  <c r="AW105" i="2" s="1"/>
  <c r="K95" i="2"/>
  <c r="AW95" i="2" s="1"/>
  <c r="K85" i="2"/>
  <c r="AW85" i="2" s="1"/>
  <c r="K75" i="2"/>
  <c r="AW75" i="2" s="1"/>
  <c r="K65" i="2"/>
  <c r="AW65" i="2" s="1"/>
  <c r="K55" i="2"/>
  <c r="AW55" i="2" s="1"/>
  <c r="K45" i="2"/>
  <c r="AW45" i="2" s="1"/>
  <c r="K35" i="2"/>
  <c r="AW35" i="2" s="1"/>
  <c r="K25" i="2"/>
  <c r="AW25" i="2" s="1"/>
  <c r="K15" i="2"/>
  <c r="AW15" i="2" s="1"/>
  <c r="K5" i="2"/>
  <c r="AW5" i="2" s="1"/>
  <c r="K234" i="2"/>
  <c r="AW234" i="2" s="1"/>
  <c r="K224" i="2"/>
  <c r="AW224" i="2" s="1"/>
  <c r="K214" i="2"/>
  <c r="AW214" i="2" s="1"/>
  <c r="K204" i="2"/>
  <c r="AW204" i="2" s="1"/>
  <c r="K194" i="2"/>
  <c r="AW194" i="2" s="1"/>
  <c r="K184" i="2"/>
  <c r="AW184" i="2" s="1"/>
  <c r="K174" i="2"/>
  <c r="AW174" i="2" s="1"/>
  <c r="K164" i="2"/>
  <c r="AW164" i="2" s="1"/>
  <c r="K154" i="2"/>
  <c r="AW154" i="2" s="1"/>
  <c r="K144" i="2"/>
  <c r="AW144" i="2" s="1"/>
  <c r="K134" i="2"/>
  <c r="AW134" i="2" s="1"/>
  <c r="K124" i="2"/>
  <c r="AW124" i="2" s="1"/>
  <c r="K114" i="2"/>
  <c r="AW114" i="2" s="1"/>
  <c r="K104" i="2"/>
  <c r="AW104" i="2" s="1"/>
  <c r="K94" i="2"/>
  <c r="AW94" i="2" s="1"/>
  <c r="K84" i="2"/>
  <c r="AW84" i="2" s="1"/>
  <c r="K74" i="2"/>
  <c r="AW74" i="2" s="1"/>
  <c r="K64" i="2"/>
  <c r="AW64" i="2" s="1"/>
  <c r="K54" i="2"/>
  <c r="AW54" i="2" s="1"/>
  <c r="K44" i="2"/>
  <c r="AW44" i="2" s="1"/>
  <c r="K34" i="2"/>
  <c r="AW34" i="2" s="1"/>
  <c r="K24" i="2"/>
  <c r="AW24" i="2" s="1"/>
  <c r="K14" i="2"/>
  <c r="AW14" i="2" s="1"/>
  <c r="K4" i="2"/>
  <c r="AW4" i="2" s="1"/>
  <c r="K233" i="2"/>
  <c r="AW233" i="2" s="1"/>
  <c r="K223" i="2"/>
  <c r="AW223" i="2" s="1"/>
  <c r="K213" i="2"/>
  <c r="AW213" i="2" s="1"/>
  <c r="K203" i="2"/>
  <c r="AW203" i="2" s="1"/>
  <c r="K193" i="2"/>
  <c r="AW193" i="2" s="1"/>
  <c r="K183" i="2"/>
  <c r="AW183" i="2" s="1"/>
  <c r="K173" i="2"/>
  <c r="K163" i="2"/>
  <c r="AW163" i="2" s="1"/>
  <c r="K153" i="2"/>
  <c r="AW153" i="2" s="1"/>
  <c r="K143" i="2"/>
  <c r="AW143" i="2" s="1"/>
  <c r="K133" i="2"/>
  <c r="AW133" i="2" s="1"/>
  <c r="K123" i="2"/>
  <c r="AW123" i="2" s="1"/>
  <c r="K113" i="2"/>
  <c r="AW113" i="2" s="1"/>
  <c r="K103" i="2"/>
  <c r="AW103" i="2" s="1"/>
  <c r="K93" i="2"/>
  <c r="AW93" i="2" s="1"/>
  <c r="K83" i="2"/>
  <c r="AW83" i="2" s="1"/>
  <c r="K73" i="2"/>
  <c r="AW73" i="2" s="1"/>
  <c r="K63" i="2"/>
  <c r="AW63" i="2" s="1"/>
  <c r="K53" i="2"/>
  <c r="AW53" i="2" s="1"/>
  <c r="K43" i="2"/>
  <c r="AW43" i="2" s="1"/>
  <c r="K33" i="2"/>
  <c r="AW33" i="2" s="1"/>
  <c r="K23" i="2"/>
  <c r="K13" i="2"/>
  <c r="AW13" i="2" s="1"/>
  <c r="K3" i="2"/>
  <c r="AW3" i="2" s="1"/>
  <c r="K232" i="2"/>
  <c r="AW232" i="2" s="1"/>
  <c r="K222" i="2"/>
  <c r="AW222" i="2" s="1"/>
  <c r="K212" i="2"/>
  <c r="AW212" i="2" s="1"/>
  <c r="K202" i="2"/>
  <c r="K192" i="2"/>
  <c r="AW192" i="2" s="1"/>
  <c r="K182" i="2"/>
  <c r="AW182" i="2" s="1"/>
  <c r="K172" i="2"/>
  <c r="AW172" i="2" s="1"/>
  <c r="K162" i="2"/>
  <c r="AW162" i="2" s="1"/>
  <c r="K152" i="2"/>
  <c r="AW152" i="2" s="1"/>
  <c r="K142" i="2"/>
  <c r="AW142" i="2" s="1"/>
  <c r="K132" i="2"/>
  <c r="AW132" i="2" s="1"/>
  <c r="K122" i="2"/>
  <c r="AW122" i="2" s="1"/>
  <c r="K112" i="2"/>
  <c r="AW112" i="2" s="1"/>
  <c r="K102" i="2"/>
  <c r="AW102" i="2" s="1"/>
  <c r="K92" i="2"/>
  <c r="AW92" i="2" s="1"/>
  <c r="K82" i="2"/>
  <c r="AW82" i="2" s="1"/>
  <c r="K72" i="2"/>
  <c r="AW72" i="2" s="1"/>
  <c r="K62" i="2"/>
  <c r="AW62" i="2" s="1"/>
  <c r="K52" i="2"/>
  <c r="AW52" i="2" s="1"/>
  <c r="K42" i="2"/>
  <c r="AW42" i="2" s="1"/>
  <c r="K32" i="2"/>
  <c r="AW32" i="2" s="1"/>
  <c r="K22" i="2"/>
  <c r="AW22" i="2" s="1"/>
  <c r="K12" i="2"/>
  <c r="AW12" i="2" s="1"/>
  <c r="K2" i="2"/>
  <c r="AW2" i="2" s="1"/>
  <c r="BI193" i="4" l="1"/>
  <c r="BI169" i="4"/>
  <c r="BI145" i="4"/>
  <c r="BI121" i="4"/>
  <c r="BI97" i="4"/>
  <c r="BI73" i="4"/>
  <c r="BI49" i="4"/>
  <c r="BI25" i="4"/>
  <c r="BI192" i="4"/>
  <c r="BI168" i="4"/>
  <c r="BI144" i="4"/>
  <c r="BI120" i="4"/>
  <c r="BI96" i="4"/>
  <c r="BI72" i="4"/>
  <c r="BI48" i="4"/>
  <c r="BI24" i="4"/>
  <c r="BI182" i="4"/>
  <c r="BI158" i="4"/>
  <c r="BI134" i="4"/>
  <c r="BI110" i="4"/>
  <c r="BI86" i="4"/>
  <c r="BI62" i="4"/>
  <c r="BI38" i="4"/>
  <c r="BI14" i="4"/>
  <c r="BH180" i="4"/>
  <c r="BH156" i="4"/>
  <c r="BH132" i="4"/>
  <c r="BH108" i="4"/>
  <c r="BH84" i="4"/>
  <c r="BH60" i="4"/>
  <c r="BH36" i="4"/>
  <c r="BH12" i="4"/>
  <c r="BH177" i="4"/>
  <c r="BH153" i="4"/>
  <c r="BH129" i="4"/>
  <c r="BH105" i="4"/>
  <c r="BH81" i="4"/>
  <c r="BH57" i="4"/>
  <c r="BH33" i="4"/>
  <c r="BH9" i="4"/>
  <c r="BH176" i="4"/>
  <c r="BH152" i="4"/>
  <c r="BH128" i="4"/>
  <c r="BH104" i="4"/>
  <c r="BH80" i="4"/>
  <c r="BH56" i="4"/>
  <c r="BH32" i="4"/>
  <c r="BH8" i="4"/>
  <c r="BH102" i="4"/>
  <c r="BH54" i="4"/>
  <c r="BH6" i="4"/>
  <c r="BH30" i="4"/>
  <c r="BH192" i="4"/>
  <c r="BH168" i="4"/>
  <c r="BH144" i="4"/>
  <c r="BH120" i="4"/>
  <c r="BH96" i="4"/>
  <c r="BH72" i="4"/>
  <c r="BH48" i="4"/>
  <c r="BH24" i="4"/>
  <c r="BG193" i="4"/>
  <c r="BG169" i="4"/>
  <c r="BG145" i="4"/>
  <c r="BG121" i="4"/>
  <c r="BG97" i="4"/>
  <c r="BG73" i="4"/>
  <c r="BG49" i="4"/>
  <c r="BG25" i="4"/>
  <c r="BG192" i="4"/>
  <c r="BG168" i="4"/>
  <c r="BG144" i="4"/>
  <c r="BG120" i="4"/>
  <c r="BG96" i="4"/>
  <c r="BG72" i="4"/>
  <c r="BG48" i="4"/>
  <c r="BG24" i="4"/>
  <c r="AW193" i="3"/>
  <c r="AW169" i="3"/>
  <c r="AW145" i="3"/>
  <c r="AW97" i="3"/>
  <c r="AW73" i="3"/>
  <c r="AW49" i="3"/>
  <c r="AW25" i="3"/>
  <c r="AW190" i="3"/>
  <c r="AW166" i="3"/>
  <c r="AW142" i="3"/>
  <c r="AW118" i="3"/>
  <c r="AW94" i="3"/>
  <c r="AW70" i="3"/>
  <c r="AW46" i="3"/>
  <c r="AW22" i="3"/>
  <c r="AW189" i="3"/>
  <c r="AW165" i="3"/>
  <c r="AW141" i="3"/>
  <c r="AW117" i="3"/>
  <c r="AW93" i="3"/>
  <c r="AW69" i="3"/>
  <c r="AW45" i="3"/>
  <c r="AW21" i="3"/>
  <c r="AW188" i="3"/>
  <c r="AW164" i="3"/>
  <c r="AW140" i="3"/>
  <c r="AW116" i="3"/>
  <c r="AW92" i="3"/>
  <c r="AW68" i="3"/>
  <c r="AW44" i="3"/>
  <c r="AW20" i="3"/>
  <c r="AW187" i="3"/>
  <c r="AW163" i="3"/>
  <c r="AW139" i="3"/>
  <c r="AW115" i="3"/>
  <c r="AW91" i="3"/>
  <c r="AW67" i="3"/>
  <c r="AW43" i="3"/>
  <c r="AW19" i="3"/>
  <c r="AW121" i="3"/>
  <c r="AV171" i="3"/>
  <c r="AV147" i="3"/>
  <c r="AV123" i="3"/>
  <c r="AV99" i="3"/>
  <c r="AV75" i="3"/>
  <c r="AV51" i="3"/>
  <c r="AV27" i="3"/>
  <c r="AV3" i="3"/>
  <c r="AV173" i="3"/>
  <c r="AV149" i="3"/>
  <c r="AV125" i="3"/>
  <c r="AV101" i="3"/>
  <c r="AV77" i="3"/>
  <c r="AV53" i="3"/>
  <c r="AV29" i="3"/>
  <c r="AV5" i="3"/>
  <c r="AV172" i="3"/>
  <c r="AV148" i="3"/>
  <c r="AV124" i="3"/>
  <c r="AV100" i="3"/>
  <c r="AV76" i="3"/>
  <c r="AV52" i="3"/>
  <c r="AV28" i="3"/>
  <c r="AV4" i="3"/>
  <c r="AV189" i="3"/>
  <c r="AV165" i="3"/>
  <c r="AV141" i="3"/>
  <c r="AV117" i="3"/>
  <c r="AV93" i="3"/>
  <c r="AV69" i="3"/>
  <c r="AV45" i="3"/>
  <c r="AV21" i="3"/>
  <c r="AV188" i="3"/>
  <c r="AV140" i="3"/>
  <c r="AV116" i="3"/>
  <c r="AV92" i="3"/>
  <c r="AV44" i="3"/>
  <c r="AV20" i="3"/>
  <c r="AV178" i="3"/>
  <c r="AV154" i="3"/>
  <c r="AV130" i="3"/>
  <c r="AV106" i="3"/>
  <c r="AV82" i="3"/>
  <c r="AV58" i="3"/>
  <c r="AV34" i="3"/>
  <c r="AV10" i="3"/>
  <c r="AV177" i="3"/>
  <c r="AV153" i="3"/>
  <c r="AV129" i="3"/>
  <c r="AV81" i="3"/>
  <c r="AV57" i="3"/>
  <c r="AV33" i="3"/>
  <c r="AV193" i="3"/>
  <c r="AV169" i="3"/>
  <c r="AV145" i="3"/>
  <c r="AV73" i="3"/>
  <c r="AV25" i="3"/>
  <c r="AW179" i="3"/>
  <c r="AW155" i="3"/>
  <c r="AW131" i="3"/>
  <c r="AW107" i="3"/>
  <c r="AW83" i="3"/>
  <c r="AW59" i="3"/>
  <c r="AW35" i="3"/>
  <c r="AW11" i="3"/>
  <c r="AV179" i="3"/>
  <c r="AV155" i="3"/>
  <c r="AV131" i="3"/>
  <c r="AV107" i="3"/>
  <c r="AV83" i="3"/>
  <c r="AV59" i="3"/>
  <c r="AV35" i="3"/>
  <c r="AV11" i="3"/>
  <c r="AV176" i="3"/>
  <c r="AV152" i="3"/>
  <c r="AV128" i="3"/>
  <c r="AV104" i="3"/>
  <c r="AV80" i="3"/>
  <c r="AV56" i="3"/>
  <c r="AV32" i="3"/>
  <c r="AV8" i="3"/>
  <c r="AW175" i="3"/>
  <c r="AW151" i="3"/>
  <c r="AW127" i="3"/>
  <c r="AW103" i="3"/>
  <c r="AW79" i="3"/>
  <c r="AW55" i="3"/>
  <c r="AW31" i="3"/>
  <c r="AW7" i="3"/>
  <c r="AV175" i="3"/>
  <c r="AV151" i="3"/>
  <c r="AV127" i="3"/>
  <c r="AV103" i="3"/>
  <c r="AV79" i="3"/>
  <c r="AV55" i="3"/>
  <c r="AV31" i="3"/>
  <c r="AV7" i="3"/>
  <c r="AV191" i="3"/>
  <c r="AV167" i="3"/>
  <c r="AV143" i="3"/>
  <c r="AV119" i="3"/>
  <c r="AV95" i="3"/>
  <c r="AV71" i="3"/>
  <c r="AV47" i="3"/>
  <c r="AV23" i="3"/>
  <c r="AW185" i="3"/>
  <c r="AW161" i="3"/>
  <c r="AW137" i="3"/>
  <c r="AW113" i="3"/>
  <c r="AW89" i="3"/>
  <c r="AW65" i="3"/>
  <c r="AW41" i="3"/>
  <c r="AW17" i="3"/>
  <c r="AV185" i="3"/>
  <c r="AV161" i="3"/>
  <c r="AV137" i="3"/>
  <c r="AV113" i="3"/>
  <c r="AV89" i="3"/>
  <c r="AV65" i="3"/>
  <c r="AV41" i="3"/>
  <c r="AV17" i="3"/>
  <c r="AW184" i="3"/>
  <c r="AW160" i="3"/>
  <c r="AW136" i="3"/>
  <c r="AW112" i="3"/>
  <c r="AW88" i="3"/>
  <c r="AW64" i="3"/>
  <c r="AW40" i="3"/>
  <c r="AW16" i="3"/>
  <c r="AV184" i="3"/>
  <c r="AV160" i="3"/>
  <c r="AV136" i="3"/>
  <c r="AV112" i="3"/>
  <c r="AV88" i="3"/>
  <c r="AV64" i="3"/>
  <c r="AV40" i="3"/>
  <c r="AV16" i="3"/>
  <c r="AV186" i="3"/>
  <c r="AV162" i="3"/>
  <c r="AV138" i="3"/>
  <c r="AV90" i="3"/>
  <c r="AV66" i="3"/>
  <c r="AV42" i="3"/>
  <c r="AV18" i="3"/>
  <c r="AV114" i="3"/>
  <c r="AW181" i="3"/>
  <c r="AW157" i="3"/>
  <c r="AW133" i="3"/>
  <c r="AW109" i="3"/>
  <c r="AW85" i="3"/>
  <c r="AW61" i="3"/>
  <c r="AW37" i="3"/>
  <c r="AW13" i="3"/>
  <c r="AV181" i="3"/>
  <c r="AV157" i="3"/>
  <c r="AV133" i="3"/>
  <c r="AV109" i="3"/>
  <c r="AV85" i="3"/>
  <c r="AV61" i="3"/>
  <c r="AV37" i="3"/>
  <c r="AV13" i="3"/>
  <c r="AW180" i="3"/>
  <c r="AW156" i="3"/>
  <c r="AW132" i="3"/>
  <c r="AW108" i="3"/>
  <c r="AW84" i="3"/>
  <c r="AW60" i="3"/>
  <c r="AW36" i="3"/>
  <c r="AW12" i="3"/>
  <c r="AV180" i="3"/>
  <c r="AV156" i="3"/>
  <c r="AV132" i="3"/>
  <c r="AV108" i="3"/>
  <c r="AV84" i="3"/>
  <c r="AV60" i="3"/>
  <c r="AV36" i="3"/>
  <c r="AV12" i="3"/>
  <c r="AW181" i="2"/>
  <c r="AW187" i="2"/>
  <c r="AW176" i="2"/>
  <c r="AW205" i="2"/>
  <c r="AW178" i="2"/>
  <c r="AW180" i="2"/>
  <c r="AW31" i="2"/>
  <c r="AW202" i="2"/>
  <c r="AW173" i="2"/>
  <c r="AW23" i="2"/>
  <c r="AW30" i="2"/>
  <c r="AW188" i="2"/>
</calcChain>
</file>

<file path=xl/sharedStrings.xml><?xml version="1.0" encoding="utf-8"?>
<sst xmlns="http://schemas.openxmlformats.org/spreadsheetml/2006/main" count="6364" uniqueCount="99">
  <si>
    <t>id_pe</t>
  </si>
  <si>
    <t>sdom</t>
  </si>
  <si>
    <t>tmoy</t>
  </si>
  <si>
    <t>ptot</t>
  </si>
  <si>
    <t>sum_st_ha</t>
  </si>
  <si>
    <t>coupe</t>
  </si>
  <si>
    <t>no_arbre</t>
  </si>
  <si>
    <t>dhpcm</t>
  </si>
  <si>
    <t>essence</t>
  </si>
  <si>
    <t>priorecol</t>
  </si>
  <si>
    <t>2EST</t>
  </si>
  <si>
    <t>2OUEST</t>
  </si>
  <si>
    <t>3EST</t>
  </si>
  <si>
    <t>3OUEST</t>
  </si>
  <si>
    <t>4EST</t>
  </si>
  <si>
    <t>4OUEST</t>
  </si>
  <si>
    <t>5EST</t>
  </si>
  <si>
    <t>5OUEST</t>
  </si>
  <si>
    <t>6EST</t>
  </si>
  <si>
    <t>BOJ</t>
  </si>
  <si>
    <t>BOP</t>
  </si>
  <si>
    <t>CHX</t>
  </si>
  <si>
    <t>ERR</t>
  </si>
  <si>
    <t>ERS</t>
  </si>
  <si>
    <t>FEN</t>
  </si>
  <si>
    <t>HEG</t>
  </si>
  <si>
    <t>PEU</t>
  </si>
  <si>
    <t>C</t>
  </si>
  <si>
    <t>R</t>
  </si>
  <si>
    <t>S</t>
  </si>
  <si>
    <t>b_intercept_C</t>
  </si>
  <si>
    <t>b_priorecol_C</t>
  </si>
  <si>
    <t>b_priorecol_R</t>
  </si>
  <si>
    <t>b_priorecol_S</t>
  </si>
  <si>
    <t>b_dhpcm</t>
  </si>
  <si>
    <t>b_sum_st_ha</t>
  </si>
  <si>
    <t>b_sdom_1</t>
  </si>
  <si>
    <t>b_sdom_2EST</t>
  </si>
  <si>
    <t>b_sdom_2OUEST</t>
  </si>
  <si>
    <t>b_sdom_3EST</t>
  </si>
  <si>
    <t>b_sdom_3OUEST</t>
  </si>
  <si>
    <t>b_sdom_4EST</t>
  </si>
  <si>
    <t>b_sdom_4OUEST</t>
  </si>
  <si>
    <t>b_sdom_5EST</t>
  </si>
  <si>
    <t>b_sdom_5OUEST</t>
  </si>
  <si>
    <t>b_sdom_6EST</t>
  </si>
  <si>
    <t>u2o</t>
  </si>
  <si>
    <t>u1</t>
  </si>
  <si>
    <t>uPC</t>
  </si>
  <si>
    <t>uPR</t>
  </si>
  <si>
    <t>uPS</t>
  </si>
  <si>
    <t>u3e</t>
  </si>
  <si>
    <t>u3o</t>
  </si>
  <si>
    <t>u4e</t>
  </si>
  <si>
    <t>u4o</t>
  </si>
  <si>
    <t>u5e</t>
  </si>
  <si>
    <t>u5o</t>
  </si>
  <si>
    <t>u6e</t>
  </si>
  <si>
    <t>b_dhpcm*priorecol_C</t>
  </si>
  <si>
    <t>udpc</t>
  </si>
  <si>
    <t>b_dhpcm*priorecol_R</t>
  </si>
  <si>
    <t>udpr</t>
  </si>
  <si>
    <t>b_dhpcm*priorecol_S</t>
  </si>
  <si>
    <t>udps</t>
  </si>
  <si>
    <t>b_coupe</t>
  </si>
  <si>
    <t>b_dhpcm*sum_st_ha</t>
  </si>
  <si>
    <t>b_tmoy</t>
  </si>
  <si>
    <t>b_dhpcm_x_priorecol_C</t>
  </si>
  <si>
    <t>b_dhpcm_x_priorecol_R</t>
  </si>
  <si>
    <t>b_dhpcm_x_priorecol_S</t>
  </si>
  <si>
    <t>b_dhpcm_x_sum_st_ha</t>
  </si>
  <si>
    <t>prob_c</t>
  </si>
  <si>
    <t>xb_c</t>
  </si>
  <si>
    <t>prop_d</t>
  </si>
  <si>
    <t>prop_c</t>
  </si>
  <si>
    <t>prop_b</t>
  </si>
  <si>
    <t>prop_a</t>
  </si>
  <si>
    <t>b_intercept_B</t>
  </si>
  <si>
    <t>b_sum_st_ha_x_priorecol_C</t>
  </si>
  <si>
    <t>b_sum_st_ha_x_priorecol_R</t>
  </si>
  <si>
    <t>b_sum_st_ha_x_priorecol_S</t>
  </si>
  <si>
    <t>b_sum_st_ha*priorecol_C</t>
  </si>
  <si>
    <t>b_sum_st_ha*priorecol_R</t>
  </si>
  <si>
    <t>b_sum_st_ha*priorecol_S</t>
  </si>
  <si>
    <t>xb_b</t>
  </si>
  <si>
    <t>prob_b</t>
  </si>
  <si>
    <t>u2e</t>
  </si>
  <si>
    <t>b_intercept_A</t>
  </si>
  <si>
    <t>b_ptot</t>
  </si>
  <si>
    <t>b_dhpcm_x_intercept_A</t>
  </si>
  <si>
    <t>b_dhpcm_x_intercept_B</t>
  </si>
  <si>
    <t>b_dhpcm_x_intercept_C</t>
  </si>
  <si>
    <t>xb_a</t>
  </si>
  <si>
    <t>prob_a</t>
  </si>
  <si>
    <t>uspc</t>
  </si>
  <si>
    <t>uspr</t>
  </si>
  <si>
    <t>usps</t>
  </si>
  <si>
    <t>xb_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</si>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</sst>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Segoe UI"/>
      <family val="2"/>
    </font>
    <font>
      <b/>
      <sz val="8"/>
      <name val="Segoe UI"/>
      <family val="2"/>
    </font>
    <font>
      <i/>
      <sz val="8"/>
      <name val="Segoe U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0" borderId="0" xfId="0" applyFont="1"/>
    <xf numFmtId="0" fontId="1" fillId="2" borderId="0" xfId="0" applyFont="1" applyFill="1"/>
    <xf numFmtId="0" fontId="2" fillId="0" borderId="1" xfId="0" applyFont="1" applyBorder="1"/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0" applyFont="1" applyFill="1"/>
    <xf numFmtId="0" fontId="6" fillId="0" borderId="0" xfId="0" applyNumberFormat="1" applyFont="1" applyFill="1"/>
    <xf numFmtId="0" fontId="3" fillId="0" borderId="0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6" fillId="0" borderId="0" xfId="0" applyFont="1" applyFill="1" applyBorder="1"/>
    <xf numFmtId="0" fontId="7" fillId="0" borderId="1" xfId="0" applyFont="1" applyBorder="1"/>
    <xf numFmtId="165" fontId="0" fillId="0" borderId="0" xfId="0" applyNumberFormat="1"/>
  </cellXfs>
  <cellStyles count="1">
    <cellStyle name="Normal" xfId="0" builtinId="0"/>
  </cellStyles>
  <dxfs count="267">
    <dxf>
      <numFmt numFmtId="165" formatCode="0.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E6BA8-C8B9-4A4A-ABB1-F9474234D826}" name="Tableau1" displayName="Tableau1" ref="A1:J625" totalsRowShown="0" headerRowDxfId="266">
  <autoFilter ref="A1:J625" xr:uid="{F89E6BA8-C8B9-4A4A-ABB1-F9474234D826}"/>
  <sortState xmlns:xlrd2="http://schemas.microsoft.com/office/spreadsheetml/2017/richdata2" ref="A2:J625">
    <sortCondition ref="A1:A625"/>
  </sortState>
  <tableColumns count="10">
    <tableColumn id="1" xr3:uid="{89AB2484-A584-4E33-80CE-67493FAC55F7}" name="id_pe"/>
    <tableColumn id="2" xr3:uid="{A76A25EF-3DD2-4411-8350-BFC1488F5E4D}" name="sdom"/>
    <tableColumn id="3" xr3:uid="{EBECEB99-52DC-4766-B493-11A0375D60A8}" name="tmoy"/>
    <tableColumn id="4" xr3:uid="{667812FB-3080-4DB4-AA6E-C7EA56058765}" name="ptot"/>
    <tableColumn id="5" xr3:uid="{2777D71B-E0CD-4539-8BB3-7A5FECF36503}" name="sum_st_ha"/>
    <tableColumn id="6" xr3:uid="{749D7382-FDFB-4645-BE71-BF1EDA31DD53}" name="coupe"/>
    <tableColumn id="7" xr3:uid="{D738C57B-8303-45CB-95E4-0CB9696D3C7C}" name="no_arbre"/>
    <tableColumn id="8" xr3:uid="{E1F02C41-4024-40D9-B4C9-EE82D1BDA221}" name="dhpcm"/>
    <tableColumn id="9" xr3:uid="{BF303451-6124-43B4-8EF6-F51BBDAE02A4}" name="essence"/>
    <tableColumn id="10" xr3:uid="{6B847225-F886-4631-BC36-2B9AD3E3FF26}" name="prioreco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AF4273-D6CA-4834-8494-4B80A2675084}" name="Tableau2" displayName="Tableau2" ref="A1:BB241" totalsRowShown="0" headerRowDxfId="265" dataDxfId="263" headerRowBorderDxfId="264" tableBorderDxfId="262">
  <autoFilter ref="A1:BB241" xr:uid="{25AF4273-D6CA-4834-8494-4B80A2675084}"/>
  <sortState xmlns:xlrd2="http://schemas.microsoft.com/office/spreadsheetml/2017/richdata2" ref="A2:BB241">
    <sortCondition ref="A1:A241"/>
  </sortState>
  <tableColumns count="54">
    <tableColumn id="1" xr3:uid="{741B4654-D216-4735-BC8E-67EEF6B50F3B}" name="id_pe" dataDxfId="261"/>
    <tableColumn id="2" xr3:uid="{11B353BD-7AC7-4E2F-BA17-F52A9AC18F68}" name="sdom" dataDxfId="260"/>
    <tableColumn id="3" xr3:uid="{B535AB98-63EF-4752-B1F5-FF2008B280A5}" name="tmoy" dataDxfId="259"/>
    <tableColumn id="4" xr3:uid="{AAE79968-1443-4FD8-9727-4B0B92ED1F3B}" name="ptot" dataDxfId="258"/>
    <tableColumn id="5" xr3:uid="{E8C77C6B-DEE1-41D5-92F6-E34F2EB4A4BE}" name="sum_st_ha" dataDxfId="257"/>
    <tableColumn id="6" xr3:uid="{620CCDB3-FD79-464D-AFFA-A8A5EC5B38AE}" name="coupe" dataDxfId="256"/>
    <tableColumn id="7" xr3:uid="{2D82EA96-D724-4B06-8FDA-0F81832DFA5F}" name="no_arbre" dataDxfId="255"/>
    <tableColumn id="8" xr3:uid="{089DF873-2C8B-42DA-A9ED-65C2B0ADFC2D}" name="dhpcm" dataDxfId="254"/>
    <tableColumn id="9" xr3:uid="{C84CD8F7-22BA-442A-8695-A319B1792ADC}" name="essence" dataDxfId="253"/>
    <tableColumn id="10" xr3:uid="{895D81BB-60B5-4506-892A-C1E8C84F80B0}" name="priorecol" dataDxfId="252"/>
    <tableColumn id="11" xr3:uid="{39C791A0-F13B-40BD-B9A5-1D83FA0C9DAC}" name="b_intercept_C" dataDxfId="251">
      <calculatedColumnFormula>VLOOKUP(Tableau2[[#This Row],[essence]],Tableau5[],2,FALSE)</calculatedColumnFormula>
    </tableColumn>
    <tableColumn id="12" xr3:uid="{C7D176C2-0BFE-4538-9A85-8DD7B5B21DED}" name="b_priorecol_C" dataDxfId="250">
      <calculatedColumnFormula>VLOOKUP(Tableau2[[#This Row],[essence]],Tableau5[],3,FALSE)</calculatedColumnFormula>
    </tableColumn>
    <tableColumn id="13" xr3:uid="{371221FB-5015-4F05-8FED-0C08A2543C2E}" name="uPC" dataDxfId="249">
      <calculatedColumnFormula>IF(Tableau2[[#This Row],[priorecol]]="C",1,0)</calculatedColumnFormula>
    </tableColumn>
    <tableColumn id="14" xr3:uid="{FCD886E2-9CEA-4F18-81E8-DB64EA03B0FF}" name="b_priorecol_R" dataDxfId="248">
      <calculatedColumnFormula>VLOOKUP(Tableau2[[#This Row],[essence]],Tableau5[],4,FALSE)</calculatedColumnFormula>
    </tableColumn>
    <tableColumn id="15" xr3:uid="{1359A639-D32E-4DF1-9499-C3318B84A49B}" name="uPR" dataDxfId="247">
      <calculatedColumnFormula>IF(Tableau2[[#This Row],[priorecol]]="R",1,0)</calculatedColumnFormula>
    </tableColumn>
    <tableColumn id="16" xr3:uid="{BB90922C-BAB4-4D25-96F8-315CB6F2416A}" name="b_priorecol_S" dataDxfId="246">
      <calculatedColumnFormula>VLOOKUP(Tableau2[[#This Row],[essence]],Tableau5[],5,FALSE)</calculatedColumnFormula>
    </tableColumn>
    <tableColumn id="17" xr3:uid="{EC729FAE-6C0E-4711-8D46-9AB8A8D43F9A}" name="uPS" dataDxfId="245">
      <calculatedColumnFormula>IF(Tableau2[[#This Row],[priorecol]]="S",1,0)</calculatedColumnFormula>
    </tableColumn>
    <tableColumn id="18" xr3:uid="{7DA3A8FA-35F6-4123-83E5-235D8DC0ACAF}" name="b_dhpcm" dataDxfId="244">
      <calculatedColumnFormula>VLOOKUP(Tableau2[[#This Row],[essence]],Tableau5[],6,FALSE)</calculatedColumnFormula>
    </tableColumn>
    <tableColumn id="19" xr3:uid="{F50B0E48-80E9-4902-B817-ECFCF1DA4AEE}" name="b_sum_st_ha" dataDxfId="243">
      <calculatedColumnFormula>VLOOKUP(Tableau2[[#This Row],[essence]],Tableau5[],15,FALSE)</calculatedColumnFormula>
    </tableColumn>
    <tableColumn id="20" xr3:uid="{474CD668-E276-4341-AF49-D868BA5A2DEA}" name="b_sdom_1" dataDxfId="242">
      <calculatedColumnFormula>VLOOKUP(Tableau2[[#This Row],[essence]],Tableau5[],7,FALSE)</calculatedColumnFormula>
    </tableColumn>
    <tableColumn id="21" xr3:uid="{23B19D78-D60A-4280-92A0-B8B3DE81B3AD}" name="u1" dataDxfId="241">
      <calculatedColumnFormula>IF(Tableau2[[#This Row],[sdom]]=1,1,0)</calculatedColumnFormula>
    </tableColumn>
    <tableColumn id="22" xr3:uid="{407B594D-BABE-4ED7-9A98-260CFB962770}" name="b_sdom_2EST" dataDxfId="240">
      <calculatedColumnFormula>VLOOKUP(Tableau2[[#This Row],[essence]],Tableau5[],8,FALSE)</calculatedColumnFormula>
    </tableColumn>
    <tableColumn id="23" xr3:uid="{BE35A165-D2B0-4AA4-B476-2651593647D8}" name="u2e" dataDxfId="239">
      <calculatedColumnFormula>IF(Tableau2[[#This Row],[sdom]]="2EST",1,0)</calculatedColumnFormula>
    </tableColumn>
    <tableColumn id="24" xr3:uid="{3FEE671D-15F6-492D-9CB0-C8A721F0C78E}" name="b_sdom_2OUEST" dataDxfId="238">
      <calculatedColumnFormula>VLOOKUP(Tableau2[[#This Row],[essence]],Tableau5[],9,FALSE)</calculatedColumnFormula>
    </tableColumn>
    <tableColumn id="25" xr3:uid="{7FFCB840-719E-4DA6-B22A-F901831EDAEB}" name="u2o" dataDxfId="237">
      <calculatedColumnFormula>IF(Tableau2[[#This Row],[sdom]]="2OUEST",1,0)</calculatedColumnFormula>
    </tableColumn>
    <tableColumn id="26" xr3:uid="{91927757-823E-47B8-9A52-F90FD5579F52}" name="b_sdom_3EST" dataDxfId="236">
      <calculatedColumnFormula>VLOOKUP(Tableau2[[#This Row],[essence]],Tableau5[],10,FALSE)</calculatedColumnFormula>
    </tableColumn>
    <tableColumn id="27" xr3:uid="{3F7E2F35-36E8-4C09-8702-2C8CE65E321E}" name="u3e" dataDxfId="235">
      <calculatedColumnFormula>IF(Tableau2[[#This Row],[sdom]]="3EST",1,0)</calculatedColumnFormula>
    </tableColumn>
    <tableColumn id="28" xr3:uid="{5ED1AB43-C6FA-4812-B17E-64D690B83C7E}" name="b_sdom_3OUEST" dataDxfId="234">
      <calculatedColumnFormula>VLOOKUP(Tableau2[[#This Row],[essence]],Tableau5[],11,FALSE)</calculatedColumnFormula>
    </tableColumn>
    <tableColumn id="29" xr3:uid="{0F6CB256-AD5A-4FAD-8F84-832FE55F75DF}" name="u3o" dataDxfId="233">
      <calculatedColumnFormula>IF(Tableau2[[#This Row],[sdom]]="3OUEST",1,0)</calculatedColumnFormula>
    </tableColumn>
    <tableColumn id="30" xr3:uid="{CCB4A87E-C232-4CB2-BB22-6CC2FB89A220}" name="b_sdom_4EST" dataDxfId="232">
      <calculatedColumnFormula>VLOOKUP(Tableau2[[#This Row],[essence]],Tableau5[],12,FALSE)</calculatedColumnFormula>
    </tableColumn>
    <tableColumn id="31" xr3:uid="{C3416D3C-F901-44B0-8707-8D3F1B984A5C}" name="u4e" dataDxfId="231">
      <calculatedColumnFormula>IF(Tableau2[[#This Row],[sdom]]="4EST",1,0)</calculatedColumnFormula>
    </tableColumn>
    <tableColumn id="32" xr3:uid="{F27EEE64-AAD2-4334-B206-263E2EC2D4DF}" name="b_sdom_4OUEST" dataDxfId="230">
      <calculatedColumnFormula>VLOOKUP(Tableau2[[#This Row],[essence]],Tableau5[],13,FALSE)</calculatedColumnFormula>
    </tableColumn>
    <tableColumn id="33" xr3:uid="{61FC49B2-0607-4CF8-994E-64E751CDEFC8}" name="u4o" dataDxfId="229">
      <calculatedColumnFormula>IF(Tableau2[[#This Row],[sdom]]="4OUEST",1,0)</calculatedColumnFormula>
    </tableColumn>
    <tableColumn id="34" xr3:uid="{44E7194A-4C2D-4739-800C-813D428E2179}" name="b_sdom_5EST" dataDxfId="228">
      <calculatedColumnFormula>VLOOKUP(Tableau2[[#This Row],[essence]],Tableau5[],14,FALSE)</calculatedColumnFormula>
    </tableColumn>
    <tableColumn id="35" xr3:uid="{29359A75-8DBA-483C-91A7-92D6F09D6769}" name="u5e" dataDxfId="227">
      <calculatedColumnFormula>IF(Tableau2[[#This Row],[sdom]]="5EST",1,0)</calculatedColumnFormula>
    </tableColumn>
    <tableColumn id="36" xr3:uid="{929CA6B0-3715-45EB-B700-8438DD2D80D4}" name="b_sdom_5OUEST" dataDxfId="226">
      <calculatedColumnFormula>VLOOKUP(Tableau2[[#This Row],[essence]],Tableau5[],16,FALSE)</calculatedColumnFormula>
    </tableColumn>
    <tableColumn id="37" xr3:uid="{3B116592-25A4-40BF-BB84-C61803B33084}" name="u5o" dataDxfId="225">
      <calculatedColumnFormula>IF(Tableau2[[#This Row],[sdom]]="5OUEST",1,0)</calculatedColumnFormula>
    </tableColumn>
    <tableColumn id="38" xr3:uid="{9689744C-C636-46E0-92EB-813921056DD1}" name="b_sdom_6EST" dataDxfId="224">
      <calculatedColumnFormula>VLOOKUP(Tableau2[[#This Row],[essence]],Tableau5[],17,FALSE)</calculatedColumnFormula>
    </tableColumn>
    <tableColumn id="39" xr3:uid="{036157E2-F928-479B-B3BA-681076AC49AD}" name="u6e" dataDxfId="223">
      <calculatedColumnFormula>IF(Tableau2[[#This Row],[sdom]]="6EST",1,0)</calculatedColumnFormula>
    </tableColumn>
    <tableColumn id="40" xr3:uid="{AD65818F-0EF3-4CF1-95BF-4CC9B15E56A1}" name="b_dhpcm*priorecol_C" dataDxfId="222">
      <calculatedColumnFormula>VLOOKUP(Tableau2[[#This Row],[essence]],Tableau5[],19,FALSE)</calculatedColumnFormula>
    </tableColumn>
    <tableColumn id="41" xr3:uid="{FD5BE246-9A4D-487F-8F38-BE1EB20CCFEF}" name="udpc" dataDxfId="221">
      <calculatedColumnFormula>IF(Tableau2[[#This Row],[priorecol]]="C",1,0)</calculatedColumnFormula>
    </tableColumn>
    <tableColumn id="42" xr3:uid="{B5FB738B-BFBB-48F9-B8A7-3A8FB6F0DA04}" name="b_dhpcm*priorecol_R" dataDxfId="220">
      <calculatedColumnFormula>VLOOKUP(Tableau2[[#This Row],[essence]],Tableau5[],20,FALSE)</calculatedColumnFormula>
    </tableColumn>
    <tableColumn id="43" xr3:uid="{A2D7E44B-C476-4D62-894F-9C1B36721D58}" name="udpr" dataDxfId="219">
      <calculatedColumnFormula>IF(Tableau2[[#This Row],[priorecol]]="R",1,0)</calculatedColumnFormula>
    </tableColumn>
    <tableColumn id="44" xr3:uid="{4429C539-62A2-4270-8253-30D0F6D9C98D}" name="b_dhpcm*priorecol_S" dataDxfId="218">
      <calculatedColumnFormula>VLOOKUP(Tableau2[[#This Row],[essence]],Tableau5[],21,FALSE)</calculatedColumnFormula>
    </tableColumn>
    <tableColumn id="45" xr3:uid="{0BB9795E-9352-4128-8480-3EDE98737072}" name="udps" dataDxfId="217">
      <calculatedColumnFormula>IF(Tableau2[[#This Row],[priorecol]]="S",1,0)</calculatedColumnFormula>
    </tableColumn>
    <tableColumn id="46" xr3:uid="{FC20D71C-21A7-4DF0-A4AE-08FEDEDDC8D2}" name="b_coupe" dataDxfId="216">
      <calculatedColumnFormula>VLOOKUP(Tableau2[[#This Row],[essence]],Tableau5[],22,FALSE)</calculatedColumnFormula>
    </tableColumn>
    <tableColumn id="47" xr3:uid="{2624FF29-3080-4049-8A73-EC931C5F6199}" name="b_dhpcm*sum_st_ha" dataDxfId="215">
      <calculatedColumnFormula>VLOOKUP(Tableau2[[#This Row],[essence]],Tableau5[],23,FALSE)</calculatedColumnFormula>
    </tableColumn>
    <tableColumn id="48" xr3:uid="{074D64DC-4A12-403C-AD7B-4A26DD76E5EF}" name="b_tmoy" dataDxfId="214">
      <calculatedColumnFormula>VLOOKUP(Tableau2[[#This Row],[essence]],Tableau5[],18,FALSE)</calculatedColumnFormula>
    </tableColumn>
    <tableColumn id="49" xr3:uid="{6373A261-B07C-4493-99E5-7FD3C7697661}" name="xb_c" dataDxfId="213">
      <calculatedColumnFormula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calculatedColumnFormula>
    </tableColumn>
    <tableColumn id="50" xr3:uid="{EE362D52-FECD-45E3-BF7C-837F71DA2D6B}" name="prob_c" dataDxfId="23">
      <calculatedColumnFormula>1/(1+EXP(-Tableau2[[#This Row],[xb_c]]))</calculatedColumnFormula>
    </tableColumn>
    <tableColumn id="51" xr3:uid="{C097EFE9-8DF9-4CD7-AEEE-EC06F6849E43}" name="prop_a" dataDxfId="12">
      <calculatedColumnFormula>"NA"</calculatedColumnFormula>
    </tableColumn>
    <tableColumn id="52" xr3:uid="{4D514DFB-AB9D-4791-8AF3-F23859AD2A15}" name="prop_b" dataDxfId="11">
      <calculatedColumnFormula>"NA"</calculatedColumnFormula>
    </tableColumn>
    <tableColumn id="53" xr3:uid="{1A7883CE-5844-41F4-8A7D-57043FB38AFD}" name="prop_c" dataDxfId="10">
      <calculatedColumnFormula>Tableau2[[#This Row],[prob_c]]</calculatedColumnFormula>
    </tableColumn>
    <tableColumn id="54" xr3:uid="{56AC36E3-5953-4274-B566-699DD13B703E}" name="prop_d" dataDxfId="9">
      <calculatedColumnFormula>1-Tableau2[[#This Row],[prob_c]]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D1C78-954E-46E2-BAD0-5A7626832CE2}" name="Tableau5" displayName="Tableau5" ref="A245:W253" totalsRowShown="0" headerRowDxfId="212" dataDxfId="211">
  <autoFilter ref="A245:W253" xr:uid="{4A9D1C78-954E-46E2-BAD0-5A7626832CE2}"/>
  <tableColumns count="23">
    <tableColumn id="1" xr3:uid="{2E9B00F9-9B57-4917-BA80-9EF41822219D}" name="essence" dataDxfId="210"/>
    <tableColumn id="2" xr3:uid="{3FC526D8-6BAF-45AE-A322-AE8A8CDB2135}" name="b_intercept_C" dataDxfId="209"/>
    <tableColumn id="3" xr3:uid="{55B4FB79-69D3-49EC-BF75-16F133D3C419}" name="b_priorecol_C" dataDxfId="208"/>
    <tableColumn id="4" xr3:uid="{644B68D8-12CD-4211-B2BD-2F6792F806CD}" name="b_priorecol_R" dataDxfId="207"/>
    <tableColumn id="5" xr3:uid="{CD5CD854-4215-4D0D-9FC7-FD4A5BB35BDC}" name="b_priorecol_S" dataDxfId="206"/>
    <tableColumn id="6" xr3:uid="{9FA96A29-A8EF-4B41-A6B9-2538792FB925}" name="b_dhpcm" dataDxfId="205"/>
    <tableColumn id="7" xr3:uid="{17137884-8558-4849-B92F-BEDB89A57507}" name="b_sdom_1" dataDxfId="204"/>
    <tableColumn id="8" xr3:uid="{8939BE00-B1EA-4E55-9E83-4028771739A9}" name="b_sdom_2EST" dataDxfId="203"/>
    <tableColumn id="9" xr3:uid="{20A331C7-F09B-4F29-A3D4-4108B052A695}" name="b_sdom_2OUEST" dataDxfId="202"/>
    <tableColumn id="10" xr3:uid="{0CC4784F-48C7-4BFA-8269-1ABCD95F39B8}" name="b_sdom_3EST" dataDxfId="201"/>
    <tableColumn id="11" xr3:uid="{A76C4919-A8D3-4C16-9F8B-D9BF15DCF038}" name="b_sdom_3OUEST" dataDxfId="200"/>
    <tableColumn id="12" xr3:uid="{CF198774-E213-4286-A419-D7CB3889F41D}" name="b_sdom_4EST" dataDxfId="199"/>
    <tableColumn id="13" xr3:uid="{C11CC25D-4CAD-480A-8A4D-A18B32911034}" name="b_sdom_4OUEST" dataDxfId="198"/>
    <tableColumn id="14" xr3:uid="{C9BDDEFE-A13F-4748-BF55-3CAE1F89A91B}" name="b_sdom_5EST" dataDxfId="197"/>
    <tableColumn id="15" xr3:uid="{4DA97E1F-D83A-4D2E-BF20-9C879D445CAE}" name="b_sum_st_ha" dataDxfId="196"/>
    <tableColumn id="16" xr3:uid="{9FEBB9F5-F3E1-42D9-8A47-2E329B0477BB}" name="b_sdom_5OUEST" dataDxfId="195"/>
    <tableColumn id="17" xr3:uid="{FC392D1A-1064-4692-9066-4D077BE19898}" name="b_sdom_6EST" dataDxfId="194"/>
    <tableColumn id="18" xr3:uid="{603D78C3-5970-4160-8581-192F0FD4DBAA}" name="b_tmoy" dataDxfId="193"/>
    <tableColumn id="19" xr3:uid="{4E843200-2AD5-4B28-8DEA-694D19810ACB}" name="b_dhpcm_x_priorecol_C" dataDxfId="192"/>
    <tableColumn id="20" xr3:uid="{87C9E88B-A5C9-448A-AA36-9697FFD5735D}" name="b_dhpcm_x_priorecol_R" dataDxfId="191"/>
    <tableColumn id="21" xr3:uid="{6BEF5E81-92AC-4C02-95E4-D366F1F77B49}" name="b_dhpcm_x_priorecol_S" dataDxfId="190"/>
    <tableColumn id="22" xr3:uid="{338655DB-768C-4F88-AB93-C3DAA23728D1}" name="b_coupe" dataDxfId="189"/>
    <tableColumn id="23" xr3:uid="{2F6190D7-3BD0-4D36-8AC6-A8952D0EA0D5}" name="b_dhpcm_x_sum_st_ha" dataDxfId="18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0AD47B-BB80-483B-8975-2B6DB0A7E9A9}" name="Tableau3" displayName="Tableau3" ref="A1:BA193" totalsRowShown="0" headerRowDxfId="187" dataDxfId="185" headerRowBorderDxfId="186" tableBorderDxfId="184">
  <autoFilter ref="A1:BA193" xr:uid="{9D0AD47B-BB80-483B-8975-2B6DB0A7E9A9}"/>
  <tableColumns count="53">
    <tableColumn id="1" xr3:uid="{4D446F06-9CF9-41F4-AF1C-39A34C21AFB4}" name="id_pe" dataDxfId="183"/>
    <tableColumn id="2" xr3:uid="{56C9A008-23AB-4A02-9A9A-2702B2CD2243}" name="sdom" dataDxfId="182"/>
    <tableColumn id="3" xr3:uid="{394810C7-BC49-4791-8723-B5834503A9A7}" name="tmoy" dataDxfId="181"/>
    <tableColumn id="4" xr3:uid="{77CB2841-BFE6-4CE6-85E3-3AE9EB36AFB8}" name="ptot" dataDxfId="180"/>
    <tableColumn id="5" xr3:uid="{D0E497FD-B37A-40CC-BA8E-329524643FF1}" name="sum_st_ha" dataDxfId="179"/>
    <tableColumn id="6" xr3:uid="{49F5E67A-2F7F-4264-8E2C-F56FC863D647}" name="coupe" dataDxfId="178"/>
    <tableColumn id="7" xr3:uid="{59F2E53A-654F-417B-B804-B65CEC0BECD6}" name="no_arbre" dataDxfId="177"/>
    <tableColumn id="8" xr3:uid="{F3998EB3-5604-477E-928F-7AEC9AF1F274}" name="dhpcm" dataDxfId="176"/>
    <tableColumn id="9" xr3:uid="{2AAB3DD5-F6E6-42E3-939E-26004FC2B418}" name="essence" dataDxfId="175"/>
    <tableColumn id="10" xr3:uid="{6C257C02-3E40-4893-B556-5AEC3A75131D}" name="priorecol" dataDxfId="174"/>
    <tableColumn id="55" xr3:uid="{12E100FB-EC10-46B8-8502-5D216939D398}" name="b_intercept_B" dataDxfId="173">
      <calculatedColumnFormula>VLOOKUP(Tableau3[[#This Row],[essence]],Tableau7[],2,FALSE)</calculatedColumnFormula>
    </tableColumn>
    <tableColumn id="11" xr3:uid="{652B43B0-1C1C-4C4F-8913-F18165E9280D}" name="b_intercept_C" dataDxfId="172">
      <calculatedColumnFormula>VLOOKUP(Tableau3[[#This Row],[essence]],Tableau7[],3,FALSE)</calculatedColumnFormula>
    </tableColumn>
    <tableColumn id="12" xr3:uid="{BF4FCE44-F989-41E3-8203-17B8C2FA6861}" name="b_priorecol_C" dataDxfId="171">
      <calculatedColumnFormula>VLOOKUP(Tableau3[[#This Row],[essence]],Tableau7[],4,FALSE)</calculatedColumnFormula>
    </tableColumn>
    <tableColumn id="13" xr3:uid="{D3725E60-29CE-413E-B7CD-85325A6E68FD}" name="uPC" dataDxfId="170">
      <calculatedColumnFormula>IF(Tableau3[[#This Row],[priorecol]]="C",1,0)</calculatedColumnFormula>
    </tableColumn>
    <tableColumn id="14" xr3:uid="{4F25981C-8A2E-419B-92C8-59ABCB13AEC2}" name="b_priorecol_R" dataDxfId="169">
      <calculatedColumnFormula>VLOOKUP(Tableau3[[#This Row],[essence]],Tableau7[],5,FALSE)</calculatedColumnFormula>
    </tableColumn>
    <tableColumn id="15" xr3:uid="{3FBF9C25-91E0-411B-9000-AED42E64056E}" name="uPR" dataDxfId="168">
      <calculatedColumnFormula>IF(Tableau3[[#This Row],[priorecol]]="R",1,0)</calculatedColumnFormula>
    </tableColumn>
    <tableColumn id="16" xr3:uid="{21CE4329-74A4-42AB-B400-D7A7F34D5999}" name="b_priorecol_S" dataDxfId="167">
      <calculatedColumnFormula>VLOOKUP(Tableau3[[#This Row],[essence]],Tableau7[],6,FALSE)</calculatedColumnFormula>
    </tableColumn>
    <tableColumn id="17" xr3:uid="{4CEDADE6-8DBF-4675-A6E3-A8D09A989E0E}" name="uPS" dataDxfId="166">
      <calculatedColumnFormula>IF(Tableau3[[#This Row],[priorecol]]="S",1,0)</calculatedColumnFormula>
    </tableColumn>
    <tableColumn id="18" xr3:uid="{691AE3D4-7DF0-4677-B03E-B48EF512FE5A}" name="b_dhpcm" dataDxfId="165">
      <calculatedColumnFormula>VLOOKUP(Tableau3[[#This Row],[essence]],Tableau7[],7,FALSE)</calculatedColumnFormula>
    </tableColumn>
    <tableColumn id="19" xr3:uid="{43360442-BEF2-4565-BE51-8A2B4534BCC0}" name="b_sum_st_ha" dataDxfId="164">
      <calculatedColumnFormula>VLOOKUP(Tableau3[[#This Row],[essence]],Tableau7[],15,FALSE)</calculatedColumnFormula>
    </tableColumn>
    <tableColumn id="20" xr3:uid="{3BAF53AB-66C7-4CA3-96A0-03BDC4B83F18}" name="b_sdom_1" dataDxfId="163">
      <calculatedColumnFormula>VLOOKUP(Tableau3[[#This Row],[essence]],Tableau7[],20,FALSE)</calculatedColumnFormula>
    </tableColumn>
    <tableColumn id="21" xr3:uid="{C8764CD5-A526-4819-AE8B-3A7F47F9C7FE}" name="u1" dataDxfId="162">
      <calculatedColumnFormula>IF(Tableau3[[#This Row],[sdom]]=1,1,0)</calculatedColumnFormula>
    </tableColumn>
    <tableColumn id="22" xr3:uid="{438A2938-B101-4AE4-87BA-73E1A9A7DE5E}" name="b_sdom_2EST" dataDxfId="161">
      <calculatedColumnFormula>VLOOKUP(Tableau3[[#This Row],[essence]],Tableau7[],8,FALSE)</calculatedColumnFormula>
    </tableColumn>
    <tableColumn id="23" xr3:uid="{F4D0F97B-CDB8-496D-97F6-E3241F56B19D}" name="u2e" dataDxfId="160">
      <calculatedColumnFormula>IF(Tableau3[[#This Row],[sdom]]="2EST",1,0)</calculatedColumnFormula>
    </tableColumn>
    <tableColumn id="24" xr3:uid="{583059BC-08D3-4A0F-A2C9-79D6170A81EB}" name="b_sdom_2OUEST" dataDxfId="159">
      <calculatedColumnFormula>VLOOKUP(Tableau3[[#This Row],[essence]],Tableau7[],9,FALSE)</calculatedColumnFormula>
    </tableColumn>
    <tableColumn id="25" xr3:uid="{E5A40B79-A396-42E8-99D6-C095488D71C6}" name="u2o" dataDxfId="158">
      <calculatedColumnFormula>IF(Tableau3[[#This Row],[sdom]]="2OUEST",1,0)</calculatedColumnFormula>
    </tableColumn>
    <tableColumn id="26" xr3:uid="{01F7660C-43D7-4415-A947-F90EA78ABCDD}" name="b_sdom_3EST" dataDxfId="157">
      <calculatedColumnFormula>VLOOKUP(Tableau3[[#This Row],[essence]],Tableau7[],10,FALSE)</calculatedColumnFormula>
    </tableColumn>
    <tableColumn id="27" xr3:uid="{6E718705-6148-4486-AF87-BC9D9632A22F}" name="u3e" dataDxfId="156">
      <calculatedColumnFormula>IF(Tableau3[[#This Row],[sdom]]="3EST",1,0)</calculatedColumnFormula>
    </tableColumn>
    <tableColumn id="28" xr3:uid="{8988DDDC-ECE7-4C20-A30D-74C8C0E06F04}" name="b_sdom_3OUEST" dataDxfId="155">
      <calculatedColumnFormula>VLOOKUP(Tableau3[[#This Row],[essence]],Tableau7[],11,FALSE)</calculatedColumnFormula>
    </tableColumn>
    <tableColumn id="29" xr3:uid="{48975F70-ABFC-4129-B031-12416B6CD46E}" name="u3o" dataDxfId="154">
      <calculatedColumnFormula>IF(Tableau3[[#This Row],[sdom]]="3OUEST",1,0)</calculatedColumnFormula>
    </tableColumn>
    <tableColumn id="30" xr3:uid="{B221DCE9-3DA9-41EF-BE9F-1FC3EB8E135A}" name="b_sdom_4EST" dataDxfId="153">
      <calculatedColumnFormula>VLOOKUP(Tableau3[[#This Row],[essence]],Tableau7[],12,FALSE)</calculatedColumnFormula>
    </tableColumn>
    <tableColumn id="31" xr3:uid="{C4AD5577-F46A-4229-9B2A-C3A1D5692048}" name="u4e" dataDxfId="152">
      <calculatedColumnFormula>IF(Tableau3[[#This Row],[sdom]]="4EST",1,0)</calculatedColumnFormula>
    </tableColumn>
    <tableColumn id="32" xr3:uid="{D43A4487-9412-45F4-B865-05D72679DE09}" name="b_sdom_4OUEST" dataDxfId="151">
      <calculatedColumnFormula>VLOOKUP(Tableau3[[#This Row],[essence]],Tableau7[],13,FALSE)</calculatedColumnFormula>
    </tableColumn>
    <tableColumn id="33" xr3:uid="{4E53D8DF-2B65-4AE9-9742-5D6E301B6918}" name="u4o" dataDxfId="150">
      <calculatedColumnFormula>IF(Tableau3[[#This Row],[sdom]]="4OUEST",1,0)</calculatedColumnFormula>
    </tableColumn>
    <tableColumn id="34" xr3:uid="{B78D6041-E316-4E38-AB33-A182531A3000}" name="b_sdom_5EST" dataDxfId="149">
      <calculatedColumnFormula>VLOOKUP(Tableau3[[#This Row],[essence]],Tableau7[],14,FALSE)</calculatedColumnFormula>
    </tableColumn>
    <tableColumn id="35" xr3:uid="{84354800-33D7-4E99-A6A9-7B660E4550D0}" name="u5e" dataDxfId="148">
      <calculatedColumnFormula>IF(Tableau3[[#This Row],[sdom]]="5EST",1,0)</calculatedColumnFormula>
    </tableColumn>
    <tableColumn id="40" xr3:uid="{97DA0242-B73E-4F1F-A821-722A94B39FE0}" name="b_sum_st_ha*priorecol_C" dataDxfId="147">
      <calculatedColumnFormula>VLOOKUP(Tableau3[[#This Row],[essence]],Tableau7[],17,FALSE)</calculatedColumnFormula>
    </tableColumn>
    <tableColumn id="41" xr3:uid="{48BA126F-39E0-4EAB-B857-269C2DDEC0AF}" name="udpc" dataDxfId="146">
      <calculatedColumnFormula>IF(Tableau3[[#This Row],[priorecol]]="C",1,0)</calculatedColumnFormula>
    </tableColumn>
    <tableColumn id="42" xr3:uid="{6C3ABB41-2A21-4C7A-95AB-083A1E84F2DD}" name="b_sum_st_ha*priorecol_R" dataDxfId="145">
      <calculatedColumnFormula>VLOOKUP(Tableau3[[#This Row],[essence]],Tableau7[],18,FALSE)</calculatedColumnFormula>
    </tableColumn>
    <tableColumn id="43" xr3:uid="{F562DF9E-16FC-404E-9F7D-93B220AFA4DA}" name="udpr" dataDxfId="144">
      <calculatedColumnFormula>IF(Tableau3[[#This Row],[priorecol]]="R",1,0)</calculatedColumnFormula>
    </tableColumn>
    <tableColumn id="44" xr3:uid="{DAF72772-2532-447B-A1AE-171CFBA12E2A}" name="b_sum_st_ha*priorecol_S" dataDxfId="143">
      <calculatedColumnFormula>VLOOKUP(Tableau3[[#This Row],[essence]],Tableau7[],19,FALSE)</calculatedColumnFormula>
    </tableColumn>
    <tableColumn id="45" xr3:uid="{98874371-24A8-4820-BDF2-E5C52B3B2E37}" name="udps" dataDxfId="142">
      <calculatedColumnFormula>IF(Tableau3[[#This Row],[priorecol]]="S",1,0)</calculatedColumnFormula>
    </tableColumn>
    <tableColumn id="46" xr3:uid="{8316F17E-19D8-4188-B980-0132637C13BC}" name="b_coupe" dataDxfId="141">
      <calculatedColumnFormula>VLOOKUP(Tableau3[[#This Row],[essence]],Tableau7[],21,FALSE)</calculatedColumnFormula>
    </tableColumn>
    <tableColumn id="48" xr3:uid="{B6A2B59A-1BB7-468F-A171-3F5BF3B80EDF}" name="b_tmoy" dataDxfId="140">
      <calculatedColumnFormula>VLOOKUP(Tableau3[[#This Row],[essence]],Tableau7[],16,FALSE)</calculatedColumnFormula>
    </tableColumn>
    <tableColumn id="36" xr3:uid="{AE3D7A5E-C71A-4960-8448-D1E6E5059170}" name="xb_" dataDxfId="19">
      <calculatedColumnFormula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calculatedColumnFormula>
    </tableColumn>
    <tableColumn id="49" xr3:uid="{A43DCE0F-8EE8-427E-B157-8DC123A8AA92}" name="xb_c" dataDxfId="18">
      <calculatedColumnFormula>Tableau3[[#This Row],[xb_]]+Tableau3[[#This Row],[b_intercept_C]]</calculatedColumnFormula>
    </tableColumn>
    <tableColumn id="56" xr3:uid="{CC767046-04A2-42A8-B75A-237372C86271}" name="xb_b" dataDxfId="17">
      <calculatedColumnFormula>Tableau3[[#This Row],[xb_]]+Tableau3[[#This Row],[b_intercept_B]]</calculatedColumnFormula>
    </tableColumn>
    <tableColumn id="50" xr3:uid="{6384D9FC-0B9A-44C4-B915-603A0FBCB922}" name="prob_c" dataDxfId="139">
      <calculatedColumnFormula>1/(1+EXP(-Tableau3[[#This Row],[xb_c]]))</calculatedColumnFormula>
    </tableColumn>
    <tableColumn id="57" xr3:uid="{EC23FDB1-EB8B-4417-8ADC-AFA01030699B}" name="prob_b" dataDxfId="138">
      <calculatedColumnFormula>1/(1+EXP(-Tableau3[[#This Row],[xb_b]]))</calculatedColumnFormula>
    </tableColumn>
    <tableColumn id="51" xr3:uid="{D2C92AF8-3A18-47BB-BDCD-6F1EBC198901}" name="prop_a" dataDxfId="8">
      <calculatedColumnFormula>"NA"</calculatedColumnFormula>
    </tableColumn>
    <tableColumn id="52" xr3:uid="{34827AF2-466C-4033-910A-C196A3E7CF9A}" name="prop_b" dataDxfId="7">
      <calculatedColumnFormula>Tableau3[[#This Row],[prob_b]]</calculatedColumnFormula>
    </tableColumn>
    <tableColumn id="53" xr3:uid="{3116E98A-30BC-44A1-BA7B-4459B9D0EFBA}" name="prop_c" dataDxfId="6">
      <calculatedColumnFormula>Tableau3[[#This Row],[prob_c]]-Tableau3[[#This Row],[prob_b]]</calculatedColumnFormula>
    </tableColumn>
    <tableColumn id="54" xr3:uid="{7E953BBB-4F00-4627-92E9-08A998A88705}" name="prop_d" dataDxfId="5">
      <calculatedColumnFormula>1-Tableau3[[#This Row],[prob_c]]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8958B3-19BB-4733-92B5-1709C8C08D79}" name="Tableau7" displayName="Tableau7" ref="A196:U204" totalsRowShown="0" headerRowDxfId="137" dataDxfId="136">
  <autoFilter ref="A196:U204" xr:uid="{B28958B3-19BB-4733-92B5-1709C8C08D79}"/>
  <tableColumns count="21">
    <tableColumn id="1" xr3:uid="{BFC66975-4E75-4A10-9494-5C85914DA7A1}" name="essence" dataDxfId="135"/>
    <tableColumn id="2" xr3:uid="{CC298CC8-64F7-4E89-9D1E-364A58D1B341}" name="b_intercept_B" dataDxfId="134"/>
    <tableColumn id="3" xr3:uid="{A75B3BBB-46AE-4D8A-A5B5-77A835FF2784}" name="b_intercept_C" dataDxfId="133"/>
    <tableColumn id="4" xr3:uid="{E0DADF05-A765-40EF-9E23-9B3ADF916372}" name="b_priorecol_C" dataDxfId="132"/>
    <tableColumn id="5" xr3:uid="{F0528B53-A29A-4654-8E74-D080B1C41A1F}" name="b_priorecol_R" dataDxfId="131"/>
    <tableColumn id="6" xr3:uid="{6B22417D-5492-44DF-B78D-19CEB2F8E0B2}" name="b_priorecol_S" dataDxfId="130"/>
    <tableColumn id="7" xr3:uid="{90550F7C-E84D-49B8-9275-3F486B9028C2}" name="b_dhpcm" dataDxfId="129"/>
    <tableColumn id="8" xr3:uid="{81A3B5E4-8D09-40D4-AA2B-A85BEF575587}" name="b_sdom_2EST" dataDxfId="128"/>
    <tableColumn id="9" xr3:uid="{B0C21DD6-E2BE-4A70-A446-DA25124FA986}" name="b_sdom_2OUEST" dataDxfId="127"/>
    <tableColumn id="10" xr3:uid="{BF9D9F0F-D251-4689-BF8F-F38BDB94D112}" name="b_sdom_3EST" dataDxfId="126"/>
    <tableColumn id="11" xr3:uid="{A56FE737-3155-471E-92EE-1EFA9180A306}" name="b_sdom_3OUEST" dataDxfId="125"/>
    <tableColumn id="12" xr3:uid="{D9F285F3-F1FE-4CC1-8045-21476676B676}" name="b_sdom_4EST" dataDxfId="124"/>
    <tableColumn id="13" xr3:uid="{38A9B15D-0F16-468D-A775-6A64EF6C398E}" name="b_sdom_4OUEST" dataDxfId="123"/>
    <tableColumn id="14" xr3:uid="{455A4976-7F2B-45B6-90D5-3879D7B6B596}" name="b_sdom_5EST" dataDxfId="122"/>
    <tableColumn id="15" xr3:uid="{EE80EE37-F0CC-4ACD-919B-9DA1350B264D}" name="b_sum_st_ha" dataDxfId="121"/>
    <tableColumn id="16" xr3:uid="{AFD88E28-3572-4A09-B3C7-E555A4EA1D16}" name="b_tmoy" dataDxfId="120"/>
    <tableColumn id="17" xr3:uid="{8B16B097-B1F2-4D0F-BFB1-D8496A21BB8F}" name="b_sum_st_ha_x_priorecol_C" dataDxfId="119"/>
    <tableColumn id="18" xr3:uid="{378AFCF6-A047-41B6-A7D2-232034F6CC85}" name="b_sum_st_ha_x_priorecol_R" dataDxfId="118"/>
    <tableColumn id="19" xr3:uid="{9D7AC204-37E5-448D-AFE8-5460303162FA}" name="b_sum_st_ha_x_priorecol_S" dataDxfId="117"/>
    <tableColumn id="20" xr3:uid="{A71F226F-90E4-4A25-AB46-538C4D294D34}" name="b_sdom_1" dataDxfId="116"/>
    <tableColumn id="21" xr3:uid="{863AEC57-1502-499F-8909-FA259FD32D34}" name="b_coupe" dataDxfId="11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984949-9CCD-4BFD-B55F-1697ABFF6BA9}" name="Tableau4" displayName="Tableau4" ref="A1:BM193" totalsRowShown="0" headerRowDxfId="114" dataDxfId="112" headerRowBorderDxfId="113" tableBorderDxfId="111">
  <autoFilter ref="A1:BM193" xr:uid="{15984949-9CCD-4BFD-B55F-1697ABFF6BA9}"/>
  <tableColumns count="65">
    <tableColumn id="1" xr3:uid="{CB527C39-CF08-4AC7-9315-D7F67E53E1A9}" name="id_pe" dataDxfId="110"/>
    <tableColumn id="2" xr3:uid="{CDE12E02-457E-4C20-96B5-DC9029406D23}" name="sdom" dataDxfId="109"/>
    <tableColumn id="3" xr3:uid="{B05B1467-EEB3-41E3-A174-4072AF2DA78E}" name="tmoy" dataDxfId="108"/>
    <tableColumn id="4" xr3:uid="{FEF8199A-7358-4950-90BA-CC430C2B1A64}" name="ptot" dataDxfId="107"/>
    <tableColumn id="5" xr3:uid="{533E3D14-C5E2-441B-B06B-9168FD909BBA}" name="sum_st_ha" dataDxfId="106"/>
    <tableColumn id="6" xr3:uid="{D17C8BF8-EF89-44DC-B2D1-2217B2E4035B}" name="coupe" dataDxfId="105"/>
    <tableColumn id="7" xr3:uid="{E0F04579-E183-4999-812C-8D080725F7CE}" name="no_arbre" dataDxfId="104"/>
    <tableColumn id="8" xr3:uid="{61277A6F-9201-4300-80D5-A98872CBB2D5}" name="dhpcm" dataDxfId="103"/>
    <tableColumn id="9" xr3:uid="{72A02407-C6A8-4BCC-B6AB-F51BFA251FB8}" name="essence" dataDxfId="102"/>
    <tableColumn id="10" xr3:uid="{E3C62B5A-2E49-46E2-BED4-0A2F373662BC}" name="priorecol" dataDxfId="101"/>
    <tableColumn id="55" xr3:uid="{6AA32962-9A14-427E-A6B1-C8F283C5C866}" name="b_intercept_A" dataDxfId="100">
      <calculatedColumnFormula>VLOOKUP(Tableau4[[#This Row],[essence]],Tableau6[],2,FALSE)</calculatedColumnFormula>
    </tableColumn>
    <tableColumn id="11" xr3:uid="{F1385470-60CE-4659-AC8D-2FDE01B82305}" name="b_intercept_B" dataDxfId="99">
      <calculatedColumnFormula>VLOOKUP(Tableau4[[#This Row],[essence]],Tableau6[],3,FALSE)</calculatedColumnFormula>
    </tableColumn>
    <tableColumn id="12" xr3:uid="{F4B247CB-C7CF-456C-AE20-239E8C2DBF39}" name="b_intercept_C" dataDxfId="98">
      <calculatedColumnFormula>VLOOKUP(Tableau4[[#This Row],[essence]],Tableau6[],4,FALSE)</calculatedColumnFormula>
    </tableColumn>
    <tableColumn id="13" xr3:uid="{93345AE0-4791-4A93-9AD2-2C83FD7929F5}" name="b_priorecol_C" dataDxfId="97">
      <calculatedColumnFormula>VLOOKUP(Tableau4[[#This Row],[essence]],Tableau6[],5,FALSE)</calculatedColumnFormula>
    </tableColumn>
    <tableColumn id="14" xr3:uid="{E5F5536E-32CA-4730-8FE5-3F8E5945744C}" name="uPC" dataDxfId="96">
      <calculatedColumnFormula>IF(Tableau4[[#This Row],[priorecol]]="C",1,0)</calculatedColumnFormula>
    </tableColumn>
    <tableColumn id="15" xr3:uid="{ECC9DD75-F86F-4DF4-B2E7-6B71A25F5E61}" name="b_priorecol_R" dataDxfId="95">
      <calculatedColumnFormula>VLOOKUP(Tableau4[[#This Row],[essence]],Tableau6[],6,FALSE)</calculatedColumnFormula>
    </tableColumn>
    <tableColumn id="16" xr3:uid="{0CCDFF2C-879A-4E54-B02D-7192D10C585B}" name="uPR" dataDxfId="94">
      <calculatedColumnFormula>IF(Tableau4[[#This Row],[priorecol]]="R",1,0)</calculatedColumnFormula>
    </tableColumn>
    <tableColumn id="17" xr3:uid="{9A4A7206-FB71-47C7-AB4F-F87540A46CAC}" name="b_priorecol_S" dataDxfId="93">
      <calculatedColumnFormula>VLOOKUP(Tableau4[[#This Row],[essence]],Tableau6[],7,FALSE)</calculatedColumnFormula>
    </tableColumn>
    <tableColumn id="18" xr3:uid="{8802EDE0-FCFB-4095-ABF9-B43E1E359E82}" name="uPS" dataDxfId="92">
      <calculatedColumnFormula>IF(Tableau4[[#This Row],[priorecol]]="S",1,0)</calculatedColumnFormula>
    </tableColumn>
    <tableColumn id="19" xr3:uid="{5F9C16DB-A452-44F4-9B2C-197A95ADA6A0}" name="b_dhpcm" dataDxfId="91">
      <calculatedColumnFormula>VLOOKUP(Tableau4[[#This Row],[essence]],Tableau6[],20,FALSE)</calculatedColumnFormula>
    </tableColumn>
    <tableColumn id="20" xr3:uid="{347336CD-36CB-4EBA-A1E5-84B66B39D02C}" name="b_sum_st_ha" dataDxfId="90">
      <calculatedColumnFormula>VLOOKUP(Tableau4[[#This Row],[essence]],Tableau6[],15,FALSE)</calculatedColumnFormula>
    </tableColumn>
    <tableColumn id="21" xr3:uid="{697715D9-B82D-49C7-B13D-747B3F422E95}" name="b_sdom_1" dataDxfId="89">
      <calculatedColumnFormula>VLOOKUP(Tableau4[[#This Row],[essence]],Tableau6[],28,FALSE)</calculatedColumnFormula>
    </tableColumn>
    <tableColumn id="22" xr3:uid="{C4D1D909-EEC9-4DD8-B32A-5E91383B4BEB}" name="u1" dataDxfId="88">
      <calculatedColumnFormula>IF(Tableau4[[#This Row],[sdom]]=1,1,0)</calculatedColumnFormula>
    </tableColumn>
    <tableColumn id="23" xr3:uid="{E09863CB-AFAB-49BA-BE2A-05E95B471B52}" name="b_sdom_2EST" dataDxfId="87">
      <calculatedColumnFormula>VLOOKUP(Tableau4[[#This Row],[essence]],Tableau6[],8,FALSE)</calculatedColumnFormula>
    </tableColumn>
    <tableColumn id="24" xr3:uid="{E6C1BBA7-1BCD-4630-9177-AC6719A48AF8}" name="u2e" dataDxfId="86">
      <calculatedColumnFormula>IF(Tableau4[[#This Row],[sdom]]="2EST",1,0)</calculatedColumnFormula>
    </tableColumn>
    <tableColumn id="25" xr3:uid="{D317F2FE-3529-4CA9-B620-4AA0009850CA}" name="b_sdom_2OUEST" dataDxfId="85">
      <calculatedColumnFormula>VLOOKUP(Tableau4[[#This Row],[essence]],Tableau6[],9,FALSE)</calculatedColumnFormula>
    </tableColumn>
    <tableColumn id="26" xr3:uid="{95C6754C-E7DA-4449-847A-930BD56C85D9}" name="u2o" dataDxfId="84">
      <calculatedColumnFormula>IF(Tableau4[[#This Row],[sdom]]="2OUEST",1,0)</calculatedColumnFormula>
    </tableColumn>
    <tableColumn id="27" xr3:uid="{419BD9B5-A139-488F-9F3F-5279CA73E027}" name="b_sdom_3EST" dataDxfId="83">
      <calculatedColumnFormula>VLOOKUP(Tableau4[[#This Row],[essence]],Tableau6[],10,FALSE)</calculatedColumnFormula>
    </tableColumn>
    <tableColumn id="28" xr3:uid="{4C4EC8A1-9725-4B8A-9945-F2647E499CE3}" name="u3e" dataDxfId="82">
      <calculatedColumnFormula>IF(Tableau4[[#This Row],[sdom]]="3EST",1,0)</calculatedColumnFormula>
    </tableColumn>
    <tableColumn id="29" xr3:uid="{07F714A6-FB41-47A6-9136-A6AD963C71C2}" name="b_sdom_3OUEST" dataDxfId="81">
      <calculatedColumnFormula>VLOOKUP(Tableau4[[#This Row],[essence]],Tableau6[],11,FALSE)</calculatedColumnFormula>
    </tableColumn>
    <tableColumn id="30" xr3:uid="{19B09470-0216-418C-B7D1-5B09153AE3F6}" name="u3o" dataDxfId="80">
      <calculatedColumnFormula>IF(Tableau4[[#This Row],[sdom]]="3OUEST",1,0)</calculatedColumnFormula>
    </tableColumn>
    <tableColumn id="31" xr3:uid="{ACE27837-116F-4B52-85ED-67D4601BE7FC}" name="b_sdom_4EST" dataDxfId="79">
      <calculatedColumnFormula>VLOOKUP(Tableau4[[#This Row],[essence]],Tableau6[],12,FALSE)</calculatedColumnFormula>
    </tableColumn>
    <tableColumn id="32" xr3:uid="{79C7A20F-6947-443C-A3B2-5CA47CEECA01}" name="u4e" dataDxfId="78">
      <calculatedColumnFormula>IF(Tableau4[[#This Row],[sdom]]="4EST",1,0)</calculatedColumnFormula>
    </tableColumn>
    <tableColumn id="33" xr3:uid="{68D598D2-395C-49E8-A47A-5609A1E172CB}" name="b_sdom_4OUEST" dataDxfId="77">
      <calculatedColumnFormula>VLOOKUP(Tableau4[[#This Row],[essence]],Tableau6[],13,FALSE)</calculatedColumnFormula>
    </tableColumn>
    <tableColumn id="34" xr3:uid="{DBA49E26-3F9A-40AF-8288-118F5CFAEB92}" name="u4o" dataDxfId="76">
      <calculatedColumnFormula>IF(Tableau4[[#This Row],[sdom]]="4OUEST",1,0)</calculatedColumnFormula>
    </tableColumn>
    <tableColumn id="35" xr3:uid="{D0A5B7F8-216F-4F9C-A330-C85BFE837FD2}" name="b_sdom_5EST" dataDxfId="75">
      <calculatedColumnFormula>VLOOKUP(Tableau4[[#This Row],[essence]],Tableau6[],14,FALSE)</calculatedColumnFormula>
    </tableColumn>
    <tableColumn id="36" xr3:uid="{42B4D08F-12D2-4E04-9036-5D1AFCBEC4DD}" name="u5e" dataDxfId="74">
      <calculatedColumnFormula>IF(Tableau4[[#This Row],[sdom]]="5EST",1,0)</calculatedColumnFormula>
    </tableColumn>
    <tableColumn id="37" xr3:uid="{EBF703CC-D776-4B9D-936F-1C33FFB32C39}" name="b_sum_st_ha*priorecol_C" dataDxfId="73">
      <calculatedColumnFormula>VLOOKUP(Tableau4[[#This Row],[essence]],Tableau6[],17,FALSE)</calculatedColumnFormula>
    </tableColumn>
    <tableColumn id="38" xr3:uid="{26538939-649C-40C3-B6DA-E67CDEE84A87}" name="uspc" dataDxfId="72">
      <calculatedColumnFormula>IF(Tableau4[[#This Row],[priorecol]]="C",1,0)</calculatedColumnFormula>
    </tableColumn>
    <tableColumn id="39" xr3:uid="{00EA9CF2-19D6-4330-9845-6B153EDBA034}" name="b_sum_st_ha*priorecol_R" dataDxfId="71">
      <calculatedColumnFormula>VLOOKUP(Tableau4[[#This Row],[essence]],Tableau6[],18,FALSE)</calculatedColumnFormula>
    </tableColumn>
    <tableColumn id="40" xr3:uid="{3DBCF8EC-4408-4988-A7E8-0A9FA25F49B2}" name="uspr" dataDxfId="70">
      <calculatedColumnFormula>IF(Tableau4[[#This Row],[priorecol]]="R",1,0)</calculatedColumnFormula>
    </tableColumn>
    <tableColumn id="41" xr3:uid="{CAC0F45C-B34E-4466-9E7D-0FAEA20B3E6A}" name="b_sum_st_ha*priorecol_S" dataDxfId="69">
      <calculatedColumnFormula>VLOOKUP(Tableau4[[#This Row],[essence]],Tableau6[],19,FALSE)</calculatedColumnFormula>
    </tableColumn>
    <tableColumn id="42" xr3:uid="{B0624929-DBEF-4C5F-844E-AF646C32D9E5}" name="usps" dataDxfId="68">
      <calculatedColumnFormula>IF(Tableau4[[#This Row],[priorecol]]="S",1,0)</calculatedColumnFormula>
    </tableColumn>
    <tableColumn id="67" xr3:uid="{6B3D109D-21B3-42D7-A923-CBE44EE3778D}" name="b_dhpcm*priorecol_C" dataDxfId="67">
      <calculatedColumnFormula>VLOOKUP(Tableau4[[#This Row],[essence]],Tableau6[],21,FALSE)</calculatedColumnFormula>
    </tableColumn>
    <tableColumn id="66" xr3:uid="{01B3CA43-BA67-49FF-A0F2-A2AAED4ED2FA}" name="udpc" dataDxfId="66">
      <calculatedColumnFormula>IF(Tableau4[[#This Row],[priorecol]]="C",1,0)</calculatedColumnFormula>
    </tableColumn>
    <tableColumn id="65" xr3:uid="{6EB28FA3-23CD-401E-AC62-2DA278AF75EF}" name="b_dhpcm*priorecol_R" dataDxfId="65">
      <calculatedColumnFormula>VLOOKUP(Tableau4[[#This Row],[essence]],Tableau6[],22,FALSE)</calculatedColumnFormula>
    </tableColumn>
    <tableColumn id="64" xr3:uid="{256CFAB8-2574-4A8B-BF9C-C93239C37DE7}" name="udpr" dataDxfId="64">
      <calculatedColumnFormula>IF(Tableau4[[#This Row],[priorecol]]="R",1,0)</calculatedColumnFormula>
    </tableColumn>
    <tableColumn id="63" xr3:uid="{5C50E7E1-5872-4829-94B7-7FD6EFFC9F13}" name="b_dhpcm*priorecol_S" dataDxfId="63">
      <calculatedColumnFormula>VLOOKUP(Tableau4[[#This Row],[essence]],Tableau6[],23,FALSE)</calculatedColumnFormula>
    </tableColumn>
    <tableColumn id="62" xr3:uid="{2CDA2799-2AAF-4801-9096-3D426408D817}" name="udps" dataDxfId="62">
      <calculatedColumnFormula>IF(Tableau4[[#This Row],[priorecol]]="S",1,0)</calculatedColumnFormula>
    </tableColumn>
    <tableColumn id="75" xr3:uid="{6FA2C03E-B26E-4B5E-BC3E-FF77EA4F2B05}" name="b_dhpcm_x_intercept_A" dataDxfId="61">
      <calculatedColumnFormula>VLOOKUP(Tableau4[[#This Row],[essence]],Tableau6[],24,FALSE)</calculatedColumnFormula>
    </tableColumn>
    <tableColumn id="74" xr3:uid="{F374A0BC-54E7-49BF-9723-8D5765EB20E7}" name="b_dhpcm_x_intercept_B" dataDxfId="60">
      <calculatedColumnFormula>VLOOKUP(Tableau4[[#This Row],[essence]],Tableau6[],25,FALSE)</calculatedColumnFormula>
    </tableColumn>
    <tableColumn id="73" xr3:uid="{469D6D2C-CBD4-4037-ABA2-E9113B33686B}" name="b_dhpcm_x_intercept_C" dataDxfId="59">
      <calculatedColumnFormula>VLOOKUP(Tableau4[[#This Row],[essence]],Tableau6[],26,FALSE)</calculatedColumnFormula>
    </tableColumn>
    <tableColumn id="44" xr3:uid="{F346F4AB-816C-487E-B564-F85786766AC9}" name="b_tmoy" dataDxfId="58">
      <calculatedColumnFormula>VLOOKUP(Tableau4[[#This Row],[essence]],Tableau6[],27,FALSE)</calculatedColumnFormula>
    </tableColumn>
    <tableColumn id="69" xr3:uid="{310FD3C5-E226-4D3F-AA33-DC9734ABB294}" name="b_ptot" dataDxfId="57">
      <calculatedColumnFormula>VLOOKUP(Tableau4[[#This Row],[essence]],Tableau6[],16,FALSE)</calculatedColumnFormula>
    </tableColumn>
    <tableColumn id="43" xr3:uid="{0EB279D6-6117-4967-B0F8-5695F5184522}" name="xb_" dataDxfId="16">
      <calculatedColumnFormula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calculatedColumnFormula>
    </tableColumn>
    <tableColumn id="45" xr3:uid="{4B1DBE87-A822-4336-A7EB-1D65A002A96E}" name="xb_c" dataDxfId="15">
      <calculatedColumnFormula>Tableau4[[#This Row],[xb_]]+Tableau4[[#This Row],[b_intercept_C]]+Tableau4[[#This Row],[b_dhpcm_x_intercept_C]]*Tableau4[[#This Row],[dhpcm]]</calculatedColumnFormula>
    </tableColumn>
    <tableColumn id="46" xr3:uid="{953BCA49-94D3-4F6C-BD09-B67F9A14971B}" name="xb_b" dataDxfId="14">
      <calculatedColumnFormula>Tableau4[[#This Row],[xb_]]+Tableau4[[#This Row],[b_intercept_B]]+Tableau4[[#This Row],[b_dhpcm_x_intercept_B]]*Tableau4[[#This Row],[dhpcm]]</calculatedColumnFormula>
    </tableColumn>
    <tableColumn id="53" xr3:uid="{03059D16-BFEA-48BC-B15C-0719F4697D6D}" name="xb_a" dataDxfId="13">
      <calculatedColumnFormula>Tableau4[[#This Row],[xb_]]+Tableau4[[#This Row],[b_intercept_A]]+Tableau4[[#This Row],[b_dhpcm_x_intercept_A]]*Tableau4[[#This Row],[dhpcm]]</calculatedColumnFormula>
    </tableColumn>
    <tableColumn id="47" xr3:uid="{B3D4A7E3-D5C5-4D33-B9BE-3154B3C7C635}" name="prob_c" dataDxfId="56">
      <calculatedColumnFormula>1/(1+EXP(-Tableau4[[#This Row],[xb_c]]))</calculatedColumnFormula>
    </tableColumn>
    <tableColumn id="48" xr3:uid="{AC40BB35-261A-4C70-B5D4-9194ED9F8519}" name="prob_b" dataDxfId="55">
      <calculatedColumnFormula>1/(1+EXP(-Tableau4[[#This Row],[xb_b]]))</calculatedColumnFormula>
    </tableColumn>
    <tableColumn id="54" xr3:uid="{68254633-1F0D-4244-8D03-C0730EB0BE65}" name="prob_a" dataDxfId="54">
      <calculatedColumnFormula>1/(1+EXP(-Tableau4[[#This Row],[xb_a]]))</calculatedColumnFormula>
    </tableColumn>
    <tableColumn id="49" xr3:uid="{C00A21C5-02EA-41F6-9DEC-F9BF77E23569}" name="prop_a" dataDxfId="4">
      <calculatedColumnFormula>Tableau4[[#This Row],[prob_a]]</calculatedColumnFormula>
    </tableColumn>
    <tableColumn id="50" xr3:uid="{120B159E-F8FF-471E-926A-6BF36E2F01D0}" name="prop_b" dataDxfId="3">
      <calculatedColumnFormula>Tableau4[[#This Row],[prob_b]]-Tableau4[[#This Row],[prob_a]]</calculatedColumnFormula>
    </tableColumn>
    <tableColumn id="51" xr3:uid="{F9E37559-8549-4F35-905F-7587F7BA3874}" name="prop_c" dataDxfId="2">
      <calculatedColumnFormula>Tableau4[[#This Row],[prob_c]]-Tableau4[[#This Row],[prob_b]]</calculatedColumnFormula>
    </tableColumn>
    <tableColumn id="52" xr3:uid="{42159516-2E7D-4C4A-8DED-89A75F5B38DC}" name="prop_d" dataDxfId="1">
      <calculatedColumnFormula>1-Tableau4[[#This Row],[prob_c]]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82D074-CF8C-4EF4-928A-29BE39C04A5F}" name="Tableau6" displayName="Tableau6" ref="A196:AB204" totalsRowShown="0" headerRowDxfId="53" dataDxfId="52">
  <autoFilter ref="A196:AB204" xr:uid="{DF82D074-CF8C-4EF4-928A-29BE39C04A5F}"/>
  <tableColumns count="28">
    <tableColumn id="1" xr3:uid="{16FA960F-8B67-4304-A7DE-C7C7CC87EA31}" name="essence" dataDxfId="51"/>
    <tableColumn id="4" xr3:uid="{1C1CE944-029E-481E-AD8B-7652CF3E03E3}" name="b_intercept_A" dataDxfId="50"/>
    <tableColumn id="5" xr3:uid="{6DC1C1D4-D4A4-4B09-AC6C-CBC44A0E9044}" name="b_intercept_B" dataDxfId="49"/>
    <tableColumn id="6" xr3:uid="{E5C8433C-550D-4073-8554-AFA633F52DD0}" name="b_intercept_C" dataDxfId="48"/>
    <tableColumn id="7" xr3:uid="{DBBBE459-61B3-4155-B2EF-F5567E027116}" name="b_priorecol_C" dataDxfId="47"/>
    <tableColumn id="8" xr3:uid="{BB658F55-9413-4AEE-9BA4-AFBD770BF6A8}" name="b_priorecol_R" dataDxfId="46"/>
    <tableColumn id="9" xr3:uid="{A0FD6133-EA78-447A-97C4-CEC36D49C21C}" name="b_priorecol_S" dataDxfId="45"/>
    <tableColumn id="10" xr3:uid="{BB604D0D-9770-40AE-B6CC-76F2A0F0923C}" name="b_sdom_2EST" dataDxfId="44"/>
    <tableColumn id="11" xr3:uid="{61A2DB0C-5E2C-449D-BA51-4E96BF6555AD}" name="b_sdom_2OUEST" dataDxfId="43"/>
    <tableColumn id="12" xr3:uid="{5084DF6E-C4C1-4B0A-800A-96723224009B}" name="b_sdom_3EST" dataDxfId="42"/>
    <tableColumn id="13" xr3:uid="{A64B27FB-B530-492D-80AF-06AB11A28984}" name="b_sdom_3OUEST" dataDxfId="41"/>
    <tableColumn id="14" xr3:uid="{CA0906A1-6D19-457A-A1EE-AD11C8F38667}" name="b_sdom_4EST" dataDxfId="40"/>
    <tableColumn id="15" xr3:uid="{282C14B1-E4B4-4EFB-B83D-A0C68C5304A0}" name="b_sdom_4OUEST" dataDxfId="39"/>
    <tableColumn id="16" xr3:uid="{DD36EF34-2330-4447-B746-57FFE6399A38}" name="b_sdom_5EST" dataDxfId="38"/>
    <tableColumn id="17" xr3:uid="{60FC2EDA-01F4-4D87-BAEC-13BC0679E976}" name="b_sum_st_ha" dataDxfId="37"/>
    <tableColumn id="18" xr3:uid="{67662528-A916-4119-824C-AA22DCC15F98}" name="b_ptot" dataDxfId="36"/>
    <tableColumn id="19" xr3:uid="{B08CE83A-79BA-4B84-83F6-3BDFC2A50AEF}" name="b_sum_st_ha_x_priorecol_C" dataDxfId="35"/>
    <tableColumn id="20" xr3:uid="{ADEDE665-3777-4EE8-9DD2-5B0B9DF3917F}" name="b_sum_st_ha_x_priorecol_R" dataDxfId="34"/>
    <tableColumn id="21" xr3:uid="{1AB59BB2-9556-48DB-A8EC-2FCE65B5B9D4}" name="b_sum_st_ha_x_priorecol_S" dataDxfId="33"/>
    <tableColumn id="22" xr3:uid="{5B21B6E8-46BD-4673-9A2A-8A1975EB00B4}" name="b_dhpcm" dataDxfId="32"/>
    <tableColumn id="23" xr3:uid="{020CB5D8-3A29-437D-B99E-0101A6B707D0}" name="b_dhpcm_x_priorecol_C" dataDxfId="31"/>
    <tableColumn id="24" xr3:uid="{821D0AB2-797F-43C9-915E-519DCDABBC23}" name="b_dhpcm_x_priorecol_R" dataDxfId="30"/>
    <tableColumn id="25" xr3:uid="{3477B39F-05F2-4270-8BD9-9CD24A41C896}" name="b_dhpcm_x_priorecol_S" dataDxfId="29"/>
    <tableColumn id="26" xr3:uid="{4389BAD6-A97A-4A4A-8528-4F266319E4F2}" name="b_dhpcm_x_intercept_A" dataDxfId="28"/>
    <tableColumn id="27" xr3:uid="{B6F5B988-F15C-4D95-9084-34F6FAA05A38}" name="b_dhpcm_x_intercept_B" dataDxfId="27"/>
    <tableColumn id="28" xr3:uid="{4BC3CDD5-7D63-409E-B29A-1C02D810899C}" name="b_dhpcm_x_intercept_C" dataDxfId="26"/>
    <tableColumn id="29" xr3:uid="{0D26C1F5-2DB4-4B47-A40E-0CDA20D9F08B}" name="b_tmoy" dataDxfId="25"/>
    <tableColumn id="30" xr3:uid="{B9374C69-4F2A-4F83-B1F0-4E8ADC0DFADF}" name="b_sdom_1" dataDxfId="2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7AEC65-FB53-4433-9039-1132A9B5FC2B}" name="Tableau8" displayName="Tableau8" ref="A1:N625" totalsRowShown="0" headerRowDxfId="22" headerRowBorderDxfId="20" tableBorderDxfId="21">
  <autoFilter ref="A1:N625" xr:uid="{547AEC65-FB53-4433-9039-1132A9B5FC2B}"/>
  <sortState xmlns:xlrd2="http://schemas.microsoft.com/office/spreadsheetml/2017/richdata2" ref="A2:N2">
    <sortCondition ref="A1:A2"/>
  </sortState>
  <tableColumns count="14">
    <tableColumn id="1" xr3:uid="{518C0560-5BD6-494C-A85C-7EB42DEAD810}" name="id_pe"/>
    <tableColumn id="2" xr3:uid="{DF371671-4DB6-40CF-A9DB-7E4BE3B342D2}" name="sdom"/>
    <tableColumn id="3" xr3:uid="{30041AE7-9F34-4535-B570-FD7391DC33E2}" name="tmoy"/>
    <tableColumn id="4" xr3:uid="{F35C138D-46F1-4082-81B7-BDB8D45367E9}" name="ptot"/>
    <tableColumn id="5" xr3:uid="{277DB5EF-E7EF-4F2B-887A-8DDCF23665FE}" name="sum_st_ha"/>
    <tableColumn id="6" xr3:uid="{97D33B0E-46A4-4F04-AC4C-F10A18F94835}" name="coupe"/>
    <tableColumn id="7" xr3:uid="{E9999BF3-8B71-40EC-AAC8-C72E092AE0A1}" name="no_arbre"/>
    <tableColumn id="8" xr3:uid="{B74F91F6-222E-4B1F-8584-EC8BC70CEB5F}" name="dhpcm"/>
    <tableColumn id="9" xr3:uid="{30B4A88F-25FF-4C8B-A0F7-66D43E15076C}" name="essence"/>
    <tableColumn id="10" xr3:uid="{0ECEEEE1-CC78-4A1F-B318-2FA6E146D467}" name="priorecol"/>
    <tableColumn id="11" xr3:uid="{A9AE540C-A518-4D98-8113-626FA3229977}" name="prop_a"/>
    <tableColumn id="12" xr3:uid="{5A5D30DB-3E1B-49ED-8756-0FB511AF1248}" name="prop_b"/>
    <tableColumn id="13" xr3:uid="{06C132FE-9F15-46C1-A0E5-373BE0BB8759}" name="prop_c"/>
    <tableColumn id="14" xr3:uid="{4842B103-6C00-4091-9BFA-593555C36865}" name="prop_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023A-0491-482B-89F6-1F34B2908CAF}">
  <dimension ref="A1:J625"/>
  <sheetViews>
    <sheetView topLeftCell="A593" workbookViewId="0">
      <selection activeCell="M26" sqref="M26"/>
    </sheetView>
  </sheetViews>
  <sheetFormatPr baseColWidth="10" defaultRowHeight="15" x14ac:dyDescent="0.25"/>
  <cols>
    <col min="1" max="1" width="8.85546875" customWidth="1"/>
    <col min="2" max="4" width="13.140625" customWidth="1"/>
    <col min="5" max="5" width="13" customWidth="1"/>
    <col min="6" max="6" width="10" customWidth="1"/>
    <col min="7" max="7" width="11.140625" bestFit="1" customWidth="1"/>
    <col min="8" max="8" width="13.140625" customWidth="1"/>
    <col min="9" max="9" width="15.42578125" customWidth="1"/>
    <col min="10" max="10" width="13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</v>
      </c>
      <c r="C2" s="1">
        <v>2.1</v>
      </c>
      <c r="D2" s="1">
        <v>700</v>
      </c>
      <c r="E2" s="1">
        <v>20</v>
      </c>
      <c r="F2" s="1">
        <v>1</v>
      </c>
      <c r="G2">
        <v>1</v>
      </c>
      <c r="H2">
        <v>24</v>
      </c>
      <c r="I2" t="s">
        <v>19</v>
      </c>
      <c r="J2" t="s">
        <v>27</v>
      </c>
    </row>
    <row r="3" spans="1:10" x14ac:dyDescent="0.25">
      <c r="A3">
        <v>1</v>
      </c>
      <c r="B3">
        <v>1</v>
      </c>
      <c r="C3" s="1">
        <v>2.1</v>
      </c>
      <c r="D3" s="1">
        <v>700</v>
      </c>
      <c r="E3" s="1">
        <v>20</v>
      </c>
      <c r="F3" s="1">
        <v>1</v>
      </c>
      <c r="G3">
        <v>2</v>
      </c>
      <c r="H3">
        <v>25</v>
      </c>
      <c r="I3" t="s">
        <v>19</v>
      </c>
      <c r="J3" t="s">
        <v>28</v>
      </c>
    </row>
    <row r="4" spans="1:10" x14ac:dyDescent="0.25">
      <c r="A4">
        <v>1</v>
      </c>
      <c r="B4">
        <v>1</v>
      </c>
      <c r="C4" s="1">
        <v>2.1</v>
      </c>
      <c r="D4" s="1">
        <v>700</v>
      </c>
      <c r="E4" s="1">
        <v>20</v>
      </c>
      <c r="F4" s="1">
        <v>1</v>
      </c>
      <c r="G4">
        <v>3</v>
      </c>
      <c r="H4">
        <v>26</v>
      </c>
      <c r="I4" t="s">
        <v>19</v>
      </c>
      <c r="J4" t="s">
        <v>29</v>
      </c>
    </row>
    <row r="5" spans="1:10" x14ac:dyDescent="0.25">
      <c r="A5">
        <v>1</v>
      </c>
      <c r="B5">
        <v>1</v>
      </c>
      <c r="C5" s="1">
        <v>2.1</v>
      </c>
      <c r="D5" s="1">
        <v>700</v>
      </c>
      <c r="E5" s="1">
        <v>20</v>
      </c>
      <c r="F5" s="1">
        <v>1</v>
      </c>
      <c r="G5">
        <v>4</v>
      </c>
      <c r="H5">
        <v>27</v>
      </c>
      <c r="I5" t="s">
        <v>20</v>
      </c>
      <c r="J5" t="s">
        <v>27</v>
      </c>
    </row>
    <row r="6" spans="1:10" x14ac:dyDescent="0.25">
      <c r="A6">
        <v>1</v>
      </c>
      <c r="B6">
        <v>1</v>
      </c>
      <c r="C6" s="1">
        <v>2.1</v>
      </c>
      <c r="D6" s="1">
        <v>700</v>
      </c>
      <c r="E6" s="1">
        <v>20</v>
      </c>
      <c r="F6" s="1">
        <v>1</v>
      </c>
      <c r="G6">
        <v>5</v>
      </c>
      <c r="H6">
        <v>28</v>
      </c>
      <c r="I6" t="s">
        <v>20</v>
      </c>
      <c r="J6" t="s">
        <v>28</v>
      </c>
    </row>
    <row r="7" spans="1:10" x14ac:dyDescent="0.25">
      <c r="A7">
        <v>1</v>
      </c>
      <c r="B7">
        <v>1</v>
      </c>
      <c r="C7" s="1">
        <v>2.1</v>
      </c>
      <c r="D7" s="1">
        <v>700</v>
      </c>
      <c r="E7" s="1">
        <v>20</v>
      </c>
      <c r="F7" s="1">
        <v>1</v>
      </c>
      <c r="G7">
        <v>6</v>
      </c>
      <c r="H7">
        <v>29</v>
      </c>
      <c r="I7" t="s">
        <v>20</v>
      </c>
      <c r="J7" t="s">
        <v>29</v>
      </c>
    </row>
    <row r="8" spans="1:10" x14ac:dyDescent="0.25">
      <c r="A8">
        <v>1</v>
      </c>
      <c r="B8">
        <v>1</v>
      </c>
      <c r="C8" s="1">
        <v>2.1</v>
      </c>
      <c r="D8" s="1">
        <v>700</v>
      </c>
      <c r="E8" s="1">
        <v>20</v>
      </c>
      <c r="F8" s="1">
        <v>1</v>
      </c>
      <c r="G8">
        <v>7</v>
      </c>
      <c r="H8">
        <v>30</v>
      </c>
      <c r="I8" t="s">
        <v>21</v>
      </c>
      <c r="J8" t="s">
        <v>27</v>
      </c>
    </row>
    <row r="9" spans="1:10" x14ac:dyDescent="0.25">
      <c r="A9">
        <v>1</v>
      </c>
      <c r="B9">
        <v>1</v>
      </c>
      <c r="C9" s="1">
        <v>2.1</v>
      </c>
      <c r="D9" s="1">
        <v>700</v>
      </c>
      <c r="E9" s="1">
        <v>20</v>
      </c>
      <c r="F9" s="1">
        <v>1</v>
      </c>
      <c r="G9">
        <v>8</v>
      </c>
      <c r="H9">
        <v>31</v>
      </c>
      <c r="I9" t="s">
        <v>21</v>
      </c>
      <c r="J9" t="s">
        <v>28</v>
      </c>
    </row>
    <row r="10" spans="1:10" x14ac:dyDescent="0.25">
      <c r="A10">
        <v>1</v>
      </c>
      <c r="B10">
        <v>1</v>
      </c>
      <c r="C10" s="1">
        <v>2.1</v>
      </c>
      <c r="D10" s="1">
        <v>700</v>
      </c>
      <c r="E10" s="1">
        <v>20</v>
      </c>
      <c r="F10" s="1">
        <v>1</v>
      </c>
      <c r="G10">
        <v>9</v>
      </c>
      <c r="H10">
        <v>32</v>
      </c>
      <c r="I10" t="s">
        <v>21</v>
      </c>
      <c r="J10" t="s">
        <v>29</v>
      </c>
    </row>
    <row r="11" spans="1:10" x14ac:dyDescent="0.25">
      <c r="A11">
        <v>1</v>
      </c>
      <c r="B11">
        <v>1</v>
      </c>
      <c r="C11" s="1">
        <v>2.1</v>
      </c>
      <c r="D11" s="1">
        <v>700</v>
      </c>
      <c r="E11" s="1">
        <v>20</v>
      </c>
      <c r="F11" s="1">
        <v>1</v>
      </c>
      <c r="G11">
        <v>10</v>
      </c>
      <c r="H11">
        <v>33</v>
      </c>
      <c r="I11" t="s">
        <v>22</v>
      </c>
      <c r="J11" t="s">
        <v>27</v>
      </c>
    </row>
    <row r="12" spans="1:10" x14ac:dyDescent="0.25">
      <c r="A12">
        <v>1</v>
      </c>
      <c r="B12">
        <v>1</v>
      </c>
      <c r="C12" s="1">
        <v>2.1</v>
      </c>
      <c r="D12" s="1">
        <v>700</v>
      </c>
      <c r="E12" s="1">
        <v>20</v>
      </c>
      <c r="F12" s="1">
        <v>1</v>
      </c>
      <c r="G12">
        <v>11</v>
      </c>
      <c r="H12">
        <v>24</v>
      </c>
      <c r="I12" t="s">
        <v>22</v>
      </c>
      <c r="J12" t="s">
        <v>28</v>
      </c>
    </row>
    <row r="13" spans="1:10" x14ac:dyDescent="0.25">
      <c r="A13">
        <v>1</v>
      </c>
      <c r="B13">
        <v>1</v>
      </c>
      <c r="C13" s="1">
        <v>2.1</v>
      </c>
      <c r="D13" s="1">
        <v>700</v>
      </c>
      <c r="E13" s="1">
        <v>20</v>
      </c>
      <c r="F13" s="1">
        <v>1</v>
      </c>
      <c r="G13">
        <v>12</v>
      </c>
      <c r="H13">
        <v>25</v>
      </c>
      <c r="I13" t="s">
        <v>22</v>
      </c>
      <c r="J13" t="s">
        <v>29</v>
      </c>
    </row>
    <row r="14" spans="1:10" x14ac:dyDescent="0.25">
      <c r="A14">
        <v>1</v>
      </c>
      <c r="B14">
        <v>1</v>
      </c>
      <c r="C14" s="1">
        <v>2.1</v>
      </c>
      <c r="D14" s="1">
        <v>700</v>
      </c>
      <c r="E14" s="1">
        <v>20</v>
      </c>
      <c r="F14" s="1">
        <v>1</v>
      </c>
      <c r="G14">
        <v>13</v>
      </c>
      <c r="H14">
        <v>26</v>
      </c>
      <c r="I14" t="s">
        <v>23</v>
      </c>
      <c r="J14" t="s">
        <v>27</v>
      </c>
    </row>
    <row r="15" spans="1:10" x14ac:dyDescent="0.25">
      <c r="A15">
        <v>1</v>
      </c>
      <c r="B15">
        <v>1</v>
      </c>
      <c r="C15" s="1">
        <v>2.1</v>
      </c>
      <c r="D15" s="1">
        <v>700</v>
      </c>
      <c r="E15" s="1">
        <v>20</v>
      </c>
      <c r="F15" s="1">
        <v>1</v>
      </c>
      <c r="G15">
        <v>14</v>
      </c>
      <c r="H15">
        <v>27</v>
      </c>
      <c r="I15" t="s">
        <v>23</v>
      </c>
      <c r="J15" t="s">
        <v>28</v>
      </c>
    </row>
    <row r="16" spans="1:10" x14ac:dyDescent="0.25">
      <c r="A16">
        <v>1</v>
      </c>
      <c r="B16">
        <v>1</v>
      </c>
      <c r="C16" s="1">
        <v>2.1</v>
      </c>
      <c r="D16" s="1">
        <v>700</v>
      </c>
      <c r="E16" s="1">
        <v>20</v>
      </c>
      <c r="F16" s="1">
        <v>1</v>
      </c>
      <c r="G16">
        <v>15</v>
      </c>
      <c r="H16">
        <v>28</v>
      </c>
      <c r="I16" t="s">
        <v>23</v>
      </c>
      <c r="J16" t="s">
        <v>29</v>
      </c>
    </row>
    <row r="17" spans="1:10" x14ac:dyDescent="0.25">
      <c r="A17">
        <v>1</v>
      </c>
      <c r="B17">
        <v>1</v>
      </c>
      <c r="C17" s="1">
        <v>2.1</v>
      </c>
      <c r="D17" s="1">
        <v>700</v>
      </c>
      <c r="E17" s="1">
        <v>20</v>
      </c>
      <c r="F17" s="1">
        <v>1</v>
      </c>
      <c r="G17">
        <v>16</v>
      </c>
      <c r="H17">
        <v>29</v>
      </c>
      <c r="I17" t="s">
        <v>24</v>
      </c>
      <c r="J17" t="s">
        <v>27</v>
      </c>
    </row>
    <row r="18" spans="1:10" x14ac:dyDescent="0.25">
      <c r="A18">
        <v>1</v>
      </c>
      <c r="B18">
        <v>1</v>
      </c>
      <c r="C18" s="1">
        <v>2.1</v>
      </c>
      <c r="D18" s="1">
        <v>700</v>
      </c>
      <c r="E18" s="1">
        <v>20</v>
      </c>
      <c r="F18" s="1">
        <v>1</v>
      </c>
      <c r="G18">
        <v>17</v>
      </c>
      <c r="H18">
        <v>30</v>
      </c>
      <c r="I18" t="s">
        <v>24</v>
      </c>
      <c r="J18" t="s">
        <v>28</v>
      </c>
    </row>
    <row r="19" spans="1:10" x14ac:dyDescent="0.25">
      <c r="A19">
        <v>1</v>
      </c>
      <c r="B19">
        <v>1</v>
      </c>
      <c r="C19" s="1">
        <v>2.1</v>
      </c>
      <c r="D19" s="1">
        <v>700</v>
      </c>
      <c r="E19" s="1">
        <v>20</v>
      </c>
      <c r="F19" s="1">
        <v>1</v>
      </c>
      <c r="G19">
        <v>18</v>
      </c>
      <c r="H19">
        <v>31</v>
      </c>
      <c r="I19" t="s">
        <v>24</v>
      </c>
      <c r="J19" t="s">
        <v>29</v>
      </c>
    </row>
    <row r="20" spans="1:10" x14ac:dyDescent="0.25">
      <c r="A20">
        <v>1</v>
      </c>
      <c r="B20">
        <v>1</v>
      </c>
      <c r="C20" s="1">
        <v>2.1</v>
      </c>
      <c r="D20" s="1">
        <v>700</v>
      </c>
      <c r="E20" s="1">
        <v>20</v>
      </c>
      <c r="F20" s="1">
        <v>1</v>
      </c>
      <c r="G20">
        <v>19</v>
      </c>
      <c r="H20">
        <v>32</v>
      </c>
      <c r="I20" t="s">
        <v>25</v>
      </c>
      <c r="J20" t="s">
        <v>27</v>
      </c>
    </row>
    <row r="21" spans="1:10" x14ac:dyDescent="0.25">
      <c r="A21">
        <v>1</v>
      </c>
      <c r="B21">
        <v>1</v>
      </c>
      <c r="C21" s="1">
        <v>2.1</v>
      </c>
      <c r="D21" s="1">
        <v>700</v>
      </c>
      <c r="E21" s="1">
        <v>20</v>
      </c>
      <c r="F21" s="1">
        <v>1</v>
      </c>
      <c r="G21">
        <v>20</v>
      </c>
      <c r="H21">
        <v>33</v>
      </c>
      <c r="I21" t="s">
        <v>25</v>
      </c>
      <c r="J21" t="s">
        <v>28</v>
      </c>
    </row>
    <row r="22" spans="1:10" x14ac:dyDescent="0.25">
      <c r="A22">
        <v>1</v>
      </c>
      <c r="B22">
        <v>1</v>
      </c>
      <c r="C22" s="1">
        <v>2.1</v>
      </c>
      <c r="D22" s="1">
        <v>700</v>
      </c>
      <c r="E22" s="1">
        <v>20</v>
      </c>
      <c r="F22" s="1">
        <v>1</v>
      </c>
      <c r="G22">
        <v>21</v>
      </c>
      <c r="H22">
        <v>24</v>
      </c>
      <c r="I22" t="s">
        <v>25</v>
      </c>
      <c r="J22" t="s">
        <v>29</v>
      </c>
    </row>
    <row r="23" spans="1:10" x14ac:dyDescent="0.25">
      <c r="A23">
        <v>1</v>
      </c>
      <c r="B23">
        <v>1</v>
      </c>
      <c r="C23" s="1">
        <v>2.1</v>
      </c>
      <c r="D23" s="1">
        <v>700</v>
      </c>
      <c r="E23" s="1">
        <v>20</v>
      </c>
      <c r="F23" s="1">
        <v>1</v>
      </c>
      <c r="G23">
        <v>22</v>
      </c>
      <c r="H23">
        <v>25</v>
      </c>
      <c r="I23" t="s">
        <v>26</v>
      </c>
      <c r="J23" t="s">
        <v>27</v>
      </c>
    </row>
    <row r="24" spans="1:10" x14ac:dyDescent="0.25">
      <c r="A24">
        <v>1</v>
      </c>
      <c r="B24">
        <v>1</v>
      </c>
      <c r="C24" s="1">
        <v>2.1</v>
      </c>
      <c r="D24" s="1">
        <v>700</v>
      </c>
      <c r="E24" s="1">
        <v>20</v>
      </c>
      <c r="F24" s="1">
        <v>1</v>
      </c>
      <c r="G24">
        <v>23</v>
      </c>
      <c r="H24">
        <v>26</v>
      </c>
      <c r="I24" t="s">
        <v>26</v>
      </c>
      <c r="J24" t="s">
        <v>28</v>
      </c>
    </row>
    <row r="25" spans="1:10" x14ac:dyDescent="0.25">
      <c r="A25">
        <v>1</v>
      </c>
      <c r="B25">
        <v>1</v>
      </c>
      <c r="C25" s="1">
        <v>2.1</v>
      </c>
      <c r="D25" s="1">
        <v>700</v>
      </c>
      <c r="E25" s="1">
        <v>20</v>
      </c>
      <c r="F25" s="1">
        <v>1</v>
      </c>
      <c r="G25">
        <v>24</v>
      </c>
      <c r="H25">
        <v>27</v>
      </c>
      <c r="I25" t="s">
        <v>26</v>
      </c>
      <c r="J25" t="s">
        <v>29</v>
      </c>
    </row>
    <row r="26" spans="1:10" x14ac:dyDescent="0.25">
      <c r="A26">
        <v>1</v>
      </c>
      <c r="B26">
        <v>1</v>
      </c>
      <c r="C26" s="1">
        <v>2.1</v>
      </c>
      <c r="D26" s="1">
        <v>700</v>
      </c>
      <c r="E26" s="1">
        <v>20</v>
      </c>
      <c r="F26" s="1">
        <v>1</v>
      </c>
      <c r="G26">
        <v>25</v>
      </c>
      <c r="H26">
        <v>34</v>
      </c>
      <c r="I26" t="s">
        <v>19</v>
      </c>
      <c r="J26" t="s">
        <v>27</v>
      </c>
    </row>
    <row r="27" spans="1:10" x14ac:dyDescent="0.25">
      <c r="A27">
        <v>1</v>
      </c>
      <c r="B27">
        <v>1</v>
      </c>
      <c r="C27" s="1">
        <v>2.1</v>
      </c>
      <c r="D27" s="1">
        <v>700</v>
      </c>
      <c r="E27" s="1">
        <v>20</v>
      </c>
      <c r="F27" s="1">
        <v>1</v>
      </c>
      <c r="G27">
        <v>26</v>
      </c>
      <c r="H27">
        <v>35</v>
      </c>
      <c r="I27" t="s">
        <v>19</v>
      </c>
      <c r="J27" t="s">
        <v>28</v>
      </c>
    </row>
    <row r="28" spans="1:10" x14ac:dyDescent="0.25">
      <c r="A28">
        <v>1</v>
      </c>
      <c r="B28">
        <v>1</v>
      </c>
      <c r="C28" s="1">
        <v>2.1</v>
      </c>
      <c r="D28" s="1">
        <v>700</v>
      </c>
      <c r="E28" s="1">
        <v>20</v>
      </c>
      <c r="F28" s="1">
        <v>1</v>
      </c>
      <c r="G28">
        <v>27</v>
      </c>
      <c r="H28">
        <v>36</v>
      </c>
      <c r="I28" t="s">
        <v>19</v>
      </c>
      <c r="J28" t="s">
        <v>29</v>
      </c>
    </row>
    <row r="29" spans="1:10" x14ac:dyDescent="0.25">
      <c r="A29">
        <v>1</v>
      </c>
      <c r="B29">
        <v>1</v>
      </c>
      <c r="C29" s="1">
        <v>2.1</v>
      </c>
      <c r="D29" s="1">
        <v>700</v>
      </c>
      <c r="E29" s="1">
        <v>20</v>
      </c>
      <c r="F29" s="1">
        <v>1</v>
      </c>
      <c r="G29">
        <v>28</v>
      </c>
      <c r="H29">
        <v>37</v>
      </c>
      <c r="I29" t="s">
        <v>20</v>
      </c>
      <c r="J29" t="s">
        <v>27</v>
      </c>
    </row>
    <row r="30" spans="1:10" x14ac:dyDescent="0.25">
      <c r="A30">
        <v>1</v>
      </c>
      <c r="B30">
        <v>1</v>
      </c>
      <c r="C30" s="1">
        <v>2.1</v>
      </c>
      <c r="D30" s="1">
        <v>700</v>
      </c>
      <c r="E30" s="1">
        <v>20</v>
      </c>
      <c r="F30" s="1">
        <v>1</v>
      </c>
      <c r="G30">
        <v>29</v>
      </c>
      <c r="H30">
        <v>38</v>
      </c>
      <c r="I30" t="s">
        <v>20</v>
      </c>
      <c r="J30" t="s">
        <v>28</v>
      </c>
    </row>
    <row r="31" spans="1:10" x14ac:dyDescent="0.25">
      <c r="A31">
        <v>1</v>
      </c>
      <c r="B31">
        <v>1</v>
      </c>
      <c r="C31" s="1">
        <v>2.1</v>
      </c>
      <c r="D31" s="1">
        <v>700</v>
      </c>
      <c r="E31" s="1">
        <v>20</v>
      </c>
      <c r="F31" s="1">
        <v>1</v>
      </c>
      <c r="G31">
        <v>30</v>
      </c>
      <c r="H31">
        <v>39</v>
      </c>
      <c r="I31" t="s">
        <v>20</v>
      </c>
      <c r="J31" t="s">
        <v>29</v>
      </c>
    </row>
    <row r="32" spans="1:10" x14ac:dyDescent="0.25">
      <c r="A32">
        <v>1</v>
      </c>
      <c r="B32">
        <v>1</v>
      </c>
      <c r="C32" s="1">
        <v>2.1</v>
      </c>
      <c r="D32" s="1">
        <v>700</v>
      </c>
      <c r="E32" s="1">
        <v>20</v>
      </c>
      <c r="F32" s="1">
        <v>1</v>
      </c>
      <c r="G32">
        <v>31</v>
      </c>
      <c r="H32">
        <v>34</v>
      </c>
      <c r="I32" t="s">
        <v>21</v>
      </c>
      <c r="J32" t="s">
        <v>27</v>
      </c>
    </row>
    <row r="33" spans="1:10" x14ac:dyDescent="0.25">
      <c r="A33">
        <v>1</v>
      </c>
      <c r="B33">
        <v>1</v>
      </c>
      <c r="C33" s="1">
        <v>2.1</v>
      </c>
      <c r="D33" s="1">
        <v>700</v>
      </c>
      <c r="E33" s="1">
        <v>20</v>
      </c>
      <c r="F33" s="1">
        <v>1</v>
      </c>
      <c r="G33">
        <v>32</v>
      </c>
      <c r="H33">
        <v>35</v>
      </c>
      <c r="I33" t="s">
        <v>21</v>
      </c>
      <c r="J33" t="s">
        <v>28</v>
      </c>
    </row>
    <row r="34" spans="1:10" x14ac:dyDescent="0.25">
      <c r="A34">
        <v>1</v>
      </c>
      <c r="B34">
        <v>1</v>
      </c>
      <c r="C34" s="1">
        <v>2.1</v>
      </c>
      <c r="D34" s="1">
        <v>700</v>
      </c>
      <c r="E34" s="1">
        <v>20</v>
      </c>
      <c r="F34" s="1">
        <v>1</v>
      </c>
      <c r="G34">
        <v>33</v>
      </c>
      <c r="H34">
        <v>36</v>
      </c>
      <c r="I34" t="s">
        <v>21</v>
      </c>
      <c r="J34" t="s">
        <v>29</v>
      </c>
    </row>
    <row r="35" spans="1:10" x14ac:dyDescent="0.25">
      <c r="A35">
        <v>1</v>
      </c>
      <c r="B35">
        <v>1</v>
      </c>
      <c r="C35" s="1">
        <v>2.1</v>
      </c>
      <c r="D35" s="1">
        <v>700</v>
      </c>
      <c r="E35" s="1">
        <v>20</v>
      </c>
      <c r="F35" s="1">
        <v>1</v>
      </c>
      <c r="G35">
        <v>34</v>
      </c>
      <c r="H35">
        <v>37</v>
      </c>
      <c r="I35" t="s">
        <v>22</v>
      </c>
      <c r="J35" t="s">
        <v>27</v>
      </c>
    </row>
    <row r="36" spans="1:10" x14ac:dyDescent="0.25">
      <c r="A36">
        <v>1</v>
      </c>
      <c r="B36">
        <v>1</v>
      </c>
      <c r="C36" s="1">
        <v>2.1</v>
      </c>
      <c r="D36" s="1">
        <v>700</v>
      </c>
      <c r="E36" s="1">
        <v>20</v>
      </c>
      <c r="F36" s="1">
        <v>1</v>
      </c>
      <c r="G36">
        <v>35</v>
      </c>
      <c r="H36">
        <v>38</v>
      </c>
      <c r="I36" t="s">
        <v>22</v>
      </c>
      <c r="J36" t="s">
        <v>28</v>
      </c>
    </row>
    <row r="37" spans="1:10" x14ac:dyDescent="0.25">
      <c r="A37">
        <v>1</v>
      </c>
      <c r="B37">
        <v>1</v>
      </c>
      <c r="C37" s="1">
        <v>2.1</v>
      </c>
      <c r="D37" s="1">
        <v>700</v>
      </c>
      <c r="E37" s="1">
        <v>20</v>
      </c>
      <c r="F37" s="1">
        <v>1</v>
      </c>
      <c r="G37">
        <v>36</v>
      </c>
      <c r="H37">
        <v>39</v>
      </c>
      <c r="I37" t="s">
        <v>22</v>
      </c>
      <c r="J37" t="s">
        <v>29</v>
      </c>
    </row>
    <row r="38" spans="1:10" x14ac:dyDescent="0.25">
      <c r="A38">
        <v>1</v>
      </c>
      <c r="B38">
        <v>1</v>
      </c>
      <c r="C38" s="1">
        <v>2.1</v>
      </c>
      <c r="D38" s="1">
        <v>700</v>
      </c>
      <c r="E38" s="1">
        <v>20</v>
      </c>
      <c r="F38" s="1">
        <v>1</v>
      </c>
      <c r="G38">
        <v>37</v>
      </c>
      <c r="H38">
        <v>34</v>
      </c>
      <c r="I38" t="s">
        <v>23</v>
      </c>
      <c r="J38" t="s">
        <v>27</v>
      </c>
    </row>
    <row r="39" spans="1:10" x14ac:dyDescent="0.25">
      <c r="A39">
        <v>1</v>
      </c>
      <c r="B39">
        <v>1</v>
      </c>
      <c r="C39" s="1">
        <v>2.1</v>
      </c>
      <c r="D39" s="1">
        <v>700</v>
      </c>
      <c r="E39" s="1">
        <v>20</v>
      </c>
      <c r="F39" s="1">
        <v>1</v>
      </c>
      <c r="G39">
        <v>38</v>
      </c>
      <c r="H39">
        <v>35</v>
      </c>
      <c r="I39" t="s">
        <v>23</v>
      </c>
      <c r="J39" t="s">
        <v>28</v>
      </c>
    </row>
    <row r="40" spans="1:10" x14ac:dyDescent="0.25">
      <c r="A40">
        <v>1</v>
      </c>
      <c r="B40">
        <v>1</v>
      </c>
      <c r="C40" s="1">
        <v>2.1</v>
      </c>
      <c r="D40" s="1">
        <v>700</v>
      </c>
      <c r="E40" s="1">
        <v>20</v>
      </c>
      <c r="F40" s="1">
        <v>1</v>
      </c>
      <c r="G40">
        <v>39</v>
      </c>
      <c r="H40">
        <v>36</v>
      </c>
      <c r="I40" t="s">
        <v>23</v>
      </c>
      <c r="J40" t="s">
        <v>29</v>
      </c>
    </row>
    <row r="41" spans="1:10" x14ac:dyDescent="0.25">
      <c r="A41">
        <v>1</v>
      </c>
      <c r="B41">
        <v>1</v>
      </c>
      <c r="C41" s="1">
        <v>2.1</v>
      </c>
      <c r="D41" s="1">
        <v>700</v>
      </c>
      <c r="E41" s="1">
        <v>20</v>
      </c>
      <c r="F41" s="1">
        <v>1</v>
      </c>
      <c r="G41">
        <v>40</v>
      </c>
      <c r="H41">
        <v>37</v>
      </c>
      <c r="I41" t="s">
        <v>24</v>
      </c>
      <c r="J41" t="s">
        <v>27</v>
      </c>
    </row>
    <row r="42" spans="1:10" x14ac:dyDescent="0.25">
      <c r="A42">
        <v>1</v>
      </c>
      <c r="B42">
        <v>1</v>
      </c>
      <c r="C42" s="1">
        <v>2.1</v>
      </c>
      <c r="D42" s="1">
        <v>700</v>
      </c>
      <c r="E42" s="1">
        <v>20</v>
      </c>
      <c r="F42" s="1">
        <v>1</v>
      </c>
      <c r="G42">
        <v>41</v>
      </c>
      <c r="H42">
        <v>38</v>
      </c>
      <c r="I42" t="s">
        <v>24</v>
      </c>
      <c r="J42" t="s">
        <v>28</v>
      </c>
    </row>
    <row r="43" spans="1:10" x14ac:dyDescent="0.25">
      <c r="A43">
        <v>1</v>
      </c>
      <c r="B43">
        <v>1</v>
      </c>
      <c r="C43" s="1">
        <v>2.1</v>
      </c>
      <c r="D43" s="1">
        <v>700</v>
      </c>
      <c r="E43" s="1">
        <v>20</v>
      </c>
      <c r="F43" s="1">
        <v>1</v>
      </c>
      <c r="G43">
        <v>42</v>
      </c>
      <c r="H43">
        <v>39</v>
      </c>
      <c r="I43" t="s">
        <v>24</v>
      </c>
      <c r="J43" t="s">
        <v>29</v>
      </c>
    </row>
    <row r="44" spans="1:10" x14ac:dyDescent="0.25">
      <c r="A44">
        <v>1</v>
      </c>
      <c r="B44">
        <v>1</v>
      </c>
      <c r="C44" s="1">
        <v>2.1</v>
      </c>
      <c r="D44" s="1">
        <v>700</v>
      </c>
      <c r="E44" s="1">
        <v>20</v>
      </c>
      <c r="F44" s="1">
        <v>1</v>
      </c>
      <c r="G44">
        <v>43</v>
      </c>
      <c r="H44">
        <v>34</v>
      </c>
      <c r="I44" t="s">
        <v>25</v>
      </c>
      <c r="J44" t="s">
        <v>27</v>
      </c>
    </row>
    <row r="45" spans="1:10" x14ac:dyDescent="0.25">
      <c r="A45">
        <v>1</v>
      </c>
      <c r="B45">
        <v>1</v>
      </c>
      <c r="C45" s="1">
        <v>2.1</v>
      </c>
      <c r="D45" s="1">
        <v>700</v>
      </c>
      <c r="E45" s="1">
        <v>20</v>
      </c>
      <c r="F45" s="1">
        <v>1</v>
      </c>
      <c r="G45">
        <v>44</v>
      </c>
      <c r="H45">
        <v>35</v>
      </c>
      <c r="I45" t="s">
        <v>25</v>
      </c>
      <c r="J45" t="s">
        <v>28</v>
      </c>
    </row>
    <row r="46" spans="1:10" x14ac:dyDescent="0.25">
      <c r="A46">
        <v>1</v>
      </c>
      <c r="B46">
        <v>1</v>
      </c>
      <c r="C46" s="1">
        <v>2.1</v>
      </c>
      <c r="D46" s="1">
        <v>700</v>
      </c>
      <c r="E46" s="1">
        <v>20</v>
      </c>
      <c r="F46" s="1">
        <v>1</v>
      </c>
      <c r="G46">
        <v>45</v>
      </c>
      <c r="H46">
        <v>36</v>
      </c>
      <c r="I46" t="s">
        <v>25</v>
      </c>
      <c r="J46" t="s">
        <v>29</v>
      </c>
    </row>
    <row r="47" spans="1:10" x14ac:dyDescent="0.25">
      <c r="A47">
        <v>1</v>
      </c>
      <c r="B47">
        <v>1</v>
      </c>
      <c r="C47" s="1">
        <v>2.1</v>
      </c>
      <c r="D47" s="1">
        <v>700</v>
      </c>
      <c r="E47" s="1">
        <v>20</v>
      </c>
      <c r="F47" s="1">
        <v>1</v>
      </c>
      <c r="G47">
        <v>46</v>
      </c>
      <c r="H47">
        <v>37</v>
      </c>
      <c r="I47" t="s">
        <v>26</v>
      </c>
      <c r="J47" t="s">
        <v>27</v>
      </c>
    </row>
    <row r="48" spans="1:10" x14ac:dyDescent="0.25">
      <c r="A48">
        <v>1</v>
      </c>
      <c r="B48">
        <v>1</v>
      </c>
      <c r="C48" s="1">
        <v>2.1</v>
      </c>
      <c r="D48" s="1">
        <v>700</v>
      </c>
      <c r="E48" s="1">
        <v>20</v>
      </c>
      <c r="F48" s="1">
        <v>1</v>
      </c>
      <c r="G48">
        <v>47</v>
      </c>
      <c r="H48">
        <v>38</v>
      </c>
      <c r="I48" t="s">
        <v>26</v>
      </c>
      <c r="J48" t="s">
        <v>28</v>
      </c>
    </row>
    <row r="49" spans="1:10" x14ac:dyDescent="0.25">
      <c r="A49">
        <v>1</v>
      </c>
      <c r="B49">
        <v>1</v>
      </c>
      <c r="C49" s="1">
        <v>2.1</v>
      </c>
      <c r="D49" s="1">
        <v>700</v>
      </c>
      <c r="E49" s="1">
        <v>20</v>
      </c>
      <c r="F49" s="1">
        <v>1</v>
      </c>
      <c r="G49">
        <v>48</v>
      </c>
      <c r="H49">
        <v>39</v>
      </c>
      <c r="I49" t="s">
        <v>26</v>
      </c>
      <c r="J49" t="s">
        <v>29</v>
      </c>
    </row>
    <row r="50" spans="1:10" x14ac:dyDescent="0.25">
      <c r="A50">
        <v>1</v>
      </c>
      <c r="B50">
        <v>1</v>
      </c>
      <c r="C50" s="1">
        <v>2.1</v>
      </c>
      <c r="D50" s="1">
        <v>700</v>
      </c>
      <c r="E50" s="1">
        <v>20</v>
      </c>
      <c r="F50" s="1">
        <v>1</v>
      </c>
      <c r="G50">
        <v>49</v>
      </c>
      <c r="H50">
        <v>40</v>
      </c>
      <c r="I50" t="s">
        <v>19</v>
      </c>
      <c r="J50" t="s">
        <v>27</v>
      </c>
    </row>
    <row r="51" spans="1:10" x14ac:dyDescent="0.25">
      <c r="A51">
        <v>1</v>
      </c>
      <c r="B51">
        <v>1</v>
      </c>
      <c r="C51" s="1">
        <v>2.1</v>
      </c>
      <c r="D51" s="1">
        <v>700</v>
      </c>
      <c r="E51" s="1">
        <v>20</v>
      </c>
      <c r="F51" s="1">
        <v>1</v>
      </c>
      <c r="G51">
        <v>50</v>
      </c>
      <c r="H51">
        <v>41</v>
      </c>
      <c r="I51" t="s">
        <v>19</v>
      </c>
      <c r="J51" t="s">
        <v>28</v>
      </c>
    </row>
    <row r="52" spans="1:10" x14ac:dyDescent="0.25">
      <c r="A52">
        <v>1</v>
      </c>
      <c r="B52">
        <v>1</v>
      </c>
      <c r="C52" s="1">
        <v>2.1</v>
      </c>
      <c r="D52" s="1">
        <v>700</v>
      </c>
      <c r="E52" s="1">
        <v>20</v>
      </c>
      <c r="F52" s="1">
        <v>1</v>
      </c>
      <c r="G52">
        <v>51</v>
      </c>
      <c r="H52">
        <v>42</v>
      </c>
      <c r="I52" t="s">
        <v>19</v>
      </c>
      <c r="J52" t="s">
        <v>29</v>
      </c>
    </row>
    <row r="53" spans="1:10" x14ac:dyDescent="0.25">
      <c r="A53">
        <v>1</v>
      </c>
      <c r="B53">
        <v>1</v>
      </c>
      <c r="C53" s="1">
        <v>2.1</v>
      </c>
      <c r="D53" s="1">
        <v>700</v>
      </c>
      <c r="E53" s="1">
        <v>20</v>
      </c>
      <c r="F53" s="1">
        <v>1</v>
      </c>
      <c r="G53">
        <v>52</v>
      </c>
      <c r="H53">
        <v>43</v>
      </c>
      <c r="I53" t="s">
        <v>20</v>
      </c>
      <c r="J53" t="s">
        <v>27</v>
      </c>
    </row>
    <row r="54" spans="1:10" x14ac:dyDescent="0.25">
      <c r="A54">
        <v>1</v>
      </c>
      <c r="B54">
        <v>1</v>
      </c>
      <c r="C54" s="1">
        <v>2.1</v>
      </c>
      <c r="D54" s="1">
        <v>700</v>
      </c>
      <c r="E54" s="1">
        <v>20</v>
      </c>
      <c r="F54" s="1">
        <v>1</v>
      </c>
      <c r="G54">
        <v>53</v>
      </c>
      <c r="H54">
        <v>44</v>
      </c>
      <c r="I54" t="s">
        <v>20</v>
      </c>
      <c r="J54" t="s">
        <v>28</v>
      </c>
    </row>
    <row r="55" spans="1:10" x14ac:dyDescent="0.25">
      <c r="A55">
        <v>1</v>
      </c>
      <c r="B55">
        <v>1</v>
      </c>
      <c r="C55" s="1">
        <v>2.1</v>
      </c>
      <c r="D55" s="1">
        <v>700</v>
      </c>
      <c r="E55" s="1">
        <v>20</v>
      </c>
      <c r="F55" s="1">
        <v>1</v>
      </c>
      <c r="G55">
        <v>54</v>
      </c>
      <c r="H55">
        <v>45</v>
      </c>
      <c r="I55" t="s">
        <v>20</v>
      </c>
      <c r="J55" t="s">
        <v>29</v>
      </c>
    </row>
    <row r="56" spans="1:10" x14ac:dyDescent="0.25">
      <c r="A56">
        <v>1</v>
      </c>
      <c r="B56">
        <v>1</v>
      </c>
      <c r="C56" s="1">
        <v>2.1</v>
      </c>
      <c r="D56" s="1">
        <v>700</v>
      </c>
      <c r="E56" s="1">
        <v>20</v>
      </c>
      <c r="F56" s="1">
        <v>1</v>
      </c>
      <c r="G56">
        <v>55</v>
      </c>
      <c r="H56">
        <v>46</v>
      </c>
      <c r="I56" t="s">
        <v>21</v>
      </c>
      <c r="J56" t="s">
        <v>27</v>
      </c>
    </row>
    <row r="57" spans="1:10" x14ac:dyDescent="0.25">
      <c r="A57">
        <v>1</v>
      </c>
      <c r="B57">
        <v>1</v>
      </c>
      <c r="C57" s="1">
        <v>2.1</v>
      </c>
      <c r="D57" s="1">
        <v>700</v>
      </c>
      <c r="E57" s="1">
        <v>20</v>
      </c>
      <c r="F57" s="1">
        <v>1</v>
      </c>
      <c r="G57">
        <v>56</v>
      </c>
      <c r="H57">
        <v>47</v>
      </c>
      <c r="I57" t="s">
        <v>21</v>
      </c>
      <c r="J57" t="s">
        <v>28</v>
      </c>
    </row>
    <row r="58" spans="1:10" x14ac:dyDescent="0.25">
      <c r="A58">
        <v>1</v>
      </c>
      <c r="B58">
        <v>1</v>
      </c>
      <c r="C58" s="1">
        <v>2.1</v>
      </c>
      <c r="D58" s="1">
        <v>700</v>
      </c>
      <c r="E58" s="1">
        <v>20</v>
      </c>
      <c r="F58" s="1">
        <v>1</v>
      </c>
      <c r="G58">
        <v>57</v>
      </c>
      <c r="H58">
        <v>48</v>
      </c>
      <c r="I58" t="s">
        <v>21</v>
      </c>
      <c r="J58" t="s">
        <v>29</v>
      </c>
    </row>
    <row r="59" spans="1:10" x14ac:dyDescent="0.25">
      <c r="A59">
        <v>1</v>
      </c>
      <c r="B59">
        <v>1</v>
      </c>
      <c r="C59" s="1">
        <v>2.1</v>
      </c>
      <c r="D59" s="1">
        <v>700</v>
      </c>
      <c r="E59" s="1">
        <v>20</v>
      </c>
      <c r="F59" s="1">
        <v>1</v>
      </c>
      <c r="G59">
        <v>58</v>
      </c>
      <c r="H59">
        <v>49</v>
      </c>
      <c r="I59" t="s">
        <v>22</v>
      </c>
      <c r="J59" t="s">
        <v>27</v>
      </c>
    </row>
    <row r="60" spans="1:10" x14ac:dyDescent="0.25">
      <c r="A60">
        <v>1</v>
      </c>
      <c r="B60">
        <v>1</v>
      </c>
      <c r="C60" s="1">
        <v>2.1</v>
      </c>
      <c r="D60" s="1">
        <v>700</v>
      </c>
      <c r="E60" s="1">
        <v>20</v>
      </c>
      <c r="F60" s="1">
        <v>1</v>
      </c>
      <c r="G60">
        <v>59</v>
      </c>
      <c r="H60">
        <v>50</v>
      </c>
      <c r="I60" t="s">
        <v>22</v>
      </c>
      <c r="J60" t="s">
        <v>28</v>
      </c>
    </row>
    <row r="61" spans="1:10" x14ac:dyDescent="0.25">
      <c r="A61">
        <v>1</v>
      </c>
      <c r="B61">
        <v>1</v>
      </c>
      <c r="C61" s="1">
        <v>2.1</v>
      </c>
      <c r="D61" s="1">
        <v>700</v>
      </c>
      <c r="E61" s="1">
        <v>20</v>
      </c>
      <c r="F61" s="1">
        <v>1</v>
      </c>
      <c r="G61">
        <v>60</v>
      </c>
      <c r="H61">
        <v>51</v>
      </c>
      <c r="I61" t="s">
        <v>22</v>
      </c>
      <c r="J61" t="s">
        <v>29</v>
      </c>
    </row>
    <row r="62" spans="1:10" x14ac:dyDescent="0.25">
      <c r="A62">
        <v>1</v>
      </c>
      <c r="B62">
        <v>1</v>
      </c>
      <c r="C62" s="1">
        <v>2.1</v>
      </c>
      <c r="D62" s="1">
        <v>700</v>
      </c>
      <c r="E62" s="1">
        <v>20</v>
      </c>
      <c r="F62" s="1">
        <v>1</v>
      </c>
      <c r="G62">
        <v>61</v>
      </c>
      <c r="H62">
        <v>52</v>
      </c>
      <c r="I62" t="s">
        <v>23</v>
      </c>
      <c r="J62" t="s">
        <v>27</v>
      </c>
    </row>
    <row r="63" spans="1:10" x14ac:dyDescent="0.25">
      <c r="A63">
        <v>1</v>
      </c>
      <c r="B63">
        <v>1</v>
      </c>
      <c r="C63" s="1">
        <v>2.1</v>
      </c>
      <c r="D63" s="1">
        <v>700</v>
      </c>
      <c r="E63" s="1">
        <v>20</v>
      </c>
      <c r="F63" s="1">
        <v>1</v>
      </c>
      <c r="G63">
        <v>62</v>
      </c>
      <c r="H63">
        <v>53</v>
      </c>
      <c r="I63" t="s">
        <v>23</v>
      </c>
      <c r="J63" t="s">
        <v>28</v>
      </c>
    </row>
    <row r="64" spans="1:10" x14ac:dyDescent="0.25">
      <c r="A64">
        <v>1</v>
      </c>
      <c r="B64">
        <v>1</v>
      </c>
      <c r="C64" s="1">
        <v>2.1</v>
      </c>
      <c r="D64" s="1">
        <v>700</v>
      </c>
      <c r="E64" s="1">
        <v>20</v>
      </c>
      <c r="F64" s="1">
        <v>1</v>
      </c>
      <c r="G64">
        <v>63</v>
      </c>
      <c r="H64">
        <v>54</v>
      </c>
      <c r="I64" t="s">
        <v>23</v>
      </c>
      <c r="J64" t="s">
        <v>29</v>
      </c>
    </row>
    <row r="65" spans="1:10" x14ac:dyDescent="0.25">
      <c r="A65">
        <v>1</v>
      </c>
      <c r="B65">
        <v>1</v>
      </c>
      <c r="C65" s="1">
        <v>2.1</v>
      </c>
      <c r="D65" s="1">
        <v>700</v>
      </c>
      <c r="E65" s="1">
        <v>20</v>
      </c>
      <c r="F65" s="1">
        <v>1</v>
      </c>
      <c r="G65">
        <v>64</v>
      </c>
      <c r="H65">
        <v>55</v>
      </c>
      <c r="I65" t="s">
        <v>24</v>
      </c>
      <c r="J65" t="s">
        <v>27</v>
      </c>
    </row>
    <row r="66" spans="1:10" x14ac:dyDescent="0.25">
      <c r="A66">
        <v>1</v>
      </c>
      <c r="B66">
        <v>1</v>
      </c>
      <c r="C66" s="1">
        <v>2.1</v>
      </c>
      <c r="D66" s="1">
        <v>700</v>
      </c>
      <c r="E66" s="1">
        <v>20</v>
      </c>
      <c r="F66" s="1">
        <v>1</v>
      </c>
      <c r="G66">
        <v>65</v>
      </c>
      <c r="H66">
        <v>56</v>
      </c>
      <c r="I66" t="s">
        <v>24</v>
      </c>
      <c r="J66" t="s">
        <v>28</v>
      </c>
    </row>
    <row r="67" spans="1:10" x14ac:dyDescent="0.25">
      <c r="A67">
        <v>1</v>
      </c>
      <c r="B67">
        <v>1</v>
      </c>
      <c r="C67" s="1">
        <v>2.1</v>
      </c>
      <c r="D67" s="1">
        <v>700</v>
      </c>
      <c r="E67" s="1">
        <v>20</v>
      </c>
      <c r="F67" s="1">
        <v>1</v>
      </c>
      <c r="G67">
        <v>66</v>
      </c>
      <c r="H67">
        <v>57</v>
      </c>
      <c r="I67" t="s">
        <v>24</v>
      </c>
      <c r="J67" t="s">
        <v>29</v>
      </c>
    </row>
    <row r="68" spans="1:10" x14ac:dyDescent="0.25">
      <c r="A68">
        <v>1</v>
      </c>
      <c r="B68">
        <v>1</v>
      </c>
      <c r="C68" s="1">
        <v>2.1</v>
      </c>
      <c r="D68" s="1">
        <v>700</v>
      </c>
      <c r="E68" s="1">
        <v>20</v>
      </c>
      <c r="F68" s="1">
        <v>1</v>
      </c>
      <c r="G68">
        <v>67</v>
      </c>
      <c r="H68">
        <v>58</v>
      </c>
      <c r="I68" t="s">
        <v>25</v>
      </c>
      <c r="J68" t="s">
        <v>27</v>
      </c>
    </row>
    <row r="69" spans="1:10" x14ac:dyDescent="0.25">
      <c r="A69">
        <v>1</v>
      </c>
      <c r="B69">
        <v>1</v>
      </c>
      <c r="C69" s="1">
        <v>2.1</v>
      </c>
      <c r="D69" s="1">
        <v>700</v>
      </c>
      <c r="E69" s="1">
        <v>20</v>
      </c>
      <c r="F69" s="1">
        <v>1</v>
      </c>
      <c r="G69">
        <v>68</v>
      </c>
      <c r="H69">
        <v>59</v>
      </c>
      <c r="I69" t="s">
        <v>25</v>
      </c>
      <c r="J69" t="s">
        <v>28</v>
      </c>
    </row>
    <row r="70" spans="1:10" x14ac:dyDescent="0.25">
      <c r="A70">
        <v>1</v>
      </c>
      <c r="B70">
        <v>1</v>
      </c>
      <c r="C70" s="1">
        <v>2.1</v>
      </c>
      <c r="D70" s="1">
        <v>700</v>
      </c>
      <c r="E70" s="1">
        <v>20</v>
      </c>
      <c r="F70" s="1">
        <v>1</v>
      </c>
      <c r="G70">
        <v>69</v>
      </c>
      <c r="H70">
        <v>60</v>
      </c>
      <c r="I70" t="s">
        <v>25</v>
      </c>
      <c r="J70" t="s">
        <v>29</v>
      </c>
    </row>
    <row r="71" spans="1:10" x14ac:dyDescent="0.25">
      <c r="A71">
        <v>1</v>
      </c>
      <c r="B71">
        <v>1</v>
      </c>
      <c r="C71" s="1">
        <v>2.1</v>
      </c>
      <c r="D71" s="1">
        <v>700</v>
      </c>
      <c r="E71" s="1">
        <v>20</v>
      </c>
      <c r="F71" s="1">
        <v>1</v>
      </c>
      <c r="G71">
        <v>70</v>
      </c>
      <c r="H71">
        <v>61</v>
      </c>
      <c r="I71" t="s">
        <v>26</v>
      </c>
      <c r="J71" t="s">
        <v>27</v>
      </c>
    </row>
    <row r="72" spans="1:10" x14ac:dyDescent="0.25">
      <c r="A72">
        <v>1</v>
      </c>
      <c r="B72">
        <v>1</v>
      </c>
      <c r="C72" s="1">
        <v>2.1</v>
      </c>
      <c r="D72" s="1">
        <v>700</v>
      </c>
      <c r="E72" s="1">
        <v>20</v>
      </c>
      <c r="F72" s="1">
        <v>1</v>
      </c>
      <c r="G72">
        <v>71</v>
      </c>
      <c r="H72">
        <v>62</v>
      </c>
      <c r="I72" t="s">
        <v>26</v>
      </c>
      <c r="J72" t="s">
        <v>28</v>
      </c>
    </row>
    <row r="73" spans="1:10" x14ac:dyDescent="0.25">
      <c r="A73">
        <v>1</v>
      </c>
      <c r="B73">
        <v>1</v>
      </c>
      <c r="C73" s="1">
        <v>2.1</v>
      </c>
      <c r="D73" s="1">
        <v>700</v>
      </c>
      <c r="E73" s="1">
        <v>20</v>
      </c>
      <c r="F73" s="1">
        <v>1</v>
      </c>
      <c r="G73">
        <v>72</v>
      </c>
      <c r="H73">
        <v>63</v>
      </c>
      <c r="I73" t="s">
        <v>26</v>
      </c>
      <c r="J73" t="s">
        <v>29</v>
      </c>
    </row>
    <row r="74" spans="1:10" x14ac:dyDescent="0.25">
      <c r="A74">
        <v>2</v>
      </c>
      <c r="B74" t="s">
        <v>10</v>
      </c>
      <c r="C74" s="1">
        <v>2.1</v>
      </c>
      <c r="D74" s="1">
        <v>828</v>
      </c>
      <c r="E74" s="1">
        <v>29</v>
      </c>
      <c r="F74" s="1">
        <v>0</v>
      </c>
      <c r="G74">
        <v>1</v>
      </c>
      <c r="H74">
        <v>28</v>
      </c>
      <c r="I74" t="s">
        <v>19</v>
      </c>
      <c r="J74" t="s">
        <v>27</v>
      </c>
    </row>
    <row r="75" spans="1:10" x14ac:dyDescent="0.25">
      <c r="A75">
        <v>2</v>
      </c>
      <c r="B75" t="s">
        <v>10</v>
      </c>
      <c r="C75" s="1">
        <v>2.1</v>
      </c>
      <c r="D75" s="1">
        <v>828</v>
      </c>
      <c r="E75" s="1">
        <v>29</v>
      </c>
      <c r="F75" s="1">
        <v>0</v>
      </c>
      <c r="G75">
        <v>2</v>
      </c>
      <c r="H75">
        <v>29</v>
      </c>
      <c r="I75" t="s">
        <v>19</v>
      </c>
      <c r="J75" t="s">
        <v>28</v>
      </c>
    </row>
    <row r="76" spans="1:10" x14ac:dyDescent="0.25">
      <c r="A76">
        <v>2</v>
      </c>
      <c r="B76" t="s">
        <v>10</v>
      </c>
      <c r="C76" s="1">
        <v>2.1</v>
      </c>
      <c r="D76" s="1">
        <v>828</v>
      </c>
      <c r="E76" s="1">
        <v>29</v>
      </c>
      <c r="F76" s="1">
        <v>0</v>
      </c>
      <c r="G76">
        <v>3</v>
      </c>
      <c r="H76">
        <v>30</v>
      </c>
      <c r="I76" t="s">
        <v>19</v>
      </c>
      <c r="J76" t="s">
        <v>29</v>
      </c>
    </row>
    <row r="77" spans="1:10" x14ac:dyDescent="0.25">
      <c r="A77">
        <v>2</v>
      </c>
      <c r="B77" t="s">
        <v>10</v>
      </c>
      <c r="C77" s="1">
        <v>2.1</v>
      </c>
      <c r="D77" s="1">
        <v>828</v>
      </c>
      <c r="E77" s="1">
        <v>29</v>
      </c>
      <c r="F77" s="1">
        <v>0</v>
      </c>
      <c r="G77">
        <v>4</v>
      </c>
      <c r="H77">
        <v>31</v>
      </c>
      <c r="I77" t="s">
        <v>20</v>
      </c>
      <c r="J77" t="s">
        <v>27</v>
      </c>
    </row>
    <row r="78" spans="1:10" x14ac:dyDescent="0.25">
      <c r="A78">
        <v>2</v>
      </c>
      <c r="B78" t="s">
        <v>10</v>
      </c>
      <c r="C78" s="1">
        <v>2.1</v>
      </c>
      <c r="D78" s="1">
        <v>828</v>
      </c>
      <c r="E78" s="1">
        <v>29</v>
      </c>
      <c r="F78" s="1">
        <v>0</v>
      </c>
      <c r="G78">
        <v>5</v>
      </c>
      <c r="H78">
        <v>32</v>
      </c>
      <c r="I78" t="s">
        <v>20</v>
      </c>
      <c r="J78" t="s">
        <v>28</v>
      </c>
    </row>
    <row r="79" spans="1:10" x14ac:dyDescent="0.25">
      <c r="A79">
        <v>2</v>
      </c>
      <c r="B79" t="s">
        <v>10</v>
      </c>
      <c r="C79" s="1">
        <v>2.1</v>
      </c>
      <c r="D79" s="1">
        <v>828</v>
      </c>
      <c r="E79" s="1">
        <v>29</v>
      </c>
      <c r="F79" s="1">
        <v>0</v>
      </c>
      <c r="G79">
        <v>6</v>
      </c>
      <c r="H79">
        <v>33</v>
      </c>
      <c r="I79" t="s">
        <v>20</v>
      </c>
      <c r="J79" t="s">
        <v>29</v>
      </c>
    </row>
    <row r="80" spans="1:10" x14ac:dyDescent="0.25">
      <c r="A80">
        <v>2</v>
      </c>
      <c r="B80" t="s">
        <v>10</v>
      </c>
      <c r="C80" s="1">
        <v>2.1</v>
      </c>
      <c r="D80" s="1">
        <v>828</v>
      </c>
      <c r="E80" s="1">
        <v>29</v>
      </c>
      <c r="F80" s="1">
        <v>0</v>
      </c>
      <c r="G80">
        <v>7</v>
      </c>
      <c r="H80">
        <v>24</v>
      </c>
      <c r="I80" t="s">
        <v>21</v>
      </c>
      <c r="J80" t="s">
        <v>27</v>
      </c>
    </row>
    <row r="81" spans="1:10" x14ac:dyDescent="0.25">
      <c r="A81">
        <v>2</v>
      </c>
      <c r="B81" t="s">
        <v>10</v>
      </c>
      <c r="C81" s="1">
        <v>2.1</v>
      </c>
      <c r="D81" s="1">
        <v>828</v>
      </c>
      <c r="E81" s="1">
        <v>29</v>
      </c>
      <c r="F81" s="1">
        <v>0</v>
      </c>
      <c r="G81">
        <v>8</v>
      </c>
      <c r="H81">
        <v>25</v>
      </c>
      <c r="I81" t="s">
        <v>21</v>
      </c>
      <c r="J81" t="s">
        <v>28</v>
      </c>
    </row>
    <row r="82" spans="1:10" x14ac:dyDescent="0.25">
      <c r="A82">
        <v>2</v>
      </c>
      <c r="B82" t="s">
        <v>10</v>
      </c>
      <c r="C82" s="1">
        <v>2.1</v>
      </c>
      <c r="D82" s="1">
        <v>828</v>
      </c>
      <c r="E82" s="1">
        <v>29</v>
      </c>
      <c r="F82" s="1">
        <v>0</v>
      </c>
      <c r="G82">
        <v>9</v>
      </c>
      <c r="H82">
        <v>26</v>
      </c>
      <c r="I82" t="s">
        <v>21</v>
      </c>
      <c r="J82" t="s">
        <v>29</v>
      </c>
    </row>
    <row r="83" spans="1:10" x14ac:dyDescent="0.25">
      <c r="A83">
        <v>2</v>
      </c>
      <c r="B83" t="s">
        <v>10</v>
      </c>
      <c r="C83" s="1">
        <v>2.1</v>
      </c>
      <c r="D83" s="1">
        <v>828</v>
      </c>
      <c r="E83" s="1">
        <v>29</v>
      </c>
      <c r="F83" s="1">
        <v>0</v>
      </c>
      <c r="G83">
        <v>10</v>
      </c>
      <c r="H83">
        <v>27</v>
      </c>
      <c r="I83" t="s">
        <v>22</v>
      </c>
      <c r="J83" t="s">
        <v>27</v>
      </c>
    </row>
    <row r="84" spans="1:10" x14ac:dyDescent="0.25">
      <c r="A84">
        <v>2</v>
      </c>
      <c r="B84" t="s">
        <v>10</v>
      </c>
      <c r="C84" s="1">
        <v>2.1</v>
      </c>
      <c r="D84" s="1">
        <v>828</v>
      </c>
      <c r="E84" s="1">
        <v>29</v>
      </c>
      <c r="F84" s="1">
        <v>0</v>
      </c>
      <c r="G84">
        <v>11</v>
      </c>
      <c r="H84">
        <v>28</v>
      </c>
      <c r="I84" t="s">
        <v>22</v>
      </c>
      <c r="J84" t="s">
        <v>28</v>
      </c>
    </row>
    <row r="85" spans="1:10" x14ac:dyDescent="0.25">
      <c r="A85">
        <v>2</v>
      </c>
      <c r="B85" t="s">
        <v>10</v>
      </c>
      <c r="C85" s="1">
        <v>2.1</v>
      </c>
      <c r="D85" s="1">
        <v>828</v>
      </c>
      <c r="E85" s="1">
        <v>29</v>
      </c>
      <c r="F85" s="1">
        <v>0</v>
      </c>
      <c r="G85">
        <v>12</v>
      </c>
      <c r="H85">
        <v>29</v>
      </c>
      <c r="I85" t="s">
        <v>22</v>
      </c>
      <c r="J85" t="s">
        <v>29</v>
      </c>
    </row>
    <row r="86" spans="1:10" x14ac:dyDescent="0.25">
      <c r="A86">
        <v>2</v>
      </c>
      <c r="B86" t="s">
        <v>10</v>
      </c>
      <c r="C86" s="1">
        <v>2.1</v>
      </c>
      <c r="D86" s="1">
        <v>828</v>
      </c>
      <c r="E86" s="1">
        <v>29</v>
      </c>
      <c r="F86" s="1">
        <v>0</v>
      </c>
      <c r="G86">
        <v>13</v>
      </c>
      <c r="H86">
        <v>30</v>
      </c>
      <c r="I86" t="s">
        <v>23</v>
      </c>
      <c r="J86" t="s">
        <v>27</v>
      </c>
    </row>
    <row r="87" spans="1:10" x14ac:dyDescent="0.25">
      <c r="A87">
        <v>2</v>
      </c>
      <c r="B87" t="s">
        <v>10</v>
      </c>
      <c r="C87" s="1">
        <v>2.1</v>
      </c>
      <c r="D87" s="1">
        <v>828</v>
      </c>
      <c r="E87" s="1">
        <v>29</v>
      </c>
      <c r="F87" s="1">
        <v>0</v>
      </c>
      <c r="G87">
        <v>14</v>
      </c>
      <c r="H87">
        <v>31</v>
      </c>
      <c r="I87" t="s">
        <v>23</v>
      </c>
      <c r="J87" t="s">
        <v>28</v>
      </c>
    </row>
    <row r="88" spans="1:10" x14ac:dyDescent="0.25">
      <c r="A88">
        <v>2</v>
      </c>
      <c r="B88" t="s">
        <v>10</v>
      </c>
      <c r="C88" s="1">
        <v>2.1</v>
      </c>
      <c r="D88" s="1">
        <v>828</v>
      </c>
      <c r="E88" s="1">
        <v>29</v>
      </c>
      <c r="F88" s="1">
        <v>0</v>
      </c>
      <c r="G88">
        <v>15</v>
      </c>
      <c r="H88">
        <v>32</v>
      </c>
      <c r="I88" t="s">
        <v>23</v>
      </c>
      <c r="J88" t="s">
        <v>29</v>
      </c>
    </row>
    <row r="89" spans="1:10" x14ac:dyDescent="0.25">
      <c r="A89">
        <v>2</v>
      </c>
      <c r="B89" t="s">
        <v>10</v>
      </c>
      <c r="C89" s="1">
        <v>2.1</v>
      </c>
      <c r="D89" s="1">
        <v>828</v>
      </c>
      <c r="E89" s="1">
        <v>29</v>
      </c>
      <c r="F89" s="1">
        <v>0</v>
      </c>
      <c r="G89">
        <v>16</v>
      </c>
      <c r="H89">
        <v>33</v>
      </c>
      <c r="I89" t="s">
        <v>24</v>
      </c>
      <c r="J89" t="s">
        <v>27</v>
      </c>
    </row>
    <row r="90" spans="1:10" x14ac:dyDescent="0.25">
      <c r="A90">
        <v>2</v>
      </c>
      <c r="B90" t="s">
        <v>10</v>
      </c>
      <c r="C90" s="1">
        <v>2.1</v>
      </c>
      <c r="D90" s="1">
        <v>828</v>
      </c>
      <c r="E90" s="1">
        <v>29</v>
      </c>
      <c r="F90" s="1">
        <v>0</v>
      </c>
      <c r="G90">
        <v>17</v>
      </c>
      <c r="H90">
        <v>24</v>
      </c>
      <c r="I90" t="s">
        <v>24</v>
      </c>
      <c r="J90" t="s">
        <v>28</v>
      </c>
    </row>
    <row r="91" spans="1:10" x14ac:dyDescent="0.25">
      <c r="A91">
        <v>2</v>
      </c>
      <c r="B91" t="s">
        <v>10</v>
      </c>
      <c r="C91" s="1">
        <v>2.1</v>
      </c>
      <c r="D91" s="1">
        <v>828</v>
      </c>
      <c r="E91" s="1">
        <v>29</v>
      </c>
      <c r="F91" s="1">
        <v>0</v>
      </c>
      <c r="G91">
        <v>18</v>
      </c>
      <c r="H91">
        <v>25</v>
      </c>
      <c r="I91" t="s">
        <v>24</v>
      </c>
      <c r="J91" t="s">
        <v>29</v>
      </c>
    </row>
    <row r="92" spans="1:10" x14ac:dyDescent="0.25">
      <c r="A92">
        <v>2</v>
      </c>
      <c r="B92" t="s">
        <v>10</v>
      </c>
      <c r="C92" s="1">
        <v>2.1</v>
      </c>
      <c r="D92" s="1">
        <v>828</v>
      </c>
      <c r="E92" s="1">
        <v>29</v>
      </c>
      <c r="F92" s="1">
        <v>0</v>
      </c>
      <c r="G92">
        <v>19</v>
      </c>
      <c r="H92">
        <v>26</v>
      </c>
      <c r="I92" t="s">
        <v>25</v>
      </c>
      <c r="J92" t="s">
        <v>27</v>
      </c>
    </row>
    <row r="93" spans="1:10" x14ac:dyDescent="0.25">
      <c r="A93">
        <v>2</v>
      </c>
      <c r="B93" t="s">
        <v>10</v>
      </c>
      <c r="C93" s="1">
        <v>2.1</v>
      </c>
      <c r="D93" s="1">
        <v>828</v>
      </c>
      <c r="E93" s="1">
        <v>29</v>
      </c>
      <c r="F93" s="1">
        <v>0</v>
      </c>
      <c r="G93">
        <v>20</v>
      </c>
      <c r="H93">
        <v>27</v>
      </c>
      <c r="I93" t="s">
        <v>25</v>
      </c>
      <c r="J93" t="s">
        <v>28</v>
      </c>
    </row>
    <row r="94" spans="1:10" x14ac:dyDescent="0.25">
      <c r="A94">
        <v>2</v>
      </c>
      <c r="B94" t="s">
        <v>10</v>
      </c>
      <c r="C94" s="1">
        <v>2.1</v>
      </c>
      <c r="D94" s="1">
        <v>828</v>
      </c>
      <c r="E94" s="1">
        <v>29</v>
      </c>
      <c r="F94" s="1">
        <v>0</v>
      </c>
      <c r="G94">
        <v>21</v>
      </c>
      <c r="H94">
        <v>28</v>
      </c>
      <c r="I94" t="s">
        <v>25</v>
      </c>
      <c r="J94" t="s">
        <v>29</v>
      </c>
    </row>
    <row r="95" spans="1:10" x14ac:dyDescent="0.25">
      <c r="A95">
        <v>2</v>
      </c>
      <c r="B95" t="s">
        <v>10</v>
      </c>
      <c r="C95" s="1">
        <v>2.1</v>
      </c>
      <c r="D95" s="1">
        <v>828</v>
      </c>
      <c r="E95" s="1">
        <v>29</v>
      </c>
      <c r="F95" s="1">
        <v>0</v>
      </c>
      <c r="G95">
        <v>22</v>
      </c>
      <c r="H95">
        <v>29</v>
      </c>
      <c r="I95" t="s">
        <v>26</v>
      </c>
      <c r="J95" t="s">
        <v>27</v>
      </c>
    </row>
    <row r="96" spans="1:10" x14ac:dyDescent="0.25">
      <c r="A96">
        <v>2</v>
      </c>
      <c r="B96" t="s">
        <v>10</v>
      </c>
      <c r="C96" s="1">
        <v>2.1</v>
      </c>
      <c r="D96" s="1">
        <v>828</v>
      </c>
      <c r="E96" s="1">
        <v>29</v>
      </c>
      <c r="F96" s="1">
        <v>0</v>
      </c>
      <c r="G96">
        <v>23</v>
      </c>
      <c r="H96">
        <v>30</v>
      </c>
      <c r="I96" t="s">
        <v>26</v>
      </c>
      <c r="J96" t="s">
        <v>28</v>
      </c>
    </row>
    <row r="97" spans="1:10" x14ac:dyDescent="0.25">
      <c r="A97">
        <v>2</v>
      </c>
      <c r="B97" t="s">
        <v>10</v>
      </c>
      <c r="C97" s="1">
        <v>2.1</v>
      </c>
      <c r="D97" s="1">
        <v>828</v>
      </c>
      <c r="E97" s="1">
        <v>29</v>
      </c>
      <c r="F97" s="1">
        <v>0</v>
      </c>
      <c r="G97">
        <v>24</v>
      </c>
      <c r="H97">
        <v>31</v>
      </c>
      <c r="I97" t="s">
        <v>26</v>
      </c>
      <c r="J97" t="s">
        <v>29</v>
      </c>
    </row>
    <row r="98" spans="1:10" x14ac:dyDescent="0.25">
      <c r="A98">
        <v>2</v>
      </c>
      <c r="B98" t="s">
        <v>10</v>
      </c>
      <c r="C98" s="1">
        <v>2.1</v>
      </c>
      <c r="D98" s="1">
        <v>828</v>
      </c>
      <c r="E98" s="1">
        <v>29</v>
      </c>
      <c r="F98" s="1">
        <v>0</v>
      </c>
      <c r="G98">
        <v>25</v>
      </c>
      <c r="H98">
        <v>34</v>
      </c>
      <c r="I98" t="s">
        <v>19</v>
      </c>
      <c r="J98" t="s">
        <v>27</v>
      </c>
    </row>
    <row r="99" spans="1:10" x14ac:dyDescent="0.25">
      <c r="A99">
        <v>2</v>
      </c>
      <c r="B99" t="s">
        <v>10</v>
      </c>
      <c r="C99" s="1">
        <v>2.1</v>
      </c>
      <c r="D99" s="1">
        <v>828</v>
      </c>
      <c r="E99" s="1">
        <v>29</v>
      </c>
      <c r="F99" s="1">
        <v>0</v>
      </c>
      <c r="G99">
        <v>26</v>
      </c>
      <c r="H99">
        <v>35</v>
      </c>
      <c r="I99" t="s">
        <v>19</v>
      </c>
      <c r="J99" t="s">
        <v>28</v>
      </c>
    </row>
    <row r="100" spans="1:10" x14ac:dyDescent="0.25">
      <c r="A100">
        <v>2</v>
      </c>
      <c r="B100" t="s">
        <v>10</v>
      </c>
      <c r="C100" s="1">
        <v>2.1</v>
      </c>
      <c r="D100" s="1">
        <v>828</v>
      </c>
      <c r="E100" s="1">
        <v>29</v>
      </c>
      <c r="F100" s="1">
        <v>0</v>
      </c>
      <c r="G100">
        <v>27</v>
      </c>
      <c r="H100">
        <v>36</v>
      </c>
      <c r="I100" t="s">
        <v>19</v>
      </c>
      <c r="J100" t="s">
        <v>29</v>
      </c>
    </row>
    <row r="101" spans="1:10" x14ac:dyDescent="0.25">
      <c r="A101">
        <v>2</v>
      </c>
      <c r="B101" t="s">
        <v>10</v>
      </c>
      <c r="C101" s="1">
        <v>2.1</v>
      </c>
      <c r="D101" s="1">
        <v>828</v>
      </c>
      <c r="E101" s="1">
        <v>29</v>
      </c>
      <c r="F101" s="1">
        <v>0</v>
      </c>
      <c r="G101">
        <v>28</v>
      </c>
      <c r="H101">
        <v>37</v>
      </c>
      <c r="I101" t="s">
        <v>20</v>
      </c>
      <c r="J101" t="s">
        <v>27</v>
      </c>
    </row>
    <row r="102" spans="1:10" x14ac:dyDescent="0.25">
      <c r="A102">
        <v>2</v>
      </c>
      <c r="B102" t="s">
        <v>10</v>
      </c>
      <c r="C102" s="1">
        <v>2.1</v>
      </c>
      <c r="D102" s="1">
        <v>828</v>
      </c>
      <c r="E102" s="1">
        <v>29</v>
      </c>
      <c r="F102" s="1">
        <v>0</v>
      </c>
      <c r="G102">
        <v>29</v>
      </c>
      <c r="H102">
        <v>38</v>
      </c>
      <c r="I102" t="s">
        <v>20</v>
      </c>
      <c r="J102" t="s">
        <v>28</v>
      </c>
    </row>
    <row r="103" spans="1:10" x14ac:dyDescent="0.25">
      <c r="A103">
        <v>2</v>
      </c>
      <c r="B103" t="s">
        <v>10</v>
      </c>
      <c r="C103" s="1">
        <v>2.1</v>
      </c>
      <c r="D103" s="1">
        <v>828</v>
      </c>
      <c r="E103" s="1">
        <v>29</v>
      </c>
      <c r="F103" s="1">
        <v>0</v>
      </c>
      <c r="G103">
        <v>30</v>
      </c>
      <c r="H103">
        <v>39</v>
      </c>
      <c r="I103" t="s">
        <v>20</v>
      </c>
      <c r="J103" t="s">
        <v>29</v>
      </c>
    </row>
    <row r="104" spans="1:10" x14ac:dyDescent="0.25">
      <c r="A104">
        <v>2</v>
      </c>
      <c r="B104" t="s">
        <v>10</v>
      </c>
      <c r="C104" s="1">
        <v>2.1</v>
      </c>
      <c r="D104" s="1">
        <v>828</v>
      </c>
      <c r="E104" s="1">
        <v>29</v>
      </c>
      <c r="F104" s="1">
        <v>0</v>
      </c>
      <c r="G104">
        <v>31</v>
      </c>
      <c r="H104">
        <v>34</v>
      </c>
      <c r="I104" t="s">
        <v>21</v>
      </c>
      <c r="J104" t="s">
        <v>27</v>
      </c>
    </row>
    <row r="105" spans="1:10" x14ac:dyDescent="0.25">
      <c r="A105">
        <v>2</v>
      </c>
      <c r="B105" t="s">
        <v>10</v>
      </c>
      <c r="C105" s="1">
        <v>2.1</v>
      </c>
      <c r="D105" s="1">
        <v>828</v>
      </c>
      <c r="E105" s="1">
        <v>29</v>
      </c>
      <c r="F105" s="1">
        <v>0</v>
      </c>
      <c r="G105">
        <v>32</v>
      </c>
      <c r="H105">
        <v>35</v>
      </c>
      <c r="I105" t="s">
        <v>21</v>
      </c>
      <c r="J105" t="s">
        <v>28</v>
      </c>
    </row>
    <row r="106" spans="1:10" x14ac:dyDescent="0.25">
      <c r="A106">
        <v>2</v>
      </c>
      <c r="B106" t="s">
        <v>10</v>
      </c>
      <c r="C106" s="1">
        <v>2.1</v>
      </c>
      <c r="D106" s="1">
        <v>828</v>
      </c>
      <c r="E106" s="1">
        <v>29</v>
      </c>
      <c r="F106" s="1">
        <v>0</v>
      </c>
      <c r="G106">
        <v>33</v>
      </c>
      <c r="H106">
        <v>36</v>
      </c>
      <c r="I106" t="s">
        <v>21</v>
      </c>
      <c r="J106" t="s">
        <v>29</v>
      </c>
    </row>
    <row r="107" spans="1:10" x14ac:dyDescent="0.25">
      <c r="A107">
        <v>2</v>
      </c>
      <c r="B107" t="s">
        <v>10</v>
      </c>
      <c r="C107" s="1">
        <v>2.1</v>
      </c>
      <c r="D107" s="1">
        <v>828</v>
      </c>
      <c r="E107" s="1">
        <v>29</v>
      </c>
      <c r="F107" s="1">
        <v>0</v>
      </c>
      <c r="G107">
        <v>34</v>
      </c>
      <c r="H107">
        <v>37</v>
      </c>
      <c r="I107" t="s">
        <v>22</v>
      </c>
      <c r="J107" t="s">
        <v>27</v>
      </c>
    </row>
    <row r="108" spans="1:10" x14ac:dyDescent="0.25">
      <c r="A108">
        <v>2</v>
      </c>
      <c r="B108" t="s">
        <v>10</v>
      </c>
      <c r="C108" s="1">
        <v>2.1</v>
      </c>
      <c r="D108" s="1">
        <v>828</v>
      </c>
      <c r="E108" s="1">
        <v>29</v>
      </c>
      <c r="F108" s="1">
        <v>0</v>
      </c>
      <c r="G108">
        <v>35</v>
      </c>
      <c r="H108">
        <v>38</v>
      </c>
      <c r="I108" t="s">
        <v>22</v>
      </c>
      <c r="J108" t="s">
        <v>28</v>
      </c>
    </row>
    <row r="109" spans="1:10" x14ac:dyDescent="0.25">
      <c r="A109">
        <v>2</v>
      </c>
      <c r="B109" t="s">
        <v>10</v>
      </c>
      <c r="C109" s="1">
        <v>2.1</v>
      </c>
      <c r="D109" s="1">
        <v>828</v>
      </c>
      <c r="E109" s="1">
        <v>29</v>
      </c>
      <c r="F109" s="1">
        <v>0</v>
      </c>
      <c r="G109">
        <v>36</v>
      </c>
      <c r="H109">
        <v>39</v>
      </c>
      <c r="I109" t="s">
        <v>22</v>
      </c>
      <c r="J109" t="s">
        <v>29</v>
      </c>
    </row>
    <row r="110" spans="1:10" x14ac:dyDescent="0.25">
      <c r="A110">
        <v>2</v>
      </c>
      <c r="B110" t="s">
        <v>10</v>
      </c>
      <c r="C110" s="1">
        <v>2.1</v>
      </c>
      <c r="D110" s="1">
        <v>828</v>
      </c>
      <c r="E110" s="1">
        <v>29</v>
      </c>
      <c r="F110" s="1">
        <v>0</v>
      </c>
      <c r="G110">
        <v>37</v>
      </c>
      <c r="H110">
        <v>34</v>
      </c>
      <c r="I110" t="s">
        <v>23</v>
      </c>
      <c r="J110" t="s">
        <v>27</v>
      </c>
    </row>
    <row r="111" spans="1:10" x14ac:dyDescent="0.25">
      <c r="A111">
        <v>2</v>
      </c>
      <c r="B111" t="s">
        <v>10</v>
      </c>
      <c r="C111" s="1">
        <v>2.1</v>
      </c>
      <c r="D111" s="1">
        <v>828</v>
      </c>
      <c r="E111" s="1">
        <v>29</v>
      </c>
      <c r="F111" s="1">
        <v>0</v>
      </c>
      <c r="G111">
        <v>38</v>
      </c>
      <c r="H111">
        <v>35</v>
      </c>
      <c r="I111" t="s">
        <v>23</v>
      </c>
      <c r="J111" t="s">
        <v>28</v>
      </c>
    </row>
    <row r="112" spans="1:10" x14ac:dyDescent="0.25">
      <c r="A112">
        <v>2</v>
      </c>
      <c r="B112" t="s">
        <v>10</v>
      </c>
      <c r="C112" s="1">
        <v>2.1</v>
      </c>
      <c r="D112" s="1">
        <v>828</v>
      </c>
      <c r="E112" s="1">
        <v>29</v>
      </c>
      <c r="F112" s="1">
        <v>0</v>
      </c>
      <c r="G112">
        <v>39</v>
      </c>
      <c r="H112">
        <v>36</v>
      </c>
      <c r="I112" t="s">
        <v>23</v>
      </c>
      <c r="J112" t="s">
        <v>29</v>
      </c>
    </row>
    <row r="113" spans="1:10" x14ac:dyDescent="0.25">
      <c r="A113">
        <v>2</v>
      </c>
      <c r="B113" t="s">
        <v>10</v>
      </c>
      <c r="C113" s="1">
        <v>2.1</v>
      </c>
      <c r="D113" s="1">
        <v>828</v>
      </c>
      <c r="E113" s="1">
        <v>29</v>
      </c>
      <c r="F113" s="1">
        <v>0</v>
      </c>
      <c r="G113">
        <v>40</v>
      </c>
      <c r="H113">
        <v>37</v>
      </c>
      <c r="I113" t="s">
        <v>24</v>
      </c>
      <c r="J113" t="s">
        <v>27</v>
      </c>
    </row>
    <row r="114" spans="1:10" x14ac:dyDescent="0.25">
      <c r="A114">
        <v>2</v>
      </c>
      <c r="B114" t="s">
        <v>10</v>
      </c>
      <c r="C114" s="1">
        <v>2.1</v>
      </c>
      <c r="D114" s="1">
        <v>828</v>
      </c>
      <c r="E114" s="1">
        <v>29</v>
      </c>
      <c r="F114" s="1">
        <v>0</v>
      </c>
      <c r="G114">
        <v>41</v>
      </c>
      <c r="H114">
        <v>38</v>
      </c>
      <c r="I114" t="s">
        <v>24</v>
      </c>
      <c r="J114" t="s">
        <v>28</v>
      </c>
    </row>
    <row r="115" spans="1:10" x14ac:dyDescent="0.25">
      <c r="A115">
        <v>2</v>
      </c>
      <c r="B115" t="s">
        <v>10</v>
      </c>
      <c r="C115" s="1">
        <v>2.1</v>
      </c>
      <c r="D115" s="1">
        <v>828</v>
      </c>
      <c r="E115" s="1">
        <v>29</v>
      </c>
      <c r="F115" s="1">
        <v>0</v>
      </c>
      <c r="G115">
        <v>42</v>
      </c>
      <c r="H115">
        <v>39</v>
      </c>
      <c r="I115" t="s">
        <v>24</v>
      </c>
      <c r="J115" t="s">
        <v>29</v>
      </c>
    </row>
    <row r="116" spans="1:10" x14ac:dyDescent="0.25">
      <c r="A116">
        <v>2</v>
      </c>
      <c r="B116" t="s">
        <v>10</v>
      </c>
      <c r="C116" s="1">
        <v>2.1</v>
      </c>
      <c r="D116" s="1">
        <v>828</v>
      </c>
      <c r="E116" s="1">
        <v>29</v>
      </c>
      <c r="F116" s="1">
        <v>0</v>
      </c>
      <c r="G116">
        <v>43</v>
      </c>
      <c r="H116">
        <v>34</v>
      </c>
      <c r="I116" t="s">
        <v>25</v>
      </c>
      <c r="J116" t="s">
        <v>27</v>
      </c>
    </row>
    <row r="117" spans="1:10" x14ac:dyDescent="0.25">
      <c r="A117">
        <v>2</v>
      </c>
      <c r="B117" t="s">
        <v>10</v>
      </c>
      <c r="C117" s="1">
        <v>2.1</v>
      </c>
      <c r="D117" s="1">
        <v>828</v>
      </c>
      <c r="E117" s="1">
        <v>29</v>
      </c>
      <c r="F117" s="1">
        <v>0</v>
      </c>
      <c r="G117">
        <v>44</v>
      </c>
      <c r="H117">
        <v>35</v>
      </c>
      <c r="I117" t="s">
        <v>25</v>
      </c>
      <c r="J117" t="s">
        <v>28</v>
      </c>
    </row>
    <row r="118" spans="1:10" x14ac:dyDescent="0.25">
      <c r="A118">
        <v>2</v>
      </c>
      <c r="B118" t="s">
        <v>10</v>
      </c>
      <c r="C118" s="1">
        <v>2.1</v>
      </c>
      <c r="D118" s="1">
        <v>828</v>
      </c>
      <c r="E118" s="1">
        <v>29</v>
      </c>
      <c r="F118" s="1">
        <v>0</v>
      </c>
      <c r="G118">
        <v>45</v>
      </c>
      <c r="H118">
        <v>36</v>
      </c>
      <c r="I118" t="s">
        <v>25</v>
      </c>
      <c r="J118" t="s">
        <v>29</v>
      </c>
    </row>
    <row r="119" spans="1:10" x14ac:dyDescent="0.25">
      <c r="A119">
        <v>2</v>
      </c>
      <c r="B119" t="s">
        <v>10</v>
      </c>
      <c r="C119" s="1">
        <v>2.1</v>
      </c>
      <c r="D119" s="1">
        <v>828</v>
      </c>
      <c r="E119" s="1">
        <v>29</v>
      </c>
      <c r="F119" s="1">
        <v>0</v>
      </c>
      <c r="G119">
        <v>46</v>
      </c>
      <c r="H119">
        <v>37</v>
      </c>
      <c r="I119" t="s">
        <v>26</v>
      </c>
      <c r="J119" t="s">
        <v>27</v>
      </c>
    </row>
    <row r="120" spans="1:10" x14ac:dyDescent="0.25">
      <c r="A120">
        <v>2</v>
      </c>
      <c r="B120" t="s">
        <v>10</v>
      </c>
      <c r="C120" s="1">
        <v>2.1</v>
      </c>
      <c r="D120" s="1">
        <v>828</v>
      </c>
      <c r="E120" s="1">
        <v>29</v>
      </c>
      <c r="F120" s="1">
        <v>0</v>
      </c>
      <c r="G120">
        <v>47</v>
      </c>
      <c r="H120">
        <v>38</v>
      </c>
      <c r="I120" t="s">
        <v>26</v>
      </c>
      <c r="J120" t="s">
        <v>28</v>
      </c>
    </row>
    <row r="121" spans="1:10" x14ac:dyDescent="0.25">
      <c r="A121">
        <v>2</v>
      </c>
      <c r="B121" t="s">
        <v>10</v>
      </c>
      <c r="C121" s="1">
        <v>2.1</v>
      </c>
      <c r="D121" s="1">
        <v>828</v>
      </c>
      <c r="E121" s="1">
        <v>29</v>
      </c>
      <c r="F121" s="1">
        <v>0</v>
      </c>
      <c r="G121">
        <v>48</v>
      </c>
      <c r="H121">
        <v>39</v>
      </c>
      <c r="I121" t="s">
        <v>26</v>
      </c>
      <c r="J121" t="s">
        <v>29</v>
      </c>
    </row>
    <row r="122" spans="1:10" x14ac:dyDescent="0.25">
      <c r="A122">
        <v>2</v>
      </c>
      <c r="B122" t="s">
        <v>10</v>
      </c>
      <c r="C122" s="1">
        <v>2.1</v>
      </c>
      <c r="D122" s="1">
        <v>828</v>
      </c>
      <c r="E122" s="1">
        <v>29</v>
      </c>
      <c r="F122" s="1">
        <v>0</v>
      </c>
      <c r="G122">
        <v>49</v>
      </c>
      <c r="H122">
        <v>64</v>
      </c>
      <c r="I122" t="s">
        <v>19</v>
      </c>
      <c r="J122" t="s">
        <v>27</v>
      </c>
    </row>
    <row r="123" spans="1:10" x14ac:dyDescent="0.25">
      <c r="A123">
        <v>2</v>
      </c>
      <c r="B123" t="s">
        <v>10</v>
      </c>
      <c r="C123" s="1">
        <v>2.1</v>
      </c>
      <c r="D123" s="1">
        <v>828</v>
      </c>
      <c r="E123" s="1">
        <v>29</v>
      </c>
      <c r="F123" s="1">
        <v>0</v>
      </c>
      <c r="G123">
        <v>50</v>
      </c>
      <c r="H123">
        <v>65</v>
      </c>
      <c r="I123" t="s">
        <v>19</v>
      </c>
      <c r="J123" t="s">
        <v>28</v>
      </c>
    </row>
    <row r="124" spans="1:10" x14ac:dyDescent="0.25">
      <c r="A124">
        <v>2</v>
      </c>
      <c r="B124" t="s">
        <v>10</v>
      </c>
      <c r="C124" s="1">
        <v>2.1</v>
      </c>
      <c r="D124" s="1">
        <v>828</v>
      </c>
      <c r="E124" s="1">
        <v>29</v>
      </c>
      <c r="F124" s="1">
        <v>0</v>
      </c>
      <c r="G124">
        <v>51</v>
      </c>
      <c r="H124">
        <v>66</v>
      </c>
      <c r="I124" t="s">
        <v>19</v>
      </c>
      <c r="J124" t="s">
        <v>29</v>
      </c>
    </row>
    <row r="125" spans="1:10" x14ac:dyDescent="0.25">
      <c r="A125">
        <v>2</v>
      </c>
      <c r="B125" t="s">
        <v>10</v>
      </c>
      <c r="C125" s="1">
        <v>2.1</v>
      </c>
      <c r="D125" s="1">
        <v>828</v>
      </c>
      <c r="E125" s="1">
        <v>29</v>
      </c>
      <c r="F125" s="1">
        <v>0</v>
      </c>
      <c r="G125">
        <v>52</v>
      </c>
      <c r="H125">
        <v>67</v>
      </c>
      <c r="I125" t="s">
        <v>20</v>
      </c>
      <c r="J125" t="s">
        <v>27</v>
      </c>
    </row>
    <row r="126" spans="1:10" x14ac:dyDescent="0.25">
      <c r="A126">
        <v>2</v>
      </c>
      <c r="B126" t="s">
        <v>10</v>
      </c>
      <c r="C126" s="1">
        <v>2.1</v>
      </c>
      <c r="D126" s="1">
        <v>828</v>
      </c>
      <c r="E126" s="1">
        <v>29</v>
      </c>
      <c r="F126" s="1">
        <v>0</v>
      </c>
      <c r="G126">
        <v>53</v>
      </c>
      <c r="H126">
        <v>68</v>
      </c>
      <c r="I126" t="s">
        <v>20</v>
      </c>
      <c r="J126" t="s">
        <v>28</v>
      </c>
    </row>
    <row r="127" spans="1:10" x14ac:dyDescent="0.25">
      <c r="A127">
        <v>2</v>
      </c>
      <c r="B127" t="s">
        <v>10</v>
      </c>
      <c r="C127" s="1">
        <v>2.1</v>
      </c>
      <c r="D127" s="1">
        <v>828</v>
      </c>
      <c r="E127" s="1">
        <v>29</v>
      </c>
      <c r="F127" s="1">
        <v>0</v>
      </c>
      <c r="G127">
        <v>54</v>
      </c>
      <c r="H127">
        <v>69</v>
      </c>
      <c r="I127" t="s">
        <v>20</v>
      </c>
      <c r="J127" t="s">
        <v>29</v>
      </c>
    </row>
    <row r="128" spans="1:10" x14ac:dyDescent="0.25">
      <c r="A128">
        <v>2</v>
      </c>
      <c r="B128" t="s">
        <v>10</v>
      </c>
      <c r="C128" s="1">
        <v>2.1</v>
      </c>
      <c r="D128" s="1">
        <v>828</v>
      </c>
      <c r="E128" s="1">
        <v>29</v>
      </c>
      <c r="F128" s="1">
        <v>0</v>
      </c>
      <c r="G128">
        <v>55</v>
      </c>
      <c r="H128">
        <v>70</v>
      </c>
      <c r="I128" t="s">
        <v>21</v>
      </c>
      <c r="J128" t="s">
        <v>27</v>
      </c>
    </row>
    <row r="129" spans="1:10" x14ac:dyDescent="0.25">
      <c r="A129">
        <v>2</v>
      </c>
      <c r="B129" t="s">
        <v>10</v>
      </c>
      <c r="C129" s="1">
        <v>2.1</v>
      </c>
      <c r="D129" s="1">
        <v>828</v>
      </c>
      <c r="E129" s="1">
        <v>29</v>
      </c>
      <c r="F129" s="1">
        <v>0</v>
      </c>
      <c r="G129">
        <v>56</v>
      </c>
      <c r="H129">
        <v>71</v>
      </c>
      <c r="I129" t="s">
        <v>21</v>
      </c>
      <c r="J129" t="s">
        <v>28</v>
      </c>
    </row>
    <row r="130" spans="1:10" x14ac:dyDescent="0.25">
      <c r="A130">
        <v>2</v>
      </c>
      <c r="B130" t="s">
        <v>10</v>
      </c>
      <c r="C130" s="1">
        <v>2.1</v>
      </c>
      <c r="D130" s="1">
        <v>828</v>
      </c>
      <c r="E130" s="1">
        <v>29</v>
      </c>
      <c r="F130" s="1">
        <v>0</v>
      </c>
      <c r="G130">
        <v>57</v>
      </c>
      <c r="H130">
        <v>72</v>
      </c>
      <c r="I130" t="s">
        <v>21</v>
      </c>
      <c r="J130" t="s">
        <v>29</v>
      </c>
    </row>
    <row r="131" spans="1:10" x14ac:dyDescent="0.25">
      <c r="A131">
        <v>2</v>
      </c>
      <c r="B131" t="s">
        <v>10</v>
      </c>
      <c r="C131" s="1">
        <v>2.1</v>
      </c>
      <c r="D131" s="1">
        <v>828</v>
      </c>
      <c r="E131" s="1">
        <v>29</v>
      </c>
      <c r="F131" s="1">
        <v>0</v>
      </c>
      <c r="G131">
        <v>58</v>
      </c>
      <c r="H131">
        <v>73</v>
      </c>
      <c r="I131" t="s">
        <v>22</v>
      </c>
      <c r="J131" t="s">
        <v>27</v>
      </c>
    </row>
    <row r="132" spans="1:10" x14ac:dyDescent="0.25">
      <c r="A132">
        <v>2</v>
      </c>
      <c r="B132" t="s">
        <v>10</v>
      </c>
      <c r="C132" s="1">
        <v>2.1</v>
      </c>
      <c r="D132" s="1">
        <v>828</v>
      </c>
      <c r="E132" s="1">
        <v>29</v>
      </c>
      <c r="F132" s="1">
        <v>0</v>
      </c>
      <c r="G132">
        <v>59</v>
      </c>
      <c r="H132">
        <v>74</v>
      </c>
      <c r="I132" t="s">
        <v>22</v>
      </c>
      <c r="J132" t="s">
        <v>28</v>
      </c>
    </row>
    <row r="133" spans="1:10" x14ac:dyDescent="0.25">
      <c r="A133">
        <v>2</v>
      </c>
      <c r="B133" t="s">
        <v>10</v>
      </c>
      <c r="C133" s="1">
        <v>2.1</v>
      </c>
      <c r="D133" s="1">
        <v>828</v>
      </c>
      <c r="E133" s="1">
        <v>29</v>
      </c>
      <c r="F133" s="1">
        <v>0</v>
      </c>
      <c r="G133">
        <v>60</v>
      </c>
      <c r="H133">
        <v>75</v>
      </c>
      <c r="I133" t="s">
        <v>22</v>
      </c>
      <c r="J133" t="s">
        <v>29</v>
      </c>
    </row>
    <row r="134" spans="1:10" x14ac:dyDescent="0.25">
      <c r="A134">
        <v>2</v>
      </c>
      <c r="B134" t="s">
        <v>10</v>
      </c>
      <c r="C134" s="1">
        <v>2.1</v>
      </c>
      <c r="D134" s="1">
        <v>828</v>
      </c>
      <c r="E134" s="1">
        <v>29</v>
      </c>
      <c r="F134" s="1">
        <v>0</v>
      </c>
      <c r="G134">
        <v>61</v>
      </c>
      <c r="H134">
        <v>76</v>
      </c>
      <c r="I134" t="s">
        <v>23</v>
      </c>
      <c r="J134" t="s">
        <v>27</v>
      </c>
    </row>
    <row r="135" spans="1:10" x14ac:dyDescent="0.25">
      <c r="A135">
        <v>2</v>
      </c>
      <c r="B135" t="s">
        <v>10</v>
      </c>
      <c r="C135" s="1">
        <v>2.1</v>
      </c>
      <c r="D135" s="1">
        <v>828</v>
      </c>
      <c r="E135" s="1">
        <v>29</v>
      </c>
      <c r="F135" s="1">
        <v>0</v>
      </c>
      <c r="G135">
        <v>62</v>
      </c>
      <c r="H135">
        <v>77</v>
      </c>
      <c r="I135" t="s">
        <v>23</v>
      </c>
      <c r="J135" t="s">
        <v>28</v>
      </c>
    </row>
    <row r="136" spans="1:10" x14ac:dyDescent="0.25">
      <c r="A136">
        <v>2</v>
      </c>
      <c r="B136" t="s">
        <v>10</v>
      </c>
      <c r="C136" s="1">
        <v>2.1</v>
      </c>
      <c r="D136" s="1">
        <v>828</v>
      </c>
      <c r="E136" s="1">
        <v>29</v>
      </c>
      <c r="F136" s="1">
        <v>0</v>
      </c>
      <c r="G136">
        <v>63</v>
      </c>
      <c r="H136">
        <v>78</v>
      </c>
      <c r="I136" t="s">
        <v>23</v>
      </c>
      <c r="J136" t="s">
        <v>29</v>
      </c>
    </row>
    <row r="137" spans="1:10" x14ac:dyDescent="0.25">
      <c r="A137">
        <v>2</v>
      </c>
      <c r="B137" t="s">
        <v>10</v>
      </c>
      <c r="C137" s="1">
        <v>2.1</v>
      </c>
      <c r="D137" s="1">
        <v>828</v>
      </c>
      <c r="E137" s="1">
        <v>29</v>
      </c>
      <c r="F137" s="1">
        <v>0</v>
      </c>
      <c r="G137">
        <v>64</v>
      </c>
      <c r="H137">
        <v>79</v>
      </c>
      <c r="I137" t="s">
        <v>24</v>
      </c>
      <c r="J137" t="s">
        <v>27</v>
      </c>
    </row>
    <row r="138" spans="1:10" x14ac:dyDescent="0.25">
      <c r="A138">
        <v>2</v>
      </c>
      <c r="B138" t="s">
        <v>10</v>
      </c>
      <c r="C138" s="1">
        <v>2.1</v>
      </c>
      <c r="D138" s="1">
        <v>828</v>
      </c>
      <c r="E138" s="1">
        <v>29</v>
      </c>
      <c r="F138" s="1">
        <v>0</v>
      </c>
      <c r="G138">
        <v>65</v>
      </c>
      <c r="H138">
        <v>80</v>
      </c>
      <c r="I138" t="s">
        <v>24</v>
      </c>
      <c r="J138" t="s">
        <v>28</v>
      </c>
    </row>
    <row r="139" spans="1:10" x14ac:dyDescent="0.25">
      <c r="A139">
        <v>2</v>
      </c>
      <c r="B139" t="s">
        <v>10</v>
      </c>
      <c r="C139" s="1">
        <v>2.1</v>
      </c>
      <c r="D139" s="1">
        <v>828</v>
      </c>
      <c r="E139" s="1">
        <v>29</v>
      </c>
      <c r="F139" s="1">
        <v>0</v>
      </c>
      <c r="G139">
        <v>66</v>
      </c>
      <c r="H139">
        <v>81</v>
      </c>
      <c r="I139" t="s">
        <v>24</v>
      </c>
      <c r="J139" t="s">
        <v>29</v>
      </c>
    </row>
    <row r="140" spans="1:10" x14ac:dyDescent="0.25">
      <c r="A140">
        <v>2</v>
      </c>
      <c r="B140" t="s">
        <v>10</v>
      </c>
      <c r="C140" s="1">
        <v>2.1</v>
      </c>
      <c r="D140" s="1">
        <v>828</v>
      </c>
      <c r="E140" s="1">
        <v>29</v>
      </c>
      <c r="F140" s="1">
        <v>0</v>
      </c>
      <c r="G140">
        <v>67</v>
      </c>
      <c r="H140">
        <v>82</v>
      </c>
      <c r="I140" t="s">
        <v>25</v>
      </c>
      <c r="J140" t="s">
        <v>27</v>
      </c>
    </row>
    <row r="141" spans="1:10" x14ac:dyDescent="0.25">
      <c r="A141">
        <v>2</v>
      </c>
      <c r="B141" t="s">
        <v>10</v>
      </c>
      <c r="C141" s="1">
        <v>2.1</v>
      </c>
      <c r="D141" s="1">
        <v>828</v>
      </c>
      <c r="E141" s="1">
        <v>29</v>
      </c>
      <c r="F141" s="1">
        <v>0</v>
      </c>
      <c r="G141">
        <v>68</v>
      </c>
      <c r="H141">
        <v>83</v>
      </c>
      <c r="I141" t="s">
        <v>25</v>
      </c>
      <c r="J141" t="s">
        <v>28</v>
      </c>
    </row>
    <row r="142" spans="1:10" x14ac:dyDescent="0.25">
      <c r="A142">
        <v>2</v>
      </c>
      <c r="B142" t="s">
        <v>10</v>
      </c>
      <c r="C142" s="1">
        <v>2.1</v>
      </c>
      <c r="D142" s="1">
        <v>828</v>
      </c>
      <c r="E142" s="1">
        <v>29</v>
      </c>
      <c r="F142" s="1">
        <v>0</v>
      </c>
      <c r="G142">
        <v>69</v>
      </c>
      <c r="H142">
        <v>84</v>
      </c>
      <c r="I142" t="s">
        <v>25</v>
      </c>
      <c r="J142" t="s">
        <v>29</v>
      </c>
    </row>
    <row r="143" spans="1:10" x14ac:dyDescent="0.25">
      <c r="A143">
        <v>2</v>
      </c>
      <c r="B143" t="s">
        <v>10</v>
      </c>
      <c r="C143" s="1">
        <v>2.1</v>
      </c>
      <c r="D143" s="1">
        <v>828</v>
      </c>
      <c r="E143" s="1">
        <v>29</v>
      </c>
      <c r="F143" s="1">
        <v>0</v>
      </c>
      <c r="G143">
        <v>70</v>
      </c>
      <c r="H143">
        <v>85</v>
      </c>
      <c r="I143" t="s">
        <v>26</v>
      </c>
      <c r="J143" t="s">
        <v>27</v>
      </c>
    </row>
    <row r="144" spans="1:10" x14ac:dyDescent="0.25">
      <c r="A144">
        <v>2</v>
      </c>
      <c r="B144" t="s">
        <v>10</v>
      </c>
      <c r="C144" s="1">
        <v>2.1</v>
      </c>
      <c r="D144" s="1">
        <v>828</v>
      </c>
      <c r="E144" s="1">
        <v>29</v>
      </c>
      <c r="F144" s="1">
        <v>0</v>
      </c>
      <c r="G144">
        <v>71</v>
      </c>
      <c r="H144">
        <v>86</v>
      </c>
      <c r="I144" t="s">
        <v>26</v>
      </c>
      <c r="J144" t="s">
        <v>28</v>
      </c>
    </row>
    <row r="145" spans="1:10" x14ac:dyDescent="0.25">
      <c r="A145">
        <v>2</v>
      </c>
      <c r="B145" t="s">
        <v>10</v>
      </c>
      <c r="C145" s="1">
        <v>2.1</v>
      </c>
      <c r="D145" s="1">
        <v>828</v>
      </c>
      <c r="E145" s="1">
        <v>29</v>
      </c>
      <c r="F145" s="1">
        <v>0</v>
      </c>
      <c r="G145">
        <v>72</v>
      </c>
      <c r="H145">
        <v>87</v>
      </c>
      <c r="I145" t="s">
        <v>26</v>
      </c>
      <c r="J145" t="s">
        <v>29</v>
      </c>
    </row>
    <row r="146" spans="1:10" x14ac:dyDescent="0.25">
      <c r="A146">
        <v>3</v>
      </c>
      <c r="B146" t="s">
        <v>11</v>
      </c>
      <c r="C146" s="1">
        <v>2.1</v>
      </c>
      <c r="D146" s="1">
        <v>700</v>
      </c>
      <c r="E146" s="1">
        <v>20</v>
      </c>
      <c r="F146" s="1">
        <v>1</v>
      </c>
      <c r="G146">
        <v>1</v>
      </c>
      <c r="H146">
        <v>32</v>
      </c>
      <c r="I146" t="s">
        <v>19</v>
      </c>
      <c r="J146" t="s">
        <v>27</v>
      </c>
    </row>
    <row r="147" spans="1:10" x14ac:dyDescent="0.25">
      <c r="A147">
        <v>3</v>
      </c>
      <c r="B147" t="s">
        <v>11</v>
      </c>
      <c r="C147" s="1">
        <v>2.1</v>
      </c>
      <c r="D147" s="1">
        <v>700</v>
      </c>
      <c r="E147" s="1">
        <v>20</v>
      </c>
      <c r="F147" s="1">
        <v>1</v>
      </c>
      <c r="G147">
        <v>2</v>
      </c>
      <c r="H147">
        <v>33</v>
      </c>
      <c r="I147" t="s">
        <v>19</v>
      </c>
      <c r="J147" t="s">
        <v>28</v>
      </c>
    </row>
    <row r="148" spans="1:10" x14ac:dyDescent="0.25">
      <c r="A148">
        <v>3</v>
      </c>
      <c r="B148" t="s">
        <v>11</v>
      </c>
      <c r="C148" s="1">
        <v>2.1</v>
      </c>
      <c r="D148" s="1">
        <v>700</v>
      </c>
      <c r="E148" s="1">
        <v>20</v>
      </c>
      <c r="F148" s="1">
        <v>1</v>
      </c>
      <c r="G148">
        <v>3</v>
      </c>
      <c r="H148">
        <v>24</v>
      </c>
      <c r="I148" t="s">
        <v>19</v>
      </c>
      <c r="J148" t="s">
        <v>29</v>
      </c>
    </row>
    <row r="149" spans="1:10" x14ac:dyDescent="0.25">
      <c r="A149">
        <v>3</v>
      </c>
      <c r="B149" t="s">
        <v>11</v>
      </c>
      <c r="C149" s="1">
        <v>2.1</v>
      </c>
      <c r="D149" s="1">
        <v>700</v>
      </c>
      <c r="E149" s="1">
        <v>20</v>
      </c>
      <c r="F149" s="1">
        <v>1</v>
      </c>
      <c r="G149">
        <v>4</v>
      </c>
      <c r="H149">
        <v>25</v>
      </c>
      <c r="I149" t="s">
        <v>20</v>
      </c>
      <c r="J149" t="s">
        <v>27</v>
      </c>
    </row>
    <row r="150" spans="1:10" x14ac:dyDescent="0.25">
      <c r="A150">
        <v>3</v>
      </c>
      <c r="B150" t="s">
        <v>11</v>
      </c>
      <c r="C150" s="1">
        <v>2.1</v>
      </c>
      <c r="D150" s="1">
        <v>700</v>
      </c>
      <c r="E150" s="1">
        <v>20</v>
      </c>
      <c r="F150" s="1">
        <v>1</v>
      </c>
      <c r="G150">
        <v>5</v>
      </c>
      <c r="H150">
        <v>26</v>
      </c>
      <c r="I150" t="s">
        <v>20</v>
      </c>
      <c r="J150" t="s">
        <v>28</v>
      </c>
    </row>
    <row r="151" spans="1:10" x14ac:dyDescent="0.25">
      <c r="A151">
        <v>3</v>
      </c>
      <c r="B151" t="s">
        <v>11</v>
      </c>
      <c r="C151" s="1">
        <v>2.1</v>
      </c>
      <c r="D151" s="1">
        <v>700</v>
      </c>
      <c r="E151" s="1">
        <v>20</v>
      </c>
      <c r="F151" s="1">
        <v>1</v>
      </c>
      <c r="G151">
        <v>6</v>
      </c>
      <c r="H151">
        <v>27</v>
      </c>
      <c r="I151" t="s">
        <v>20</v>
      </c>
      <c r="J151" t="s">
        <v>29</v>
      </c>
    </row>
    <row r="152" spans="1:10" x14ac:dyDescent="0.25">
      <c r="A152">
        <v>3</v>
      </c>
      <c r="B152" t="s">
        <v>11</v>
      </c>
      <c r="C152" s="1">
        <v>2.1</v>
      </c>
      <c r="D152" s="1">
        <v>700</v>
      </c>
      <c r="E152" s="1">
        <v>20</v>
      </c>
      <c r="F152" s="1">
        <v>1</v>
      </c>
      <c r="G152">
        <v>7</v>
      </c>
      <c r="H152">
        <v>28</v>
      </c>
      <c r="I152" t="s">
        <v>21</v>
      </c>
      <c r="J152" t="s">
        <v>27</v>
      </c>
    </row>
    <row r="153" spans="1:10" x14ac:dyDescent="0.25">
      <c r="A153">
        <v>3</v>
      </c>
      <c r="B153" t="s">
        <v>11</v>
      </c>
      <c r="C153" s="1">
        <v>2.1</v>
      </c>
      <c r="D153" s="1">
        <v>700</v>
      </c>
      <c r="E153" s="1">
        <v>20</v>
      </c>
      <c r="F153" s="1">
        <v>1</v>
      </c>
      <c r="G153">
        <v>8</v>
      </c>
      <c r="H153">
        <v>29</v>
      </c>
      <c r="I153" t="s">
        <v>21</v>
      </c>
      <c r="J153" t="s">
        <v>28</v>
      </c>
    </row>
    <row r="154" spans="1:10" x14ac:dyDescent="0.25">
      <c r="A154">
        <v>3</v>
      </c>
      <c r="B154" t="s">
        <v>11</v>
      </c>
      <c r="C154" s="1">
        <v>2.1</v>
      </c>
      <c r="D154" s="1">
        <v>700</v>
      </c>
      <c r="E154" s="1">
        <v>20</v>
      </c>
      <c r="F154" s="1">
        <v>1</v>
      </c>
      <c r="G154">
        <v>9</v>
      </c>
      <c r="H154">
        <v>30</v>
      </c>
      <c r="I154" t="s">
        <v>21</v>
      </c>
      <c r="J154" t="s">
        <v>29</v>
      </c>
    </row>
    <row r="155" spans="1:10" x14ac:dyDescent="0.25">
      <c r="A155">
        <v>3</v>
      </c>
      <c r="B155" t="s">
        <v>11</v>
      </c>
      <c r="C155" s="1">
        <v>2.1</v>
      </c>
      <c r="D155" s="1">
        <v>700</v>
      </c>
      <c r="E155" s="1">
        <v>20</v>
      </c>
      <c r="F155" s="1">
        <v>1</v>
      </c>
      <c r="G155">
        <v>10</v>
      </c>
      <c r="H155">
        <v>31</v>
      </c>
      <c r="I155" t="s">
        <v>22</v>
      </c>
      <c r="J155" t="s">
        <v>27</v>
      </c>
    </row>
    <row r="156" spans="1:10" x14ac:dyDescent="0.25">
      <c r="A156">
        <v>3</v>
      </c>
      <c r="B156" t="s">
        <v>11</v>
      </c>
      <c r="C156" s="1">
        <v>2.1</v>
      </c>
      <c r="D156" s="1">
        <v>700</v>
      </c>
      <c r="E156" s="1">
        <v>20</v>
      </c>
      <c r="F156" s="1">
        <v>1</v>
      </c>
      <c r="G156">
        <v>11</v>
      </c>
      <c r="H156">
        <v>32</v>
      </c>
      <c r="I156" t="s">
        <v>22</v>
      </c>
      <c r="J156" t="s">
        <v>28</v>
      </c>
    </row>
    <row r="157" spans="1:10" x14ac:dyDescent="0.25">
      <c r="A157">
        <v>3</v>
      </c>
      <c r="B157" t="s">
        <v>11</v>
      </c>
      <c r="C157" s="1">
        <v>2.1</v>
      </c>
      <c r="D157" s="1">
        <v>700</v>
      </c>
      <c r="E157" s="1">
        <v>20</v>
      </c>
      <c r="F157" s="1">
        <v>1</v>
      </c>
      <c r="G157">
        <v>12</v>
      </c>
      <c r="H157">
        <v>33</v>
      </c>
      <c r="I157" t="s">
        <v>22</v>
      </c>
      <c r="J157" t="s">
        <v>29</v>
      </c>
    </row>
    <row r="158" spans="1:10" x14ac:dyDescent="0.25">
      <c r="A158">
        <v>3</v>
      </c>
      <c r="B158" t="s">
        <v>11</v>
      </c>
      <c r="C158" s="1">
        <v>2.1</v>
      </c>
      <c r="D158" s="1">
        <v>700</v>
      </c>
      <c r="E158" s="1">
        <v>20</v>
      </c>
      <c r="F158" s="1">
        <v>1</v>
      </c>
      <c r="G158">
        <v>13</v>
      </c>
      <c r="H158">
        <v>24</v>
      </c>
      <c r="I158" t="s">
        <v>23</v>
      </c>
      <c r="J158" t="s">
        <v>27</v>
      </c>
    </row>
    <row r="159" spans="1:10" x14ac:dyDescent="0.25">
      <c r="A159">
        <v>3</v>
      </c>
      <c r="B159" t="s">
        <v>11</v>
      </c>
      <c r="C159" s="1">
        <v>2.1</v>
      </c>
      <c r="D159" s="1">
        <v>700</v>
      </c>
      <c r="E159" s="1">
        <v>20</v>
      </c>
      <c r="F159" s="1">
        <v>1</v>
      </c>
      <c r="G159">
        <v>14</v>
      </c>
      <c r="H159">
        <v>25</v>
      </c>
      <c r="I159" t="s">
        <v>23</v>
      </c>
      <c r="J159" t="s">
        <v>28</v>
      </c>
    </row>
    <row r="160" spans="1:10" x14ac:dyDescent="0.25">
      <c r="A160">
        <v>3</v>
      </c>
      <c r="B160" t="s">
        <v>11</v>
      </c>
      <c r="C160" s="1">
        <v>2.1</v>
      </c>
      <c r="D160" s="1">
        <v>700</v>
      </c>
      <c r="E160" s="1">
        <v>20</v>
      </c>
      <c r="F160" s="1">
        <v>1</v>
      </c>
      <c r="G160">
        <v>15</v>
      </c>
      <c r="H160">
        <v>26</v>
      </c>
      <c r="I160" t="s">
        <v>23</v>
      </c>
      <c r="J160" t="s">
        <v>29</v>
      </c>
    </row>
    <row r="161" spans="1:10" x14ac:dyDescent="0.25">
      <c r="A161">
        <v>3</v>
      </c>
      <c r="B161" t="s">
        <v>11</v>
      </c>
      <c r="C161" s="1">
        <v>2.1</v>
      </c>
      <c r="D161" s="1">
        <v>700</v>
      </c>
      <c r="E161" s="1">
        <v>20</v>
      </c>
      <c r="F161" s="1">
        <v>1</v>
      </c>
      <c r="G161">
        <v>16</v>
      </c>
      <c r="H161">
        <v>27</v>
      </c>
      <c r="I161" t="s">
        <v>24</v>
      </c>
      <c r="J161" t="s">
        <v>27</v>
      </c>
    </row>
    <row r="162" spans="1:10" x14ac:dyDescent="0.25">
      <c r="A162">
        <v>3</v>
      </c>
      <c r="B162" t="s">
        <v>11</v>
      </c>
      <c r="C162" s="1">
        <v>2.1</v>
      </c>
      <c r="D162" s="1">
        <v>700</v>
      </c>
      <c r="E162" s="1">
        <v>20</v>
      </c>
      <c r="F162" s="1">
        <v>1</v>
      </c>
      <c r="G162">
        <v>17</v>
      </c>
      <c r="H162">
        <v>28</v>
      </c>
      <c r="I162" t="s">
        <v>24</v>
      </c>
      <c r="J162" t="s">
        <v>28</v>
      </c>
    </row>
    <row r="163" spans="1:10" x14ac:dyDescent="0.25">
      <c r="A163">
        <v>3</v>
      </c>
      <c r="B163" t="s">
        <v>11</v>
      </c>
      <c r="C163" s="1">
        <v>2.1</v>
      </c>
      <c r="D163" s="1">
        <v>700</v>
      </c>
      <c r="E163" s="1">
        <v>20</v>
      </c>
      <c r="F163" s="1">
        <v>1</v>
      </c>
      <c r="G163">
        <v>18</v>
      </c>
      <c r="H163">
        <v>29</v>
      </c>
      <c r="I163" t="s">
        <v>24</v>
      </c>
      <c r="J163" t="s">
        <v>29</v>
      </c>
    </row>
    <row r="164" spans="1:10" x14ac:dyDescent="0.25">
      <c r="A164">
        <v>3</v>
      </c>
      <c r="B164" t="s">
        <v>11</v>
      </c>
      <c r="C164" s="1">
        <v>2.1</v>
      </c>
      <c r="D164" s="1">
        <v>700</v>
      </c>
      <c r="E164" s="1">
        <v>20</v>
      </c>
      <c r="F164" s="1">
        <v>1</v>
      </c>
      <c r="G164">
        <v>19</v>
      </c>
      <c r="H164">
        <v>30</v>
      </c>
      <c r="I164" t="s">
        <v>25</v>
      </c>
      <c r="J164" t="s">
        <v>27</v>
      </c>
    </row>
    <row r="165" spans="1:10" x14ac:dyDescent="0.25">
      <c r="A165">
        <v>3</v>
      </c>
      <c r="B165" t="s">
        <v>11</v>
      </c>
      <c r="C165" s="1">
        <v>2.1</v>
      </c>
      <c r="D165" s="1">
        <v>700</v>
      </c>
      <c r="E165" s="1">
        <v>20</v>
      </c>
      <c r="F165" s="1">
        <v>1</v>
      </c>
      <c r="G165">
        <v>20</v>
      </c>
      <c r="H165">
        <v>31</v>
      </c>
      <c r="I165" t="s">
        <v>25</v>
      </c>
      <c r="J165" t="s">
        <v>28</v>
      </c>
    </row>
    <row r="166" spans="1:10" x14ac:dyDescent="0.25">
      <c r="A166">
        <v>3</v>
      </c>
      <c r="B166" t="s">
        <v>11</v>
      </c>
      <c r="C166" s="1">
        <v>2.1</v>
      </c>
      <c r="D166" s="1">
        <v>700</v>
      </c>
      <c r="E166" s="1">
        <v>20</v>
      </c>
      <c r="F166" s="1">
        <v>1</v>
      </c>
      <c r="G166">
        <v>21</v>
      </c>
      <c r="H166">
        <v>32</v>
      </c>
      <c r="I166" t="s">
        <v>25</v>
      </c>
      <c r="J166" t="s">
        <v>29</v>
      </c>
    </row>
    <row r="167" spans="1:10" x14ac:dyDescent="0.25">
      <c r="A167">
        <v>3</v>
      </c>
      <c r="B167" t="s">
        <v>11</v>
      </c>
      <c r="C167" s="1">
        <v>2.1</v>
      </c>
      <c r="D167" s="1">
        <v>700</v>
      </c>
      <c r="E167" s="1">
        <v>20</v>
      </c>
      <c r="F167" s="1">
        <v>1</v>
      </c>
      <c r="G167">
        <v>22</v>
      </c>
      <c r="H167">
        <v>33</v>
      </c>
      <c r="I167" t="s">
        <v>26</v>
      </c>
      <c r="J167" t="s">
        <v>27</v>
      </c>
    </row>
    <row r="168" spans="1:10" x14ac:dyDescent="0.25">
      <c r="A168">
        <v>3</v>
      </c>
      <c r="B168" t="s">
        <v>11</v>
      </c>
      <c r="C168" s="1">
        <v>2.1</v>
      </c>
      <c r="D168" s="1">
        <v>700</v>
      </c>
      <c r="E168" s="1">
        <v>20</v>
      </c>
      <c r="F168" s="1">
        <v>1</v>
      </c>
      <c r="G168">
        <v>23</v>
      </c>
      <c r="H168">
        <v>24</v>
      </c>
      <c r="I168" t="s">
        <v>26</v>
      </c>
      <c r="J168" t="s">
        <v>28</v>
      </c>
    </row>
    <row r="169" spans="1:10" x14ac:dyDescent="0.25">
      <c r="A169">
        <v>3</v>
      </c>
      <c r="B169" t="s">
        <v>11</v>
      </c>
      <c r="C169" s="1">
        <v>2.1</v>
      </c>
      <c r="D169" s="1">
        <v>700</v>
      </c>
      <c r="E169" s="1">
        <v>20</v>
      </c>
      <c r="F169" s="1">
        <v>1</v>
      </c>
      <c r="G169">
        <v>24</v>
      </c>
      <c r="H169">
        <v>25</v>
      </c>
      <c r="I169" t="s">
        <v>26</v>
      </c>
      <c r="J169" t="s">
        <v>29</v>
      </c>
    </row>
    <row r="170" spans="1:10" x14ac:dyDescent="0.25">
      <c r="A170">
        <v>3</v>
      </c>
      <c r="B170" t="s">
        <v>11</v>
      </c>
      <c r="C170" s="1">
        <v>2.1</v>
      </c>
      <c r="D170" s="1">
        <v>700</v>
      </c>
      <c r="E170" s="1">
        <v>20</v>
      </c>
      <c r="F170" s="1">
        <v>1</v>
      </c>
      <c r="G170">
        <v>25</v>
      </c>
      <c r="H170">
        <v>34</v>
      </c>
      <c r="I170" t="s">
        <v>19</v>
      </c>
      <c r="J170" t="s">
        <v>27</v>
      </c>
    </row>
    <row r="171" spans="1:10" x14ac:dyDescent="0.25">
      <c r="A171">
        <v>3</v>
      </c>
      <c r="B171" t="s">
        <v>11</v>
      </c>
      <c r="C171" s="1">
        <v>2.1</v>
      </c>
      <c r="D171" s="1">
        <v>700</v>
      </c>
      <c r="E171" s="1">
        <v>20</v>
      </c>
      <c r="F171" s="1">
        <v>1</v>
      </c>
      <c r="G171">
        <v>26</v>
      </c>
      <c r="H171">
        <v>35</v>
      </c>
      <c r="I171" t="s">
        <v>19</v>
      </c>
      <c r="J171" t="s">
        <v>28</v>
      </c>
    </row>
    <row r="172" spans="1:10" x14ac:dyDescent="0.25">
      <c r="A172">
        <v>3</v>
      </c>
      <c r="B172" t="s">
        <v>11</v>
      </c>
      <c r="C172" s="1">
        <v>2.1</v>
      </c>
      <c r="D172" s="1">
        <v>700</v>
      </c>
      <c r="E172" s="1">
        <v>20</v>
      </c>
      <c r="F172" s="1">
        <v>1</v>
      </c>
      <c r="G172">
        <v>27</v>
      </c>
      <c r="H172">
        <v>36</v>
      </c>
      <c r="I172" t="s">
        <v>19</v>
      </c>
      <c r="J172" t="s">
        <v>29</v>
      </c>
    </row>
    <row r="173" spans="1:10" x14ac:dyDescent="0.25">
      <c r="A173">
        <v>3</v>
      </c>
      <c r="B173" t="s">
        <v>11</v>
      </c>
      <c r="C173" s="1">
        <v>2.1</v>
      </c>
      <c r="D173" s="1">
        <v>700</v>
      </c>
      <c r="E173" s="1">
        <v>20</v>
      </c>
      <c r="F173" s="1">
        <v>1</v>
      </c>
      <c r="G173">
        <v>28</v>
      </c>
      <c r="H173">
        <v>37</v>
      </c>
      <c r="I173" t="s">
        <v>20</v>
      </c>
      <c r="J173" t="s">
        <v>27</v>
      </c>
    </row>
    <row r="174" spans="1:10" x14ac:dyDescent="0.25">
      <c r="A174">
        <v>3</v>
      </c>
      <c r="B174" t="s">
        <v>11</v>
      </c>
      <c r="C174" s="1">
        <v>2.1</v>
      </c>
      <c r="D174" s="1">
        <v>700</v>
      </c>
      <c r="E174" s="1">
        <v>20</v>
      </c>
      <c r="F174" s="1">
        <v>1</v>
      </c>
      <c r="G174">
        <v>29</v>
      </c>
      <c r="H174">
        <v>38</v>
      </c>
      <c r="I174" t="s">
        <v>20</v>
      </c>
      <c r="J174" t="s">
        <v>28</v>
      </c>
    </row>
    <row r="175" spans="1:10" x14ac:dyDescent="0.25">
      <c r="A175">
        <v>3</v>
      </c>
      <c r="B175" t="s">
        <v>11</v>
      </c>
      <c r="C175" s="1">
        <v>2.1</v>
      </c>
      <c r="D175" s="1">
        <v>700</v>
      </c>
      <c r="E175" s="1">
        <v>20</v>
      </c>
      <c r="F175" s="1">
        <v>1</v>
      </c>
      <c r="G175">
        <v>30</v>
      </c>
      <c r="H175">
        <v>39</v>
      </c>
      <c r="I175" t="s">
        <v>20</v>
      </c>
      <c r="J175" t="s">
        <v>29</v>
      </c>
    </row>
    <row r="176" spans="1:10" x14ac:dyDescent="0.25">
      <c r="A176">
        <v>3</v>
      </c>
      <c r="B176" t="s">
        <v>11</v>
      </c>
      <c r="C176" s="1">
        <v>2.1</v>
      </c>
      <c r="D176" s="1">
        <v>700</v>
      </c>
      <c r="E176" s="1">
        <v>20</v>
      </c>
      <c r="F176" s="1">
        <v>1</v>
      </c>
      <c r="G176">
        <v>31</v>
      </c>
      <c r="H176">
        <v>34</v>
      </c>
      <c r="I176" t="s">
        <v>21</v>
      </c>
      <c r="J176" t="s">
        <v>27</v>
      </c>
    </row>
    <row r="177" spans="1:10" x14ac:dyDescent="0.25">
      <c r="A177">
        <v>3</v>
      </c>
      <c r="B177" t="s">
        <v>11</v>
      </c>
      <c r="C177" s="1">
        <v>2.1</v>
      </c>
      <c r="D177" s="1">
        <v>700</v>
      </c>
      <c r="E177" s="1">
        <v>20</v>
      </c>
      <c r="F177" s="1">
        <v>1</v>
      </c>
      <c r="G177">
        <v>32</v>
      </c>
      <c r="H177">
        <v>35</v>
      </c>
      <c r="I177" t="s">
        <v>21</v>
      </c>
      <c r="J177" t="s">
        <v>28</v>
      </c>
    </row>
    <row r="178" spans="1:10" x14ac:dyDescent="0.25">
      <c r="A178">
        <v>3</v>
      </c>
      <c r="B178" t="s">
        <v>11</v>
      </c>
      <c r="C178" s="1">
        <v>2.1</v>
      </c>
      <c r="D178" s="1">
        <v>700</v>
      </c>
      <c r="E178" s="1">
        <v>20</v>
      </c>
      <c r="F178" s="1">
        <v>1</v>
      </c>
      <c r="G178">
        <v>33</v>
      </c>
      <c r="H178">
        <v>36</v>
      </c>
      <c r="I178" t="s">
        <v>21</v>
      </c>
      <c r="J178" t="s">
        <v>29</v>
      </c>
    </row>
    <row r="179" spans="1:10" x14ac:dyDescent="0.25">
      <c r="A179">
        <v>3</v>
      </c>
      <c r="B179" t="s">
        <v>11</v>
      </c>
      <c r="C179" s="1">
        <v>2.1</v>
      </c>
      <c r="D179" s="1">
        <v>700</v>
      </c>
      <c r="E179" s="1">
        <v>20</v>
      </c>
      <c r="F179" s="1">
        <v>1</v>
      </c>
      <c r="G179">
        <v>34</v>
      </c>
      <c r="H179">
        <v>37</v>
      </c>
      <c r="I179" t="s">
        <v>22</v>
      </c>
      <c r="J179" t="s">
        <v>27</v>
      </c>
    </row>
    <row r="180" spans="1:10" x14ac:dyDescent="0.25">
      <c r="A180">
        <v>3</v>
      </c>
      <c r="B180" t="s">
        <v>11</v>
      </c>
      <c r="C180" s="1">
        <v>2.1</v>
      </c>
      <c r="D180" s="1">
        <v>700</v>
      </c>
      <c r="E180" s="1">
        <v>20</v>
      </c>
      <c r="F180" s="1">
        <v>1</v>
      </c>
      <c r="G180">
        <v>35</v>
      </c>
      <c r="H180">
        <v>38</v>
      </c>
      <c r="I180" t="s">
        <v>22</v>
      </c>
      <c r="J180" t="s">
        <v>28</v>
      </c>
    </row>
    <row r="181" spans="1:10" x14ac:dyDescent="0.25">
      <c r="A181">
        <v>3</v>
      </c>
      <c r="B181" t="s">
        <v>11</v>
      </c>
      <c r="C181" s="1">
        <v>2.1</v>
      </c>
      <c r="D181" s="1">
        <v>700</v>
      </c>
      <c r="E181" s="1">
        <v>20</v>
      </c>
      <c r="F181" s="1">
        <v>1</v>
      </c>
      <c r="G181">
        <v>36</v>
      </c>
      <c r="H181">
        <v>39</v>
      </c>
      <c r="I181" t="s">
        <v>22</v>
      </c>
      <c r="J181" t="s">
        <v>29</v>
      </c>
    </row>
    <row r="182" spans="1:10" x14ac:dyDescent="0.25">
      <c r="A182">
        <v>3</v>
      </c>
      <c r="B182" t="s">
        <v>11</v>
      </c>
      <c r="C182" s="1">
        <v>2.1</v>
      </c>
      <c r="D182" s="1">
        <v>700</v>
      </c>
      <c r="E182" s="1">
        <v>20</v>
      </c>
      <c r="F182" s="1">
        <v>1</v>
      </c>
      <c r="G182">
        <v>37</v>
      </c>
      <c r="H182">
        <v>34</v>
      </c>
      <c r="I182" t="s">
        <v>23</v>
      </c>
      <c r="J182" t="s">
        <v>27</v>
      </c>
    </row>
    <row r="183" spans="1:10" x14ac:dyDescent="0.25">
      <c r="A183">
        <v>3</v>
      </c>
      <c r="B183" t="s">
        <v>11</v>
      </c>
      <c r="C183" s="1">
        <v>2.1</v>
      </c>
      <c r="D183" s="1">
        <v>700</v>
      </c>
      <c r="E183" s="1">
        <v>20</v>
      </c>
      <c r="F183" s="1">
        <v>1</v>
      </c>
      <c r="G183">
        <v>38</v>
      </c>
      <c r="H183">
        <v>35</v>
      </c>
      <c r="I183" t="s">
        <v>23</v>
      </c>
      <c r="J183" t="s">
        <v>28</v>
      </c>
    </row>
    <row r="184" spans="1:10" x14ac:dyDescent="0.25">
      <c r="A184">
        <v>3</v>
      </c>
      <c r="B184" t="s">
        <v>11</v>
      </c>
      <c r="C184" s="1">
        <v>2.1</v>
      </c>
      <c r="D184" s="1">
        <v>700</v>
      </c>
      <c r="E184" s="1">
        <v>20</v>
      </c>
      <c r="F184" s="1">
        <v>1</v>
      </c>
      <c r="G184">
        <v>39</v>
      </c>
      <c r="H184">
        <v>36</v>
      </c>
      <c r="I184" t="s">
        <v>23</v>
      </c>
      <c r="J184" t="s">
        <v>29</v>
      </c>
    </row>
    <row r="185" spans="1:10" x14ac:dyDescent="0.25">
      <c r="A185">
        <v>3</v>
      </c>
      <c r="B185" t="s">
        <v>11</v>
      </c>
      <c r="C185" s="1">
        <v>2.1</v>
      </c>
      <c r="D185" s="1">
        <v>700</v>
      </c>
      <c r="E185" s="1">
        <v>20</v>
      </c>
      <c r="F185" s="1">
        <v>1</v>
      </c>
      <c r="G185">
        <v>40</v>
      </c>
      <c r="H185">
        <v>37</v>
      </c>
      <c r="I185" t="s">
        <v>24</v>
      </c>
      <c r="J185" t="s">
        <v>27</v>
      </c>
    </row>
    <row r="186" spans="1:10" x14ac:dyDescent="0.25">
      <c r="A186">
        <v>3</v>
      </c>
      <c r="B186" t="s">
        <v>11</v>
      </c>
      <c r="C186" s="1">
        <v>2.1</v>
      </c>
      <c r="D186" s="1">
        <v>700</v>
      </c>
      <c r="E186" s="1">
        <v>20</v>
      </c>
      <c r="F186" s="1">
        <v>1</v>
      </c>
      <c r="G186">
        <v>41</v>
      </c>
      <c r="H186">
        <v>38</v>
      </c>
      <c r="I186" t="s">
        <v>24</v>
      </c>
      <c r="J186" t="s">
        <v>28</v>
      </c>
    </row>
    <row r="187" spans="1:10" x14ac:dyDescent="0.25">
      <c r="A187">
        <v>3</v>
      </c>
      <c r="B187" t="s">
        <v>11</v>
      </c>
      <c r="C187" s="1">
        <v>2.1</v>
      </c>
      <c r="D187" s="1">
        <v>700</v>
      </c>
      <c r="E187" s="1">
        <v>20</v>
      </c>
      <c r="F187" s="1">
        <v>1</v>
      </c>
      <c r="G187">
        <v>42</v>
      </c>
      <c r="H187">
        <v>39</v>
      </c>
      <c r="I187" t="s">
        <v>24</v>
      </c>
      <c r="J187" t="s">
        <v>29</v>
      </c>
    </row>
    <row r="188" spans="1:10" x14ac:dyDescent="0.25">
      <c r="A188">
        <v>3</v>
      </c>
      <c r="B188" t="s">
        <v>11</v>
      </c>
      <c r="C188" s="1">
        <v>2.1</v>
      </c>
      <c r="D188" s="1">
        <v>700</v>
      </c>
      <c r="E188" s="1">
        <v>20</v>
      </c>
      <c r="F188" s="1">
        <v>1</v>
      </c>
      <c r="G188">
        <v>43</v>
      </c>
      <c r="H188">
        <v>34</v>
      </c>
      <c r="I188" t="s">
        <v>25</v>
      </c>
      <c r="J188" t="s">
        <v>27</v>
      </c>
    </row>
    <row r="189" spans="1:10" x14ac:dyDescent="0.25">
      <c r="A189">
        <v>3</v>
      </c>
      <c r="B189" t="s">
        <v>11</v>
      </c>
      <c r="C189" s="1">
        <v>2.1</v>
      </c>
      <c r="D189" s="1">
        <v>700</v>
      </c>
      <c r="E189" s="1">
        <v>20</v>
      </c>
      <c r="F189" s="1">
        <v>1</v>
      </c>
      <c r="G189">
        <v>44</v>
      </c>
      <c r="H189">
        <v>35</v>
      </c>
      <c r="I189" t="s">
        <v>25</v>
      </c>
      <c r="J189" t="s">
        <v>28</v>
      </c>
    </row>
    <row r="190" spans="1:10" x14ac:dyDescent="0.25">
      <c r="A190">
        <v>3</v>
      </c>
      <c r="B190" t="s">
        <v>11</v>
      </c>
      <c r="C190" s="1">
        <v>2.1</v>
      </c>
      <c r="D190" s="1">
        <v>700</v>
      </c>
      <c r="E190" s="1">
        <v>20</v>
      </c>
      <c r="F190" s="1">
        <v>1</v>
      </c>
      <c r="G190">
        <v>45</v>
      </c>
      <c r="H190">
        <v>36</v>
      </c>
      <c r="I190" t="s">
        <v>25</v>
      </c>
      <c r="J190" t="s">
        <v>29</v>
      </c>
    </row>
    <row r="191" spans="1:10" x14ac:dyDescent="0.25">
      <c r="A191">
        <v>3</v>
      </c>
      <c r="B191" t="s">
        <v>11</v>
      </c>
      <c r="C191" s="1">
        <v>2.1</v>
      </c>
      <c r="D191" s="1">
        <v>700</v>
      </c>
      <c r="E191" s="1">
        <v>20</v>
      </c>
      <c r="F191" s="1">
        <v>1</v>
      </c>
      <c r="G191">
        <v>46</v>
      </c>
      <c r="H191">
        <v>37</v>
      </c>
      <c r="I191" t="s">
        <v>26</v>
      </c>
      <c r="J191" t="s">
        <v>27</v>
      </c>
    </row>
    <row r="192" spans="1:10" x14ac:dyDescent="0.25">
      <c r="A192">
        <v>3</v>
      </c>
      <c r="B192" t="s">
        <v>11</v>
      </c>
      <c r="C192" s="1">
        <v>2.1</v>
      </c>
      <c r="D192" s="1">
        <v>700</v>
      </c>
      <c r="E192" s="1">
        <v>20</v>
      </c>
      <c r="F192" s="1">
        <v>1</v>
      </c>
      <c r="G192">
        <v>47</v>
      </c>
      <c r="H192">
        <v>38</v>
      </c>
      <c r="I192" t="s">
        <v>26</v>
      </c>
      <c r="J192" t="s">
        <v>28</v>
      </c>
    </row>
    <row r="193" spans="1:10" x14ac:dyDescent="0.25">
      <c r="A193">
        <v>3</v>
      </c>
      <c r="B193" t="s">
        <v>11</v>
      </c>
      <c r="C193" s="1">
        <v>2.1</v>
      </c>
      <c r="D193" s="1">
        <v>700</v>
      </c>
      <c r="E193" s="1">
        <v>20</v>
      </c>
      <c r="F193" s="1">
        <v>1</v>
      </c>
      <c r="G193">
        <v>48</v>
      </c>
      <c r="H193">
        <v>39</v>
      </c>
      <c r="I193" t="s">
        <v>26</v>
      </c>
      <c r="J193" t="s">
        <v>29</v>
      </c>
    </row>
    <row r="194" spans="1:10" x14ac:dyDescent="0.25">
      <c r="A194">
        <v>3</v>
      </c>
      <c r="B194" t="s">
        <v>11</v>
      </c>
      <c r="C194" s="1">
        <v>2.1</v>
      </c>
      <c r="D194" s="1">
        <v>700</v>
      </c>
      <c r="E194" s="1">
        <v>20</v>
      </c>
      <c r="F194" s="1">
        <v>1</v>
      </c>
      <c r="G194">
        <v>49</v>
      </c>
      <c r="H194">
        <v>88</v>
      </c>
      <c r="I194" t="s">
        <v>19</v>
      </c>
      <c r="J194" t="s">
        <v>27</v>
      </c>
    </row>
    <row r="195" spans="1:10" x14ac:dyDescent="0.25">
      <c r="A195">
        <v>3</v>
      </c>
      <c r="B195" t="s">
        <v>11</v>
      </c>
      <c r="C195" s="1">
        <v>2.1</v>
      </c>
      <c r="D195" s="1">
        <v>700</v>
      </c>
      <c r="E195" s="1">
        <v>20</v>
      </c>
      <c r="F195" s="1">
        <v>1</v>
      </c>
      <c r="G195">
        <v>50</v>
      </c>
      <c r="H195">
        <v>89</v>
      </c>
      <c r="I195" t="s">
        <v>19</v>
      </c>
      <c r="J195" t="s">
        <v>28</v>
      </c>
    </row>
    <row r="196" spans="1:10" x14ac:dyDescent="0.25">
      <c r="A196">
        <v>3</v>
      </c>
      <c r="B196" t="s">
        <v>11</v>
      </c>
      <c r="C196" s="1">
        <v>2.1</v>
      </c>
      <c r="D196" s="1">
        <v>700</v>
      </c>
      <c r="E196" s="1">
        <v>20</v>
      </c>
      <c r="F196" s="1">
        <v>1</v>
      </c>
      <c r="G196">
        <v>51</v>
      </c>
      <c r="H196">
        <v>90</v>
      </c>
      <c r="I196" t="s">
        <v>19</v>
      </c>
      <c r="J196" t="s">
        <v>29</v>
      </c>
    </row>
    <row r="197" spans="1:10" x14ac:dyDescent="0.25">
      <c r="A197">
        <v>3</v>
      </c>
      <c r="B197" t="s">
        <v>11</v>
      </c>
      <c r="C197" s="1">
        <v>2.1</v>
      </c>
      <c r="D197" s="1">
        <v>700</v>
      </c>
      <c r="E197" s="1">
        <v>20</v>
      </c>
      <c r="F197" s="1">
        <v>1</v>
      </c>
      <c r="G197">
        <v>52</v>
      </c>
      <c r="H197">
        <v>91</v>
      </c>
      <c r="I197" t="s">
        <v>20</v>
      </c>
      <c r="J197" t="s">
        <v>27</v>
      </c>
    </row>
    <row r="198" spans="1:10" x14ac:dyDescent="0.25">
      <c r="A198">
        <v>3</v>
      </c>
      <c r="B198" t="s">
        <v>11</v>
      </c>
      <c r="C198" s="1">
        <v>2.1</v>
      </c>
      <c r="D198" s="1">
        <v>700</v>
      </c>
      <c r="E198" s="1">
        <v>20</v>
      </c>
      <c r="F198" s="1">
        <v>1</v>
      </c>
      <c r="G198">
        <v>53</v>
      </c>
      <c r="H198">
        <v>92</v>
      </c>
      <c r="I198" t="s">
        <v>20</v>
      </c>
      <c r="J198" t="s">
        <v>28</v>
      </c>
    </row>
    <row r="199" spans="1:10" x14ac:dyDescent="0.25">
      <c r="A199">
        <v>3</v>
      </c>
      <c r="B199" t="s">
        <v>11</v>
      </c>
      <c r="C199" s="1">
        <v>2.1</v>
      </c>
      <c r="D199" s="1">
        <v>700</v>
      </c>
      <c r="E199" s="1">
        <v>20</v>
      </c>
      <c r="F199" s="1">
        <v>1</v>
      </c>
      <c r="G199">
        <v>54</v>
      </c>
      <c r="H199">
        <v>93</v>
      </c>
      <c r="I199" t="s">
        <v>20</v>
      </c>
      <c r="J199" t="s">
        <v>29</v>
      </c>
    </row>
    <row r="200" spans="1:10" x14ac:dyDescent="0.25">
      <c r="A200">
        <v>3</v>
      </c>
      <c r="B200" t="s">
        <v>11</v>
      </c>
      <c r="C200" s="1">
        <v>2.1</v>
      </c>
      <c r="D200" s="1">
        <v>700</v>
      </c>
      <c r="E200" s="1">
        <v>20</v>
      </c>
      <c r="F200" s="1">
        <v>1</v>
      </c>
      <c r="G200">
        <v>55</v>
      </c>
      <c r="H200">
        <v>94</v>
      </c>
      <c r="I200" t="s">
        <v>21</v>
      </c>
      <c r="J200" t="s">
        <v>27</v>
      </c>
    </row>
    <row r="201" spans="1:10" x14ac:dyDescent="0.25">
      <c r="A201">
        <v>3</v>
      </c>
      <c r="B201" t="s">
        <v>11</v>
      </c>
      <c r="C201" s="1">
        <v>2.1</v>
      </c>
      <c r="D201" s="1">
        <v>700</v>
      </c>
      <c r="E201" s="1">
        <v>20</v>
      </c>
      <c r="F201" s="1">
        <v>1</v>
      </c>
      <c r="G201">
        <v>56</v>
      </c>
      <c r="H201">
        <v>95</v>
      </c>
      <c r="I201" t="s">
        <v>21</v>
      </c>
      <c r="J201" t="s">
        <v>28</v>
      </c>
    </row>
    <row r="202" spans="1:10" x14ac:dyDescent="0.25">
      <c r="A202">
        <v>3</v>
      </c>
      <c r="B202" t="s">
        <v>11</v>
      </c>
      <c r="C202" s="1">
        <v>2.1</v>
      </c>
      <c r="D202" s="1">
        <v>700</v>
      </c>
      <c r="E202" s="1">
        <v>20</v>
      </c>
      <c r="F202" s="1">
        <v>1</v>
      </c>
      <c r="G202">
        <v>57</v>
      </c>
      <c r="H202">
        <v>96</v>
      </c>
      <c r="I202" t="s">
        <v>21</v>
      </c>
      <c r="J202" t="s">
        <v>29</v>
      </c>
    </row>
    <row r="203" spans="1:10" x14ac:dyDescent="0.25">
      <c r="A203">
        <v>3</v>
      </c>
      <c r="B203" t="s">
        <v>11</v>
      </c>
      <c r="C203" s="1">
        <v>2.1</v>
      </c>
      <c r="D203" s="1">
        <v>700</v>
      </c>
      <c r="E203" s="1">
        <v>20</v>
      </c>
      <c r="F203" s="1">
        <v>1</v>
      </c>
      <c r="G203">
        <v>58</v>
      </c>
      <c r="H203">
        <v>97</v>
      </c>
      <c r="I203" t="s">
        <v>22</v>
      </c>
      <c r="J203" t="s">
        <v>27</v>
      </c>
    </row>
    <row r="204" spans="1:10" x14ac:dyDescent="0.25">
      <c r="A204">
        <v>3</v>
      </c>
      <c r="B204" t="s">
        <v>11</v>
      </c>
      <c r="C204" s="1">
        <v>2.1</v>
      </c>
      <c r="D204" s="1">
        <v>700</v>
      </c>
      <c r="E204" s="1">
        <v>20</v>
      </c>
      <c r="F204" s="1">
        <v>1</v>
      </c>
      <c r="G204">
        <v>59</v>
      </c>
      <c r="H204">
        <v>98</v>
      </c>
      <c r="I204" t="s">
        <v>22</v>
      </c>
      <c r="J204" t="s">
        <v>28</v>
      </c>
    </row>
    <row r="205" spans="1:10" x14ac:dyDescent="0.25">
      <c r="A205">
        <v>3</v>
      </c>
      <c r="B205" t="s">
        <v>11</v>
      </c>
      <c r="C205" s="1">
        <v>2.1</v>
      </c>
      <c r="D205" s="1">
        <v>700</v>
      </c>
      <c r="E205" s="1">
        <v>20</v>
      </c>
      <c r="F205" s="1">
        <v>1</v>
      </c>
      <c r="G205">
        <v>60</v>
      </c>
      <c r="H205">
        <v>99</v>
      </c>
      <c r="I205" t="s">
        <v>22</v>
      </c>
      <c r="J205" t="s">
        <v>29</v>
      </c>
    </row>
    <row r="206" spans="1:10" x14ac:dyDescent="0.25">
      <c r="A206">
        <v>3</v>
      </c>
      <c r="B206" t="s">
        <v>11</v>
      </c>
      <c r="C206" s="1">
        <v>2.1</v>
      </c>
      <c r="D206" s="1">
        <v>700</v>
      </c>
      <c r="E206" s="1">
        <v>20</v>
      </c>
      <c r="F206" s="1">
        <v>1</v>
      </c>
      <c r="G206">
        <v>61</v>
      </c>
      <c r="H206">
        <v>100</v>
      </c>
      <c r="I206" t="s">
        <v>23</v>
      </c>
      <c r="J206" t="s">
        <v>27</v>
      </c>
    </row>
    <row r="207" spans="1:10" x14ac:dyDescent="0.25">
      <c r="A207">
        <v>3</v>
      </c>
      <c r="B207" t="s">
        <v>11</v>
      </c>
      <c r="C207" s="1">
        <v>2.1</v>
      </c>
      <c r="D207" s="1">
        <v>700</v>
      </c>
      <c r="E207" s="1">
        <v>20</v>
      </c>
      <c r="F207" s="1">
        <v>1</v>
      </c>
      <c r="G207">
        <v>62</v>
      </c>
      <c r="H207">
        <v>101</v>
      </c>
      <c r="I207" t="s">
        <v>23</v>
      </c>
      <c r="J207" t="s">
        <v>28</v>
      </c>
    </row>
    <row r="208" spans="1:10" x14ac:dyDescent="0.25">
      <c r="A208">
        <v>3</v>
      </c>
      <c r="B208" t="s">
        <v>11</v>
      </c>
      <c r="C208" s="1">
        <v>2.1</v>
      </c>
      <c r="D208" s="1">
        <v>700</v>
      </c>
      <c r="E208" s="1">
        <v>20</v>
      </c>
      <c r="F208" s="1">
        <v>1</v>
      </c>
      <c r="G208">
        <v>63</v>
      </c>
      <c r="H208">
        <v>102</v>
      </c>
      <c r="I208" t="s">
        <v>23</v>
      </c>
      <c r="J208" t="s">
        <v>29</v>
      </c>
    </row>
    <row r="209" spans="1:10" x14ac:dyDescent="0.25">
      <c r="A209">
        <v>3</v>
      </c>
      <c r="B209" t="s">
        <v>11</v>
      </c>
      <c r="C209" s="1">
        <v>2.1</v>
      </c>
      <c r="D209" s="1">
        <v>700</v>
      </c>
      <c r="E209" s="1">
        <v>20</v>
      </c>
      <c r="F209" s="1">
        <v>1</v>
      </c>
      <c r="G209">
        <v>64</v>
      </c>
      <c r="H209">
        <v>103</v>
      </c>
      <c r="I209" t="s">
        <v>24</v>
      </c>
      <c r="J209" t="s">
        <v>27</v>
      </c>
    </row>
    <row r="210" spans="1:10" x14ac:dyDescent="0.25">
      <c r="A210">
        <v>3</v>
      </c>
      <c r="B210" t="s">
        <v>11</v>
      </c>
      <c r="C210" s="1">
        <v>2.1</v>
      </c>
      <c r="D210" s="1">
        <v>700</v>
      </c>
      <c r="E210" s="1">
        <v>20</v>
      </c>
      <c r="F210" s="1">
        <v>1</v>
      </c>
      <c r="G210">
        <v>65</v>
      </c>
      <c r="H210">
        <v>104</v>
      </c>
      <c r="I210" t="s">
        <v>24</v>
      </c>
      <c r="J210" t="s">
        <v>28</v>
      </c>
    </row>
    <row r="211" spans="1:10" x14ac:dyDescent="0.25">
      <c r="A211">
        <v>3</v>
      </c>
      <c r="B211" t="s">
        <v>11</v>
      </c>
      <c r="C211" s="1">
        <v>2.1</v>
      </c>
      <c r="D211" s="1">
        <v>700</v>
      </c>
      <c r="E211" s="1">
        <v>20</v>
      </c>
      <c r="F211" s="1">
        <v>1</v>
      </c>
      <c r="G211">
        <v>66</v>
      </c>
      <c r="H211">
        <v>105</v>
      </c>
      <c r="I211" t="s">
        <v>24</v>
      </c>
      <c r="J211" t="s">
        <v>29</v>
      </c>
    </row>
    <row r="212" spans="1:10" x14ac:dyDescent="0.25">
      <c r="A212">
        <v>3</v>
      </c>
      <c r="B212" t="s">
        <v>11</v>
      </c>
      <c r="C212" s="1">
        <v>2.1</v>
      </c>
      <c r="D212" s="1">
        <v>700</v>
      </c>
      <c r="E212" s="1">
        <v>20</v>
      </c>
      <c r="F212" s="1">
        <v>1</v>
      </c>
      <c r="G212">
        <v>67</v>
      </c>
      <c r="H212">
        <v>106</v>
      </c>
      <c r="I212" t="s">
        <v>25</v>
      </c>
      <c r="J212" t="s">
        <v>27</v>
      </c>
    </row>
    <row r="213" spans="1:10" x14ac:dyDescent="0.25">
      <c r="A213">
        <v>3</v>
      </c>
      <c r="B213" t="s">
        <v>11</v>
      </c>
      <c r="C213" s="1">
        <v>2.1</v>
      </c>
      <c r="D213" s="1">
        <v>700</v>
      </c>
      <c r="E213" s="1">
        <v>20</v>
      </c>
      <c r="F213" s="1">
        <v>1</v>
      </c>
      <c r="G213">
        <v>68</v>
      </c>
      <c r="H213">
        <v>107</v>
      </c>
      <c r="I213" t="s">
        <v>25</v>
      </c>
      <c r="J213" t="s">
        <v>28</v>
      </c>
    </row>
    <row r="214" spans="1:10" x14ac:dyDescent="0.25">
      <c r="A214">
        <v>3</v>
      </c>
      <c r="B214" t="s">
        <v>11</v>
      </c>
      <c r="C214" s="1">
        <v>2.1</v>
      </c>
      <c r="D214" s="1">
        <v>700</v>
      </c>
      <c r="E214" s="1">
        <v>20</v>
      </c>
      <c r="F214" s="1">
        <v>1</v>
      </c>
      <c r="G214">
        <v>69</v>
      </c>
      <c r="H214">
        <v>108</v>
      </c>
      <c r="I214" t="s">
        <v>25</v>
      </c>
      <c r="J214" t="s">
        <v>29</v>
      </c>
    </row>
    <row r="215" spans="1:10" x14ac:dyDescent="0.25">
      <c r="A215">
        <v>3</v>
      </c>
      <c r="B215" t="s">
        <v>11</v>
      </c>
      <c r="C215" s="1">
        <v>2.1</v>
      </c>
      <c r="D215" s="1">
        <v>700</v>
      </c>
      <c r="E215" s="1">
        <v>20</v>
      </c>
      <c r="F215" s="1">
        <v>1</v>
      </c>
      <c r="G215">
        <v>70</v>
      </c>
      <c r="H215">
        <v>109</v>
      </c>
      <c r="I215" t="s">
        <v>26</v>
      </c>
      <c r="J215" t="s">
        <v>27</v>
      </c>
    </row>
    <row r="216" spans="1:10" x14ac:dyDescent="0.25">
      <c r="A216">
        <v>3</v>
      </c>
      <c r="B216" t="s">
        <v>11</v>
      </c>
      <c r="C216" s="1">
        <v>2.1</v>
      </c>
      <c r="D216" s="1">
        <v>700</v>
      </c>
      <c r="E216" s="1">
        <v>20</v>
      </c>
      <c r="F216" s="1">
        <v>1</v>
      </c>
      <c r="G216">
        <v>71</v>
      </c>
      <c r="H216">
        <v>110</v>
      </c>
      <c r="I216" t="s">
        <v>26</v>
      </c>
      <c r="J216" t="s">
        <v>28</v>
      </c>
    </row>
    <row r="217" spans="1:10" x14ac:dyDescent="0.25">
      <c r="A217">
        <v>3</v>
      </c>
      <c r="B217" t="s">
        <v>11</v>
      </c>
      <c r="C217" s="1">
        <v>2.1</v>
      </c>
      <c r="D217" s="1">
        <v>700</v>
      </c>
      <c r="E217" s="1">
        <v>20</v>
      </c>
      <c r="F217" s="1">
        <v>1</v>
      </c>
      <c r="G217">
        <v>72</v>
      </c>
      <c r="H217">
        <v>111</v>
      </c>
      <c r="I217" t="s">
        <v>26</v>
      </c>
      <c r="J217" t="s">
        <v>29</v>
      </c>
    </row>
    <row r="218" spans="1:10" x14ac:dyDescent="0.25">
      <c r="A218">
        <v>4</v>
      </c>
      <c r="B218" t="s">
        <v>12</v>
      </c>
      <c r="C218" s="1">
        <v>2.1</v>
      </c>
      <c r="D218" s="1">
        <v>700</v>
      </c>
      <c r="E218" s="1">
        <v>20</v>
      </c>
      <c r="F218" s="1">
        <v>1</v>
      </c>
      <c r="G218">
        <v>1</v>
      </c>
      <c r="H218">
        <v>26</v>
      </c>
      <c r="I218" t="s">
        <v>19</v>
      </c>
      <c r="J218" t="s">
        <v>27</v>
      </c>
    </row>
    <row r="219" spans="1:10" x14ac:dyDescent="0.25">
      <c r="A219">
        <v>4</v>
      </c>
      <c r="B219" t="s">
        <v>12</v>
      </c>
      <c r="C219" s="1">
        <v>2.1</v>
      </c>
      <c r="D219" s="1">
        <v>700</v>
      </c>
      <c r="E219" s="1">
        <v>20</v>
      </c>
      <c r="F219" s="1">
        <v>1</v>
      </c>
      <c r="G219">
        <v>2</v>
      </c>
      <c r="H219">
        <v>27</v>
      </c>
      <c r="I219" t="s">
        <v>19</v>
      </c>
      <c r="J219" t="s">
        <v>28</v>
      </c>
    </row>
    <row r="220" spans="1:10" x14ac:dyDescent="0.25">
      <c r="A220">
        <v>4</v>
      </c>
      <c r="B220" t="s">
        <v>12</v>
      </c>
      <c r="C220" s="1">
        <v>2.1</v>
      </c>
      <c r="D220" s="1">
        <v>700</v>
      </c>
      <c r="E220" s="1">
        <v>20</v>
      </c>
      <c r="F220" s="1">
        <v>1</v>
      </c>
      <c r="G220">
        <v>3</v>
      </c>
      <c r="H220">
        <v>28</v>
      </c>
      <c r="I220" t="s">
        <v>19</v>
      </c>
      <c r="J220" t="s">
        <v>29</v>
      </c>
    </row>
    <row r="221" spans="1:10" x14ac:dyDescent="0.25">
      <c r="A221">
        <v>4</v>
      </c>
      <c r="B221" t="s">
        <v>12</v>
      </c>
      <c r="C221" s="1">
        <v>2.1</v>
      </c>
      <c r="D221" s="1">
        <v>700</v>
      </c>
      <c r="E221" s="1">
        <v>20</v>
      </c>
      <c r="F221" s="1">
        <v>1</v>
      </c>
      <c r="G221">
        <v>4</v>
      </c>
      <c r="H221">
        <v>29</v>
      </c>
      <c r="I221" t="s">
        <v>20</v>
      </c>
      <c r="J221" t="s">
        <v>27</v>
      </c>
    </row>
    <row r="222" spans="1:10" x14ac:dyDescent="0.25">
      <c r="A222">
        <v>4</v>
      </c>
      <c r="B222" t="s">
        <v>12</v>
      </c>
      <c r="C222" s="1">
        <v>2.1</v>
      </c>
      <c r="D222" s="1">
        <v>700</v>
      </c>
      <c r="E222" s="1">
        <v>20</v>
      </c>
      <c r="F222" s="1">
        <v>1</v>
      </c>
      <c r="G222">
        <v>5</v>
      </c>
      <c r="H222">
        <v>30</v>
      </c>
      <c r="I222" t="s">
        <v>20</v>
      </c>
      <c r="J222" t="s">
        <v>28</v>
      </c>
    </row>
    <row r="223" spans="1:10" x14ac:dyDescent="0.25">
      <c r="A223">
        <v>4</v>
      </c>
      <c r="B223" t="s">
        <v>12</v>
      </c>
      <c r="C223" s="1">
        <v>2.1</v>
      </c>
      <c r="D223" s="1">
        <v>700</v>
      </c>
      <c r="E223" s="1">
        <v>20</v>
      </c>
      <c r="F223" s="1">
        <v>1</v>
      </c>
      <c r="G223">
        <v>6</v>
      </c>
      <c r="H223">
        <v>31</v>
      </c>
      <c r="I223" t="s">
        <v>20</v>
      </c>
      <c r="J223" t="s">
        <v>29</v>
      </c>
    </row>
    <row r="224" spans="1:10" x14ac:dyDescent="0.25">
      <c r="A224">
        <v>4</v>
      </c>
      <c r="B224" t="s">
        <v>12</v>
      </c>
      <c r="C224" s="1">
        <v>2.1</v>
      </c>
      <c r="D224" s="1">
        <v>700</v>
      </c>
      <c r="E224" s="1">
        <v>20</v>
      </c>
      <c r="F224" s="1">
        <v>1</v>
      </c>
      <c r="G224">
        <v>7</v>
      </c>
      <c r="H224">
        <v>32</v>
      </c>
      <c r="I224" t="s">
        <v>21</v>
      </c>
      <c r="J224" t="s">
        <v>27</v>
      </c>
    </row>
    <row r="225" spans="1:10" x14ac:dyDescent="0.25">
      <c r="A225">
        <v>4</v>
      </c>
      <c r="B225" t="s">
        <v>12</v>
      </c>
      <c r="C225" s="1">
        <v>2.1</v>
      </c>
      <c r="D225" s="1">
        <v>700</v>
      </c>
      <c r="E225" s="1">
        <v>20</v>
      </c>
      <c r="F225" s="1">
        <v>1</v>
      </c>
      <c r="G225">
        <v>8</v>
      </c>
      <c r="H225">
        <v>33</v>
      </c>
      <c r="I225" t="s">
        <v>21</v>
      </c>
      <c r="J225" t="s">
        <v>28</v>
      </c>
    </row>
    <row r="226" spans="1:10" x14ac:dyDescent="0.25">
      <c r="A226">
        <v>4</v>
      </c>
      <c r="B226" t="s">
        <v>12</v>
      </c>
      <c r="C226" s="1">
        <v>2.1</v>
      </c>
      <c r="D226" s="1">
        <v>700</v>
      </c>
      <c r="E226" s="1">
        <v>20</v>
      </c>
      <c r="F226" s="1">
        <v>1</v>
      </c>
      <c r="G226">
        <v>9</v>
      </c>
      <c r="H226">
        <v>24</v>
      </c>
      <c r="I226" t="s">
        <v>21</v>
      </c>
      <c r="J226" t="s">
        <v>29</v>
      </c>
    </row>
    <row r="227" spans="1:10" x14ac:dyDescent="0.25">
      <c r="A227">
        <v>4</v>
      </c>
      <c r="B227" t="s">
        <v>12</v>
      </c>
      <c r="C227" s="1">
        <v>2.1</v>
      </c>
      <c r="D227" s="1">
        <v>700</v>
      </c>
      <c r="E227" s="1">
        <v>20</v>
      </c>
      <c r="F227" s="1">
        <v>1</v>
      </c>
      <c r="G227">
        <v>10</v>
      </c>
      <c r="H227">
        <v>25</v>
      </c>
      <c r="I227" t="s">
        <v>22</v>
      </c>
      <c r="J227" t="s">
        <v>27</v>
      </c>
    </row>
    <row r="228" spans="1:10" x14ac:dyDescent="0.25">
      <c r="A228">
        <v>4</v>
      </c>
      <c r="B228" t="s">
        <v>12</v>
      </c>
      <c r="C228" s="1">
        <v>2.1</v>
      </c>
      <c r="D228" s="1">
        <v>700</v>
      </c>
      <c r="E228" s="1">
        <v>20</v>
      </c>
      <c r="F228" s="1">
        <v>1</v>
      </c>
      <c r="G228">
        <v>11</v>
      </c>
      <c r="H228">
        <v>26</v>
      </c>
      <c r="I228" t="s">
        <v>22</v>
      </c>
      <c r="J228" t="s">
        <v>28</v>
      </c>
    </row>
    <row r="229" spans="1:10" x14ac:dyDescent="0.25">
      <c r="A229">
        <v>4</v>
      </c>
      <c r="B229" t="s">
        <v>12</v>
      </c>
      <c r="C229" s="1">
        <v>2.1</v>
      </c>
      <c r="D229" s="1">
        <v>700</v>
      </c>
      <c r="E229" s="1">
        <v>20</v>
      </c>
      <c r="F229" s="1">
        <v>1</v>
      </c>
      <c r="G229">
        <v>12</v>
      </c>
      <c r="H229">
        <v>27</v>
      </c>
      <c r="I229" t="s">
        <v>22</v>
      </c>
      <c r="J229" t="s">
        <v>29</v>
      </c>
    </row>
    <row r="230" spans="1:10" x14ac:dyDescent="0.25">
      <c r="A230">
        <v>4</v>
      </c>
      <c r="B230" t="s">
        <v>12</v>
      </c>
      <c r="C230" s="1">
        <v>2.1</v>
      </c>
      <c r="D230" s="1">
        <v>700</v>
      </c>
      <c r="E230" s="1">
        <v>20</v>
      </c>
      <c r="F230" s="1">
        <v>1</v>
      </c>
      <c r="G230">
        <v>13</v>
      </c>
      <c r="H230">
        <v>28</v>
      </c>
      <c r="I230" t="s">
        <v>23</v>
      </c>
      <c r="J230" t="s">
        <v>27</v>
      </c>
    </row>
    <row r="231" spans="1:10" x14ac:dyDescent="0.25">
      <c r="A231">
        <v>4</v>
      </c>
      <c r="B231" t="s">
        <v>12</v>
      </c>
      <c r="C231" s="1">
        <v>2.1</v>
      </c>
      <c r="D231" s="1">
        <v>700</v>
      </c>
      <c r="E231" s="1">
        <v>20</v>
      </c>
      <c r="F231" s="1">
        <v>1</v>
      </c>
      <c r="G231">
        <v>14</v>
      </c>
      <c r="H231">
        <v>29</v>
      </c>
      <c r="I231" t="s">
        <v>23</v>
      </c>
      <c r="J231" t="s">
        <v>28</v>
      </c>
    </row>
    <row r="232" spans="1:10" x14ac:dyDescent="0.25">
      <c r="A232">
        <v>4</v>
      </c>
      <c r="B232" t="s">
        <v>12</v>
      </c>
      <c r="C232" s="1">
        <v>2.1</v>
      </c>
      <c r="D232" s="1">
        <v>700</v>
      </c>
      <c r="E232" s="1">
        <v>20</v>
      </c>
      <c r="F232" s="1">
        <v>1</v>
      </c>
      <c r="G232">
        <v>15</v>
      </c>
      <c r="H232">
        <v>30</v>
      </c>
      <c r="I232" t="s">
        <v>23</v>
      </c>
      <c r="J232" t="s">
        <v>29</v>
      </c>
    </row>
    <row r="233" spans="1:10" x14ac:dyDescent="0.25">
      <c r="A233">
        <v>4</v>
      </c>
      <c r="B233" t="s">
        <v>12</v>
      </c>
      <c r="C233" s="1">
        <v>2.1</v>
      </c>
      <c r="D233" s="1">
        <v>700</v>
      </c>
      <c r="E233" s="1">
        <v>20</v>
      </c>
      <c r="F233" s="1">
        <v>1</v>
      </c>
      <c r="G233">
        <v>16</v>
      </c>
      <c r="H233">
        <v>31</v>
      </c>
      <c r="I233" t="s">
        <v>24</v>
      </c>
      <c r="J233" t="s">
        <v>27</v>
      </c>
    </row>
    <row r="234" spans="1:10" x14ac:dyDescent="0.25">
      <c r="A234">
        <v>4</v>
      </c>
      <c r="B234" t="s">
        <v>12</v>
      </c>
      <c r="C234" s="1">
        <v>2.1</v>
      </c>
      <c r="D234" s="1">
        <v>700</v>
      </c>
      <c r="E234" s="1">
        <v>20</v>
      </c>
      <c r="F234" s="1">
        <v>1</v>
      </c>
      <c r="G234">
        <v>17</v>
      </c>
      <c r="H234">
        <v>32</v>
      </c>
      <c r="I234" t="s">
        <v>24</v>
      </c>
      <c r="J234" t="s">
        <v>28</v>
      </c>
    </row>
    <row r="235" spans="1:10" x14ac:dyDescent="0.25">
      <c r="A235">
        <v>4</v>
      </c>
      <c r="B235" t="s">
        <v>12</v>
      </c>
      <c r="C235" s="1">
        <v>2.1</v>
      </c>
      <c r="D235" s="1">
        <v>700</v>
      </c>
      <c r="E235" s="1">
        <v>20</v>
      </c>
      <c r="F235" s="1">
        <v>1</v>
      </c>
      <c r="G235">
        <v>18</v>
      </c>
      <c r="H235">
        <v>33</v>
      </c>
      <c r="I235" t="s">
        <v>24</v>
      </c>
      <c r="J235" t="s">
        <v>29</v>
      </c>
    </row>
    <row r="236" spans="1:10" x14ac:dyDescent="0.25">
      <c r="A236">
        <v>4</v>
      </c>
      <c r="B236" t="s">
        <v>12</v>
      </c>
      <c r="C236" s="1">
        <v>2.1</v>
      </c>
      <c r="D236" s="1">
        <v>700</v>
      </c>
      <c r="E236" s="1">
        <v>20</v>
      </c>
      <c r="F236" s="1">
        <v>1</v>
      </c>
      <c r="G236">
        <v>19</v>
      </c>
      <c r="H236">
        <v>24</v>
      </c>
      <c r="I236" t="s">
        <v>25</v>
      </c>
      <c r="J236" t="s">
        <v>27</v>
      </c>
    </row>
    <row r="237" spans="1:10" x14ac:dyDescent="0.25">
      <c r="A237">
        <v>4</v>
      </c>
      <c r="B237" t="s">
        <v>12</v>
      </c>
      <c r="C237" s="1">
        <v>2.1</v>
      </c>
      <c r="D237" s="1">
        <v>700</v>
      </c>
      <c r="E237" s="1">
        <v>20</v>
      </c>
      <c r="F237" s="1">
        <v>1</v>
      </c>
      <c r="G237">
        <v>20</v>
      </c>
      <c r="H237">
        <v>25</v>
      </c>
      <c r="I237" t="s">
        <v>25</v>
      </c>
      <c r="J237" t="s">
        <v>28</v>
      </c>
    </row>
    <row r="238" spans="1:10" x14ac:dyDescent="0.25">
      <c r="A238">
        <v>4</v>
      </c>
      <c r="B238" t="s">
        <v>12</v>
      </c>
      <c r="C238" s="1">
        <v>2.1</v>
      </c>
      <c r="D238" s="1">
        <v>700</v>
      </c>
      <c r="E238" s="1">
        <v>20</v>
      </c>
      <c r="F238" s="1">
        <v>1</v>
      </c>
      <c r="G238">
        <v>21</v>
      </c>
      <c r="H238">
        <v>26</v>
      </c>
      <c r="I238" t="s">
        <v>25</v>
      </c>
      <c r="J238" t="s">
        <v>29</v>
      </c>
    </row>
    <row r="239" spans="1:10" x14ac:dyDescent="0.25">
      <c r="A239">
        <v>4</v>
      </c>
      <c r="B239" t="s">
        <v>12</v>
      </c>
      <c r="C239" s="1">
        <v>2.1</v>
      </c>
      <c r="D239" s="1">
        <v>700</v>
      </c>
      <c r="E239" s="1">
        <v>20</v>
      </c>
      <c r="F239" s="1">
        <v>1</v>
      </c>
      <c r="G239">
        <v>22</v>
      </c>
      <c r="H239">
        <v>27</v>
      </c>
      <c r="I239" t="s">
        <v>26</v>
      </c>
      <c r="J239" t="s">
        <v>27</v>
      </c>
    </row>
    <row r="240" spans="1:10" x14ac:dyDescent="0.25">
      <c r="A240">
        <v>4</v>
      </c>
      <c r="B240" t="s">
        <v>12</v>
      </c>
      <c r="C240" s="1">
        <v>2.1</v>
      </c>
      <c r="D240" s="1">
        <v>700</v>
      </c>
      <c r="E240" s="1">
        <v>20</v>
      </c>
      <c r="F240" s="1">
        <v>1</v>
      </c>
      <c r="G240">
        <v>23</v>
      </c>
      <c r="H240">
        <v>28</v>
      </c>
      <c r="I240" t="s">
        <v>26</v>
      </c>
      <c r="J240" t="s">
        <v>28</v>
      </c>
    </row>
    <row r="241" spans="1:10" x14ac:dyDescent="0.25">
      <c r="A241">
        <v>4</v>
      </c>
      <c r="B241" t="s">
        <v>12</v>
      </c>
      <c r="C241" s="1">
        <v>2.1</v>
      </c>
      <c r="D241" s="1">
        <v>700</v>
      </c>
      <c r="E241" s="1">
        <v>20</v>
      </c>
      <c r="F241" s="1">
        <v>1</v>
      </c>
      <c r="G241">
        <v>24</v>
      </c>
      <c r="H241">
        <v>29</v>
      </c>
      <c r="I241" t="s">
        <v>26</v>
      </c>
      <c r="J241" t="s">
        <v>29</v>
      </c>
    </row>
    <row r="242" spans="1:10" x14ac:dyDescent="0.25">
      <c r="A242">
        <v>4</v>
      </c>
      <c r="B242" t="s">
        <v>12</v>
      </c>
      <c r="C242" s="1">
        <v>2.1</v>
      </c>
      <c r="D242" s="1">
        <v>700</v>
      </c>
      <c r="E242" s="1">
        <v>20</v>
      </c>
      <c r="F242" s="1">
        <v>1</v>
      </c>
      <c r="G242">
        <v>25</v>
      </c>
      <c r="H242">
        <v>34</v>
      </c>
      <c r="I242" t="s">
        <v>19</v>
      </c>
      <c r="J242" t="s">
        <v>27</v>
      </c>
    </row>
    <row r="243" spans="1:10" x14ac:dyDescent="0.25">
      <c r="A243">
        <v>4</v>
      </c>
      <c r="B243" t="s">
        <v>12</v>
      </c>
      <c r="C243" s="1">
        <v>2.1</v>
      </c>
      <c r="D243" s="1">
        <v>700</v>
      </c>
      <c r="E243" s="1">
        <v>20</v>
      </c>
      <c r="F243" s="1">
        <v>1</v>
      </c>
      <c r="G243">
        <v>26</v>
      </c>
      <c r="H243">
        <v>35</v>
      </c>
      <c r="I243" t="s">
        <v>19</v>
      </c>
      <c r="J243" t="s">
        <v>28</v>
      </c>
    </row>
    <row r="244" spans="1:10" x14ac:dyDescent="0.25">
      <c r="A244">
        <v>4</v>
      </c>
      <c r="B244" t="s">
        <v>12</v>
      </c>
      <c r="C244" s="1">
        <v>2.1</v>
      </c>
      <c r="D244" s="1">
        <v>700</v>
      </c>
      <c r="E244" s="1">
        <v>20</v>
      </c>
      <c r="F244" s="1">
        <v>1</v>
      </c>
      <c r="G244">
        <v>27</v>
      </c>
      <c r="H244">
        <v>36</v>
      </c>
      <c r="I244" t="s">
        <v>19</v>
      </c>
      <c r="J244" t="s">
        <v>29</v>
      </c>
    </row>
    <row r="245" spans="1:10" x14ac:dyDescent="0.25">
      <c r="A245">
        <v>4</v>
      </c>
      <c r="B245" t="s">
        <v>12</v>
      </c>
      <c r="C245" s="1">
        <v>2.1</v>
      </c>
      <c r="D245" s="1">
        <v>700</v>
      </c>
      <c r="E245" s="1">
        <v>20</v>
      </c>
      <c r="F245" s="1">
        <v>1</v>
      </c>
      <c r="G245">
        <v>28</v>
      </c>
      <c r="H245">
        <v>37</v>
      </c>
      <c r="I245" t="s">
        <v>20</v>
      </c>
      <c r="J245" t="s">
        <v>27</v>
      </c>
    </row>
    <row r="246" spans="1:10" x14ac:dyDescent="0.25">
      <c r="A246">
        <v>4</v>
      </c>
      <c r="B246" t="s">
        <v>12</v>
      </c>
      <c r="C246" s="1">
        <v>2.1</v>
      </c>
      <c r="D246" s="1">
        <v>700</v>
      </c>
      <c r="E246" s="1">
        <v>20</v>
      </c>
      <c r="F246" s="1">
        <v>1</v>
      </c>
      <c r="G246">
        <v>29</v>
      </c>
      <c r="H246">
        <v>38</v>
      </c>
      <c r="I246" t="s">
        <v>20</v>
      </c>
      <c r="J246" t="s">
        <v>28</v>
      </c>
    </row>
    <row r="247" spans="1:10" x14ac:dyDescent="0.25">
      <c r="A247">
        <v>4</v>
      </c>
      <c r="B247" t="s">
        <v>12</v>
      </c>
      <c r="C247" s="1">
        <v>2.1</v>
      </c>
      <c r="D247" s="1">
        <v>700</v>
      </c>
      <c r="E247" s="1">
        <v>20</v>
      </c>
      <c r="F247" s="1">
        <v>1</v>
      </c>
      <c r="G247">
        <v>30</v>
      </c>
      <c r="H247">
        <v>39</v>
      </c>
      <c r="I247" t="s">
        <v>20</v>
      </c>
      <c r="J247" t="s">
        <v>29</v>
      </c>
    </row>
    <row r="248" spans="1:10" x14ac:dyDescent="0.25">
      <c r="A248">
        <v>4</v>
      </c>
      <c r="B248" t="s">
        <v>12</v>
      </c>
      <c r="C248" s="1">
        <v>2.1</v>
      </c>
      <c r="D248" s="1">
        <v>700</v>
      </c>
      <c r="E248" s="1">
        <v>20</v>
      </c>
      <c r="F248" s="1">
        <v>1</v>
      </c>
      <c r="G248">
        <v>31</v>
      </c>
      <c r="H248">
        <v>34</v>
      </c>
      <c r="I248" t="s">
        <v>21</v>
      </c>
      <c r="J248" t="s">
        <v>27</v>
      </c>
    </row>
    <row r="249" spans="1:10" x14ac:dyDescent="0.25">
      <c r="A249">
        <v>4</v>
      </c>
      <c r="B249" t="s">
        <v>12</v>
      </c>
      <c r="C249" s="1">
        <v>2.1</v>
      </c>
      <c r="D249" s="1">
        <v>700</v>
      </c>
      <c r="E249" s="1">
        <v>20</v>
      </c>
      <c r="F249" s="1">
        <v>1</v>
      </c>
      <c r="G249">
        <v>32</v>
      </c>
      <c r="H249">
        <v>35</v>
      </c>
      <c r="I249" t="s">
        <v>21</v>
      </c>
      <c r="J249" t="s">
        <v>28</v>
      </c>
    </row>
    <row r="250" spans="1:10" x14ac:dyDescent="0.25">
      <c r="A250">
        <v>4</v>
      </c>
      <c r="B250" t="s">
        <v>12</v>
      </c>
      <c r="C250" s="1">
        <v>2.1</v>
      </c>
      <c r="D250" s="1">
        <v>700</v>
      </c>
      <c r="E250" s="1">
        <v>20</v>
      </c>
      <c r="F250" s="1">
        <v>1</v>
      </c>
      <c r="G250">
        <v>33</v>
      </c>
      <c r="H250">
        <v>36</v>
      </c>
      <c r="I250" t="s">
        <v>21</v>
      </c>
      <c r="J250" t="s">
        <v>29</v>
      </c>
    </row>
    <row r="251" spans="1:10" x14ac:dyDescent="0.25">
      <c r="A251">
        <v>4</v>
      </c>
      <c r="B251" t="s">
        <v>12</v>
      </c>
      <c r="C251" s="1">
        <v>2.1</v>
      </c>
      <c r="D251" s="1">
        <v>700</v>
      </c>
      <c r="E251" s="1">
        <v>20</v>
      </c>
      <c r="F251" s="1">
        <v>1</v>
      </c>
      <c r="G251">
        <v>34</v>
      </c>
      <c r="H251">
        <v>37</v>
      </c>
      <c r="I251" t="s">
        <v>22</v>
      </c>
      <c r="J251" t="s">
        <v>27</v>
      </c>
    </row>
    <row r="252" spans="1:10" x14ac:dyDescent="0.25">
      <c r="A252">
        <v>4</v>
      </c>
      <c r="B252" t="s">
        <v>12</v>
      </c>
      <c r="C252" s="1">
        <v>2.1</v>
      </c>
      <c r="D252" s="1">
        <v>700</v>
      </c>
      <c r="E252" s="1">
        <v>20</v>
      </c>
      <c r="F252" s="1">
        <v>1</v>
      </c>
      <c r="G252">
        <v>35</v>
      </c>
      <c r="H252">
        <v>38</v>
      </c>
      <c r="I252" t="s">
        <v>22</v>
      </c>
      <c r="J252" t="s">
        <v>28</v>
      </c>
    </row>
    <row r="253" spans="1:10" x14ac:dyDescent="0.25">
      <c r="A253">
        <v>4</v>
      </c>
      <c r="B253" t="s">
        <v>12</v>
      </c>
      <c r="C253" s="1">
        <v>2.1</v>
      </c>
      <c r="D253" s="1">
        <v>700</v>
      </c>
      <c r="E253" s="1">
        <v>20</v>
      </c>
      <c r="F253" s="1">
        <v>1</v>
      </c>
      <c r="G253">
        <v>36</v>
      </c>
      <c r="H253">
        <v>39</v>
      </c>
      <c r="I253" t="s">
        <v>22</v>
      </c>
      <c r="J253" t="s">
        <v>29</v>
      </c>
    </row>
    <row r="254" spans="1:10" x14ac:dyDescent="0.25">
      <c r="A254">
        <v>4</v>
      </c>
      <c r="B254" t="s">
        <v>12</v>
      </c>
      <c r="C254" s="1">
        <v>2.1</v>
      </c>
      <c r="D254" s="1">
        <v>700</v>
      </c>
      <c r="E254" s="1">
        <v>20</v>
      </c>
      <c r="F254" s="1">
        <v>1</v>
      </c>
      <c r="G254">
        <v>37</v>
      </c>
      <c r="H254">
        <v>34</v>
      </c>
      <c r="I254" t="s">
        <v>23</v>
      </c>
      <c r="J254" t="s">
        <v>27</v>
      </c>
    </row>
    <row r="255" spans="1:10" x14ac:dyDescent="0.25">
      <c r="A255">
        <v>4</v>
      </c>
      <c r="B255" t="s">
        <v>12</v>
      </c>
      <c r="C255" s="1">
        <v>2.1</v>
      </c>
      <c r="D255" s="1">
        <v>700</v>
      </c>
      <c r="E255" s="1">
        <v>20</v>
      </c>
      <c r="F255" s="1">
        <v>1</v>
      </c>
      <c r="G255">
        <v>38</v>
      </c>
      <c r="H255">
        <v>35</v>
      </c>
      <c r="I255" t="s">
        <v>23</v>
      </c>
      <c r="J255" t="s">
        <v>28</v>
      </c>
    </row>
    <row r="256" spans="1:10" x14ac:dyDescent="0.25">
      <c r="A256">
        <v>4</v>
      </c>
      <c r="B256" t="s">
        <v>12</v>
      </c>
      <c r="C256" s="1">
        <v>2.1</v>
      </c>
      <c r="D256" s="1">
        <v>700</v>
      </c>
      <c r="E256" s="1">
        <v>20</v>
      </c>
      <c r="F256" s="1">
        <v>1</v>
      </c>
      <c r="G256">
        <v>39</v>
      </c>
      <c r="H256">
        <v>36</v>
      </c>
      <c r="I256" t="s">
        <v>23</v>
      </c>
      <c r="J256" t="s">
        <v>29</v>
      </c>
    </row>
    <row r="257" spans="1:10" x14ac:dyDescent="0.25">
      <c r="A257">
        <v>4</v>
      </c>
      <c r="B257" t="s">
        <v>12</v>
      </c>
      <c r="C257" s="1">
        <v>2.1</v>
      </c>
      <c r="D257" s="1">
        <v>700</v>
      </c>
      <c r="E257" s="1">
        <v>20</v>
      </c>
      <c r="F257" s="1">
        <v>1</v>
      </c>
      <c r="G257">
        <v>40</v>
      </c>
      <c r="H257">
        <v>37</v>
      </c>
      <c r="I257" t="s">
        <v>24</v>
      </c>
      <c r="J257" t="s">
        <v>27</v>
      </c>
    </row>
    <row r="258" spans="1:10" x14ac:dyDescent="0.25">
      <c r="A258">
        <v>4</v>
      </c>
      <c r="B258" t="s">
        <v>12</v>
      </c>
      <c r="C258" s="1">
        <v>2.1</v>
      </c>
      <c r="D258" s="1">
        <v>700</v>
      </c>
      <c r="E258" s="1">
        <v>20</v>
      </c>
      <c r="F258" s="1">
        <v>1</v>
      </c>
      <c r="G258">
        <v>41</v>
      </c>
      <c r="H258">
        <v>38</v>
      </c>
      <c r="I258" t="s">
        <v>24</v>
      </c>
      <c r="J258" t="s">
        <v>28</v>
      </c>
    </row>
    <row r="259" spans="1:10" x14ac:dyDescent="0.25">
      <c r="A259">
        <v>4</v>
      </c>
      <c r="B259" t="s">
        <v>12</v>
      </c>
      <c r="C259" s="1">
        <v>2.1</v>
      </c>
      <c r="D259" s="1">
        <v>700</v>
      </c>
      <c r="E259" s="1">
        <v>20</v>
      </c>
      <c r="F259" s="1">
        <v>1</v>
      </c>
      <c r="G259">
        <v>42</v>
      </c>
      <c r="H259">
        <v>39</v>
      </c>
      <c r="I259" t="s">
        <v>24</v>
      </c>
      <c r="J259" t="s">
        <v>29</v>
      </c>
    </row>
    <row r="260" spans="1:10" x14ac:dyDescent="0.25">
      <c r="A260">
        <v>4</v>
      </c>
      <c r="B260" t="s">
        <v>12</v>
      </c>
      <c r="C260" s="1">
        <v>2.1</v>
      </c>
      <c r="D260" s="1">
        <v>700</v>
      </c>
      <c r="E260" s="1">
        <v>20</v>
      </c>
      <c r="F260" s="1">
        <v>1</v>
      </c>
      <c r="G260">
        <v>43</v>
      </c>
      <c r="H260">
        <v>34</v>
      </c>
      <c r="I260" t="s">
        <v>25</v>
      </c>
      <c r="J260" t="s">
        <v>27</v>
      </c>
    </row>
    <row r="261" spans="1:10" x14ac:dyDescent="0.25">
      <c r="A261">
        <v>4</v>
      </c>
      <c r="B261" t="s">
        <v>12</v>
      </c>
      <c r="C261" s="1">
        <v>2.1</v>
      </c>
      <c r="D261" s="1">
        <v>700</v>
      </c>
      <c r="E261" s="1">
        <v>20</v>
      </c>
      <c r="F261" s="1">
        <v>1</v>
      </c>
      <c r="G261">
        <v>44</v>
      </c>
      <c r="H261">
        <v>35</v>
      </c>
      <c r="I261" t="s">
        <v>25</v>
      </c>
      <c r="J261" t="s">
        <v>28</v>
      </c>
    </row>
    <row r="262" spans="1:10" x14ac:dyDescent="0.25">
      <c r="A262">
        <v>4</v>
      </c>
      <c r="B262" t="s">
        <v>12</v>
      </c>
      <c r="C262" s="1">
        <v>2.1</v>
      </c>
      <c r="D262" s="1">
        <v>700</v>
      </c>
      <c r="E262" s="1">
        <v>20</v>
      </c>
      <c r="F262" s="1">
        <v>1</v>
      </c>
      <c r="G262">
        <v>45</v>
      </c>
      <c r="H262">
        <v>36</v>
      </c>
      <c r="I262" t="s">
        <v>25</v>
      </c>
      <c r="J262" t="s">
        <v>29</v>
      </c>
    </row>
    <row r="263" spans="1:10" x14ac:dyDescent="0.25">
      <c r="A263">
        <v>4</v>
      </c>
      <c r="B263" t="s">
        <v>12</v>
      </c>
      <c r="C263" s="1">
        <v>2.1</v>
      </c>
      <c r="D263" s="1">
        <v>700</v>
      </c>
      <c r="E263" s="1">
        <v>20</v>
      </c>
      <c r="F263" s="1">
        <v>1</v>
      </c>
      <c r="G263">
        <v>46</v>
      </c>
      <c r="H263">
        <v>37</v>
      </c>
      <c r="I263" t="s">
        <v>26</v>
      </c>
      <c r="J263" t="s">
        <v>27</v>
      </c>
    </row>
    <row r="264" spans="1:10" x14ac:dyDescent="0.25">
      <c r="A264">
        <v>4</v>
      </c>
      <c r="B264" t="s">
        <v>12</v>
      </c>
      <c r="C264" s="1">
        <v>2.1</v>
      </c>
      <c r="D264" s="1">
        <v>700</v>
      </c>
      <c r="E264" s="1">
        <v>20</v>
      </c>
      <c r="F264" s="1">
        <v>1</v>
      </c>
      <c r="G264">
        <v>47</v>
      </c>
      <c r="H264">
        <v>38</v>
      </c>
      <c r="I264" t="s">
        <v>26</v>
      </c>
      <c r="J264" t="s">
        <v>28</v>
      </c>
    </row>
    <row r="265" spans="1:10" x14ac:dyDescent="0.25">
      <c r="A265">
        <v>4</v>
      </c>
      <c r="B265" t="s">
        <v>12</v>
      </c>
      <c r="C265" s="1">
        <v>2.1</v>
      </c>
      <c r="D265" s="1">
        <v>700</v>
      </c>
      <c r="E265" s="1">
        <v>20</v>
      </c>
      <c r="F265" s="1">
        <v>1</v>
      </c>
      <c r="G265">
        <v>48</v>
      </c>
      <c r="H265">
        <v>39</v>
      </c>
      <c r="I265" t="s">
        <v>26</v>
      </c>
      <c r="J265" t="s">
        <v>29</v>
      </c>
    </row>
    <row r="266" spans="1:10" x14ac:dyDescent="0.25">
      <c r="A266">
        <v>4</v>
      </c>
      <c r="B266" t="s">
        <v>12</v>
      </c>
      <c r="C266" s="1">
        <v>2.1</v>
      </c>
      <c r="D266" s="1">
        <v>700</v>
      </c>
      <c r="E266" s="1">
        <v>20</v>
      </c>
      <c r="F266" s="1">
        <v>1</v>
      </c>
      <c r="G266">
        <v>49</v>
      </c>
      <c r="H266">
        <v>112</v>
      </c>
      <c r="I266" t="s">
        <v>19</v>
      </c>
      <c r="J266" t="s">
        <v>27</v>
      </c>
    </row>
    <row r="267" spans="1:10" x14ac:dyDescent="0.25">
      <c r="A267">
        <v>4</v>
      </c>
      <c r="B267" t="s">
        <v>12</v>
      </c>
      <c r="C267" s="1">
        <v>2.1</v>
      </c>
      <c r="D267" s="1">
        <v>700</v>
      </c>
      <c r="E267" s="1">
        <v>20</v>
      </c>
      <c r="F267" s="1">
        <v>1</v>
      </c>
      <c r="G267">
        <v>50</v>
      </c>
      <c r="H267">
        <v>113</v>
      </c>
      <c r="I267" t="s">
        <v>19</v>
      </c>
      <c r="J267" t="s">
        <v>28</v>
      </c>
    </row>
    <row r="268" spans="1:10" x14ac:dyDescent="0.25">
      <c r="A268">
        <v>4</v>
      </c>
      <c r="B268" t="s">
        <v>12</v>
      </c>
      <c r="C268" s="1">
        <v>2.1</v>
      </c>
      <c r="D268" s="1">
        <v>700</v>
      </c>
      <c r="E268" s="1">
        <v>20</v>
      </c>
      <c r="F268" s="1">
        <v>1</v>
      </c>
      <c r="G268">
        <v>51</v>
      </c>
      <c r="H268">
        <v>114</v>
      </c>
      <c r="I268" t="s">
        <v>19</v>
      </c>
      <c r="J268" t="s">
        <v>29</v>
      </c>
    </row>
    <row r="269" spans="1:10" x14ac:dyDescent="0.25">
      <c r="A269">
        <v>4</v>
      </c>
      <c r="B269" t="s">
        <v>12</v>
      </c>
      <c r="C269" s="1">
        <v>2.1</v>
      </c>
      <c r="D269" s="1">
        <v>700</v>
      </c>
      <c r="E269" s="1">
        <v>20</v>
      </c>
      <c r="F269" s="1">
        <v>1</v>
      </c>
      <c r="G269">
        <v>52</v>
      </c>
      <c r="H269">
        <v>115</v>
      </c>
      <c r="I269" t="s">
        <v>20</v>
      </c>
      <c r="J269" t="s">
        <v>27</v>
      </c>
    </row>
    <row r="270" spans="1:10" x14ac:dyDescent="0.25">
      <c r="A270">
        <v>4</v>
      </c>
      <c r="B270" t="s">
        <v>12</v>
      </c>
      <c r="C270" s="1">
        <v>2.1</v>
      </c>
      <c r="D270" s="1">
        <v>700</v>
      </c>
      <c r="E270" s="1">
        <v>20</v>
      </c>
      <c r="F270" s="1">
        <v>1</v>
      </c>
      <c r="G270">
        <v>53</v>
      </c>
      <c r="H270">
        <v>116</v>
      </c>
      <c r="I270" t="s">
        <v>20</v>
      </c>
      <c r="J270" t="s">
        <v>28</v>
      </c>
    </row>
    <row r="271" spans="1:10" x14ac:dyDescent="0.25">
      <c r="A271">
        <v>4</v>
      </c>
      <c r="B271" t="s">
        <v>12</v>
      </c>
      <c r="C271" s="1">
        <v>2.1</v>
      </c>
      <c r="D271" s="1">
        <v>700</v>
      </c>
      <c r="E271" s="1">
        <v>20</v>
      </c>
      <c r="F271" s="1">
        <v>1</v>
      </c>
      <c r="G271">
        <v>54</v>
      </c>
      <c r="H271">
        <v>117</v>
      </c>
      <c r="I271" t="s">
        <v>20</v>
      </c>
      <c r="J271" t="s">
        <v>29</v>
      </c>
    </row>
    <row r="272" spans="1:10" x14ac:dyDescent="0.25">
      <c r="A272">
        <v>4</v>
      </c>
      <c r="B272" t="s">
        <v>12</v>
      </c>
      <c r="C272" s="1">
        <v>2.1</v>
      </c>
      <c r="D272" s="1">
        <v>700</v>
      </c>
      <c r="E272" s="1">
        <v>20</v>
      </c>
      <c r="F272" s="1">
        <v>1</v>
      </c>
      <c r="G272">
        <v>55</v>
      </c>
      <c r="H272">
        <v>118</v>
      </c>
      <c r="I272" t="s">
        <v>21</v>
      </c>
      <c r="J272" t="s">
        <v>27</v>
      </c>
    </row>
    <row r="273" spans="1:10" x14ac:dyDescent="0.25">
      <c r="A273">
        <v>4</v>
      </c>
      <c r="B273" t="s">
        <v>12</v>
      </c>
      <c r="C273" s="1">
        <v>2.1</v>
      </c>
      <c r="D273" s="1">
        <v>700</v>
      </c>
      <c r="E273" s="1">
        <v>20</v>
      </c>
      <c r="F273" s="1">
        <v>1</v>
      </c>
      <c r="G273">
        <v>56</v>
      </c>
      <c r="H273">
        <v>119</v>
      </c>
      <c r="I273" t="s">
        <v>21</v>
      </c>
      <c r="J273" t="s">
        <v>28</v>
      </c>
    </row>
    <row r="274" spans="1:10" x14ac:dyDescent="0.25">
      <c r="A274">
        <v>4</v>
      </c>
      <c r="B274" t="s">
        <v>12</v>
      </c>
      <c r="C274" s="1">
        <v>2.1</v>
      </c>
      <c r="D274" s="1">
        <v>700</v>
      </c>
      <c r="E274" s="1">
        <v>20</v>
      </c>
      <c r="F274" s="1">
        <v>1</v>
      </c>
      <c r="G274">
        <v>57</v>
      </c>
      <c r="H274">
        <v>120</v>
      </c>
      <c r="I274" t="s">
        <v>21</v>
      </c>
      <c r="J274" t="s">
        <v>29</v>
      </c>
    </row>
    <row r="275" spans="1:10" x14ac:dyDescent="0.25">
      <c r="A275">
        <v>4</v>
      </c>
      <c r="B275" t="s">
        <v>12</v>
      </c>
      <c r="C275" s="1">
        <v>2.1</v>
      </c>
      <c r="D275" s="1">
        <v>700</v>
      </c>
      <c r="E275" s="1">
        <v>20</v>
      </c>
      <c r="F275" s="1">
        <v>1</v>
      </c>
      <c r="G275">
        <v>58</v>
      </c>
      <c r="H275">
        <v>121</v>
      </c>
      <c r="I275" t="s">
        <v>22</v>
      </c>
      <c r="J275" t="s">
        <v>27</v>
      </c>
    </row>
    <row r="276" spans="1:10" x14ac:dyDescent="0.25">
      <c r="A276">
        <v>4</v>
      </c>
      <c r="B276" t="s">
        <v>12</v>
      </c>
      <c r="C276" s="1">
        <v>2.1</v>
      </c>
      <c r="D276" s="1">
        <v>700</v>
      </c>
      <c r="E276" s="1">
        <v>20</v>
      </c>
      <c r="F276" s="1">
        <v>1</v>
      </c>
      <c r="G276">
        <v>59</v>
      </c>
      <c r="H276">
        <v>122</v>
      </c>
      <c r="I276" t="s">
        <v>22</v>
      </c>
      <c r="J276" t="s">
        <v>28</v>
      </c>
    </row>
    <row r="277" spans="1:10" x14ac:dyDescent="0.25">
      <c r="A277">
        <v>4</v>
      </c>
      <c r="B277" t="s">
        <v>12</v>
      </c>
      <c r="C277" s="1">
        <v>2.1</v>
      </c>
      <c r="D277" s="1">
        <v>700</v>
      </c>
      <c r="E277" s="1">
        <v>20</v>
      </c>
      <c r="F277" s="1">
        <v>1</v>
      </c>
      <c r="G277">
        <v>60</v>
      </c>
      <c r="H277">
        <v>123</v>
      </c>
      <c r="I277" t="s">
        <v>22</v>
      </c>
      <c r="J277" t="s">
        <v>29</v>
      </c>
    </row>
    <row r="278" spans="1:10" x14ac:dyDescent="0.25">
      <c r="A278">
        <v>4</v>
      </c>
      <c r="B278" t="s">
        <v>12</v>
      </c>
      <c r="C278" s="1">
        <v>2.1</v>
      </c>
      <c r="D278" s="1">
        <v>700</v>
      </c>
      <c r="E278" s="1">
        <v>20</v>
      </c>
      <c r="F278" s="1">
        <v>1</v>
      </c>
      <c r="G278">
        <v>61</v>
      </c>
      <c r="H278">
        <v>124</v>
      </c>
      <c r="I278" t="s">
        <v>23</v>
      </c>
      <c r="J278" t="s">
        <v>27</v>
      </c>
    </row>
    <row r="279" spans="1:10" x14ac:dyDescent="0.25">
      <c r="A279">
        <v>4</v>
      </c>
      <c r="B279" t="s">
        <v>12</v>
      </c>
      <c r="C279" s="1">
        <v>2.1</v>
      </c>
      <c r="D279" s="1">
        <v>700</v>
      </c>
      <c r="E279" s="1">
        <v>20</v>
      </c>
      <c r="F279" s="1">
        <v>1</v>
      </c>
      <c r="G279">
        <v>62</v>
      </c>
      <c r="H279">
        <v>125</v>
      </c>
      <c r="I279" t="s">
        <v>23</v>
      </c>
      <c r="J279" t="s">
        <v>28</v>
      </c>
    </row>
    <row r="280" spans="1:10" x14ac:dyDescent="0.25">
      <c r="A280">
        <v>4</v>
      </c>
      <c r="B280" t="s">
        <v>12</v>
      </c>
      <c r="C280" s="1">
        <v>2.1</v>
      </c>
      <c r="D280" s="1">
        <v>700</v>
      </c>
      <c r="E280" s="1">
        <v>20</v>
      </c>
      <c r="F280" s="1">
        <v>1</v>
      </c>
      <c r="G280">
        <v>63</v>
      </c>
      <c r="H280">
        <v>126</v>
      </c>
      <c r="I280" t="s">
        <v>23</v>
      </c>
      <c r="J280" t="s">
        <v>29</v>
      </c>
    </row>
    <row r="281" spans="1:10" x14ac:dyDescent="0.25">
      <c r="A281">
        <v>4</v>
      </c>
      <c r="B281" t="s">
        <v>12</v>
      </c>
      <c r="C281" s="1">
        <v>2.1</v>
      </c>
      <c r="D281" s="1">
        <v>700</v>
      </c>
      <c r="E281" s="1">
        <v>20</v>
      </c>
      <c r="F281" s="1">
        <v>1</v>
      </c>
      <c r="G281">
        <v>64</v>
      </c>
      <c r="H281">
        <v>127</v>
      </c>
      <c r="I281" t="s">
        <v>24</v>
      </c>
      <c r="J281" t="s">
        <v>27</v>
      </c>
    </row>
    <row r="282" spans="1:10" x14ac:dyDescent="0.25">
      <c r="A282">
        <v>4</v>
      </c>
      <c r="B282" t="s">
        <v>12</v>
      </c>
      <c r="C282" s="1">
        <v>2.1</v>
      </c>
      <c r="D282" s="1">
        <v>700</v>
      </c>
      <c r="E282" s="1">
        <v>20</v>
      </c>
      <c r="F282" s="1">
        <v>1</v>
      </c>
      <c r="G282">
        <v>65</v>
      </c>
      <c r="H282">
        <v>128</v>
      </c>
      <c r="I282" t="s">
        <v>24</v>
      </c>
      <c r="J282" t="s">
        <v>28</v>
      </c>
    </row>
    <row r="283" spans="1:10" x14ac:dyDescent="0.25">
      <c r="A283">
        <v>4</v>
      </c>
      <c r="B283" t="s">
        <v>12</v>
      </c>
      <c r="C283" s="1">
        <v>2.1</v>
      </c>
      <c r="D283" s="1">
        <v>700</v>
      </c>
      <c r="E283" s="1">
        <v>20</v>
      </c>
      <c r="F283" s="1">
        <v>1</v>
      </c>
      <c r="G283">
        <v>66</v>
      </c>
      <c r="H283">
        <v>129</v>
      </c>
      <c r="I283" t="s">
        <v>24</v>
      </c>
      <c r="J283" t="s">
        <v>29</v>
      </c>
    </row>
    <row r="284" spans="1:10" x14ac:dyDescent="0.25">
      <c r="A284">
        <v>4</v>
      </c>
      <c r="B284" t="s">
        <v>12</v>
      </c>
      <c r="C284" s="1">
        <v>2.1</v>
      </c>
      <c r="D284" s="1">
        <v>700</v>
      </c>
      <c r="E284" s="1">
        <v>20</v>
      </c>
      <c r="F284" s="1">
        <v>1</v>
      </c>
      <c r="G284">
        <v>67</v>
      </c>
      <c r="H284">
        <v>130</v>
      </c>
      <c r="I284" t="s">
        <v>25</v>
      </c>
      <c r="J284" t="s">
        <v>27</v>
      </c>
    </row>
    <row r="285" spans="1:10" x14ac:dyDescent="0.25">
      <c r="A285">
        <v>4</v>
      </c>
      <c r="B285" t="s">
        <v>12</v>
      </c>
      <c r="C285" s="1">
        <v>2.1</v>
      </c>
      <c r="D285" s="1">
        <v>700</v>
      </c>
      <c r="E285" s="1">
        <v>20</v>
      </c>
      <c r="F285" s="1">
        <v>1</v>
      </c>
      <c r="G285">
        <v>68</v>
      </c>
      <c r="H285">
        <v>131</v>
      </c>
      <c r="I285" t="s">
        <v>25</v>
      </c>
      <c r="J285" t="s">
        <v>28</v>
      </c>
    </row>
    <row r="286" spans="1:10" x14ac:dyDescent="0.25">
      <c r="A286">
        <v>4</v>
      </c>
      <c r="B286" t="s">
        <v>12</v>
      </c>
      <c r="C286" s="1">
        <v>2.1</v>
      </c>
      <c r="D286" s="1">
        <v>700</v>
      </c>
      <c r="E286" s="1">
        <v>20</v>
      </c>
      <c r="F286" s="1">
        <v>1</v>
      </c>
      <c r="G286">
        <v>69</v>
      </c>
      <c r="H286">
        <v>132</v>
      </c>
      <c r="I286" t="s">
        <v>25</v>
      </c>
      <c r="J286" t="s">
        <v>29</v>
      </c>
    </row>
    <row r="287" spans="1:10" x14ac:dyDescent="0.25">
      <c r="A287">
        <v>4</v>
      </c>
      <c r="B287" t="s">
        <v>12</v>
      </c>
      <c r="C287" s="1">
        <v>2.1</v>
      </c>
      <c r="D287" s="1">
        <v>700</v>
      </c>
      <c r="E287" s="1">
        <v>20</v>
      </c>
      <c r="F287" s="1">
        <v>1</v>
      </c>
      <c r="G287">
        <v>70</v>
      </c>
      <c r="H287">
        <v>133</v>
      </c>
      <c r="I287" t="s">
        <v>26</v>
      </c>
      <c r="J287" t="s">
        <v>27</v>
      </c>
    </row>
    <row r="288" spans="1:10" x14ac:dyDescent="0.25">
      <c r="A288">
        <v>4</v>
      </c>
      <c r="B288" t="s">
        <v>12</v>
      </c>
      <c r="C288" s="1">
        <v>2.1</v>
      </c>
      <c r="D288" s="1">
        <v>700</v>
      </c>
      <c r="E288" s="1">
        <v>20</v>
      </c>
      <c r="F288" s="1">
        <v>1</v>
      </c>
      <c r="G288">
        <v>71</v>
      </c>
      <c r="H288">
        <v>134</v>
      </c>
      <c r="I288" t="s">
        <v>26</v>
      </c>
      <c r="J288" t="s">
        <v>28</v>
      </c>
    </row>
    <row r="289" spans="1:10" x14ac:dyDescent="0.25">
      <c r="A289">
        <v>4</v>
      </c>
      <c r="B289" t="s">
        <v>12</v>
      </c>
      <c r="C289" s="1">
        <v>2.1</v>
      </c>
      <c r="D289" s="1">
        <v>700</v>
      </c>
      <c r="E289" s="1">
        <v>20</v>
      </c>
      <c r="F289" s="1">
        <v>1</v>
      </c>
      <c r="G289">
        <v>72</v>
      </c>
      <c r="H289">
        <v>135</v>
      </c>
      <c r="I289" t="s">
        <v>26</v>
      </c>
      <c r="J289" t="s">
        <v>29</v>
      </c>
    </row>
    <row r="290" spans="1:10" x14ac:dyDescent="0.25">
      <c r="A290">
        <v>5</v>
      </c>
      <c r="B290" t="s">
        <v>13</v>
      </c>
      <c r="C290" s="1">
        <v>2.1</v>
      </c>
      <c r="D290" s="1">
        <v>700</v>
      </c>
      <c r="E290" s="1">
        <v>20</v>
      </c>
      <c r="F290" s="1">
        <v>1</v>
      </c>
      <c r="G290">
        <v>1</v>
      </c>
      <c r="H290">
        <v>30</v>
      </c>
      <c r="I290" t="s">
        <v>19</v>
      </c>
      <c r="J290" t="s">
        <v>27</v>
      </c>
    </row>
    <row r="291" spans="1:10" x14ac:dyDescent="0.25">
      <c r="A291">
        <v>5</v>
      </c>
      <c r="B291" t="s">
        <v>13</v>
      </c>
      <c r="C291" s="1">
        <v>2.1</v>
      </c>
      <c r="D291" s="1">
        <v>700</v>
      </c>
      <c r="E291" s="1">
        <v>20</v>
      </c>
      <c r="F291" s="1">
        <v>1</v>
      </c>
      <c r="G291">
        <v>2</v>
      </c>
      <c r="H291">
        <v>31</v>
      </c>
      <c r="I291" t="s">
        <v>19</v>
      </c>
      <c r="J291" t="s">
        <v>28</v>
      </c>
    </row>
    <row r="292" spans="1:10" x14ac:dyDescent="0.25">
      <c r="A292">
        <v>5</v>
      </c>
      <c r="B292" t="s">
        <v>13</v>
      </c>
      <c r="C292" s="1">
        <v>2.1</v>
      </c>
      <c r="D292" s="1">
        <v>700</v>
      </c>
      <c r="E292" s="1">
        <v>20</v>
      </c>
      <c r="F292" s="1">
        <v>1</v>
      </c>
      <c r="G292">
        <v>3</v>
      </c>
      <c r="H292">
        <v>32</v>
      </c>
      <c r="I292" t="s">
        <v>19</v>
      </c>
      <c r="J292" t="s">
        <v>29</v>
      </c>
    </row>
    <row r="293" spans="1:10" x14ac:dyDescent="0.25">
      <c r="A293">
        <v>5</v>
      </c>
      <c r="B293" t="s">
        <v>13</v>
      </c>
      <c r="C293" s="1">
        <v>2.1</v>
      </c>
      <c r="D293" s="1">
        <v>700</v>
      </c>
      <c r="E293" s="1">
        <v>20</v>
      </c>
      <c r="F293" s="1">
        <v>1</v>
      </c>
      <c r="G293">
        <v>4</v>
      </c>
      <c r="H293">
        <v>33</v>
      </c>
      <c r="I293" t="s">
        <v>20</v>
      </c>
      <c r="J293" t="s">
        <v>27</v>
      </c>
    </row>
    <row r="294" spans="1:10" x14ac:dyDescent="0.25">
      <c r="A294">
        <v>5</v>
      </c>
      <c r="B294" t="s">
        <v>13</v>
      </c>
      <c r="C294" s="1">
        <v>2.1</v>
      </c>
      <c r="D294" s="1">
        <v>700</v>
      </c>
      <c r="E294" s="1">
        <v>20</v>
      </c>
      <c r="F294" s="1">
        <v>1</v>
      </c>
      <c r="G294">
        <v>5</v>
      </c>
      <c r="H294">
        <v>24</v>
      </c>
      <c r="I294" t="s">
        <v>20</v>
      </c>
      <c r="J294" t="s">
        <v>28</v>
      </c>
    </row>
    <row r="295" spans="1:10" x14ac:dyDescent="0.25">
      <c r="A295">
        <v>5</v>
      </c>
      <c r="B295" t="s">
        <v>13</v>
      </c>
      <c r="C295" s="1">
        <v>2.1</v>
      </c>
      <c r="D295" s="1">
        <v>700</v>
      </c>
      <c r="E295" s="1">
        <v>20</v>
      </c>
      <c r="F295" s="1">
        <v>1</v>
      </c>
      <c r="G295">
        <v>6</v>
      </c>
      <c r="H295">
        <v>25</v>
      </c>
      <c r="I295" t="s">
        <v>20</v>
      </c>
      <c r="J295" t="s">
        <v>29</v>
      </c>
    </row>
    <row r="296" spans="1:10" x14ac:dyDescent="0.25">
      <c r="A296">
        <v>5</v>
      </c>
      <c r="B296" t="s">
        <v>13</v>
      </c>
      <c r="C296" s="1">
        <v>2.1</v>
      </c>
      <c r="D296" s="1">
        <v>700</v>
      </c>
      <c r="E296" s="1">
        <v>20</v>
      </c>
      <c r="F296" s="1">
        <v>1</v>
      </c>
      <c r="G296">
        <v>7</v>
      </c>
      <c r="H296">
        <v>26</v>
      </c>
      <c r="I296" t="s">
        <v>21</v>
      </c>
      <c r="J296" t="s">
        <v>27</v>
      </c>
    </row>
    <row r="297" spans="1:10" x14ac:dyDescent="0.25">
      <c r="A297">
        <v>5</v>
      </c>
      <c r="B297" t="s">
        <v>13</v>
      </c>
      <c r="C297" s="1">
        <v>2.1</v>
      </c>
      <c r="D297" s="1">
        <v>700</v>
      </c>
      <c r="E297" s="1">
        <v>20</v>
      </c>
      <c r="F297" s="1">
        <v>1</v>
      </c>
      <c r="G297">
        <v>8</v>
      </c>
      <c r="H297">
        <v>27</v>
      </c>
      <c r="I297" t="s">
        <v>21</v>
      </c>
      <c r="J297" t="s">
        <v>28</v>
      </c>
    </row>
    <row r="298" spans="1:10" x14ac:dyDescent="0.25">
      <c r="A298">
        <v>5</v>
      </c>
      <c r="B298" t="s">
        <v>13</v>
      </c>
      <c r="C298" s="1">
        <v>2.1</v>
      </c>
      <c r="D298" s="1">
        <v>700</v>
      </c>
      <c r="E298" s="1">
        <v>20</v>
      </c>
      <c r="F298" s="1">
        <v>1</v>
      </c>
      <c r="G298">
        <v>9</v>
      </c>
      <c r="H298">
        <v>28</v>
      </c>
      <c r="I298" t="s">
        <v>21</v>
      </c>
      <c r="J298" t="s">
        <v>29</v>
      </c>
    </row>
    <row r="299" spans="1:10" x14ac:dyDescent="0.25">
      <c r="A299">
        <v>5</v>
      </c>
      <c r="B299" t="s">
        <v>13</v>
      </c>
      <c r="C299" s="1">
        <v>2.1</v>
      </c>
      <c r="D299" s="1">
        <v>700</v>
      </c>
      <c r="E299" s="1">
        <v>20</v>
      </c>
      <c r="F299" s="1">
        <v>1</v>
      </c>
      <c r="G299">
        <v>10</v>
      </c>
      <c r="H299">
        <v>29</v>
      </c>
      <c r="I299" t="s">
        <v>22</v>
      </c>
      <c r="J299" t="s">
        <v>27</v>
      </c>
    </row>
    <row r="300" spans="1:10" x14ac:dyDescent="0.25">
      <c r="A300">
        <v>5</v>
      </c>
      <c r="B300" t="s">
        <v>13</v>
      </c>
      <c r="C300" s="1">
        <v>2.1</v>
      </c>
      <c r="D300" s="1">
        <v>700</v>
      </c>
      <c r="E300" s="1">
        <v>20</v>
      </c>
      <c r="F300" s="1">
        <v>1</v>
      </c>
      <c r="G300">
        <v>11</v>
      </c>
      <c r="H300">
        <v>30</v>
      </c>
      <c r="I300" t="s">
        <v>22</v>
      </c>
      <c r="J300" t="s">
        <v>28</v>
      </c>
    </row>
    <row r="301" spans="1:10" x14ac:dyDescent="0.25">
      <c r="A301">
        <v>5</v>
      </c>
      <c r="B301" t="s">
        <v>13</v>
      </c>
      <c r="C301" s="1">
        <v>2.1</v>
      </c>
      <c r="D301" s="1">
        <v>700</v>
      </c>
      <c r="E301" s="1">
        <v>20</v>
      </c>
      <c r="F301" s="1">
        <v>1</v>
      </c>
      <c r="G301">
        <v>12</v>
      </c>
      <c r="H301">
        <v>31</v>
      </c>
      <c r="I301" t="s">
        <v>22</v>
      </c>
      <c r="J301" t="s">
        <v>29</v>
      </c>
    </row>
    <row r="302" spans="1:10" x14ac:dyDescent="0.25">
      <c r="A302">
        <v>5</v>
      </c>
      <c r="B302" t="s">
        <v>13</v>
      </c>
      <c r="C302" s="1">
        <v>2.1</v>
      </c>
      <c r="D302" s="1">
        <v>700</v>
      </c>
      <c r="E302" s="1">
        <v>20</v>
      </c>
      <c r="F302" s="1">
        <v>1</v>
      </c>
      <c r="G302">
        <v>13</v>
      </c>
      <c r="H302">
        <v>32</v>
      </c>
      <c r="I302" t="s">
        <v>23</v>
      </c>
      <c r="J302" t="s">
        <v>27</v>
      </c>
    </row>
    <row r="303" spans="1:10" x14ac:dyDescent="0.25">
      <c r="A303">
        <v>5</v>
      </c>
      <c r="B303" t="s">
        <v>13</v>
      </c>
      <c r="C303" s="1">
        <v>2.1</v>
      </c>
      <c r="D303" s="1">
        <v>700</v>
      </c>
      <c r="E303" s="1">
        <v>20</v>
      </c>
      <c r="F303" s="1">
        <v>1</v>
      </c>
      <c r="G303">
        <v>14</v>
      </c>
      <c r="H303">
        <v>33</v>
      </c>
      <c r="I303" t="s">
        <v>23</v>
      </c>
      <c r="J303" t="s">
        <v>28</v>
      </c>
    </row>
    <row r="304" spans="1:10" x14ac:dyDescent="0.25">
      <c r="A304">
        <v>5</v>
      </c>
      <c r="B304" t="s">
        <v>13</v>
      </c>
      <c r="C304" s="1">
        <v>2.1</v>
      </c>
      <c r="D304" s="1">
        <v>700</v>
      </c>
      <c r="E304" s="1">
        <v>20</v>
      </c>
      <c r="F304" s="1">
        <v>1</v>
      </c>
      <c r="G304">
        <v>15</v>
      </c>
      <c r="H304">
        <v>24</v>
      </c>
      <c r="I304" t="s">
        <v>23</v>
      </c>
      <c r="J304" t="s">
        <v>29</v>
      </c>
    </row>
    <row r="305" spans="1:10" x14ac:dyDescent="0.25">
      <c r="A305">
        <v>5</v>
      </c>
      <c r="B305" t="s">
        <v>13</v>
      </c>
      <c r="C305" s="1">
        <v>2.1</v>
      </c>
      <c r="D305" s="1">
        <v>700</v>
      </c>
      <c r="E305" s="1">
        <v>20</v>
      </c>
      <c r="F305" s="1">
        <v>1</v>
      </c>
      <c r="G305">
        <v>16</v>
      </c>
      <c r="H305">
        <v>25</v>
      </c>
      <c r="I305" t="s">
        <v>24</v>
      </c>
      <c r="J305" t="s">
        <v>27</v>
      </c>
    </row>
    <row r="306" spans="1:10" x14ac:dyDescent="0.25">
      <c r="A306">
        <v>5</v>
      </c>
      <c r="B306" t="s">
        <v>13</v>
      </c>
      <c r="C306" s="1">
        <v>2.1</v>
      </c>
      <c r="D306" s="1">
        <v>700</v>
      </c>
      <c r="E306" s="1">
        <v>20</v>
      </c>
      <c r="F306" s="1">
        <v>1</v>
      </c>
      <c r="G306">
        <v>17</v>
      </c>
      <c r="H306">
        <v>26</v>
      </c>
      <c r="I306" t="s">
        <v>24</v>
      </c>
      <c r="J306" t="s">
        <v>28</v>
      </c>
    </row>
    <row r="307" spans="1:10" x14ac:dyDescent="0.25">
      <c r="A307">
        <v>5</v>
      </c>
      <c r="B307" t="s">
        <v>13</v>
      </c>
      <c r="C307" s="1">
        <v>2.1</v>
      </c>
      <c r="D307" s="1">
        <v>700</v>
      </c>
      <c r="E307" s="1">
        <v>20</v>
      </c>
      <c r="F307" s="1">
        <v>1</v>
      </c>
      <c r="G307">
        <v>18</v>
      </c>
      <c r="H307">
        <v>27</v>
      </c>
      <c r="I307" t="s">
        <v>24</v>
      </c>
      <c r="J307" t="s">
        <v>29</v>
      </c>
    </row>
    <row r="308" spans="1:10" x14ac:dyDescent="0.25">
      <c r="A308">
        <v>5</v>
      </c>
      <c r="B308" t="s">
        <v>13</v>
      </c>
      <c r="C308" s="1">
        <v>2.1</v>
      </c>
      <c r="D308" s="1">
        <v>700</v>
      </c>
      <c r="E308" s="1">
        <v>20</v>
      </c>
      <c r="F308" s="1">
        <v>1</v>
      </c>
      <c r="G308">
        <v>19</v>
      </c>
      <c r="H308">
        <v>28</v>
      </c>
      <c r="I308" t="s">
        <v>25</v>
      </c>
      <c r="J308" t="s">
        <v>27</v>
      </c>
    </row>
    <row r="309" spans="1:10" x14ac:dyDescent="0.25">
      <c r="A309">
        <v>5</v>
      </c>
      <c r="B309" t="s">
        <v>13</v>
      </c>
      <c r="C309" s="1">
        <v>2.1</v>
      </c>
      <c r="D309" s="1">
        <v>700</v>
      </c>
      <c r="E309" s="1">
        <v>20</v>
      </c>
      <c r="F309" s="1">
        <v>1</v>
      </c>
      <c r="G309">
        <v>20</v>
      </c>
      <c r="H309">
        <v>29</v>
      </c>
      <c r="I309" t="s">
        <v>25</v>
      </c>
      <c r="J309" t="s">
        <v>28</v>
      </c>
    </row>
    <row r="310" spans="1:10" x14ac:dyDescent="0.25">
      <c r="A310">
        <v>5</v>
      </c>
      <c r="B310" t="s">
        <v>13</v>
      </c>
      <c r="C310" s="1">
        <v>2.1</v>
      </c>
      <c r="D310" s="1">
        <v>700</v>
      </c>
      <c r="E310" s="1">
        <v>20</v>
      </c>
      <c r="F310" s="1">
        <v>1</v>
      </c>
      <c r="G310">
        <v>21</v>
      </c>
      <c r="H310">
        <v>30</v>
      </c>
      <c r="I310" t="s">
        <v>25</v>
      </c>
      <c r="J310" t="s">
        <v>29</v>
      </c>
    </row>
    <row r="311" spans="1:10" x14ac:dyDescent="0.25">
      <c r="A311">
        <v>5</v>
      </c>
      <c r="B311" t="s">
        <v>13</v>
      </c>
      <c r="C311" s="1">
        <v>2.1</v>
      </c>
      <c r="D311" s="1">
        <v>700</v>
      </c>
      <c r="E311" s="1">
        <v>20</v>
      </c>
      <c r="F311" s="1">
        <v>1</v>
      </c>
      <c r="G311">
        <v>22</v>
      </c>
      <c r="H311">
        <v>31</v>
      </c>
      <c r="I311" t="s">
        <v>26</v>
      </c>
      <c r="J311" t="s">
        <v>27</v>
      </c>
    </row>
    <row r="312" spans="1:10" x14ac:dyDescent="0.25">
      <c r="A312">
        <v>5</v>
      </c>
      <c r="B312" t="s">
        <v>13</v>
      </c>
      <c r="C312" s="1">
        <v>2.1</v>
      </c>
      <c r="D312" s="1">
        <v>700</v>
      </c>
      <c r="E312" s="1">
        <v>20</v>
      </c>
      <c r="F312" s="1">
        <v>1</v>
      </c>
      <c r="G312">
        <v>23</v>
      </c>
      <c r="H312">
        <v>32</v>
      </c>
      <c r="I312" t="s">
        <v>26</v>
      </c>
      <c r="J312" t="s">
        <v>28</v>
      </c>
    </row>
    <row r="313" spans="1:10" x14ac:dyDescent="0.25">
      <c r="A313">
        <v>5</v>
      </c>
      <c r="B313" t="s">
        <v>13</v>
      </c>
      <c r="C313" s="1">
        <v>2.1</v>
      </c>
      <c r="D313" s="1">
        <v>700</v>
      </c>
      <c r="E313" s="1">
        <v>20</v>
      </c>
      <c r="F313" s="1">
        <v>1</v>
      </c>
      <c r="G313">
        <v>24</v>
      </c>
      <c r="H313">
        <v>33</v>
      </c>
      <c r="I313" t="s">
        <v>26</v>
      </c>
      <c r="J313" t="s">
        <v>29</v>
      </c>
    </row>
    <row r="314" spans="1:10" x14ac:dyDescent="0.25">
      <c r="A314">
        <v>5</v>
      </c>
      <c r="B314" t="s">
        <v>13</v>
      </c>
      <c r="C314" s="1">
        <v>2.1</v>
      </c>
      <c r="D314" s="1">
        <v>700</v>
      </c>
      <c r="E314" s="1">
        <v>20</v>
      </c>
      <c r="F314" s="1">
        <v>1</v>
      </c>
      <c r="G314">
        <v>25</v>
      </c>
      <c r="H314">
        <v>34</v>
      </c>
      <c r="I314" t="s">
        <v>19</v>
      </c>
      <c r="J314" t="s">
        <v>27</v>
      </c>
    </row>
    <row r="315" spans="1:10" x14ac:dyDescent="0.25">
      <c r="A315">
        <v>5</v>
      </c>
      <c r="B315" t="s">
        <v>13</v>
      </c>
      <c r="C315" s="1">
        <v>2.1</v>
      </c>
      <c r="D315" s="1">
        <v>700</v>
      </c>
      <c r="E315" s="1">
        <v>20</v>
      </c>
      <c r="F315" s="1">
        <v>1</v>
      </c>
      <c r="G315">
        <v>26</v>
      </c>
      <c r="H315">
        <v>35</v>
      </c>
      <c r="I315" t="s">
        <v>19</v>
      </c>
      <c r="J315" t="s">
        <v>28</v>
      </c>
    </row>
    <row r="316" spans="1:10" x14ac:dyDescent="0.25">
      <c r="A316">
        <v>5</v>
      </c>
      <c r="B316" t="s">
        <v>13</v>
      </c>
      <c r="C316" s="1">
        <v>2.1</v>
      </c>
      <c r="D316" s="1">
        <v>700</v>
      </c>
      <c r="E316" s="1">
        <v>20</v>
      </c>
      <c r="F316" s="1">
        <v>1</v>
      </c>
      <c r="G316">
        <v>27</v>
      </c>
      <c r="H316">
        <v>36</v>
      </c>
      <c r="I316" t="s">
        <v>19</v>
      </c>
      <c r="J316" t="s">
        <v>29</v>
      </c>
    </row>
    <row r="317" spans="1:10" x14ac:dyDescent="0.25">
      <c r="A317">
        <v>5</v>
      </c>
      <c r="B317" t="s">
        <v>13</v>
      </c>
      <c r="C317" s="1">
        <v>2.1</v>
      </c>
      <c r="D317" s="1">
        <v>700</v>
      </c>
      <c r="E317" s="1">
        <v>20</v>
      </c>
      <c r="F317" s="1">
        <v>1</v>
      </c>
      <c r="G317">
        <v>28</v>
      </c>
      <c r="H317">
        <v>37</v>
      </c>
      <c r="I317" t="s">
        <v>20</v>
      </c>
      <c r="J317" t="s">
        <v>27</v>
      </c>
    </row>
    <row r="318" spans="1:10" x14ac:dyDescent="0.25">
      <c r="A318">
        <v>5</v>
      </c>
      <c r="B318" t="s">
        <v>13</v>
      </c>
      <c r="C318" s="1">
        <v>2.1</v>
      </c>
      <c r="D318" s="1">
        <v>700</v>
      </c>
      <c r="E318" s="1">
        <v>20</v>
      </c>
      <c r="F318" s="1">
        <v>1</v>
      </c>
      <c r="G318">
        <v>29</v>
      </c>
      <c r="H318">
        <v>38</v>
      </c>
      <c r="I318" t="s">
        <v>20</v>
      </c>
      <c r="J318" t="s">
        <v>28</v>
      </c>
    </row>
    <row r="319" spans="1:10" x14ac:dyDescent="0.25">
      <c r="A319">
        <v>5</v>
      </c>
      <c r="B319" t="s">
        <v>13</v>
      </c>
      <c r="C319" s="1">
        <v>2.1</v>
      </c>
      <c r="D319" s="1">
        <v>700</v>
      </c>
      <c r="E319" s="1">
        <v>20</v>
      </c>
      <c r="F319" s="1">
        <v>1</v>
      </c>
      <c r="G319">
        <v>30</v>
      </c>
      <c r="H319">
        <v>39</v>
      </c>
      <c r="I319" t="s">
        <v>20</v>
      </c>
      <c r="J319" t="s">
        <v>29</v>
      </c>
    </row>
    <row r="320" spans="1:10" x14ac:dyDescent="0.25">
      <c r="A320">
        <v>5</v>
      </c>
      <c r="B320" t="s">
        <v>13</v>
      </c>
      <c r="C320" s="1">
        <v>2.1</v>
      </c>
      <c r="D320" s="1">
        <v>700</v>
      </c>
      <c r="E320" s="1">
        <v>20</v>
      </c>
      <c r="F320" s="1">
        <v>1</v>
      </c>
      <c r="G320">
        <v>31</v>
      </c>
      <c r="H320">
        <v>34</v>
      </c>
      <c r="I320" t="s">
        <v>21</v>
      </c>
      <c r="J320" t="s">
        <v>27</v>
      </c>
    </row>
    <row r="321" spans="1:10" x14ac:dyDescent="0.25">
      <c r="A321">
        <v>5</v>
      </c>
      <c r="B321" t="s">
        <v>13</v>
      </c>
      <c r="C321" s="1">
        <v>2.1</v>
      </c>
      <c r="D321" s="1">
        <v>700</v>
      </c>
      <c r="E321" s="1">
        <v>20</v>
      </c>
      <c r="F321" s="1">
        <v>1</v>
      </c>
      <c r="G321">
        <v>32</v>
      </c>
      <c r="H321">
        <v>35</v>
      </c>
      <c r="I321" t="s">
        <v>21</v>
      </c>
      <c r="J321" t="s">
        <v>28</v>
      </c>
    </row>
    <row r="322" spans="1:10" x14ac:dyDescent="0.25">
      <c r="A322">
        <v>5</v>
      </c>
      <c r="B322" t="s">
        <v>13</v>
      </c>
      <c r="C322" s="1">
        <v>2.1</v>
      </c>
      <c r="D322" s="1">
        <v>700</v>
      </c>
      <c r="E322" s="1">
        <v>20</v>
      </c>
      <c r="F322" s="1">
        <v>1</v>
      </c>
      <c r="G322">
        <v>33</v>
      </c>
      <c r="H322">
        <v>36</v>
      </c>
      <c r="I322" t="s">
        <v>21</v>
      </c>
      <c r="J322" t="s">
        <v>29</v>
      </c>
    </row>
    <row r="323" spans="1:10" x14ac:dyDescent="0.25">
      <c r="A323">
        <v>5</v>
      </c>
      <c r="B323" t="s">
        <v>13</v>
      </c>
      <c r="C323" s="1">
        <v>2.1</v>
      </c>
      <c r="D323" s="1">
        <v>700</v>
      </c>
      <c r="E323" s="1">
        <v>20</v>
      </c>
      <c r="F323" s="1">
        <v>1</v>
      </c>
      <c r="G323">
        <v>34</v>
      </c>
      <c r="H323">
        <v>37</v>
      </c>
      <c r="I323" t="s">
        <v>22</v>
      </c>
      <c r="J323" t="s">
        <v>27</v>
      </c>
    </row>
    <row r="324" spans="1:10" x14ac:dyDescent="0.25">
      <c r="A324">
        <v>5</v>
      </c>
      <c r="B324" t="s">
        <v>13</v>
      </c>
      <c r="C324" s="1">
        <v>2.1</v>
      </c>
      <c r="D324" s="1">
        <v>700</v>
      </c>
      <c r="E324" s="1">
        <v>20</v>
      </c>
      <c r="F324" s="1">
        <v>1</v>
      </c>
      <c r="G324">
        <v>35</v>
      </c>
      <c r="H324">
        <v>38</v>
      </c>
      <c r="I324" t="s">
        <v>22</v>
      </c>
      <c r="J324" t="s">
        <v>28</v>
      </c>
    </row>
    <row r="325" spans="1:10" x14ac:dyDescent="0.25">
      <c r="A325">
        <v>5</v>
      </c>
      <c r="B325" t="s">
        <v>13</v>
      </c>
      <c r="C325" s="1">
        <v>2.1</v>
      </c>
      <c r="D325" s="1">
        <v>700</v>
      </c>
      <c r="E325" s="1">
        <v>20</v>
      </c>
      <c r="F325" s="1">
        <v>1</v>
      </c>
      <c r="G325">
        <v>36</v>
      </c>
      <c r="H325">
        <v>39</v>
      </c>
      <c r="I325" t="s">
        <v>22</v>
      </c>
      <c r="J325" t="s">
        <v>29</v>
      </c>
    </row>
    <row r="326" spans="1:10" x14ac:dyDescent="0.25">
      <c r="A326">
        <v>5</v>
      </c>
      <c r="B326" t="s">
        <v>13</v>
      </c>
      <c r="C326" s="1">
        <v>2.1</v>
      </c>
      <c r="D326" s="1">
        <v>700</v>
      </c>
      <c r="E326" s="1">
        <v>20</v>
      </c>
      <c r="F326" s="1">
        <v>1</v>
      </c>
      <c r="G326">
        <v>37</v>
      </c>
      <c r="H326">
        <v>34</v>
      </c>
      <c r="I326" t="s">
        <v>23</v>
      </c>
      <c r="J326" t="s">
        <v>27</v>
      </c>
    </row>
    <row r="327" spans="1:10" x14ac:dyDescent="0.25">
      <c r="A327">
        <v>5</v>
      </c>
      <c r="B327" t="s">
        <v>13</v>
      </c>
      <c r="C327" s="1">
        <v>2.1</v>
      </c>
      <c r="D327" s="1">
        <v>700</v>
      </c>
      <c r="E327" s="1">
        <v>20</v>
      </c>
      <c r="F327" s="1">
        <v>1</v>
      </c>
      <c r="G327">
        <v>38</v>
      </c>
      <c r="H327">
        <v>35</v>
      </c>
      <c r="I327" t="s">
        <v>23</v>
      </c>
      <c r="J327" t="s">
        <v>28</v>
      </c>
    </row>
    <row r="328" spans="1:10" x14ac:dyDescent="0.25">
      <c r="A328">
        <v>5</v>
      </c>
      <c r="B328" t="s">
        <v>13</v>
      </c>
      <c r="C328" s="1">
        <v>2.1</v>
      </c>
      <c r="D328" s="1">
        <v>700</v>
      </c>
      <c r="E328" s="1">
        <v>20</v>
      </c>
      <c r="F328" s="1">
        <v>1</v>
      </c>
      <c r="G328">
        <v>39</v>
      </c>
      <c r="H328">
        <v>36</v>
      </c>
      <c r="I328" t="s">
        <v>23</v>
      </c>
      <c r="J328" t="s">
        <v>29</v>
      </c>
    </row>
    <row r="329" spans="1:10" x14ac:dyDescent="0.25">
      <c r="A329">
        <v>5</v>
      </c>
      <c r="B329" t="s">
        <v>13</v>
      </c>
      <c r="C329" s="1">
        <v>2.1</v>
      </c>
      <c r="D329" s="1">
        <v>700</v>
      </c>
      <c r="E329" s="1">
        <v>20</v>
      </c>
      <c r="F329" s="1">
        <v>1</v>
      </c>
      <c r="G329">
        <v>40</v>
      </c>
      <c r="H329">
        <v>37</v>
      </c>
      <c r="I329" t="s">
        <v>24</v>
      </c>
      <c r="J329" t="s">
        <v>27</v>
      </c>
    </row>
    <row r="330" spans="1:10" x14ac:dyDescent="0.25">
      <c r="A330">
        <v>5</v>
      </c>
      <c r="B330" t="s">
        <v>13</v>
      </c>
      <c r="C330" s="1">
        <v>2.1</v>
      </c>
      <c r="D330" s="1">
        <v>700</v>
      </c>
      <c r="E330" s="1">
        <v>20</v>
      </c>
      <c r="F330" s="1">
        <v>1</v>
      </c>
      <c r="G330">
        <v>41</v>
      </c>
      <c r="H330">
        <v>38</v>
      </c>
      <c r="I330" t="s">
        <v>24</v>
      </c>
      <c r="J330" t="s">
        <v>28</v>
      </c>
    </row>
    <row r="331" spans="1:10" x14ac:dyDescent="0.25">
      <c r="A331">
        <v>5</v>
      </c>
      <c r="B331" t="s">
        <v>13</v>
      </c>
      <c r="C331" s="1">
        <v>2.1</v>
      </c>
      <c r="D331" s="1">
        <v>700</v>
      </c>
      <c r="E331" s="1">
        <v>20</v>
      </c>
      <c r="F331" s="1">
        <v>1</v>
      </c>
      <c r="G331">
        <v>42</v>
      </c>
      <c r="H331">
        <v>39</v>
      </c>
      <c r="I331" t="s">
        <v>24</v>
      </c>
      <c r="J331" t="s">
        <v>29</v>
      </c>
    </row>
    <row r="332" spans="1:10" x14ac:dyDescent="0.25">
      <c r="A332">
        <v>5</v>
      </c>
      <c r="B332" t="s">
        <v>13</v>
      </c>
      <c r="C332" s="1">
        <v>2.1</v>
      </c>
      <c r="D332" s="1">
        <v>700</v>
      </c>
      <c r="E332" s="1">
        <v>20</v>
      </c>
      <c r="F332" s="1">
        <v>1</v>
      </c>
      <c r="G332">
        <v>43</v>
      </c>
      <c r="H332">
        <v>34</v>
      </c>
      <c r="I332" t="s">
        <v>25</v>
      </c>
      <c r="J332" t="s">
        <v>27</v>
      </c>
    </row>
    <row r="333" spans="1:10" x14ac:dyDescent="0.25">
      <c r="A333">
        <v>5</v>
      </c>
      <c r="B333" t="s">
        <v>13</v>
      </c>
      <c r="C333" s="1">
        <v>2.1</v>
      </c>
      <c r="D333" s="1">
        <v>700</v>
      </c>
      <c r="E333" s="1">
        <v>20</v>
      </c>
      <c r="F333" s="1">
        <v>1</v>
      </c>
      <c r="G333">
        <v>44</v>
      </c>
      <c r="H333">
        <v>35</v>
      </c>
      <c r="I333" t="s">
        <v>25</v>
      </c>
      <c r="J333" t="s">
        <v>28</v>
      </c>
    </row>
    <row r="334" spans="1:10" x14ac:dyDescent="0.25">
      <c r="A334">
        <v>5</v>
      </c>
      <c r="B334" t="s">
        <v>13</v>
      </c>
      <c r="C334" s="1">
        <v>2.1</v>
      </c>
      <c r="D334" s="1">
        <v>700</v>
      </c>
      <c r="E334" s="1">
        <v>20</v>
      </c>
      <c r="F334" s="1">
        <v>1</v>
      </c>
      <c r="G334">
        <v>45</v>
      </c>
      <c r="H334">
        <v>36</v>
      </c>
      <c r="I334" t="s">
        <v>25</v>
      </c>
      <c r="J334" t="s">
        <v>29</v>
      </c>
    </row>
    <row r="335" spans="1:10" x14ac:dyDescent="0.25">
      <c r="A335">
        <v>5</v>
      </c>
      <c r="B335" t="s">
        <v>13</v>
      </c>
      <c r="C335" s="1">
        <v>2.1</v>
      </c>
      <c r="D335" s="1">
        <v>700</v>
      </c>
      <c r="E335" s="1">
        <v>20</v>
      </c>
      <c r="F335" s="1">
        <v>1</v>
      </c>
      <c r="G335">
        <v>46</v>
      </c>
      <c r="H335">
        <v>37</v>
      </c>
      <c r="I335" t="s">
        <v>26</v>
      </c>
      <c r="J335" t="s">
        <v>27</v>
      </c>
    </row>
    <row r="336" spans="1:10" x14ac:dyDescent="0.25">
      <c r="A336">
        <v>5</v>
      </c>
      <c r="B336" t="s">
        <v>13</v>
      </c>
      <c r="C336" s="1">
        <v>2.1</v>
      </c>
      <c r="D336" s="1">
        <v>700</v>
      </c>
      <c r="E336" s="1">
        <v>20</v>
      </c>
      <c r="F336" s="1">
        <v>1</v>
      </c>
      <c r="G336">
        <v>47</v>
      </c>
      <c r="H336">
        <v>38</v>
      </c>
      <c r="I336" t="s">
        <v>26</v>
      </c>
      <c r="J336" t="s">
        <v>28</v>
      </c>
    </row>
    <row r="337" spans="1:10" x14ac:dyDescent="0.25">
      <c r="A337">
        <v>5</v>
      </c>
      <c r="B337" t="s">
        <v>13</v>
      </c>
      <c r="C337" s="1">
        <v>2.1</v>
      </c>
      <c r="D337" s="1">
        <v>700</v>
      </c>
      <c r="E337" s="1">
        <v>20</v>
      </c>
      <c r="F337" s="1">
        <v>1</v>
      </c>
      <c r="G337">
        <v>48</v>
      </c>
      <c r="H337">
        <v>39</v>
      </c>
      <c r="I337" t="s">
        <v>26</v>
      </c>
      <c r="J337" t="s">
        <v>29</v>
      </c>
    </row>
    <row r="338" spans="1:10" x14ac:dyDescent="0.25">
      <c r="A338">
        <v>5</v>
      </c>
      <c r="B338" t="s">
        <v>13</v>
      </c>
      <c r="C338" s="1">
        <v>2.1</v>
      </c>
      <c r="D338" s="1">
        <v>700</v>
      </c>
      <c r="E338" s="1">
        <v>20</v>
      </c>
      <c r="F338" s="1">
        <v>1</v>
      </c>
      <c r="G338">
        <v>49</v>
      </c>
      <c r="H338">
        <v>136</v>
      </c>
      <c r="I338" t="s">
        <v>19</v>
      </c>
      <c r="J338" t="s">
        <v>27</v>
      </c>
    </row>
    <row r="339" spans="1:10" x14ac:dyDescent="0.25">
      <c r="A339">
        <v>5</v>
      </c>
      <c r="B339" t="s">
        <v>13</v>
      </c>
      <c r="C339" s="1">
        <v>2.1</v>
      </c>
      <c r="D339" s="1">
        <v>700</v>
      </c>
      <c r="E339" s="1">
        <v>20</v>
      </c>
      <c r="F339" s="1">
        <v>1</v>
      </c>
      <c r="G339">
        <v>50</v>
      </c>
      <c r="H339">
        <v>137</v>
      </c>
      <c r="I339" t="s">
        <v>19</v>
      </c>
      <c r="J339" t="s">
        <v>28</v>
      </c>
    </row>
    <row r="340" spans="1:10" x14ac:dyDescent="0.25">
      <c r="A340">
        <v>5</v>
      </c>
      <c r="B340" t="s">
        <v>13</v>
      </c>
      <c r="C340" s="1">
        <v>2.1</v>
      </c>
      <c r="D340" s="1">
        <v>700</v>
      </c>
      <c r="E340" s="1">
        <v>20</v>
      </c>
      <c r="F340" s="1">
        <v>1</v>
      </c>
      <c r="G340">
        <v>51</v>
      </c>
      <c r="H340">
        <v>138</v>
      </c>
      <c r="I340" t="s">
        <v>19</v>
      </c>
      <c r="J340" t="s">
        <v>29</v>
      </c>
    </row>
    <row r="341" spans="1:10" x14ac:dyDescent="0.25">
      <c r="A341">
        <v>5</v>
      </c>
      <c r="B341" t="s">
        <v>13</v>
      </c>
      <c r="C341" s="1">
        <v>2.1</v>
      </c>
      <c r="D341" s="1">
        <v>700</v>
      </c>
      <c r="E341" s="1">
        <v>20</v>
      </c>
      <c r="F341" s="1">
        <v>1</v>
      </c>
      <c r="G341">
        <v>52</v>
      </c>
      <c r="H341">
        <v>139</v>
      </c>
      <c r="I341" t="s">
        <v>20</v>
      </c>
      <c r="J341" t="s">
        <v>27</v>
      </c>
    </row>
    <row r="342" spans="1:10" x14ac:dyDescent="0.25">
      <c r="A342">
        <v>5</v>
      </c>
      <c r="B342" t="s">
        <v>13</v>
      </c>
      <c r="C342" s="1">
        <v>2.1</v>
      </c>
      <c r="D342" s="1">
        <v>700</v>
      </c>
      <c r="E342" s="1">
        <v>20</v>
      </c>
      <c r="F342" s="1">
        <v>1</v>
      </c>
      <c r="G342">
        <v>53</v>
      </c>
      <c r="H342">
        <v>140</v>
      </c>
      <c r="I342" t="s">
        <v>20</v>
      </c>
      <c r="J342" t="s">
        <v>28</v>
      </c>
    </row>
    <row r="343" spans="1:10" x14ac:dyDescent="0.25">
      <c r="A343">
        <v>5</v>
      </c>
      <c r="B343" t="s">
        <v>13</v>
      </c>
      <c r="C343" s="1">
        <v>2.1</v>
      </c>
      <c r="D343" s="1">
        <v>700</v>
      </c>
      <c r="E343" s="1">
        <v>20</v>
      </c>
      <c r="F343" s="1">
        <v>1</v>
      </c>
      <c r="G343">
        <v>54</v>
      </c>
      <c r="H343">
        <v>141</v>
      </c>
      <c r="I343" t="s">
        <v>20</v>
      </c>
      <c r="J343" t="s">
        <v>29</v>
      </c>
    </row>
    <row r="344" spans="1:10" x14ac:dyDescent="0.25">
      <c r="A344">
        <v>5</v>
      </c>
      <c r="B344" t="s">
        <v>13</v>
      </c>
      <c r="C344" s="1">
        <v>2.1</v>
      </c>
      <c r="D344" s="1">
        <v>700</v>
      </c>
      <c r="E344" s="1">
        <v>20</v>
      </c>
      <c r="F344" s="1">
        <v>1</v>
      </c>
      <c r="G344">
        <v>55</v>
      </c>
      <c r="H344">
        <v>142</v>
      </c>
      <c r="I344" t="s">
        <v>21</v>
      </c>
      <c r="J344" t="s">
        <v>27</v>
      </c>
    </row>
    <row r="345" spans="1:10" x14ac:dyDescent="0.25">
      <c r="A345">
        <v>5</v>
      </c>
      <c r="B345" t="s">
        <v>13</v>
      </c>
      <c r="C345" s="1">
        <v>2.1</v>
      </c>
      <c r="D345" s="1">
        <v>700</v>
      </c>
      <c r="E345" s="1">
        <v>20</v>
      </c>
      <c r="F345" s="1">
        <v>1</v>
      </c>
      <c r="G345">
        <v>56</v>
      </c>
      <c r="H345">
        <v>143</v>
      </c>
      <c r="I345" t="s">
        <v>21</v>
      </c>
      <c r="J345" t="s">
        <v>28</v>
      </c>
    </row>
    <row r="346" spans="1:10" x14ac:dyDescent="0.25">
      <c r="A346">
        <v>5</v>
      </c>
      <c r="B346" t="s">
        <v>13</v>
      </c>
      <c r="C346" s="1">
        <v>2.1</v>
      </c>
      <c r="D346" s="1">
        <v>700</v>
      </c>
      <c r="E346" s="1">
        <v>20</v>
      </c>
      <c r="F346" s="1">
        <v>1</v>
      </c>
      <c r="G346">
        <v>57</v>
      </c>
      <c r="H346">
        <v>144</v>
      </c>
      <c r="I346" t="s">
        <v>21</v>
      </c>
      <c r="J346" t="s">
        <v>29</v>
      </c>
    </row>
    <row r="347" spans="1:10" x14ac:dyDescent="0.25">
      <c r="A347">
        <v>5</v>
      </c>
      <c r="B347" t="s">
        <v>13</v>
      </c>
      <c r="C347" s="1">
        <v>2.1</v>
      </c>
      <c r="D347" s="1">
        <v>700</v>
      </c>
      <c r="E347" s="1">
        <v>20</v>
      </c>
      <c r="F347" s="1">
        <v>1</v>
      </c>
      <c r="G347">
        <v>58</v>
      </c>
      <c r="H347">
        <v>145</v>
      </c>
      <c r="I347" t="s">
        <v>22</v>
      </c>
      <c r="J347" t="s">
        <v>27</v>
      </c>
    </row>
    <row r="348" spans="1:10" x14ac:dyDescent="0.25">
      <c r="A348">
        <v>5</v>
      </c>
      <c r="B348" t="s">
        <v>13</v>
      </c>
      <c r="C348" s="1">
        <v>2.1</v>
      </c>
      <c r="D348" s="1">
        <v>700</v>
      </c>
      <c r="E348" s="1">
        <v>20</v>
      </c>
      <c r="F348" s="1">
        <v>1</v>
      </c>
      <c r="G348">
        <v>59</v>
      </c>
      <c r="H348">
        <v>146</v>
      </c>
      <c r="I348" t="s">
        <v>22</v>
      </c>
      <c r="J348" t="s">
        <v>28</v>
      </c>
    </row>
    <row r="349" spans="1:10" x14ac:dyDescent="0.25">
      <c r="A349">
        <v>5</v>
      </c>
      <c r="B349" t="s">
        <v>13</v>
      </c>
      <c r="C349" s="1">
        <v>2.1</v>
      </c>
      <c r="D349" s="1">
        <v>700</v>
      </c>
      <c r="E349" s="1">
        <v>20</v>
      </c>
      <c r="F349" s="1">
        <v>1</v>
      </c>
      <c r="G349">
        <v>60</v>
      </c>
      <c r="H349">
        <v>147</v>
      </c>
      <c r="I349" t="s">
        <v>22</v>
      </c>
      <c r="J349" t="s">
        <v>29</v>
      </c>
    </row>
    <row r="350" spans="1:10" x14ac:dyDescent="0.25">
      <c r="A350">
        <v>5</v>
      </c>
      <c r="B350" t="s">
        <v>13</v>
      </c>
      <c r="C350" s="1">
        <v>2.1</v>
      </c>
      <c r="D350" s="1">
        <v>700</v>
      </c>
      <c r="E350" s="1">
        <v>20</v>
      </c>
      <c r="F350" s="1">
        <v>1</v>
      </c>
      <c r="G350">
        <v>61</v>
      </c>
      <c r="H350">
        <v>148</v>
      </c>
      <c r="I350" t="s">
        <v>23</v>
      </c>
      <c r="J350" t="s">
        <v>27</v>
      </c>
    </row>
    <row r="351" spans="1:10" x14ac:dyDescent="0.25">
      <c r="A351">
        <v>5</v>
      </c>
      <c r="B351" t="s">
        <v>13</v>
      </c>
      <c r="C351" s="1">
        <v>2.1</v>
      </c>
      <c r="D351" s="1">
        <v>700</v>
      </c>
      <c r="E351" s="1">
        <v>20</v>
      </c>
      <c r="F351" s="1">
        <v>1</v>
      </c>
      <c r="G351">
        <v>62</v>
      </c>
      <c r="H351">
        <v>149</v>
      </c>
      <c r="I351" t="s">
        <v>23</v>
      </c>
      <c r="J351" t="s">
        <v>28</v>
      </c>
    </row>
    <row r="352" spans="1:10" x14ac:dyDescent="0.25">
      <c r="A352">
        <v>5</v>
      </c>
      <c r="B352" t="s">
        <v>13</v>
      </c>
      <c r="C352" s="1">
        <v>2.1</v>
      </c>
      <c r="D352" s="1">
        <v>700</v>
      </c>
      <c r="E352" s="1">
        <v>20</v>
      </c>
      <c r="F352" s="1">
        <v>1</v>
      </c>
      <c r="G352">
        <v>63</v>
      </c>
      <c r="H352">
        <v>150</v>
      </c>
      <c r="I352" t="s">
        <v>23</v>
      </c>
      <c r="J352" t="s">
        <v>29</v>
      </c>
    </row>
    <row r="353" spans="1:10" x14ac:dyDescent="0.25">
      <c r="A353">
        <v>5</v>
      </c>
      <c r="B353" t="s">
        <v>13</v>
      </c>
      <c r="C353" s="1">
        <v>2.1</v>
      </c>
      <c r="D353" s="1">
        <v>700</v>
      </c>
      <c r="E353" s="1">
        <v>20</v>
      </c>
      <c r="F353" s="1">
        <v>1</v>
      </c>
      <c r="G353">
        <v>64</v>
      </c>
      <c r="H353">
        <v>151</v>
      </c>
      <c r="I353" t="s">
        <v>24</v>
      </c>
      <c r="J353" t="s">
        <v>27</v>
      </c>
    </row>
    <row r="354" spans="1:10" x14ac:dyDescent="0.25">
      <c r="A354">
        <v>5</v>
      </c>
      <c r="B354" t="s">
        <v>13</v>
      </c>
      <c r="C354" s="1">
        <v>2.1</v>
      </c>
      <c r="D354" s="1">
        <v>700</v>
      </c>
      <c r="E354" s="1">
        <v>20</v>
      </c>
      <c r="F354" s="1">
        <v>1</v>
      </c>
      <c r="G354">
        <v>65</v>
      </c>
      <c r="H354">
        <v>152</v>
      </c>
      <c r="I354" t="s">
        <v>24</v>
      </c>
      <c r="J354" t="s">
        <v>28</v>
      </c>
    </row>
    <row r="355" spans="1:10" x14ac:dyDescent="0.25">
      <c r="A355">
        <v>5</v>
      </c>
      <c r="B355" t="s">
        <v>13</v>
      </c>
      <c r="C355" s="1">
        <v>2.1</v>
      </c>
      <c r="D355" s="1">
        <v>700</v>
      </c>
      <c r="E355" s="1">
        <v>20</v>
      </c>
      <c r="F355" s="1">
        <v>1</v>
      </c>
      <c r="G355">
        <v>66</v>
      </c>
      <c r="H355">
        <v>153</v>
      </c>
      <c r="I355" t="s">
        <v>24</v>
      </c>
      <c r="J355" t="s">
        <v>29</v>
      </c>
    </row>
    <row r="356" spans="1:10" x14ac:dyDescent="0.25">
      <c r="A356">
        <v>5</v>
      </c>
      <c r="B356" t="s">
        <v>13</v>
      </c>
      <c r="C356" s="1">
        <v>2.1</v>
      </c>
      <c r="D356" s="1">
        <v>700</v>
      </c>
      <c r="E356" s="1">
        <v>20</v>
      </c>
      <c r="F356" s="1">
        <v>1</v>
      </c>
      <c r="G356">
        <v>67</v>
      </c>
      <c r="H356">
        <v>154</v>
      </c>
      <c r="I356" t="s">
        <v>25</v>
      </c>
      <c r="J356" t="s">
        <v>27</v>
      </c>
    </row>
    <row r="357" spans="1:10" x14ac:dyDescent="0.25">
      <c r="A357">
        <v>5</v>
      </c>
      <c r="B357" t="s">
        <v>13</v>
      </c>
      <c r="C357" s="1">
        <v>2.1</v>
      </c>
      <c r="D357" s="1">
        <v>700</v>
      </c>
      <c r="E357" s="1">
        <v>20</v>
      </c>
      <c r="F357" s="1">
        <v>1</v>
      </c>
      <c r="G357">
        <v>68</v>
      </c>
      <c r="H357">
        <v>155</v>
      </c>
      <c r="I357" t="s">
        <v>25</v>
      </c>
      <c r="J357" t="s">
        <v>28</v>
      </c>
    </row>
    <row r="358" spans="1:10" x14ac:dyDescent="0.25">
      <c r="A358">
        <v>5</v>
      </c>
      <c r="B358" t="s">
        <v>13</v>
      </c>
      <c r="C358" s="1">
        <v>2.1</v>
      </c>
      <c r="D358" s="1">
        <v>700</v>
      </c>
      <c r="E358" s="1">
        <v>20</v>
      </c>
      <c r="F358" s="1">
        <v>1</v>
      </c>
      <c r="G358">
        <v>69</v>
      </c>
      <c r="H358">
        <v>156</v>
      </c>
      <c r="I358" t="s">
        <v>25</v>
      </c>
      <c r="J358" t="s">
        <v>29</v>
      </c>
    </row>
    <row r="359" spans="1:10" x14ac:dyDescent="0.25">
      <c r="A359">
        <v>5</v>
      </c>
      <c r="B359" t="s">
        <v>13</v>
      </c>
      <c r="C359" s="1">
        <v>2.1</v>
      </c>
      <c r="D359" s="1">
        <v>700</v>
      </c>
      <c r="E359" s="1">
        <v>20</v>
      </c>
      <c r="F359" s="1">
        <v>1</v>
      </c>
      <c r="G359">
        <v>70</v>
      </c>
      <c r="H359">
        <v>157</v>
      </c>
      <c r="I359" t="s">
        <v>26</v>
      </c>
      <c r="J359" t="s">
        <v>27</v>
      </c>
    </row>
    <row r="360" spans="1:10" x14ac:dyDescent="0.25">
      <c r="A360">
        <v>5</v>
      </c>
      <c r="B360" t="s">
        <v>13</v>
      </c>
      <c r="C360" s="1">
        <v>2.1</v>
      </c>
      <c r="D360" s="1">
        <v>700</v>
      </c>
      <c r="E360" s="1">
        <v>20</v>
      </c>
      <c r="F360" s="1">
        <v>1</v>
      </c>
      <c r="G360">
        <v>71</v>
      </c>
      <c r="H360">
        <v>158</v>
      </c>
      <c r="I360" t="s">
        <v>26</v>
      </c>
      <c r="J360" t="s">
        <v>28</v>
      </c>
    </row>
    <row r="361" spans="1:10" x14ac:dyDescent="0.25">
      <c r="A361">
        <v>5</v>
      </c>
      <c r="B361" t="s">
        <v>13</v>
      </c>
      <c r="C361" s="1">
        <v>2.1</v>
      </c>
      <c r="D361" s="1">
        <v>700</v>
      </c>
      <c r="E361" s="1">
        <v>20</v>
      </c>
      <c r="F361" s="1">
        <v>1</v>
      </c>
      <c r="G361">
        <v>72</v>
      </c>
      <c r="H361">
        <v>159</v>
      </c>
      <c r="I361" t="s">
        <v>26</v>
      </c>
      <c r="J361" t="s">
        <v>29</v>
      </c>
    </row>
    <row r="362" spans="1:10" x14ac:dyDescent="0.25">
      <c r="A362">
        <v>6</v>
      </c>
      <c r="B362" t="s">
        <v>14</v>
      </c>
      <c r="C362" s="1">
        <v>1.2</v>
      </c>
      <c r="D362" s="1">
        <v>1022</v>
      </c>
      <c r="E362" s="1">
        <v>25</v>
      </c>
      <c r="F362" s="1">
        <v>1</v>
      </c>
      <c r="G362">
        <v>1</v>
      </c>
      <c r="H362">
        <v>24</v>
      </c>
      <c r="I362" t="s">
        <v>19</v>
      </c>
      <c r="J362" t="s">
        <v>27</v>
      </c>
    </row>
    <row r="363" spans="1:10" x14ac:dyDescent="0.25">
      <c r="A363">
        <v>6</v>
      </c>
      <c r="B363" t="s">
        <v>14</v>
      </c>
      <c r="C363" s="1">
        <v>1.2</v>
      </c>
      <c r="D363" s="1">
        <v>1022</v>
      </c>
      <c r="E363" s="1">
        <v>25</v>
      </c>
      <c r="F363" s="1">
        <v>1</v>
      </c>
      <c r="G363">
        <v>2</v>
      </c>
      <c r="H363">
        <v>25</v>
      </c>
      <c r="I363" t="s">
        <v>19</v>
      </c>
      <c r="J363" t="s">
        <v>28</v>
      </c>
    </row>
    <row r="364" spans="1:10" x14ac:dyDescent="0.25">
      <c r="A364">
        <v>6</v>
      </c>
      <c r="B364" t="s">
        <v>14</v>
      </c>
      <c r="C364" s="1">
        <v>1.2</v>
      </c>
      <c r="D364" s="1">
        <v>1022</v>
      </c>
      <c r="E364" s="1">
        <v>25</v>
      </c>
      <c r="F364" s="1">
        <v>1</v>
      </c>
      <c r="G364">
        <v>3</v>
      </c>
      <c r="H364">
        <v>26</v>
      </c>
      <c r="I364" t="s">
        <v>19</v>
      </c>
      <c r="J364" t="s">
        <v>29</v>
      </c>
    </row>
    <row r="365" spans="1:10" x14ac:dyDescent="0.25">
      <c r="A365">
        <v>6</v>
      </c>
      <c r="B365" t="s">
        <v>14</v>
      </c>
      <c r="C365" s="1">
        <v>1.2</v>
      </c>
      <c r="D365" s="1">
        <v>1022</v>
      </c>
      <c r="E365" s="1">
        <v>25</v>
      </c>
      <c r="F365" s="1">
        <v>1</v>
      </c>
      <c r="G365">
        <v>4</v>
      </c>
      <c r="H365">
        <v>27</v>
      </c>
      <c r="I365" t="s">
        <v>20</v>
      </c>
      <c r="J365" t="s">
        <v>27</v>
      </c>
    </row>
    <row r="366" spans="1:10" x14ac:dyDescent="0.25">
      <c r="A366">
        <v>6</v>
      </c>
      <c r="B366" t="s">
        <v>14</v>
      </c>
      <c r="C366" s="1">
        <v>1.2</v>
      </c>
      <c r="D366" s="1">
        <v>1022</v>
      </c>
      <c r="E366" s="1">
        <v>25</v>
      </c>
      <c r="F366" s="1">
        <v>1</v>
      </c>
      <c r="G366">
        <v>5</v>
      </c>
      <c r="H366">
        <v>28</v>
      </c>
      <c r="I366" t="s">
        <v>20</v>
      </c>
      <c r="J366" t="s">
        <v>28</v>
      </c>
    </row>
    <row r="367" spans="1:10" x14ac:dyDescent="0.25">
      <c r="A367">
        <v>6</v>
      </c>
      <c r="B367" t="s">
        <v>14</v>
      </c>
      <c r="C367" s="1">
        <v>1.2</v>
      </c>
      <c r="D367" s="1">
        <v>1022</v>
      </c>
      <c r="E367" s="1">
        <v>25</v>
      </c>
      <c r="F367" s="1">
        <v>1</v>
      </c>
      <c r="G367">
        <v>6</v>
      </c>
      <c r="H367">
        <v>29</v>
      </c>
      <c r="I367" t="s">
        <v>20</v>
      </c>
      <c r="J367" t="s">
        <v>29</v>
      </c>
    </row>
    <row r="368" spans="1:10" x14ac:dyDescent="0.25">
      <c r="A368">
        <v>6</v>
      </c>
      <c r="B368" t="s">
        <v>14</v>
      </c>
      <c r="C368" s="1">
        <v>1.2</v>
      </c>
      <c r="D368" s="1">
        <v>1022</v>
      </c>
      <c r="E368" s="1">
        <v>25</v>
      </c>
      <c r="F368" s="1">
        <v>1</v>
      </c>
      <c r="G368">
        <v>7</v>
      </c>
      <c r="H368">
        <v>30</v>
      </c>
      <c r="I368" t="s">
        <v>21</v>
      </c>
      <c r="J368" t="s">
        <v>27</v>
      </c>
    </row>
    <row r="369" spans="1:10" x14ac:dyDescent="0.25">
      <c r="A369">
        <v>6</v>
      </c>
      <c r="B369" t="s">
        <v>14</v>
      </c>
      <c r="C369" s="1">
        <v>1.2</v>
      </c>
      <c r="D369" s="1">
        <v>1022</v>
      </c>
      <c r="E369" s="1">
        <v>25</v>
      </c>
      <c r="F369" s="1">
        <v>1</v>
      </c>
      <c r="G369">
        <v>8</v>
      </c>
      <c r="H369">
        <v>31</v>
      </c>
      <c r="I369" t="s">
        <v>21</v>
      </c>
      <c r="J369" t="s">
        <v>28</v>
      </c>
    </row>
    <row r="370" spans="1:10" x14ac:dyDescent="0.25">
      <c r="A370">
        <v>6</v>
      </c>
      <c r="B370" t="s">
        <v>14</v>
      </c>
      <c r="C370" s="1">
        <v>1.2</v>
      </c>
      <c r="D370" s="1">
        <v>1022</v>
      </c>
      <c r="E370" s="1">
        <v>25</v>
      </c>
      <c r="F370" s="1">
        <v>1</v>
      </c>
      <c r="G370">
        <v>9</v>
      </c>
      <c r="H370">
        <v>32</v>
      </c>
      <c r="I370" t="s">
        <v>21</v>
      </c>
      <c r="J370" t="s">
        <v>29</v>
      </c>
    </row>
    <row r="371" spans="1:10" x14ac:dyDescent="0.25">
      <c r="A371">
        <v>6</v>
      </c>
      <c r="B371" t="s">
        <v>14</v>
      </c>
      <c r="C371" s="1">
        <v>1.2</v>
      </c>
      <c r="D371" s="1">
        <v>1022</v>
      </c>
      <c r="E371" s="1">
        <v>25</v>
      </c>
      <c r="F371" s="1">
        <v>1</v>
      </c>
      <c r="G371">
        <v>10</v>
      </c>
      <c r="H371">
        <v>33</v>
      </c>
      <c r="I371" t="s">
        <v>22</v>
      </c>
      <c r="J371" t="s">
        <v>27</v>
      </c>
    </row>
    <row r="372" spans="1:10" x14ac:dyDescent="0.25">
      <c r="A372">
        <v>6</v>
      </c>
      <c r="B372" t="s">
        <v>14</v>
      </c>
      <c r="C372" s="1">
        <v>1.2</v>
      </c>
      <c r="D372" s="1">
        <v>1022</v>
      </c>
      <c r="E372" s="1">
        <v>25</v>
      </c>
      <c r="F372" s="1">
        <v>1</v>
      </c>
      <c r="G372">
        <v>11</v>
      </c>
      <c r="H372">
        <v>24</v>
      </c>
      <c r="I372" t="s">
        <v>22</v>
      </c>
      <c r="J372" t="s">
        <v>28</v>
      </c>
    </row>
    <row r="373" spans="1:10" x14ac:dyDescent="0.25">
      <c r="A373">
        <v>6</v>
      </c>
      <c r="B373" t="s">
        <v>14</v>
      </c>
      <c r="C373" s="1">
        <v>1.2</v>
      </c>
      <c r="D373" s="1">
        <v>1022</v>
      </c>
      <c r="E373" s="1">
        <v>25</v>
      </c>
      <c r="F373" s="1">
        <v>1</v>
      </c>
      <c r="G373">
        <v>12</v>
      </c>
      <c r="H373">
        <v>25</v>
      </c>
      <c r="I373" t="s">
        <v>22</v>
      </c>
      <c r="J373" t="s">
        <v>29</v>
      </c>
    </row>
    <row r="374" spans="1:10" x14ac:dyDescent="0.25">
      <c r="A374">
        <v>6</v>
      </c>
      <c r="B374" t="s">
        <v>14</v>
      </c>
      <c r="C374" s="1">
        <v>1.2</v>
      </c>
      <c r="D374" s="1">
        <v>1022</v>
      </c>
      <c r="E374" s="1">
        <v>25</v>
      </c>
      <c r="F374" s="1">
        <v>1</v>
      </c>
      <c r="G374">
        <v>13</v>
      </c>
      <c r="H374">
        <v>26</v>
      </c>
      <c r="I374" t="s">
        <v>23</v>
      </c>
      <c r="J374" t="s">
        <v>27</v>
      </c>
    </row>
    <row r="375" spans="1:10" x14ac:dyDescent="0.25">
      <c r="A375">
        <v>6</v>
      </c>
      <c r="B375" t="s">
        <v>14</v>
      </c>
      <c r="C375" s="1">
        <v>1.2</v>
      </c>
      <c r="D375" s="1">
        <v>1022</v>
      </c>
      <c r="E375" s="1">
        <v>25</v>
      </c>
      <c r="F375" s="1">
        <v>1</v>
      </c>
      <c r="G375">
        <v>14</v>
      </c>
      <c r="H375">
        <v>27</v>
      </c>
      <c r="I375" t="s">
        <v>23</v>
      </c>
      <c r="J375" t="s">
        <v>28</v>
      </c>
    </row>
    <row r="376" spans="1:10" x14ac:dyDescent="0.25">
      <c r="A376">
        <v>6</v>
      </c>
      <c r="B376" t="s">
        <v>14</v>
      </c>
      <c r="C376" s="1">
        <v>1.2</v>
      </c>
      <c r="D376" s="1">
        <v>1022</v>
      </c>
      <c r="E376" s="1">
        <v>25</v>
      </c>
      <c r="F376" s="1">
        <v>1</v>
      </c>
      <c r="G376">
        <v>15</v>
      </c>
      <c r="H376">
        <v>28</v>
      </c>
      <c r="I376" t="s">
        <v>23</v>
      </c>
      <c r="J376" t="s">
        <v>29</v>
      </c>
    </row>
    <row r="377" spans="1:10" x14ac:dyDescent="0.25">
      <c r="A377">
        <v>6</v>
      </c>
      <c r="B377" t="s">
        <v>14</v>
      </c>
      <c r="C377" s="1">
        <v>1.2</v>
      </c>
      <c r="D377" s="1">
        <v>1022</v>
      </c>
      <c r="E377" s="1">
        <v>25</v>
      </c>
      <c r="F377" s="1">
        <v>1</v>
      </c>
      <c r="G377">
        <v>16</v>
      </c>
      <c r="H377">
        <v>29</v>
      </c>
      <c r="I377" t="s">
        <v>24</v>
      </c>
      <c r="J377" t="s">
        <v>27</v>
      </c>
    </row>
    <row r="378" spans="1:10" x14ac:dyDescent="0.25">
      <c r="A378">
        <v>6</v>
      </c>
      <c r="B378" t="s">
        <v>14</v>
      </c>
      <c r="C378" s="1">
        <v>1.2</v>
      </c>
      <c r="D378" s="1">
        <v>1022</v>
      </c>
      <c r="E378" s="1">
        <v>25</v>
      </c>
      <c r="F378" s="1">
        <v>1</v>
      </c>
      <c r="G378">
        <v>17</v>
      </c>
      <c r="H378">
        <v>30</v>
      </c>
      <c r="I378" t="s">
        <v>24</v>
      </c>
      <c r="J378" t="s">
        <v>28</v>
      </c>
    </row>
    <row r="379" spans="1:10" x14ac:dyDescent="0.25">
      <c r="A379">
        <v>6</v>
      </c>
      <c r="B379" t="s">
        <v>14</v>
      </c>
      <c r="C379" s="1">
        <v>1.2</v>
      </c>
      <c r="D379" s="1">
        <v>1022</v>
      </c>
      <c r="E379" s="1">
        <v>25</v>
      </c>
      <c r="F379" s="1">
        <v>1</v>
      </c>
      <c r="G379">
        <v>18</v>
      </c>
      <c r="H379">
        <v>31</v>
      </c>
      <c r="I379" t="s">
        <v>24</v>
      </c>
      <c r="J379" t="s">
        <v>29</v>
      </c>
    </row>
    <row r="380" spans="1:10" x14ac:dyDescent="0.25">
      <c r="A380">
        <v>6</v>
      </c>
      <c r="B380" t="s">
        <v>14</v>
      </c>
      <c r="C380" s="1">
        <v>1.2</v>
      </c>
      <c r="D380" s="1">
        <v>1022</v>
      </c>
      <c r="E380" s="1">
        <v>25</v>
      </c>
      <c r="F380" s="1">
        <v>1</v>
      </c>
      <c r="G380">
        <v>19</v>
      </c>
      <c r="H380">
        <v>32</v>
      </c>
      <c r="I380" t="s">
        <v>25</v>
      </c>
      <c r="J380" t="s">
        <v>27</v>
      </c>
    </row>
    <row r="381" spans="1:10" x14ac:dyDescent="0.25">
      <c r="A381">
        <v>6</v>
      </c>
      <c r="B381" t="s">
        <v>14</v>
      </c>
      <c r="C381" s="1">
        <v>1.2</v>
      </c>
      <c r="D381" s="1">
        <v>1022</v>
      </c>
      <c r="E381" s="1">
        <v>25</v>
      </c>
      <c r="F381" s="1">
        <v>1</v>
      </c>
      <c r="G381">
        <v>20</v>
      </c>
      <c r="H381">
        <v>33</v>
      </c>
      <c r="I381" t="s">
        <v>25</v>
      </c>
      <c r="J381" t="s">
        <v>28</v>
      </c>
    </row>
    <row r="382" spans="1:10" x14ac:dyDescent="0.25">
      <c r="A382">
        <v>6</v>
      </c>
      <c r="B382" t="s">
        <v>14</v>
      </c>
      <c r="C382" s="1">
        <v>1.2</v>
      </c>
      <c r="D382" s="1">
        <v>1022</v>
      </c>
      <c r="E382" s="1">
        <v>25</v>
      </c>
      <c r="F382" s="1">
        <v>1</v>
      </c>
      <c r="G382">
        <v>21</v>
      </c>
      <c r="H382">
        <v>24</v>
      </c>
      <c r="I382" t="s">
        <v>25</v>
      </c>
      <c r="J382" t="s">
        <v>29</v>
      </c>
    </row>
    <row r="383" spans="1:10" x14ac:dyDescent="0.25">
      <c r="A383">
        <v>6</v>
      </c>
      <c r="B383" t="s">
        <v>14</v>
      </c>
      <c r="C383" s="1">
        <v>1.2</v>
      </c>
      <c r="D383" s="1">
        <v>1022</v>
      </c>
      <c r="E383" s="1">
        <v>25</v>
      </c>
      <c r="F383" s="1">
        <v>1</v>
      </c>
      <c r="G383">
        <v>22</v>
      </c>
      <c r="H383">
        <v>25</v>
      </c>
      <c r="I383" t="s">
        <v>26</v>
      </c>
      <c r="J383" t="s">
        <v>27</v>
      </c>
    </row>
    <row r="384" spans="1:10" x14ac:dyDescent="0.25">
      <c r="A384">
        <v>6</v>
      </c>
      <c r="B384" t="s">
        <v>14</v>
      </c>
      <c r="C384" s="1">
        <v>1.2</v>
      </c>
      <c r="D384" s="1">
        <v>1022</v>
      </c>
      <c r="E384" s="1">
        <v>25</v>
      </c>
      <c r="F384" s="1">
        <v>1</v>
      </c>
      <c r="G384">
        <v>23</v>
      </c>
      <c r="H384">
        <v>26</v>
      </c>
      <c r="I384" t="s">
        <v>26</v>
      </c>
      <c r="J384" t="s">
        <v>28</v>
      </c>
    </row>
    <row r="385" spans="1:10" x14ac:dyDescent="0.25">
      <c r="A385">
        <v>6</v>
      </c>
      <c r="B385" t="s">
        <v>14</v>
      </c>
      <c r="C385" s="1">
        <v>1.2</v>
      </c>
      <c r="D385" s="1">
        <v>1022</v>
      </c>
      <c r="E385" s="1">
        <v>25</v>
      </c>
      <c r="F385" s="1">
        <v>1</v>
      </c>
      <c r="G385">
        <v>24</v>
      </c>
      <c r="H385">
        <v>27</v>
      </c>
      <c r="I385" t="s">
        <v>26</v>
      </c>
      <c r="J385" t="s">
        <v>29</v>
      </c>
    </row>
    <row r="386" spans="1:10" x14ac:dyDescent="0.25">
      <c r="A386">
        <v>6</v>
      </c>
      <c r="B386" t="s">
        <v>14</v>
      </c>
      <c r="C386" s="1">
        <v>1.2</v>
      </c>
      <c r="D386" s="1">
        <v>1022</v>
      </c>
      <c r="E386" s="1">
        <v>25</v>
      </c>
      <c r="F386" s="1">
        <v>1</v>
      </c>
      <c r="G386">
        <v>25</v>
      </c>
      <c r="H386">
        <v>34</v>
      </c>
      <c r="I386" t="s">
        <v>19</v>
      </c>
      <c r="J386" t="s">
        <v>27</v>
      </c>
    </row>
    <row r="387" spans="1:10" x14ac:dyDescent="0.25">
      <c r="A387">
        <v>6</v>
      </c>
      <c r="B387" t="s">
        <v>14</v>
      </c>
      <c r="C387" s="1">
        <v>1.2</v>
      </c>
      <c r="D387" s="1">
        <v>1022</v>
      </c>
      <c r="E387" s="1">
        <v>25</v>
      </c>
      <c r="F387" s="1">
        <v>1</v>
      </c>
      <c r="G387">
        <v>26</v>
      </c>
      <c r="H387">
        <v>35</v>
      </c>
      <c r="I387" t="s">
        <v>19</v>
      </c>
      <c r="J387" t="s">
        <v>28</v>
      </c>
    </row>
    <row r="388" spans="1:10" x14ac:dyDescent="0.25">
      <c r="A388">
        <v>6</v>
      </c>
      <c r="B388" t="s">
        <v>14</v>
      </c>
      <c r="C388" s="1">
        <v>1.2</v>
      </c>
      <c r="D388" s="1">
        <v>1022</v>
      </c>
      <c r="E388" s="1">
        <v>25</v>
      </c>
      <c r="F388" s="1">
        <v>1</v>
      </c>
      <c r="G388">
        <v>27</v>
      </c>
      <c r="H388">
        <v>36</v>
      </c>
      <c r="I388" t="s">
        <v>19</v>
      </c>
      <c r="J388" t="s">
        <v>29</v>
      </c>
    </row>
    <row r="389" spans="1:10" x14ac:dyDescent="0.25">
      <c r="A389">
        <v>6</v>
      </c>
      <c r="B389" t="s">
        <v>14</v>
      </c>
      <c r="C389" s="1">
        <v>1.2</v>
      </c>
      <c r="D389" s="1">
        <v>1022</v>
      </c>
      <c r="E389" s="1">
        <v>25</v>
      </c>
      <c r="F389" s="1">
        <v>1</v>
      </c>
      <c r="G389">
        <v>28</v>
      </c>
      <c r="H389">
        <v>37</v>
      </c>
      <c r="I389" t="s">
        <v>20</v>
      </c>
      <c r="J389" t="s">
        <v>27</v>
      </c>
    </row>
    <row r="390" spans="1:10" x14ac:dyDescent="0.25">
      <c r="A390">
        <v>6</v>
      </c>
      <c r="B390" t="s">
        <v>14</v>
      </c>
      <c r="C390" s="1">
        <v>1.2</v>
      </c>
      <c r="D390" s="1">
        <v>1022</v>
      </c>
      <c r="E390" s="1">
        <v>25</v>
      </c>
      <c r="F390" s="1">
        <v>1</v>
      </c>
      <c r="G390">
        <v>29</v>
      </c>
      <c r="H390">
        <v>38</v>
      </c>
      <c r="I390" t="s">
        <v>20</v>
      </c>
      <c r="J390" t="s">
        <v>28</v>
      </c>
    </row>
    <row r="391" spans="1:10" x14ac:dyDescent="0.25">
      <c r="A391">
        <v>6</v>
      </c>
      <c r="B391" t="s">
        <v>14</v>
      </c>
      <c r="C391" s="1">
        <v>1.2</v>
      </c>
      <c r="D391" s="1">
        <v>1022</v>
      </c>
      <c r="E391" s="1">
        <v>25</v>
      </c>
      <c r="F391" s="1">
        <v>1</v>
      </c>
      <c r="G391">
        <v>30</v>
      </c>
      <c r="H391">
        <v>39</v>
      </c>
      <c r="I391" t="s">
        <v>20</v>
      </c>
      <c r="J391" t="s">
        <v>29</v>
      </c>
    </row>
    <row r="392" spans="1:10" x14ac:dyDescent="0.25">
      <c r="A392">
        <v>6</v>
      </c>
      <c r="B392" t="s">
        <v>14</v>
      </c>
      <c r="C392" s="1">
        <v>1.2</v>
      </c>
      <c r="D392" s="1">
        <v>1022</v>
      </c>
      <c r="E392" s="1">
        <v>25</v>
      </c>
      <c r="F392" s="1">
        <v>1</v>
      </c>
      <c r="G392">
        <v>31</v>
      </c>
      <c r="H392">
        <v>34</v>
      </c>
      <c r="I392" t="s">
        <v>21</v>
      </c>
      <c r="J392" t="s">
        <v>27</v>
      </c>
    </row>
    <row r="393" spans="1:10" x14ac:dyDescent="0.25">
      <c r="A393">
        <v>6</v>
      </c>
      <c r="B393" t="s">
        <v>14</v>
      </c>
      <c r="C393" s="1">
        <v>1.2</v>
      </c>
      <c r="D393" s="1">
        <v>1022</v>
      </c>
      <c r="E393" s="1">
        <v>25</v>
      </c>
      <c r="F393" s="1">
        <v>1</v>
      </c>
      <c r="G393">
        <v>32</v>
      </c>
      <c r="H393">
        <v>35</v>
      </c>
      <c r="I393" t="s">
        <v>21</v>
      </c>
      <c r="J393" t="s">
        <v>28</v>
      </c>
    </row>
    <row r="394" spans="1:10" x14ac:dyDescent="0.25">
      <c r="A394">
        <v>6</v>
      </c>
      <c r="B394" t="s">
        <v>14</v>
      </c>
      <c r="C394" s="1">
        <v>1.2</v>
      </c>
      <c r="D394" s="1">
        <v>1022</v>
      </c>
      <c r="E394" s="1">
        <v>25</v>
      </c>
      <c r="F394" s="1">
        <v>1</v>
      </c>
      <c r="G394">
        <v>33</v>
      </c>
      <c r="H394">
        <v>36</v>
      </c>
      <c r="I394" t="s">
        <v>21</v>
      </c>
      <c r="J394" t="s">
        <v>29</v>
      </c>
    </row>
    <row r="395" spans="1:10" x14ac:dyDescent="0.25">
      <c r="A395">
        <v>6</v>
      </c>
      <c r="B395" t="s">
        <v>14</v>
      </c>
      <c r="C395" s="1">
        <v>1.2</v>
      </c>
      <c r="D395" s="1">
        <v>1022</v>
      </c>
      <c r="E395" s="1">
        <v>25</v>
      </c>
      <c r="F395" s="1">
        <v>1</v>
      </c>
      <c r="G395">
        <v>34</v>
      </c>
      <c r="H395">
        <v>37</v>
      </c>
      <c r="I395" t="s">
        <v>22</v>
      </c>
      <c r="J395" t="s">
        <v>27</v>
      </c>
    </row>
    <row r="396" spans="1:10" x14ac:dyDescent="0.25">
      <c r="A396">
        <v>6</v>
      </c>
      <c r="B396" t="s">
        <v>14</v>
      </c>
      <c r="C396" s="1">
        <v>1.2</v>
      </c>
      <c r="D396" s="1">
        <v>1022</v>
      </c>
      <c r="E396" s="1">
        <v>25</v>
      </c>
      <c r="F396" s="1">
        <v>1</v>
      </c>
      <c r="G396">
        <v>35</v>
      </c>
      <c r="H396">
        <v>38</v>
      </c>
      <c r="I396" t="s">
        <v>22</v>
      </c>
      <c r="J396" t="s">
        <v>28</v>
      </c>
    </row>
    <row r="397" spans="1:10" x14ac:dyDescent="0.25">
      <c r="A397">
        <v>6</v>
      </c>
      <c r="B397" t="s">
        <v>14</v>
      </c>
      <c r="C397" s="1">
        <v>1.2</v>
      </c>
      <c r="D397" s="1">
        <v>1022</v>
      </c>
      <c r="E397" s="1">
        <v>25</v>
      </c>
      <c r="F397" s="1">
        <v>1</v>
      </c>
      <c r="G397">
        <v>36</v>
      </c>
      <c r="H397">
        <v>39</v>
      </c>
      <c r="I397" t="s">
        <v>22</v>
      </c>
      <c r="J397" t="s">
        <v>29</v>
      </c>
    </row>
    <row r="398" spans="1:10" x14ac:dyDescent="0.25">
      <c r="A398">
        <v>6</v>
      </c>
      <c r="B398" t="s">
        <v>14</v>
      </c>
      <c r="C398" s="1">
        <v>1.2</v>
      </c>
      <c r="D398" s="1">
        <v>1022</v>
      </c>
      <c r="E398" s="1">
        <v>25</v>
      </c>
      <c r="F398" s="1">
        <v>1</v>
      </c>
      <c r="G398">
        <v>37</v>
      </c>
      <c r="H398">
        <v>34</v>
      </c>
      <c r="I398" t="s">
        <v>23</v>
      </c>
      <c r="J398" t="s">
        <v>27</v>
      </c>
    </row>
    <row r="399" spans="1:10" x14ac:dyDescent="0.25">
      <c r="A399">
        <v>6</v>
      </c>
      <c r="B399" t="s">
        <v>14</v>
      </c>
      <c r="C399" s="1">
        <v>1.2</v>
      </c>
      <c r="D399" s="1">
        <v>1022</v>
      </c>
      <c r="E399" s="1">
        <v>25</v>
      </c>
      <c r="F399" s="1">
        <v>1</v>
      </c>
      <c r="G399">
        <v>38</v>
      </c>
      <c r="H399">
        <v>35</v>
      </c>
      <c r="I399" t="s">
        <v>23</v>
      </c>
      <c r="J399" t="s">
        <v>28</v>
      </c>
    </row>
    <row r="400" spans="1:10" x14ac:dyDescent="0.25">
      <c r="A400">
        <v>6</v>
      </c>
      <c r="B400" t="s">
        <v>14</v>
      </c>
      <c r="C400" s="1">
        <v>1.2</v>
      </c>
      <c r="D400" s="1">
        <v>1022</v>
      </c>
      <c r="E400" s="1">
        <v>25</v>
      </c>
      <c r="F400" s="1">
        <v>1</v>
      </c>
      <c r="G400">
        <v>39</v>
      </c>
      <c r="H400">
        <v>36</v>
      </c>
      <c r="I400" t="s">
        <v>23</v>
      </c>
      <c r="J400" t="s">
        <v>29</v>
      </c>
    </row>
    <row r="401" spans="1:10" x14ac:dyDescent="0.25">
      <c r="A401">
        <v>6</v>
      </c>
      <c r="B401" t="s">
        <v>14</v>
      </c>
      <c r="C401" s="1">
        <v>1.2</v>
      </c>
      <c r="D401" s="1">
        <v>1022</v>
      </c>
      <c r="E401" s="1">
        <v>25</v>
      </c>
      <c r="F401" s="1">
        <v>1</v>
      </c>
      <c r="G401">
        <v>40</v>
      </c>
      <c r="H401">
        <v>37</v>
      </c>
      <c r="I401" t="s">
        <v>24</v>
      </c>
      <c r="J401" t="s">
        <v>27</v>
      </c>
    </row>
    <row r="402" spans="1:10" x14ac:dyDescent="0.25">
      <c r="A402">
        <v>6</v>
      </c>
      <c r="B402" t="s">
        <v>14</v>
      </c>
      <c r="C402" s="1">
        <v>1.2</v>
      </c>
      <c r="D402" s="1">
        <v>1022</v>
      </c>
      <c r="E402" s="1">
        <v>25</v>
      </c>
      <c r="F402" s="1">
        <v>1</v>
      </c>
      <c r="G402">
        <v>41</v>
      </c>
      <c r="H402">
        <v>38</v>
      </c>
      <c r="I402" t="s">
        <v>24</v>
      </c>
      <c r="J402" t="s">
        <v>28</v>
      </c>
    </row>
    <row r="403" spans="1:10" x14ac:dyDescent="0.25">
      <c r="A403">
        <v>6</v>
      </c>
      <c r="B403" t="s">
        <v>14</v>
      </c>
      <c r="C403" s="1">
        <v>1.2</v>
      </c>
      <c r="D403" s="1">
        <v>1022</v>
      </c>
      <c r="E403" s="1">
        <v>25</v>
      </c>
      <c r="F403" s="1">
        <v>1</v>
      </c>
      <c r="G403">
        <v>42</v>
      </c>
      <c r="H403">
        <v>39</v>
      </c>
      <c r="I403" t="s">
        <v>24</v>
      </c>
      <c r="J403" t="s">
        <v>29</v>
      </c>
    </row>
    <row r="404" spans="1:10" x14ac:dyDescent="0.25">
      <c r="A404">
        <v>6</v>
      </c>
      <c r="B404" t="s">
        <v>14</v>
      </c>
      <c r="C404" s="1">
        <v>1.2</v>
      </c>
      <c r="D404" s="1">
        <v>1022</v>
      </c>
      <c r="E404" s="1">
        <v>25</v>
      </c>
      <c r="F404" s="1">
        <v>1</v>
      </c>
      <c r="G404">
        <v>43</v>
      </c>
      <c r="H404">
        <v>34</v>
      </c>
      <c r="I404" t="s">
        <v>25</v>
      </c>
      <c r="J404" t="s">
        <v>27</v>
      </c>
    </row>
    <row r="405" spans="1:10" x14ac:dyDescent="0.25">
      <c r="A405">
        <v>6</v>
      </c>
      <c r="B405" t="s">
        <v>14</v>
      </c>
      <c r="C405" s="1">
        <v>1.2</v>
      </c>
      <c r="D405" s="1">
        <v>1022</v>
      </c>
      <c r="E405" s="1">
        <v>25</v>
      </c>
      <c r="F405" s="1">
        <v>1</v>
      </c>
      <c r="G405">
        <v>44</v>
      </c>
      <c r="H405">
        <v>35</v>
      </c>
      <c r="I405" t="s">
        <v>25</v>
      </c>
      <c r="J405" t="s">
        <v>28</v>
      </c>
    </row>
    <row r="406" spans="1:10" x14ac:dyDescent="0.25">
      <c r="A406">
        <v>6</v>
      </c>
      <c r="B406" t="s">
        <v>14</v>
      </c>
      <c r="C406" s="1">
        <v>1.2</v>
      </c>
      <c r="D406" s="1">
        <v>1022</v>
      </c>
      <c r="E406" s="1">
        <v>25</v>
      </c>
      <c r="F406" s="1">
        <v>1</v>
      </c>
      <c r="G406">
        <v>45</v>
      </c>
      <c r="H406">
        <v>36</v>
      </c>
      <c r="I406" t="s">
        <v>25</v>
      </c>
      <c r="J406" t="s">
        <v>29</v>
      </c>
    </row>
    <row r="407" spans="1:10" x14ac:dyDescent="0.25">
      <c r="A407">
        <v>6</v>
      </c>
      <c r="B407" t="s">
        <v>14</v>
      </c>
      <c r="C407" s="1">
        <v>1.2</v>
      </c>
      <c r="D407" s="1">
        <v>1022</v>
      </c>
      <c r="E407" s="1">
        <v>25</v>
      </c>
      <c r="F407" s="1">
        <v>1</v>
      </c>
      <c r="G407">
        <v>46</v>
      </c>
      <c r="H407">
        <v>37</v>
      </c>
      <c r="I407" t="s">
        <v>26</v>
      </c>
      <c r="J407" t="s">
        <v>27</v>
      </c>
    </row>
    <row r="408" spans="1:10" x14ac:dyDescent="0.25">
      <c r="A408">
        <v>6</v>
      </c>
      <c r="B408" t="s">
        <v>14</v>
      </c>
      <c r="C408" s="1">
        <v>1.2</v>
      </c>
      <c r="D408" s="1">
        <v>1022</v>
      </c>
      <c r="E408" s="1">
        <v>25</v>
      </c>
      <c r="F408" s="1">
        <v>1</v>
      </c>
      <c r="G408">
        <v>47</v>
      </c>
      <c r="H408">
        <v>38</v>
      </c>
      <c r="I408" t="s">
        <v>26</v>
      </c>
      <c r="J408" t="s">
        <v>28</v>
      </c>
    </row>
    <row r="409" spans="1:10" x14ac:dyDescent="0.25">
      <c r="A409">
        <v>6</v>
      </c>
      <c r="B409" t="s">
        <v>14</v>
      </c>
      <c r="C409" s="1">
        <v>1.2</v>
      </c>
      <c r="D409" s="1">
        <v>1022</v>
      </c>
      <c r="E409" s="1">
        <v>25</v>
      </c>
      <c r="F409" s="1">
        <v>1</v>
      </c>
      <c r="G409">
        <v>48</v>
      </c>
      <c r="H409">
        <v>39</v>
      </c>
      <c r="I409" t="s">
        <v>26</v>
      </c>
      <c r="J409" t="s">
        <v>29</v>
      </c>
    </row>
    <row r="410" spans="1:10" x14ac:dyDescent="0.25">
      <c r="A410">
        <v>6</v>
      </c>
      <c r="B410" t="s">
        <v>14</v>
      </c>
      <c r="C410" s="1">
        <v>1.2</v>
      </c>
      <c r="D410" s="1">
        <v>1022</v>
      </c>
      <c r="E410" s="1">
        <v>25</v>
      </c>
      <c r="F410" s="1">
        <v>1</v>
      </c>
      <c r="G410">
        <v>49</v>
      </c>
      <c r="H410">
        <v>160</v>
      </c>
      <c r="I410" t="s">
        <v>19</v>
      </c>
      <c r="J410" t="s">
        <v>27</v>
      </c>
    </row>
    <row r="411" spans="1:10" x14ac:dyDescent="0.25">
      <c r="A411">
        <v>6</v>
      </c>
      <c r="B411" t="s">
        <v>14</v>
      </c>
      <c r="C411" s="1">
        <v>1.2</v>
      </c>
      <c r="D411" s="1">
        <v>1022</v>
      </c>
      <c r="E411" s="1">
        <v>25</v>
      </c>
      <c r="F411" s="1">
        <v>1</v>
      </c>
      <c r="G411">
        <v>50</v>
      </c>
      <c r="H411">
        <v>161</v>
      </c>
      <c r="I411" t="s">
        <v>19</v>
      </c>
      <c r="J411" t="s">
        <v>28</v>
      </c>
    </row>
    <row r="412" spans="1:10" x14ac:dyDescent="0.25">
      <c r="A412">
        <v>6</v>
      </c>
      <c r="B412" t="s">
        <v>14</v>
      </c>
      <c r="C412" s="1">
        <v>1.2</v>
      </c>
      <c r="D412" s="1">
        <v>1022</v>
      </c>
      <c r="E412" s="1">
        <v>25</v>
      </c>
      <c r="F412" s="1">
        <v>1</v>
      </c>
      <c r="G412">
        <v>51</v>
      </c>
      <c r="H412">
        <v>162</v>
      </c>
      <c r="I412" t="s">
        <v>19</v>
      </c>
      <c r="J412" t="s">
        <v>29</v>
      </c>
    </row>
    <row r="413" spans="1:10" x14ac:dyDescent="0.25">
      <c r="A413">
        <v>6</v>
      </c>
      <c r="B413" t="s">
        <v>14</v>
      </c>
      <c r="C413" s="1">
        <v>1.2</v>
      </c>
      <c r="D413" s="1">
        <v>1022</v>
      </c>
      <c r="E413" s="1">
        <v>25</v>
      </c>
      <c r="F413" s="1">
        <v>1</v>
      </c>
      <c r="G413">
        <v>52</v>
      </c>
      <c r="H413">
        <v>163</v>
      </c>
      <c r="I413" t="s">
        <v>20</v>
      </c>
      <c r="J413" t="s">
        <v>27</v>
      </c>
    </row>
    <row r="414" spans="1:10" x14ac:dyDescent="0.25">
      <c r="A414">
        <v>6</v>
      </c>
      <c r="B414" t="s">
        <v>14</v>
      </c>
      <c r="C414" s="1">
        <v>1.2</v>
      </c>
      <c r="D414" s="1">
        <v>1022</v>
      </c>
      <c r="E414" s="1">
        <v>25</v>
      </c>
      <c r="F414" s="1">
        <v>1</v>
      </c>
      <c r="G414">
        <v>53</v>
      </c>
      <c r="H414">
        <v>164</v>
      </c>
      <c r="I414" t="s">
        <v>20</v>
      </c>
      <c r="J414" t="s">
        <v>28</v>
      </c>
    </row>
    <row r="415" spans="1:10" x14ac:dyDescent="0.25">
      <c r="A415">
        <v>6</v>
      </c>
      <c r="B415" t="s">
        <v>14</v>
      </c>
      <c r="C415" s="1">
        <v>1.2</v>
      </c>
      <c r="D415" s="1">
        <v>1022</v>
      </c>
      <c r="E415" s="1">
        <v>25</v>
      </c>
      <c r="F415" s="1">
        <v>1</v>
      </c>
      <c r="G415">
        <v>54</v>
      </c>
      <c r="H415">
        <v>165</v>
      </c>
      <c r="I415" t="s">
        <v>20</v>
      </c>
      <c r="J415" t="s">
        <v>29</v>
      </c>
    </row>
    <row r="416" spans="1:10" x14ac:dyDescent="0.25">
      <c r="A416">
        <v>6</v>
      </c>
      <c r="B416" t="s">
        <v>14</v>
      </c>
      <c r="C416" s="1">
        <v>1.2</v>
      </c>
      <c r="D416" s="1">
        <v>1022</v>
      </c>
      <c r="E416" s="1">
        <v>25</v>
      </c>
      <c r="F416" s="1">
        <v>1</v>
      </c>
      <c r="G416">
        <v>55</v>
      </c>
      <c r="H416">
        <v>166</v>
      </c>
      <c r="I416" t="s">
        <v>21</v>
      </c>
      <c r="J416" t="s">
        <v>27</v>
      </c>
    </row>
    <row r="417" spans="1:10" x14ac:dyDescent="0.25">
      <c r="A417">
        <v>6</v>
      </c>
      <c r="B417" t="s">
        <v>14</v>
      </c>
      <c r="C417" s="1">
        <v>1.2</v>
      </c>
      <c r="D417" s="1">
        <v>1022</v>
      </c>
      <c r="E417" s="1">
        <v>25</v>
      </c>
      <c r="F417" s="1">
        <v>1</v>
      </c>
      <c r="G417">
        <v>56</v>
      </c>
      <c r="H417">
        <v>167</v>
      </c>
      <c r="I417" t="s">
        <v>21</v>
      </c>
      <c r="J417" t="s">
        <v>28</v>
      </c>
    </row>
    <row r="418" spans="1:10" x14ac:dyDescent="0.25">
      <c r="A418">
        <v>6</v>
      </c>
      <c r="B418" t="s">
        <v>14</v>
      </c>
      <c r="C418" s="1">
        <v>1.2</v>
      </c>
      <c r="D418" s="1">
        <v>1022</v>
      </c>
      <c r="E418" s="1">
        <v>25</v>
      </c>
      <c r="F418" s="1">
        <v>1</v>
      </c>
      <c r="G418">
        <v>57</v>
      </c>
      <c r="H418">
        <v>168</v>
      </c>
      <c r="I418" t="s">
        <v>21</v>
      </c>
      <c r="J418" t="s">
        <v>29</v>
      </c>
    </row>
    <row r="419" spans="1:10" x14ac:dyDescent="0.25">
      <c r="A419">
        <v>6</v>
      </c>
      <c r="B419" t="s">
        <v>14</v>
      </c>
      <c r="C419" s="1">
        <v>1.2</v>
      </c>
      <c r="D419" s="1">
        <v>1022</v>
      </c>
      <c r="E419" s="1">
        <v>25</v>
      </c>
      <c r="F419" s="1">
        <v>1</v>
      </c>
      <c r="G419">
        <v>58</v>
      </c>
      <c r="H419">
        <v>169</v>
      </c>
      <c r="I419" t="s">
        <v>22</v>
      </c>
      <c r="J419" t="s">
        <v>27</v>
      </c>
    </row>
    <row r="420" spans="1:10" x14ac:dyDescent="0.25">
      <c r="A420">
        <v>6</v>
      </c>
      <c r="B420" t="s">
        <v>14</v>
      </c>
      <c r="C420" s="1">
        <v>1.2</v>
      </c>
      <c r="D420" s="1">
        <v>1022</v>
      </c>
      <c r="E420" s="1">
        <v>25</v>
      </c>
      <c r="F420" s="1">
        <v>1</v>
      </c>
      <c r="G420">
        <v>59</v>
      </c>
      <c r="H420">
        <v>170</v>
      </c>
      <c r="I420" t="s">
        <v>22</v>
      </c>
      <c r="J420" t="s">
        <v>28</v>
      </c>
    </row>
    <row r="421" spans="1:10" x14ac:dyDescent="0.25">
      <c r="A421">
        <v>6</v>
      </c>
      <c r="B421" t="s">
        <v>14</v>
      </c>
      <c r="C421" s="1">
        <v>1.2</v>
      </c>
      <c r="D421" s="1">
        <v>1022</v>
      </c>
      <c r="E421" s="1">
        <v>25</v>
      </c>
      <c r="F421" s="1">
        <v>1</v>
      </c>
      <c r="G421">
        <v>60</v>
      </c>
      <c r="H421">
        <v>171</v>
      </c>
      <c r="I421" t="s">
        <v>22</v>
      </c>
      <c r="J421" t="s">
        <v>29</v>
      </c>
    </row>
    <row r="422" spans="1:10" x14ac:dyDescent="0.25">
      <c r="A422">
        <v>6</v>
      </c>
      <c r="B422" t="s">
        <v>14</v>
      </c>
      <c r="C422" s="1">
        <v>1.2</v>
      </c>
      <c r="D422" s="1">
        <v>1022</v>
      </c>
      <c r="E422" s="1">
        <v>25</v>
      </c>
      <c r="F422" s="1">
        <v>1</v>
      </c>
      <c r="G422">
        <v>61</v>
      </c>
      <c r="H422">
        <v>172</v>
      </c>
      <c r="I422" t="s">
        <v>23</v>
      </c>
      <c r="J422" t="s">
        <v>27</v>
      </c>
    </row>
    <row r="423" spans="1:10" x14ac:dyDescent="0.25">
      <c r="A423">
        <v>6</v>
      </c>
      <c r="B423" t="s">
        <v>14</v>
      </c>
      <c r="C423" s="1">
        <v>1.2</v>
      </c>
      <c r="D423" s="1">
        <v>1022</v>
      </c>
      <c r="E423" s="1">
        <v>25</v>
      </c>
      <c r="F423" s="1">
        <v>1</v>
      </c>
      <c r="G423">
        <v>62</v>
      </c>
      <c r="H423">
        <v>173</v>
      </c>
      <c r="I423" t="s">
        <v>23</v>
      </c>
      <c r="J423" t="s">
        <v>28</v>
      </c>
    </row>
    <row r="424" spans="1:10" x14ac:dyDescent="0.25">
      <c r="A424">
        <v>6</v>
      </c>
      <c r="B424" t="s">
        <v>14</v>
      </c>
      <c r="C424" s="1">
        <v>1.2</v>
      </c>
      <c r="D424" s="1">
        <v>1022</v>
      </c>
      <c r="E424" s="1">
        <v>25</v>
      </c>
      <c r="F424" s="1">
        <v>1</v>
      </c>
      <c r="G424">
        <v>63</v>
      </c>
      <c r="H424">
        <v>174</v>
      </c>
      <c r="I424" t="s">
        <v>23</v>
      </c>
      <c r="J424" t="s">
        <v>29</v>
      </c>
    </row>
    <row r="425" spans="1:10" x14ac:dyDescent="0.25">
      <c r="A425">
        <v>6</v>
      </c>
      <c r="B425" t="s">
        <v>14</v>
      </c>
      <c r="C425" s="1">
        <v>1.2</v>
      </c>
      <c r="D425" s="1">
        <v>1022</v>
      </c>
      <c r="E425" s="1">
        <v>25</v>
      </c>
      <c r="F425" s="1">
        <v>1</v>
      </c>
      <c r="G425">
        <v>64</v>
      </c>
      <c r="H425">
        <v>175</v>
      </c>
      <c r="I425" t="s">
        <v>24</v>
      </c>
      <c r="J425" t="s">
        <v>27</v>
      </c>
    </row>
    <row r="426" spans="1:10" x14ac:dyDescent="0.25">
      <c r="A426">
        <v>6</v>
      </c>
      <c r="B426" t="s">
        <v>14</v>
      </c>
      <c r="C426" s="1">
        <v>1.2</v>
      </c>
      <c r="D426" s="1">
        <v>1022</v>
      </c>
      <c r="E426" s="1">
        <v>25</v>
      </c>
      <c r="F426" s="1">
        <v>1</v>
      </c>
      <c r="G426">
        <v>65</v>
      </c>
      <c r="H426">
        <v>176</v>
      </c>
      <c r="I426" t="s">
        <v>24</v>
      </c>
      <c r="J426" t="s">
        <v>28</v>
      </c>
    </row>
    <row r="427" spans="1:10" x14ac:dyDescent="0.25">
      <c r="A427">
        <v>6</v>
      </c>
      <c r="B427" t="s">
        <v>14</v>
      </c>
      <c r="C427" s="1">
        <v>1.2</v>
      </c>
      <c r="D427" s="1">
        <v>1022</v>
      </c>
      <c r="E427" s="1">
        <v>25</v>
      </c>
      <c r="F427" s="1">
        <v>1</v>
      </c>
      <c r="G427">
        <v>66</v>
      </c>
      <c r="H427">
        <v>177</v>
      </c>
      <c r="I427" t="s">
        <v>24</v>
      </c>
      <c r="J427" t="s">
        <v>29</v>
      </c>
    </row>
    <row r="428" spans="1:10" x14ac:dyDescent="0.25">
      <c r="A428">
        <v>6</v>
      </c>
      <c r="B428" t="s">
        <v>14</v>
      </c>
      <c r="C428" s="1">
        <v>1.2</v>
      </c>
      <c r="D428" s="1">
        <v>1022</v>
      </c>
      <c r="E428" s="1">
        <v>25</v>
      </c>
      <c r="F428" s="1">
        <v>1</v>
      </c>
      <c r="G428">
        <v>67</v>
      </c>
      <c r="H428">
        <v>178</v>
      </c>
      <c r="I428" t="s">
        <v>25</v>
      </c>
      <c r="J428" t="s">
        <v>27</v>
      </c>
    </row>
    <row r="429" spans="1:10" x14ac:dyDescent="0.25">
      <c r="A429">
        <v>6</v>
      </c>
      <c r="B429" t="s">
        <v>14</v>
      </c>
      <c r="C429" s="1">
        <v>1.2</v>
      </c>
      <c r="D429" s="1">
        <v>1022</v>
      </c>
      <c r="E429" s="1">
        <v>25</v>
      </c>
      <c r="F429" s="1">
        <v>1</v>
      </c>
      <c r="G429">
        <v>68</v>
      </c>
      <c r="H429">
        <v>179</v>
      </c>
      <c r="I429" t="s">
        <v>25</v>
      </c>
      <c r="J429" t="s">
        <v>28</v>
      </c>
    </row>
    <row r="430" spans="1:10" x14ac:dyDescent="0.25">
      <c r="A430">
        <v>6</v>
      </c>
      <c r="B430" t="s">
        <v>14</v>
      </c>
      <c r="C430" s="1">
        <v>1.2</v>
      </c>
      <c r="D430" s="1">
        <v>1022</v>
      </c>
      <c r="E430" s="1">
        <v>25</v>
      </c>
      <c r="F430" s="1">
        <v>1</v>
      </c>
      <c r="G430">
        <v>69</v>
      </c>
      <c r="H430">
        <v>180</v>
      </c>
      <c r="I430" t="s">
        <v>25</v>
      </c>
      <c r="J430" t="s">
        <v>29</v>
      </c>
    </row>
    <row r="431" spans="1:10" x14ac:dyDescent="0.25">
      <c r="A431">
        <v>6</v>
      </c>
      <c r="B431" t="s">
        <v>14</v>
      </c>
      <c r="C431" s="1">
        <v>1.2</v>
      </c>
      <c r="D431" s="1">
        <v>1022</v>
      </c>
      <c r="E431" s="1">
        <v>25</v>
      </c>
      <c r="F431" s="1">
        <v>1</v>
      </c>
      <c r="G431">
        <v>70</v>
      </c>
      <c r="H431">
        <v>181</v>
      </c>
      <c r="I431" t="s">
        <v>26</v>
      </c>
      <c r="J431" t="s">
        <v>27</v>
      </c>
    </row>
    <row r="432" spans="1:10" x14ac:dyDescent="0.25">
      <c r="A432">
        <v>6</v>
      </c>
      <c r="B432" t="s">
        <v>14</v>
      </c>
      <c r="C432" s="1">
        <v>1.2</v>
      </c>
      <c r="D432" s="1">
        <v>1022</v>
      </c>
      <c r="E432" s="1">
        <v>25</v>
      </c>
      <c r="F432" s="1">
        <v>1</v>
      </c>
      <c r="G432">
        <v>71</v>
      </c>
      <c r="H432">
        <v>182</v>
      </c>
      <c r="I432" t="s">
        <v>26</v>
      </c>
      <c r="J432" t="s">
        <v>28</v>
      </c>
    </row>
    <row r="433" spans="1:10" x14ac:dyDescent="0.25">
      <c r="A433">
        <v>6</v>
      </c>
      <c r="B433" t="s">
        <v>14</v>
      </c>
      <c r="C433" s="1">
        <v>1.2</v>
      </c>
      <c r="D433" s="1">
        <v>1022</v>
      </c>
      <c r="E433" s="1">
        <v>25</v>
      </c>
      <c r="F433" s="1">
        <v>1</v>
      </c>
      <c r="G433">
        <v>72</v>
      </c>
      <c r="H433">
        <v>183</v>
      </c>
      <c r="I433" t="s">
        <v>26</v>
      </c>
      <c r="J433" t="s">
        <v>29</v>
      </c>
    </row>
    <row r="434" spans="1:10" x14ac:dyDescent="0.25">
      <c r="A434">
        <v>7</v>
      </c>
      <c r="B434" t="s">
        <v>15</v>
      </c>
      <c r="C434" s="1">
        <v>2.1</v>
      </c>
      <c r="D434" s="1">
        <v>700</v>
      </c>
      <c r="E434" s="1">
        <v>20</v>
      </c>
      <c r="F434" s="1">
        <v>1</v>
      </c>
      <c r="G434">
        <v>1</v>
      </c>
      <c r="H434">
        <v>28</v>
      </c>
      <c r="I434" t="s">
        <v>19</v>
      </c>
      <c r="J434" t="s">
        <v>27</v>
      </c>
    </row>
    <row r="435" spans="1:10" x14ac:dyDescent="0.25">
      <c r="A435">
        <v>7</v>
      </c>
      <c r="B435" t="s">
        <v>15</v>
      </c>
      <c r="C435" s="1">
        <v>2.1</v>
      </c>
      <c r="D435" s="1">
        <v>700</v>
      </c>
      <c r="E435" s="1">
        <v>20</v>
      </c>
      <c r="F435" s="1">
        <v>1</v>
      </c>
      <c r="G435">
        <v>2</v>
      </c>
      <c r="H435">
        <v>29</v>
      </c>
      <c r="I435" t="s">
        <v>19</v>
      </c>
      <c r="J435" t="s">
        <v>28</v>
      </c>
    </row>
    <row r="436" spans="1:10" x14ac:dyDescent="0.25">
      <c r="A436">
        <v>7</v>
      </c>
      <c r="B436" t="s">
        <v>15</v>
      </c>
      <c r="C436" s="1">
        <v>2.1</v>
      </c>
      <c r="D436" s="1">
        <v>700</v>
      </c>
      <c r="E436" s="1">
        <v>20</v>
      </c>
      <c r="F436" s="1">
        <v>1</v>
      </c>
      <c r="G436">
        <v>3</v>
      </c>
      <c r="H436">
        <v>30</v>
      </c>
      <c r="I436" t="s">
        <v>19</v>
      </c>
      <c r="J436" t="s">
        <v>29</v>
      </c>
    </row>
    <row r="437" spans="1:10" x14ac:dyDescent="0.25">
      <c r="A437">
        <v>7</v>
      </c>
      <c r="B437" t="s">
        <v>15</v>
      </c>
      <c r="C437" s="1">
        <v>2.1</v>
      </c>
      <c r="D437" s="1">
        <v>700</v>
      </c>
      <c r="E437" s="1">
        <v>20</v>
      </c>
      <c r="F437" s="1">
        <v>1</v>
      </c>
      <c r="G437">
        <v>4</v>
      </c>
      <c r="H437">
        <v>31</v>
      </c>
      <c r="I437" t="s">
        <v>20</v>
      </c>
      <c r="J437" t="s">
        <v>27</v>
      </c>
    </row>
    <row r="438" spans="1:10" x14ac:dyDescent="0.25">
      <c r="A438">
        <v>7</v>
      </c>
      <c r="B438" t="s">
        <v>15</v>
      </c>
      <c r="C438" s="1">
        <v>2.1</v>
      </c>
      <c r="D438" s="1">
        <v>700</v>
      </c>
      <c r="E438" s="1">
        <v>20</v>
      </c>
      <c r="F438" s="1">
        <v>1</v>
      </c>
      <c r="G438">
        <v>5</v>
      </c>
      <c r="H438">
        <v>32</v>
      </c>
      <c r="I438" t="s">
        <v>20</v>
      </c>
      <c r="J438" t="s">
        <v>28</v>
      </c>
    </row>
    <row r="439" spans="1:10" x14ac:dyDescent="0.25">
      <c r="A439">
        <v>7</v>
      </c>
      <c r="B439" t="s">
        <v>15</v>
      </c>
      <c r="C439" s="1">
        <v>2.1</v>
      </c>
      <c r="D439" s="1">
        <v>700</v>
      </c>
      <c r="E439" s="1">
        <v>20</v>
      </c>
      <c r="F439" s="1">
        <v>1</v>
      </c>
      <c r="G439">
        <v>6</v>
      </c>
      <c r="H439">
        <v>33</v>
      </c>
      <c r="I439" t="s">
        <v>20</v>
      </c>
      <c r="J439" t="s">
        <v>29</v>
      </c>
    </row>
    <row r="440" spans="1:10" x14ac:dyDescent="0.25">
      <c r="A440">
        <v>7</v>
      </c>
      <c r="B440" t="s">
        <v>15</v>
      </c>
      <c r="C440" s="1">
        <v>2.1</v>
      </c>
      <c r="D440" s="1">
        <v>700</v>
      </c>
      <c r="E440" s="1">
        <v>20</v>
      </c>
      <c r="F440" s="1">
        <v>1</v>
      </c>
      <c r="G440">
        <v>7</v>
      </c>
      <c r="H440">
        <v>24</v>
      </c>
      <c r="I440" t="s">
        <v>21</v>
      </c>
      <c r="J440" t="s">
        <v>27</v>
      </c>
    </row>
    <row r="441" spans="1:10" x14ac:dyDescent="0.25">
      <c r="A441">
        <v>7</v>
      </c>
      <c r="B441" t="s">
        <v>15</v>
      </c>
      <c r="C441" s="1">
        <v>2.1</v>
      </c>
      <c r="D441" s="1">
        <v>700</v>
      </c>
      <c r="E441" s="1">
        <v>20</v>
      </c>
      <c r="F441" s="1">
        <v>1</v>
      </c>
      <c r="G441">
        <v>8</v>
      </c>
      <c r="H441">
        <v>25</v>
      </c>
      <c r="I441" t="s">
        <v>21</v>
      </c>
      <c r="J441" t="s">
        <v>28</v>
      </c>
    </row>
    <row r="442" spans="1:10" x14ac:dyDescent="0.25">
      <c r="A442">
        <v>7</v>
      </c>
      <c r="B442" t="s">
        <v>15</v>
      </c>
      <c r="C442" s="1">
        <v>2.1</v>
      </c>
      <c r="D442" s="1">
        <v>700</v>
      </c>
      <c r="E442" s="1">
        <v>20</v>
      </c>
      <c r="F442" s="1">
        <v>1</v>
      </c>
      <c r="G442">
        <v>9</v>
      </c>
      <c r="H442">
        <v>26</v>
      </c>
      <c r="I442" t="s">
        <v>21</v>
      </c>
      <c r="J442" t="s">
        <v>29</v>
      </c>
    </row>
    <row r="443" spans="1:10" x14ac:dyDescent="0.25">
      <c r="A443">
        <v>7</v>
      </c>
      <c r="B443" t="s">
        <v>15</v>
      </c>
      <c r="C443" s="1">
        <v>2.1</v>
      </c>
      <c r="D443" s="1">
        <v>700</v>
      </c>
      <c r="E443" s="1">
        <v>20</v>
      </c>
      <c r="F443" s="1">
        <v>1</v>
      </c>
      <c r="G443">
        <v>10</v>
      </c>
      <c r="H443">
        <v>27</v>
      </c>
      <c r="I443" t="s">
        <v>22</v>
      </c>
      <c r="J443" t="s">
        <v>27</v>
      </c>
    </row>
    <row r="444" spans="1:10" x14ac:dyDescent="0.25">
      <c r="A444">
        <v>7</v>
      </c>
      <c r="B444" t="s">
        <v>15</v>
      </c>
      <c r="C444" s="1">
        <v>2.1</v>
      </c>
      <c r="D444" s="1">
        <v>700</v>
      </c>
      <c r="E444" s="1">
        <v>20</v>
      </c>
      <c r="F444" s="1">
        <v>1</v>
      </c>
      <c r="G444">
        <v>11</v>
      </c>
      <c r="H444">
        <v>28</v>
      </c>
      <c r="I444" t="s">
        <v>22</v>
      </c>
      <c r="J444" t="s">
        <v>28</v>
      </c>
    </row>
    <row r="445" spans="1:10" x14ac:dyDescent="0.25">
      <c r="A445">
        <v>7</v>
      </c>
      <c r="B445" t="s">
        <v>15</v>
      </c>
      <c r="C445" s="1">
        <v>2.1</v>
      </c>
      <c r="D445" s="1">
        <v>700</v>
      </c>
      <c r="E445" s="1">
        <v>20</v>
      </c>
      <c r="F445" s="1">
        <v>1</v>
      </c>
      <c r="G445">
        <v>12</v>
      </c>
      <c r="H445">
        <v>29</v>
      </c>
      <c r="I445" t="s">
        <v>22</v>
      </c>
      <c r="J445" t="s">
        <v>29</v>
      </c>
    </row>
    <row r="446" spans="1:10" x14ac:dyDescent="0.25">
      <c r="A446">
        <v>7</v>
      </c>
      <c r="B446" t="s">
        <v>15</v>
      </c>
      <c r="C446" s="1">
        <v>2.1</v>
      </c>
      <c r="D446" s="1">
        <v>700</v>
      </c>
      <c r="E446" s="1">
        <v>20</v>
      </c>
      <c r="F446" s="1">
        <v>1</v>
      </c>
      <c r="G446">
        <v>13</v>
      </c>
      <c r="H446">
        <v>30</v>
      </c>
      <c r="I446" t="s">
        <v>23</v>
      </c>
      <c r="J446" t="s">
        <v>27</v>
      </c>
    </row>
    <row r="447" spans="1:10" x14ac:dyDescent="0.25">
      <c r="A447">
        <v>7</v>
      </c>
      <c r="B447" t="s">
        <v>15</v>
      </c>
      <c r="C447" s="1">
        <v>2.1</v>
      </c>
      <c r="D447" s="1">
        <v>700</v>
      </c>
      <c r="E447" s="1">
        <v>20</v>
      </c>
      <c r="F447" s="1">
        <v>1</v>
      </c>
      <c r="G447">
        <v>14</v>
      </c>
      <c r="H447">
        <v>31</v>
      </c>
      <c r="I447" t="s">
        <v>23</v>
      </c>
      <c r="J447" t="s">
        <v>28</v>
      </c>
    </row>
    <row r="448" spans="1:10" x14ac:dyDescent="0.25">
      <c r="A448">
        <v>7</v>
      </c>
      <c r="B448" t="s">
        <v>15</v>
      </c>
      <c r="C448" s="1">
        <v>2.1</v>
      </c>
      <c r="D448" s="1">
        <v>700</v>
      </c>
      <c r="E448" s="1">
        <v>20</v>
      </c>
      <c r="F448" s="1">
        <v>1</v>
      </c>
      <c r="G448">
        <v>15</v>
      </c>
      <c r="H448">
        <v>32</v>
      </c>
      <c r="I448" t="s">
        <v>23</v>
      </c>
      <c r="J448" t="s">
        <v>29</v>
      </c>
    </row>
    <row r="449" spans="1:10" x14ac:dyDescent="0.25">
      <c r="A449">
        <v>7</v>
      </c>
      <c r="B449" t="s">
        <v>15</v>
      </c>
      <c r="C449" s="1">
        <v>2.1</v>
      </c>
      <c r="D449" s="1">
        <v>700</v>
      </c>
      <c r="E449" s="1">
        <v>20</v>
      </c>
      <c r="F449" s="1">
        <v>1</v>
      </c>
      <c r="G449">
        <v>16</v>
      </c>
      <c r="H449">
        <v>33</v>
      </c>
      <c r="I449" t="s">
        <v>24</v>
      </c>
      <c r="J449" t="s">
        <v>27</v>
      </c>
    </row>
    <row r="450" spans="1:10" x14ac:dyDescent="0.25">
      <c r="A450">
        <v>7</v>
      </c>
      <c r="B450" t="s">
        <v>15</v>
      </c>
      <c r="C450" s="1">
        <v>2.1</v>
      </c>
      <c r="D450" s="1">
        <v>700</v>
      </c>
      <c r="E450" s="1">
        <v>20</v>
      </c>
      <c r="F450" s="1">
        <v>1</v>
      </c>
      <c r="G450">
        <v>17</v>
      </c>
      <c r="H450">
        <v>24</v>
      </c>
      <c r="I450" t="s">
        <v>24</v>
      </c>
      <c r="J450" t="s">
        <v>28</v>
      </c>
    </row>
    <row r="451" spans="1:10" x14ac:dyDescent="0.25">
      <c r="A451">
        <v>7</v>
      </c>
      <c r="B451" t="s">
        <v>15</v>
      </c>
      <c r="C451" s="1">
        <v>2.1</v>
      </c>
      <c r="D451" s="1">
        <v>700</v>
      </c>
      <c r="E451" s="1">
        <v>20</v>
      </c>
      <c r="F451" s="1">
        <v>1</v>
      </c>
      <c r="G451">
        <v>18</v>
      </c>
      <c r="H451">
        <v>25</v>
      </c>
      <c r="I451" t="s">
        <v>24</v>
      </c>
      <c r="J451" t="s">
        <v>29</v>
      </c>
    </row>
    <row r="452" spans="1:10" x14ac:dyDescent="0.25">
      <c r="A452">
        <v>7</v>
      </c>
      <c r="B452" t="s">
        <v>15</v>
      </c>
      <c r="C452" s="1">
        <v>2.1</v>
      </c>
      <c r="D452" s="1">
        <v>700</v>
      </c>
      <c r="E452" s="1">
        <v>20</v>
      </c>
      <c r="F452" s="1">
        <v>1</v>
      </c>
      <c r="G452">
        <v>19</v>
      </c>
      <c r="H452">
        <v>26</v>
      </c>
      <c r="I452" t="s">
        <v>25</v>
      </c>
      <c r="J452" t="s">
        <v>27</v>
      </c>
    </row>
    <row r="453" spans="1:10" x14ac:dyDescent="0.25">
      <c r="A453">
        <v>7</v>
      </c>
      <c r="B453" t="s">
        <v>15</v>
      </c>
      <c r="C453" s="1">
        <v>2.1</v>
      </c>
      <c r="D453" s="1">
        <v>700</v>
      </c>
      <c r="E453" s="1">
        <v>20</v>
      </c>
      <c r="F453" s="1">
        <v>1</v>
      </c>
      <c r="G453">
        <v>20</v>
      </c>
      <c r="H453">
        <v>27</v>
      </c>
      <c r="I453" t="s">
        <v>25</v>
      </c>
      <c r="J453" t="s">
        <v>28</v>
      </c>
    </row>
    <row r="454" spans="1:10" x14ac:dyDescent="0.25">
      <c r="A454">
        <v>7</v>
      </c>
      <c r="B454" t="s">
        <v>15</v>
      </c>
      <c r="C454" s="1">
        <v>2.1</v>
      </c>
      <c r="D454" s="1">
        <v>700</v>
      </c>
      <c r="E454" s="1">
        <v>20</v>
      </c>
      <c r="F454" s="1">
        <v>1</v>
      </c>
      <c r="G454">
        <v>21</v>
      </c>
      <c r="H454">
        <v>28</v>
      </c>
      <c r="I454" t="s">
        <v>25</v>
      </c>
      <c r="J454" t="s">
        <v>29</v>
      </c>
    </row>
    <row r="455" spans="1:10" x14ac:dyDescent="0.25">
      <c r="A455">
        <v>7</v>
      </c>
      <c r="B455" t="s">
        <v>15</v>
      </c>
      <c r="C455" s="1">
        <v>2.1</v>
      </c>
      <c r="D455" s="1">
        <v>700</v>
      </c>
      <c r="E455" s="1">
        <v>20</v>
      </c>
      <c r="F455" s="1">
        <v>1</v>
      </c>
      <c r="G455">
        <v>22</v>
      </c>
      <c r="H455">
        <v>29</v>
      </c>
      <c r="I455" t="s">
        <v>26</v>
      </c>
      <c r="J455" t="s">
        <v>27</v>
      </c>
    </row>
    <row r="456" spans="1:10" x14ac:dyDescent="0.25">
      <c r="A456">
        <v>7</v>
      </c>
      <c r="B456" t="s">
        <v>15</v>
      </c>
      <c r="C456" s="1">
        <v>2.1</v>
      </c>
      <c r="D456" s="1">
        <v>700</v>
      </c>
      <c r="E456" s="1">
        <v>20</v>
      </c>
      <c r="F456" s="1">
        <v>1</v>
      </c>
      <c r="G456">
        <v>23</v>
      </c>
      <c r="H456">
        <v>30</v>
      </c>
      <c r="I456" t="s">
        <v>26</v>
      </c>
      <c r="J456" t="s">
        <v>28</v>
      </c>
    </row>
    <row r="457" spans="1:10" x14ac:dyDescent="0.25">
      <c r="A457">
        <v>7</v>
      </c>
      <c r="B457" t="s">
        <v>15</v>
      </c>
      <c r="C457" s="1">
        <v>2.1</v>
      </c>
      <c r="D457" s="1">
        <v>700</v>
      </c>
      <c r="E457" s="1">
        <v>20</v>
      </c>
      <c r="F457" s="1">
        <v>1</v>
      </c>
      <c r="G457">
        <v>24</v>
      </c>
      <c r="H457">
        <v>31</v>
      </c>
      <c r="I457" t="s">
        <v>26</v>
      </c>
      <c r="J457" t="s">
        <v>29</v>
      </c>
    </row>
    <row r="458" spans="1:10" x14ac:dyDescent="0.25">
      <c r="A458">
        <v>7</v>
      </c>
      <c r="B458" t="s">
        <v>15</v>
      </c>
      <c r="C458" s="1">
        <v>2.1</v>
      </c>
      <c r="D458" s="1">
        <v>700</v>
      </c>
      <c r="E458" s="1">
        <v>20</v>
      </c>
      <c r="F458" s="1">
        <v>1</v>
      </c>
      <c r="G458">
        <v>25</v>
      </c>
      <c r="H458">
        <v>34</v>
      </c>
      <c r="I458" t="s">
        <v>19</v>
      </c>
      <c r="J458" t="s">
        <v>27</v>
      </c>
    </row>
    <row r="459" spans="1:10" x14ac:dyDescent="0.25">
      <c r="A459">
        <v>7</v>
      </c>
      <c r="B459" t="s">
        <v>15</v>
      </c>
      <c r="C459" s="1">
        <v>2.1</v>
      </c>
      <c r="D459" s="1">
        <v>700</v>
      </c>
      <c r="E459" s="1">
        <v>20</v>
      </c>
      <c r="F459" s="1">
        <v>1</v>
      </c>
      <c r="G459">
        <v>26</v>
      </c>
      <c r="H459">
        <v>35</v>
      </c>
      <c r="I459" t="s">
        <v>19</v>
      </c>
      <c r="J459" t="s">
        <v>28</v>
      </c>
    </row>
    <row r="460" spans="1:10" x14ac:dyDescent="0.25">
      <c r="A460">
        <v>7</v>
      </c>
      <c r="B460" t="s">
        <v>15</v>
      </c>
      <c r="C460" s="1">
        <v>2.1</v>
      </c>
      <c r="D460" s="1">
        <v>700</v>
      </c>
      <c r="E460" s="1">
        <v>20</v>
      </c>
      <c r="F460" s="1">
        <v>1</v>
      </c>
      <c r="G460">
        <v>27</v>
      </c>
      <c r="H460">
        <v>36</v>
      </c>
      <c r="I460" t="s">
        <v>19</v>
      </c>
      <c r="J460" t="s">
        <v>29</v>
      </c>
    </row>
    <row r="461" spans="1:10" x14ac:dyDescent="0.25">
      <c r="A461">
        <v>7</v>
      </c>
      <c r="B461" t="s">
        <v>15</v>
      </c>
      <c r="C461" s="1">
        <v>2.1</v>
      </c>
      <c r="D461" s="1">
        <v>700</v>
      </c>
      <c r="E461" s="1">
        <v>20</v>
      </c>
      <c r="F461" s="1">
        <v>1</v>
      </c>
      <c r="G461">
        <v>28</v>
      </c>
      <c r="H461">
        <v>37</v>
      </c>
      <c r="I461" t="s">
        <v>20</v>
      </c>
      <c r="J461" t="s">
        <v>27</v>
      </c>
    </row>
    <row r="462" spans="1:10" x14ac:dyDescent="0.25">
      <c r="A462">
        <v>7</v>
      </c>
      <c r="B462" t="s">
        <v>15</v>
      </c>
      <c r="C462" s="1">
        <v>2.1</v>
      </c>
      <c r="D462" s="1">
        <v>700</v>
      </c>
      <c r="E462" s="1">
        <v>20</v>
      </c>
      <c r="F462" s="1">
        <v>1</v>
      </c>
      <c r="G462">
        <v>29</v>
      </c>
      <c r="H462">
        <v>38</v>
      </c>
      <c r="I462" t="s">
        <v>20</v>
      </c>
      <c r="J462" t="s">
        <v>28</v>
      </c>
    </row>
    <row r="463" spans="1:10" x14ac:dyDescent="0.25">
      <c r="A463">
        <v>7</v>
      </c>
      <c r="B463" t="s">
        <v>15</v>
      </c>
      <c r="C463" s="1">
        <v>2.1</v>
      </c>
      <c r="D463" s="1">
        <v>700</v>
      </c>
      <c r="E463" s="1">
        <v>20</v>
      </c>
      <c r="F463" s="1">
        <v>1</v>
      </c>
      <c r="G463">
        <v>30</v>
      </c>
      <c r="H463">
        <v>39</v>
      </c>
      <c r="I463" t="s">
        <v>20</v>
      </c>
      <c r="J463" t="s">
        <v>29</v>
      </c>
    </row>
    <row r="464" spans="1:10" x14ac:dyDescent="0.25">
      <c r="A464">
        <v>7</v>
      </c>
      <c r="B464" t="s">
        <v>15</v>
      </c>
      <c r="C464" s="1">
        <v>2.1</v>
      </c>
      <c r="D464" s="1">
        <v>700</v>
      </c>
      <c r="E464" s="1">
        <v>20</v>
      </c>
      <c r="F464" s="1">
        <v>1</v>
      </c>
      <c r="G464">
        <v>31</v>
      </c>
      <c r="H464">
        <v>34</v>
      </c>
      <c r="I464" t="s">
        <v>21</v>
      </c>
      <c r="J464" t="s">
        <v>27</v>
      </c>
    </row>
    <row r="465" spans="1:10" x14ac:dyDescent="0.25">
      <c r="A465">
        <v>7</v>
      </c>
      <c r="B465" t="s">
        <v>15</v>
      </c>
      <c r="C465" s="1">
        <v>2.1</v>
      </c>
      <c r="D465" s="1">
        <v>700</v>
      </c>
      <c r="E465" s="1">
        <v>20</v>
      </c>
      <c r="F465" s="1">
        <v>1</v>
      </c>
      <c r="G465">
        <v>32</v>
      </c>
      <c r="H465">
        <v>35</v>
      </c>
      <c r="I465" t="s">
        <v>21</v>
      </c>
      <c r="J465" t="s">
        <v>28</v>
      </c>
    </row>
    <row r="466" spans="1:10" x14ac:dyDescent="0.25">
      <c r="A466">
        <v>7</v>
      </c>
      <c r="B466" t="s">
        <v>15</v>
      </c>
      <c r="C466" s="1">
        <v>2.1</v>
      </c>
      <c r="D466" s="1">
        <v>700</v>
      </c>
      <c r="E466" s="1">
        <v>20</v>
      </c>
      <c r="F466" s="1">
        <v>1</v>
      </c>
      <c r="G466">
        <v>33</v>
      </c>
      <c r="H466">
        <v>36</v>
      </c>
      <c r="I466" t="s">
        <v>21</v>
      </c>
      <c r="J466" t="s">
        <v>29</v>
      </c>
    </row>
    <row r="467" spans="1:10" x14ac:dyDescent="0.25">
      <c r="A467">
        <v>7</v>
      </c>
      <c r="B467" t="s">
        <v>15</v>
      </c>
      <c r="C467" s="1">
        <v>2.1</v>
      </c>
      <c r="D467" s="1">
        <v>700</v>
      </c>
      <c r="E467" s="1">
        <v>20</v>
      </c>
      <c r="F467" s="1">
        <v>1</v>
      </c>
      <c r="G467">
        <v>34</v>
      </c>
      <c r="H467">
        <v>37</v>
      </c>
      <c r="I467" t="s">
        <v>22</v>
      </c>
      <c r="J467" t="s">
        <v>27</v>
      </c>
    </row>
    <row r="468" spans="1:10" x14ac:dyDescent="0.25">
      <c r="A468">
        <v>7</v>
      </c>
      <c r="B468" t="s">
        <v>15</v>
      </c>
      <c r="C468" s="1">
        <v>2.1</v>
      </c>
      <c r="D468" s="1">
        <v>700</v>
      </c>
      <c r="E468" s="1">
        <v>20</v>
      </c>
      <c r="F468" s="1">
        <v>1</v>
      </c>
      <c r="G468">
        <v>35</v>
      </c>
      <c r="H468">
        <v>38</v>
      </c>
      <c r="I468" t="s">
        <v>22</v>
      </c>
      <c r="J468" t="s">
        <v>28</v>
      </c>
    </row>
    <row r="469" spans="1:10" x14ac:dyDescent="0.25">
      <c r="A469">
        <v>7</v>
      </c>
      <c r="B469" t="s">
        <v>15</v>
      </c>
      <c r="C469" s="1">
        <v>2.1</v>
      </c>
      <c r="D469" s="1">
        <v>700</v>
      </c>
      <c r="E469" s="1">
        <v>20</v>
      </c>
      <c r="F469" s="1">
        <v>1</v>
      </c>
      <c r="G469">
        <v>36</v>
      </c>
      <c r="H469">
        <v>39</v>
      </c>
      <c r="I469" t="s">
        <v>22</v>
      </c>
      <c r="J469" t="s">
        <v>29</v>
      </c>
    </row>
    <row r="470" spans="1:10" x14ac:dyDescent="0.25">
      <c r="A470">
        <v>7</v>
      </c>
      <c r="B470" t="s">
        <v>15</v>
      </c>
      <c r="C470" s="1">
        <v>2.1</v>
      </c>
      <c r="D470" s="1">
        <v>700</v>
      </c>
      <c r="E470" s="1">
        <v>20</v>
      </c>
      <c r="F470" s="1">
        <v>1</v>
      </c>
      <c r="G470">
        <v>37</v>
      </c>
      <c r="H470">
        <v>34</v>
      </c>
      <c r="I470" t="s">
        <v>23</v>
      </c>
      <c r="J470" t="s">
        <v>27</v>
      </c>
    </row>
    <row r="471" spans="1:10" x14ac:dyDescent="0.25">
      <c r="A471">
        <v>7</v>
      </c>
      <c r="B471" t="s">
        <v>15</v>
      </c>
      <c r="C471" s="1">
        <v>2.1</v>
      </c>
      <c r="D471" s="1">
        <v>700</v>
      </c>
      <c r="E471" s="1">
        <v>20</v>
      </c>
      <c r="F471" s="1">
        <v>1</v>
      </c>
      <c r="G471">
        <v>38</v>
      </c>
      <c r="H471">
        <v>35</v>
      </c>
      <c r="I471" t="s">
        <v>23</v>
      </c>
      <c r="J471" t="s">
        <v>28</v>
      </c>
    </row>
    <row r="472" spans="1:10" x14ac:dyDescent="0.25">
      <c r="A472">
        <v>7</v>
      </c>
      <c r="B472" t="s">
        <v>15</v>
      </c>
      <c r="C472" s="1">
        <v>2.1</v>
      </c>
      <c r="D472" s="1">
        <v>700</v>
      </c>
      <c r="E472" s="1">
        <v>20</v>
      </c>
      <c r="F472" s="1">
        <v>1</v>
      </c>
      <c r="G472">
        <v>39</v>
      </c>
      <c r="H472">
        <v>36</v>
      </c>
      <c r="I472" t="s">
        <v>23</v>
      </c>
      <c r="J472" t="s">
        <v>29</v>
      </c>
    </row>
    <row r="473" spans="1:10" x14ac:dyDescent="0.25">
      <c r="A473">
        <v>7</v>
      </c>
      <c r="B473" t="s">
        <v>15</v>
      </c>
      <c r="C473" s="1">
        <v>2.1</v>
      </c>
      <c r="D473" s="1">
        <v>700</v>
      </c>
      <c r="E473" s="1">
        <v>20</v>
      </c>
      <c r="F473" s="1">
        <v>1</v>
      </c>
      <c r="G473">
        <v>40</v>
      </c>
      <c r="H473">
        <v>37</v>
      </c>
      <c r="I473" t="s">
        <v>24</v>
      </c>
      <c r="J473" t="s">
        <v>27</v>
      </c>
    </row>
    <row r="474" spans="1:10" x14ac:dyDescent="0.25">
      <c r="A474">
        <v>7</v>
      </c>
      <c r="B474" t="s">
        <v>15</v>
      </c>
      <c r="C474" s="1">
        <v>2.1</v>
      </c>
      <c r="D474" s="1">
        <v>700</v>
      </c>
      <c r="E474" s="1">
        <v>20</v>
      </c>
      <c r="F474" s="1">
        <v>1</v>
      </c>
      <c r="G474">
        <v>41</v>
      </c>
      <c r="H474">
        <v>38</v>
      </c>
      <c r="I474" t="s">
        <v>24</v>
      </c>
      <c r="J474" t="s">
        <v>28</v>
      </c>
    </row>
    <row r="475" spans="1:10" x14ac:dyDescent="0.25">
      <c r="A475">
        <v>7</v>
      </c>
      <c r="B475" t="s">
        <v>15</v>
      </c>
      <c r="C475" s="1">
        <v>2.1</v>
      </c>
      <c r="D475" s="1">
        <v>700</v>
      </c>
      <c r="E475" s="1">
        <v>20</v>
      </c>
      <c r="F475" s="1">
        <v>1</v>
      </c>
      <c r="G475">
        <v>42</v>
      </c>
      <c r="H475">
        <v>39</v>
      </c>
      <c r="I475" t="s">
        <v>24</v>
      </c>
      <c r="J475" t="s">
        <v>29</v>
      </c>
    </row>
    <row r="476" spans="1:10" x14ac:dyDescent="0.25">
      <c r="A476">
        <v>7</v>
      </c>
      <c r="B476" t="s">
        <v>15</v>
      </c>
      <c r="C476" s="1">
        <v>2.1</v>
      </c>
      <c r="D476" s="1">
        <v>700</v>
      </c>
      <c r="E476" s="1">
        <v>20</v>
      </c>
      <c r="F476" s="1">
        <v>1</v>
      </c>
      <c r="G476">
        <v>43</v>
      </c>
      <c r="H476">
        <v>34</v>
      </c>
      <c r="I476" t="s">
        <v>25</v>
      </c>
      <c r="J476" t="s">
        <v>27</v>
      </c>
    </row>
    <row r="477" spans="1:10" x14ac:dyDescent="0.25">
      <c r="A477">
        <v>7</v>
      </c>
      <c r="B477" t="s">
        <v>15</v>
      </c>
      <c r="C477" s="1">
        <v>2.1</v>
      </c>
      <c r="D477" s="1">
        <v>700</v>
      </c>
      <c r="E477" s="1">
        <v>20</v>
      </c>
      <c r="F477" s="1">
        <v>1</v>
      </c>
      <c r="G477">
        <v>44</v>
      </c>
      <c r="H477">
        <v>35</v>
      </c>
      <c r="I477" t="s">
        <v>25</v>
      </c>
      <c r="J477" t="s">
        <v>28</v>
      </c>
    </row>
    <row r="478" spans="1:10" x14ac:dyDescent="0.25">
      <c r="A478">
        <v>7</v>
      </c>
      <c r="B478" t="s">
        <v>15</v>
      </c>
      <c r="C478" s="1">
        <v>2.1</v>
      </c>
      <c r="D478" s="1">
        <v>700</v>
      </c>
      <c r="E478" s="1">
        <v>20</v>
      </c>
      <c r="F478" s="1">
        <v>1</v>
      </c>
      <c r="G478">
        <v>45</v>
      </c>
      <c r="H478">
        <v>36</v>
      </c>
      <c r="I478" t="s">
        <v>25</v>
      </c>
      <c r="J478" t="s">
        <v>29</v>
      </c>
    </row>
    <row r="479" spans="1:10" x14ac:dyDescent="0.25">
      <c r="A479">
        <v>7</v>
      </c>
      <c r="B479" t="s">
        <v>15</v>
      </c>
      <c r="C479" s="1">
        <v>2.1</v>
      </c>
      <c r="D479" s="1">
        <v>700</v>
      </c>
      <c r="E479" s="1">
        <v>20</v>
      </c>
      <c r="F479" s="1">
        <v>1</v>
      </c>
      <c r="G479">
        <v>46</v>
      </c>
      <c r="H479">
        <v>37</v>
      </c>
      <c r="I479" t="s">
        <v>26</v>
      </c>
      <c r="J479" t="s">
        <v>27</v>
      </c>
    </row>
    <row r="480" spans="1:10" x14ac:dyDescent="0.25">
      <c r="A480">
        <v>7</v>
      </c>
      <c r="B480" t="s">
        <v>15</v>
      </c>
      <c r="C480" s="1">
        <v>2.1</v>
      </c>
      <c r="D480" s="1">
        <v>700</v>
      </c>
      <c r="E480" s="1">
        <v>20</v>
      </c>
      <c r="F480" s="1">
        <v>1</v>
      </c>
      <c r="G480">
        <v>47</v>
      </c>
      <c r="H480">
        <v>38</v>
      </c>
      <c r="I480" t="s">
        <v>26</v>
      </c>
      <c r="J480" t="s">
        <v>28</v>
      </c>
    </row>
    <row r="481" spans="1:10" x14ac:dyDescent="0.25">
      <c r="A481">
        <v>7</v>
      </c>
      <c r="B481" t="s">
        <v>15</v>
      </c>
      <c r="C481" s="1">
        <v>2.1</v>
      </c>
      <c r="D481" s="1">
        <v>700</v>
      </c>
      <c r="E481" s="1">
        <v>20</v>
      </c>
      <c r="F481" s="1">
        <v>1</v>
      </c>
      <c r="G481">
        <v>48</v>
      </c>
      <c r="H481">
        <v>39</v>
      </c>
      <c r="I481" t="s">
        <v>26</v>
      </c>
      <c r="J481" t="s">
        <v>29</v>
      </c>
    </row>
    <row r="482" spans="1:10" x14ac:dyDescent="0.25">
      <c r="A482">
        <v>7</v>
      </c>
      <c r="B482" t="s">
        <v>15</v>
      </c>
      <c r="C482" s="1">
        <v>2.1</v>
      </c>
      <c r="D482" s="1">
        <v>700</v>
      </c>
      <c r="E482" s="1">
        <v>20</v>
      </c>
      <c r="F482" s="1">
        <v>1</v>
      </c>
      <c r="G482">
        <v>49</v>
      </c>
      <c r="H482">
        <v>184</v>
      </c>
      <c r="I482" t="s">
        <v>19</v>
      </c>
      <c r="J482" t="s">
        <v>27</v>
      </c>
    </row>
    <row r="483" spans="1:10" x14ac:dyDescent="0.25">
      <c r="A483">
        <v>7</v>
      </c>
      <c r="B483" t="s">
        <v>15</v>
      </c>
      <c r="C483" s="1">
        <v>2.1</v>
      </c>
      <c r="D483" s="1">
        <v>700</v>
      </c>
      <c r="E483" s="1">
        <v>20</v>
      </c>
      <c r="F483" s="1">
        <v>1</v>
      </c>
      <c r="G483">
        <v>50</v>
      </c>
      <c r="H483">
        <v>185</v>
      </c>
      <c r="I483" t="s">
        <v>19</v>
      </c>
      <c r="J483" t="s">
        <v>28</v>
      </c>
    </row>
    <row r="484" spans="1:10" x14ac:dyDescent="0.25">
      <c r="A484">
        <v>7</v>
      </c>
      <c r="B484" t="s">
        <v>15</v>
      </c>
      <c r="C484" s="1">
        <v>2.1</v>
      </c>
      <c r="D484" s="1">
        <v>700</v>
      </c>
      <c r="E484" s="1">
        <v>20</v>
      </c>
      <c r="F484" s="1">
        <v>1</v>
      </c>
      <c r="G484">
        <v>51</v>
      </c>
      <c r="H484">
        <v>186</v>
      </c>
      <c r="I484" t="s">
        <v>19</v>
      </c>
      <c r="J484" t="s">
        <v>29</v>
      </c>
    </row>
    <row r="485" spans="1:10" x14ac:dyDescent="0.25">
      <c r="A485">
        <v>7</v>
      </c>
      <c r="B485" t="s">
        <v>15</v>
      </c>
      <c r="C485" s="1">
        <v>2.1</v>
      </c>
      <c r="D485" s="1">
        <v>700</v>
      </c>
      <c r="E485" s="1">
        <v>20</v>
      </c>
      <c r="F485" s="1">
        <v>1</v>
      </c>
      <c r="G485">
        <v>52</v>
      </c>
      <c r="H485">
        <v>187</v>
      </c>
      <c r="I485" t="s">
        <v>20</v>
      </c>
      <c r="J485" t="s">
        <v>27</v>
      </c>
    </row>
    <row r="486" spans="1:10" x14ac:dyDescent="0.25">
      <c r="A486">
        <v>7</v>
      </c>
      <c r="B486" t="s">
        <v>15</v>
      </c>
      <c r="C486" s="1">
        <v>2.1</v>
      </c>
      <c r="D486" s="1">
        <v>700</v>
      </c>
      <c r="E486" s="1">
        <v>20</v>
      </c>
      <c r="F486" s="1">
        <v>1</v>
      </c>
      <c r="G486">
        <v>53</v>
      </c>
      <c r="H486">
        <v>188</v>
      </c>
      <c r="I486" t="s">
        <v>20</v>
      </c>
      <c r="J486" t="s">
        <v>28</v>
      </c>
    </row>
    <row r="487" spans="1:10" x14ac:dyDescent="0.25">
      <c r="A487">
        <v>7</v>
      </c>
      <c r="B487" t="s">
        <v>15</v>
      </c>
      <c r="C487" s="1">
        <v>2.1</v>
      </c>
      <c r="D487" s="1">
        <v>700</v>
      </c>
      <c r="E487" s="1">
        <v>20</v>
      </c>
      <c r="F487" s="1">
        <v>1</v>
      </c>
      <c r="G487">
        <v>54</v>
      </c>
      <c r="H487">
        <v>189</v>
      </c>
      <c r="I487" t="s">
        <v>20</v>
      </c>
      <c r="J487" t="s">
        <v>29</v>
      </c>
    </row>
    <row r="488" spans="1:10" x14ac:dyDescent="0.25">
      <c r="A488">
        <v>7</v>
      </c>
      <c r="B488" t="s">
        <v>15</v>
      </c>
      <c r="C488" s="1">
        <v>2.1</v>
      </c>
      <c r="D488" s="1">
        <v>700</v>
      </c>
      <c r="E488" s="1">
        <v>20</v>
      </c>
      <c r="F488" s="1">
        <v>1</v>
      </c>
      <c r="G488">
        <v>55</v>
      </c>
      <c r="H488">
        <v>190</v>
      </c>
      <c r="I488" t="s">
        <v>21</v>
      </c>
      <c r="J488" t="s">
        <v>27</v>
      </c>
    </row>
    <row r="489" spans="1:10" x14ac:dyDescent="0.25">
      <c r="A489">
        <v>7</v>
      </c>
      <c r="B489" t="s">
        <v>15</v>
      </c>
      <c r="C489" s="1">
        <v>2.1</v>
      </c>
      <c r="D489" s="1">
        <v>700</v>
      </c>
      <c r="E489" s="1">
        <v>20</v>
      </c>
      <c r="F489" s="1">
        <v>1</v>
      </c>
      <c r="G489">
        <v>56</v>
      </c>
      <c r="H489">
        <v>191</v>
      </c>
      <c r="I489" t="s">
        <v>21</v>
      </c>
      <c r="J489" t="s">
        <v>28</v>
      </c>
    </row>
    <row r="490" spans="1:10" x14ac:dyDescent="0.25">
      <c r="A490">
        <v>7</v>
      </c>
      <c r="B490" t="s">
        <v>15</v>
      </c>
      <c r="C490" s="1">
        <v>2.1</v>
      </c>
      <c r="D490" s="1">
        <v>700</v>
      </c>
      <c r="E490" s="1">
        <v>20</v>
      </c>
      <c r="F490" s="1">
        <v>1</v>
      </c>
      <c r="G490">
        <v>57</v>
      </c>
      <c r="H490">
        <v>192</v>
      </c>
      <c r="I490" t="s">
        <v>21</v>
      </c>
      <c r="J490" t="s">
        <v>29</v>
      </c>
    </row>
    <row r="491" spans="1:10" x14ac:dyDescent="0.25">
      <c r="A491">
        <v>7</v>
      </c>
      <c r="B491" t="s">
        <v>15</v>
      </c>
      <c r="C491" s="1">
        <v>2.1</v>
      </c>
      <c r="D491" s="1">
        <v>700</v>
      </c>
      <c r="E491" s="1">
        <v>20</v>
      </c>
      <c r="F491" s="1">
        <v>1</v>
      </c>
      <c r="G491">
        <v>58</v>
      </c>
      <c r="H491">
        <v>193</v>
      </c>
      <c r="I491" t="s">
        <v>22</v>
      </c>
      <c r="J491" t="s">
        <v>27</v>
      </c>
    </row>
    <row r="492" spans="1:10" x14ac:dyDescent="0.25">
      <c r="A492">
        <v>7</v>
      </c>
      <c r="B492" t="s">
        <v>15</v>
      </c>
      <c r="C492" s="1">
        <v>2.1</v>
      </c>
      <c r="D492" s="1">
        <v>700</v>
      </c>
      <c r="E492" s="1">
        <v>20</v>
      </c>
      <c r="F492" s="1">
        <v>1</v>
      </c>
      <c r="G492">
        <v>59</v>
      </c>
      <c r="H492">
        <v>194</v>
      </c>
      <c r="I492" t="s">
        <v>22</v>
      </c>
      <c r="J492" t="s">
        <v>28</v>
      </c>
    </row>
    <row r="493" spans="1:10" x14ac:dyDescent="0.25">
      <c r="A493">
        <v>7</v>
      </c>
      <c r="B493" t="s">
        <v>15</v>
      </c>
      <c r="C493" s="1">
        <v>2.1</v>
      </c>
      <c r="D493" s="1">
        <v>700</v>
      </c>
      <c r="E493" s="1">
        <v>20</v>
      </c>
      <c r="F493" s="1">
        <v>1</v>
      </c>
      <c r="G493">
        <v>60</v>
      </c>
      <c r="H493">
        <v>195</v>
      </c>
      <c r="I493" t="s">
        <v>22</v>
      </c>
      <c r="J493" t="s">
        <v>29</v>
      </c>
    </row>
    <row r="494" spans="1:10" x14ac:dyDescent="0.25">
      <c r="A494">
        <v>7</v>
      </c>
      <c r="B494" t="s">
        <v>15</v>
      </c>
      <c r="C494" s="1">
        <v>2.1</v>
      </c>
      <c r="D494" s="1">
        <v>700</v>
      </c>
      <c r="E494" s="1">
        <v>20</v>
      </c>
      <c r="F494" s="1">
        <v>1</v>
      </c>
      <c r="G494">
        <v>61</v>
      </c>
      <c r="H494">
        <v>196</v>
      </c>
      <c r="I494" t="s">
        <v>23</v>
      </c>
      <c r="J494" t="s">
        <v>27</v>
      </c>
    </row>
    <row r="495" spans="1:10" x14ac:dyDescent="0.25">
      <c r="A495">
        <v>7</v>
      </c>
      <c r="B495" t="s">
        <v>15</v>
      </c>
      <c r="C495" s="1">
        <v>2.1</v>
      </c>
      <c r="D495" s="1">
        <v>700</v>
      </c>
      <c r="E495" s="1">
        <v>20</v>
      </c>
      <c r="F495" s="1">
        <v>1</v>
      </c>
      <c r="G495">
        <v>62</v>
      </c>
      <c r="H495">
        <v>197</v>
      </c>
      <c r="I495" t="s">
        <v>23</v>
      </c>
      <c r="J495" t="s">
        <v>28</v>
      </c>
    </row>
    <row r="496" spans="1:10" x14ac:dyDescent="0.25">
      <c r="A496">
        <v>7</v>
      </c>
      <c r="B496" t="s">
        <v>15</v>
      </c>
      <c r="C496" s="1">
        <v>2.1</v>
      </c>
      <c r="D496" s="1">
        <v>700</v>
      </c>
      <c r="E496" s="1">
        <v>20</v>
      </c>
      <c r="F496" s="1">
        <v>1</v>
      </c>
      <c r="G496">
        <v>63</v>
      </c>
      <c r="H496">
        <v>198</v>
      </c>
      <c r="I496" t="s">
        <v>23</v>
      </c>
      <c r="J496" t="s">
        <v>29</v>
      </c>
    </row>
    <row r="497" spans="1:10" x14ac:dyDescent="0.25">
      <c r="A497">
        <v>7</v>
      </c>
      <c r="B497" t="s">
        <v>15</v>
      </c>
      <c r="C497" s="1">
        <v>2.1</v>
      </c>
      <c r="D497" s="1">
        <v>700</v>
      </c>
      <c r="E497" s="1">
        <v>20</v>
      </c>
      <c r="F497" s="1">
        <v>1</v>
      </c>
      <c r="G497">
        <v>64</v>
      </c>
      <c r="H497">
        <v>199</v>
      </c>
      <c r="I497" t="s">
        <v>24</v>
      </c>
      <c r="J497" t="s">
        <v>27</v>
      </c>
    </row>
    <row r="498" spans="1:10" x14ac:dyDescent="0.25">
      <c r="A498">
        <v>7</v>
      </c>
      <c r="B498" t="s">
        <v>15</v>
      </c>
      <c r="C498" s="1">
        <v>2.1</v>
      </c>
      <c r="D498" s="1">
        <v>700</v>
      </c>
      <c r="E498" s="1">
        <v>20</v>
      </c>
      <c r="F498" s="1">
        <v>1</v>
      </c>
      <c r="G498">
        <v>65</v>
      </c>
      <c r="H498">
        <v>200</v>
      </c>
      <c r="I498" t="s">
        <v>24</v>
      </c>
      <c r="J498" t="s">
        <v>28</v>
      </c>
    </row>
    <row r="499" spans="1:10" x14ac:dyDescent="0.25">
      <c r="A499">
        <v>7</v>
      </c>
      <c r="B499" t="s">
        <v>15</v>
      </c>
      <c r="C499" s="1">
        <v>2.1</v>
      </c>
      <c r="D499" s="1">
        <v>700</v>
      </c>
      <c r="E499" s="1">
        <v>20</v>
      </c>
      <c r="F499" s="1">
        <v>1</v>
      </c>
      <c r="G499">
        <v>66</v>
      </c>
      <c r="H499">
        <v>201</v>
      </c>
      <c r="I499" t="s">
        <v>24</v>
      </c>
      <c r="J499" t="s">
        <v>29</v>
      </c>
    </row>
    <row r="500" spans="1:10" x14ac:dyDescent="0.25">
      <c r="A500">
        <v>7</v>
      </c>
      <c r="B500" t="s">
        <v>15</v>
      </c>
      <c r="C500" s="1">
        <v>2.1</v>
      </c>
      <c r="D500" s="1">
        <v>700</v>
      </c>
      <c r="E500" s="1">
        <v>20</v>
      </c>
      <c r="F500" s="1">
        <v>1</v>
      </c>
      <c r="G500">
        <v>67</v>
      </c>
      <c r="H500">
        <v>202</v>
      </c>
      <c r="I500" t="s">
        <v>25</v>
      </c>
      <c r="J500" t="s">
        <v>27</v>
      </c>
    </row>
    <row r="501" spans="1:10" x14ac:dyDescent="0.25">
      <c r="A501">
        <v>7</v>
      </c>
      <c r="B501" t="s">
        <v>15</v>
      </c>
      <c r="C501" s="1">
        <v>2.1</v>
      </c>
      <c r="D501" s="1">
        <v>700</v>
      </c>
      <c r="E501" s="1">
        <v>20</v>
      </c>
      <c r="F501" s="1">
        <v>1</v>
      </c>
      <c r="G501">
        <v>68</v>
      </c>
      <c r="H501">
        <v>203</v>
      </c>
      <c r="I501" t="s">
        <v>25</v>
      </c>
      <c r="J501" t="s">
        <v>28</v>
      </c>
    </row>
    <row r="502" spans="1:10" x14ac:dyDescent="0.25">
      <c r="A502">
        <v>7</v>
      </c>
      <c r="B502" t="s">
        <v>15</v>
      </c>
      <c r="C502" s="1">
        <v>2.1</v>
      </c>
      <c r="D502" s="1">
        <v>700</v>
      </c>
      <c r="E502" s="1">
        <v>20</v>
      </c>
      <c r="F502" s="1">
        <v>1</v>
      </c>
      <c r="G502">
        <v>69</v>
      </c>
      <c r="H502">
        <v>204</v>
      </c>
      <c r="I502" t="s">
        <v>25</v>
      </c>
      <c r="J502" t="s">
        <v>29</v>
      </c>
    </row>
    <row r="503" spans="1:10" x14ac:dyDescent="0.25">
      <c r="A503">
        <v>7</v>
      </c>
      <c r="B503" t="s">
        <v>15</v>
      </c>
      <c r="C503" s="1">
        <v>2.1</v>
      </c>
      <c r="D503" s="1">
        <v>700</v>
      </c>
      <c r="E503" s="1">
        <v>20</v>
      </c>
      <c r="F503" s="1">
        <v>1</v>
      </c>
      <c r="G503">
        <v>70</v>
      </c>
      <c r="H503">
        <v>205</v>
      </c>
      <c r="I503" t="s">
        <v>26</v>
      </c>
      <c r="J503" t="s">
        <v>27</v>
      </c>
    </row>
    <row r="504" spans="1:10" x14ac:dyDescent="0.25">
      <c r="A504">
        <v>7</v>
      </c>
      <c r="B504" t="s">
        <v>15</v>
      </c>
      <c r="C504" s="1">
        <v>2.1</v>
      </c>
      <c r="D504" s="1">
        <v>700</v>
      </c>
      <c r="E504" s="1">
        <v>20</v>
      </c>
      <c r="F504" s="1">
        <v>1</v>
      </c>
      <c r="G504">
        <v>71</v>
      </c>
      <c r="H504">
        <v>206</v>
      </c>
      <c r="I504" t="s">
        <v>26</v>
      </c>
      <c r="J504" t="s">
        <v>28</v>
      </c>
    </row>
    <row r="505" spans="1:10" x14ac:dyDescent="0.25">
      <c r="A505">
        <v>7</v>
      </c>
      <c r="B505" t="s">
        <v>15</v>
      </c>
      <c r="C505" s="1">
        <v>2.1</v>
      </c>
      <c r="D505" s="1">
        <v>700</v>
      </c>
      <c r="E505" s="1">
        <v>20</v>
      </c>
      <c r="F505" s="1">
        <v>1</v>
      </c>
      <c r="G505">
        <v>72</v>
      </c>
      <c r="H505">
        <v>207</v>
      </c>
      <c r="I505" t="s">
        <v>26</v>
      </c>
      <c r="J505" t="s">
        <v>29</v>
      </c>
    </row>
    <row r="506" spans="1:10" x14ac:dyDescent="0.25">
      <c r="A506">
        <v>8</v>
      </c>
      <c r="B506" t="s">
        <v>16</v>
      </c>
      <c r="C506" s="1">
        <v>2.1</v>
      </c>
      <c r="D506" s="1">
        <v>700</v>
      </c>
      <c r="E506" s="1">
        <v>20</v>
      </c>
      <c r="F506" s="1">
        <v>1</v>
      </c>
      <c r="G506">
        <v>1</v>
      </c>
      <c r="H506">
        <v>32</v>
      </c>
      <c r="I506" t="s">
        <v>19</v>
      </c>
      <c r="J506" t="s">
        <v>27</v>
      </c>
    </row>
    <row r="507" spans="1:10" x14ac:dyDescent="0.25">
      <c r="A507">
        <v>8</v>
      </c>
      <c r="B507" t="s">
        <v>16</v>
      </c>
      <c r="C507" s="1">
        <v>2.1</v>
      </c>
      <c r="D507" s="1">
        <v>700</v>
      </c>
      <c r="E507" s="1">
        <v>20</v>
      </c>
      <c r="F507" s="1">
        <v>1</v>
      </c>
      <c r="G507">
        <v>2</v>
      </c>
      <c r="H507">
        <v>33</v>
      </c>
      <c r="I507" t="s">
        <v>19</v>
      </c>
      <c r="J507" t="s">
        <v>28</v>
      </c>
    </row>
    <row r="508" spans="1:10" x14ac:dyDescent="0.25">
      <c r="A508">
        <v>8</v>
      </c>
      <c r="B508" t="s">
        <v>16</v>
      </c>
      <c r="C508" s="1">
        <v>2.1</v>
      </c>
      <c r="D508" s="1">
        <v>700</v>
      </c>
      <c r="E508" s="1">
        <v>20</v>
      </c>
      <c r="F508" s="1">
        <v>1</v>
      </c>
      <c r="G508">
        <v>3</v>
      </c>
      <c r="H508">
        <v>24</v>
      </c>
      <c r="I508" t="s">
        <v>19</v>
      </c>
      <c r="J508" t="s">
        <v>29</v>
      </c>
    </row>
    <row r="509" spans="1:10" x14ac:dyDescent="0.25">
      <c r="A509">
        <v>8</v>
      </c>
      <c r="B509" t="s">
        <v>16</v>
      </c>
      <c r="C509" s="1">
        <v>2.1</v>
      </c>
      <c r="D509" s="1">
        <v>700</v>
      </c>
      <c r="E509" s="1">
        <v>20</v>
      </c>
      <c r="F509" s="1">
        <v>1</v>
      </c>
      <c r="G509">
        <v>4</v>
      </c>
      <c r="H509">
        <v>25</v>
      </c>
      <c r="I509" t="s">
        <v>20</v>
      </c>
      <c r="J509" t="s">
        <v>27</v>
      </c>
    </row>
    <row r="510" spans="1:10" x14ac:dyDescent="0.25">
      <c r="A510">
        <v>8</v>
      </c>
      <c r="B510" t="s">
        <v>16</v>
      </c>
      <c r="C510" s="1">
        <v>2.1</v>
      </c>
      <c r="D510" s="1">
        <v>700</v>
      </c>
      <c r="E510" s="1">
        <v>20</v>
      </c>
      <c r="F510" s="1">
        <v>1</v>
      </c>
      <c r="G510">
        <v>5</v>
      </c>
      <c r="H510">
        <v>26</v>
      </c>
      <c r="I510" t="s">
        <v>20</v>
      </c>
      <c r="J510" t="s">
        <v>28</v>
      </c>
    </row>
    <row r="511" spans="1:10" x14ac:dyDescent="0.25">
      <c r="A511">
        <v>8</v>
      </c>
      <c r="B511" t="s">
        <v>16</v>
      </c>
      <c r="C511" s="1">
        <v>2.1</v>
      </c>
      <c r="D511" s="1">
        <v>700</v>
      </c>
      <c r="E511" s="1">
        <v>20</v>
      </c>
      <c r="F511" s="1">
        <v>1</v>
      </c>
      <c r="G511">
        <v>6</v>
      </c>
      <c r="H511">
        <v>27</v>
      </c>
      <c r="I511" t="s">
        <v>20</v>
      </c>
      <c r="J511" t="s">
        <v>29</v>
      </c>
    </row>
    <row r="512" spans="1:10" x14ac:dyDescent="0.25">
      <c r="A512">
        <v>8</v>
      </c>
      <c r="B512" t="s">
        <v>16</v>
      </c>
      <c r="C512" s="1">
        <v>2.1</v>
      </c>
      <c r="D512" s="1">
        <v>700</v>
      </c>
      <c r="E512" s="1">
        <v>20</v>
      </c>
      <c r="F512" s="1">
        <v>1</v>
      </c>
      <c r="G512">
        <v>7</v>
      </c>
      <c r="H512">
        <v>28</v>
      </c>
      <c r="I512" t="s">
        <v>21</v>
      </c>
      <c r="J512" t="s">
        <v>27</v>
      </c>
    </row>
    <row r="513" spans="1:10" x14ac:dyDescent="0.25">
      <c r="A513">
        <v>8</v>
      </c>
      <c r="B513" t="s">
        <v>16</v>
      </c>
      <c r="C513" s="1">
        <v>2.1</v>
      </c>
      <c r="D513" s="1">
        <v>700</v>
      </c>
      <c r="E513" s="1">
        <v>20</v>
      </c>
      <c r="F513" s="1">
        <v>1</v>
      </c>
      <c r="G513">
        <v>8</v>
      </c>
      <c r="H513">
        <v>29</v>
      </c>
      <c r="I513" t="s">
        <v>21</v>
      </c>
      <c r="J513" t="s">
        <v>28</v>
      </c>
    </row>
    <row r="514" spans="1:10" x14ac:dyDescent="0.25">
      <c r="A514">
        <v>8</v>
      </c>
      <c r="B514" t="s">
        <v>16</v>
      </c>
      <c r="C514" s="1">
        <v>2.1</v>
      </c>
      <c r="D514" s="1">
        <v>700</v>
      </c>
      <c r="E514" s="1">
        <v>20</v>
      </c>
      <c r="F514" s="1">
        <v>1</v>
      </c>
      <c r="G514">
        <v>9</v>
      </c>
      <c r="H514">
        <v>30</v>
      </c>
      <c r="I514" t="s">
        <v>21</v>
      </c>
      <c r="J514" t="s">
        <v>29</v>
      </c>
    </row>
    <row r="515" spans="1:10" x14ac:dyDescent="0.25">
      <c r="A515">
        <v>8</v>
      </c>
      <c r="B515" t="s">
        <v>16</v>
      </c>
      <c r="C515" s="1">
        <v>2.1</v>
      </c>
      <c r="D515" s="1">
        <v>700</v>
      </c>
      <c r="E515" s="1">
        <v>20</v>
      </c>
      <c r="F515" s="1">
        <v>1</v>
      </c>
      <c r="G515">
        <v>10</v>
      </c>
      <c r="H515">
        <v>31</v>
      </c>
      <c r="I515" t="s">
        <v>22</v>
      </c>
      <c r="J515" t="s">
        <v>27</v>
      </c>
    </row>
    <row r="516" spans="1:10" x14ac:dyDescent="0.25">
      <c r="A516">
        <v>8</v>
      </c>
      <c r="B516" t="s">
        <v>16</v>
      </c>
      <c r="C516" s="1">
        <v>2.1</v>
      </c>
      <c r="D516" s="1">
        <v>700</v>
      </c>
      <c r="E516" s="1">
        <v>20</v>
      </c>
      <c r="F516" s="1">
        <v>1</v>
      </c>
      <c r="G516">
        <v>11</v>
      </c>
      <c r="H516">
        <v>32</v>
      </c>
      <c r="I516" t="s">
        <v>22</v>
      </c>
      <c r="J516" t="s">
        <v>28</v>
      </c>
    </row>
    <row r="517" spans="1:10" x14ac:dyDescent="0.25">
      <c r="A517">
        <v>8</v>
      </c>
      <c r="B517" t="s">
        <v>16</v>
      </c>
      <c r="C517" s="1">
        <v>2.1</v>
      </c>
      <c r="D517" s="1">
        <v>700</v>
      </c>
      <c r="E517" s="1">
        <v>20</v>
      </c>
      <c r="F517" s="1">
        <v>1</v>
      </c>
      <c r="G517">
        <v>12</v>
      </c>
      <c r="H517">
        <v>33</v>
      </c>
      <c r="I517" t="s">
        <v>22</v>
      </c>
      <c r="J517" t="s">
        <v>29</v>
      </c>
    </row>
    <row r="518" spans="1:10" x14ac:dyDescent="0.25">
      <c r="A518">
        <v>8</v>
      </c>
      <c r="B518" t="s">
        <v>16</v>
      </c>
      <c r="C518" s="1">
        <v>2.1</v>
      </c>
      <c r="D518" s="1">
        <v>700</v>
      </c>
      <c r="E518" s="1">
        <v>20</v>
      </c>
      <c r="F518" s="1">
        <v>1</v>
      </c>
      <c r="G518">
        <v>13</v>
      </c>
      <c r="H518">
        <v>24</v>
      </c>
      <c r="I518" t="s">
        <v>23</v>
      </c>
      <c r="J518" t="s">
        <v>27</v>
      </c>
    </row>
    <row r="519" spans="1:10" x14ac:dyDescent="0.25">
      <c r="A519">
        <v>8</v>
      </c>
      <c r="B519" t="s">
        <v>16</v>
      </c>
      <c r="C519" s="1">
        <v>2.1</v>
      </c>
      <c r="D519" s="1">
        <v>700</v>
      </c>
      <c r="E519" s="1">
        <v>20</v>
      </c>
      <c r="F519" s="1">
        <v>1</v>
      </c>
      <c r="G519">
        <v>14</v>
      </c>
      <c r="H519">
        <v>25</v>
      </c>
      <c r="I519" t="s">
        <v>23</v>
      </c>
      <c r="J519" t="s">
        <v>28</v>
      </c>
    </row>
    <row r="520" spans="1:10" x14ac:dyDescent="0.25">
      <c r="A520">
        <v>8</v>
      </c>
      <c r="B520" t="s">
        <v>16</v>
      </c>
      <c r="C520" s="1">
        <v>2.1</v>
      </c>
      <c r="D520" s="1">
        <v>700</v>
      </c>
      <c r="E520" s="1">
        <v>20</v>
      </c>
      <c r="F520" s="1">
        <v>1</v>
      </c>
      <c r="G520">
        <v>15</v>
      </c>
      <c r="H520">
        <v>26</v>
      </c>
      <c r="I520" t="s">
        <v>23</v>
      </c>
      <c r="J520" t="s">
        <v>29</v>
      </c>
    </row>
    <row r="521" spans="1:10" x14ac:dyDescent="0.25">
      <c r="A521">
        <v>8</v>
      </c>
      <c r="B521" t="s">
        <v>16</v>
      </c>
      <c r="C521" s="1">
        <v>2.1</v>
      </c>
      <c r="D521" s="1">
        <v>700</v>
      </c>
      <c r="E521" s="1">
        <v>20</v>
      </c>
      <c r="F521" s="1">
        <v>1</v>
      </c>
      <c r="G521">
        <v>16</v>
      </c>
      <c r="H521">
        <v>27</v>
      </c>
      <c r="I521" t="s">
        <v>24</v>
      </c>
      <c r="J521" t="s">
        <v>27</v>
      </c>
    </row>
    <row r="522" spans="1:10" x14ac:dyDescent="0.25">
      <c r="A522">
        <v>8</v>
      </c>
      <c r="B522" t="s">
        <v>16</v>
      </c>
      <c r="C522" s="1">
        <v>2.1</v>
      </c>
      <c r="D522" s="1">
        <v>700</v>
      </c>
      <c r="E522" s="1">
        <v>20</v>
      </c>
      <c r="F522" s="1">
        <v>1</v>
      </c>
      <c r="G522">
        <v>17</v>
      </c>
      <c r="H522">
        <v>28</v>
      </c>
      <c r="I522" t="s">
        <v>24</v>
      </c>
      <c r="J522" t="s">
        <v>28</v>
      </c>
    </row>
    <row r="523" spans="1:10" x14ac:dyDescent="0.25">
      <c r="A523">
        <v>8</v>
      </c>
      <c r="B523" t="s">
        <v>16</v>
      </c>
      <c r="C523" s="1">
        <v>2.1</v>
      </c>
      <c r="D523" s="1">
        <v>700</v>
      </c>
      <c r="E523" s="1">
        <v>20</v>
      </c>
      <c r="F523" s="1">
        <v>1</v>
      </c>
      <c r="G523">
        <v>18</v>
      </c>
      <c r="H523">
        <v>29</v>
      </c>
      <c r="I523" t="s">
        <v>24</v>
      </c>
      <c r="J523" t="s">
        <v>29</v>
      </c>
    </row>
    <row r="524" spans="1:10" x14ac:dyDescent="0.25">
      <c r="A524">
        <v>8</v>
      </c>
      <c r="B524" t="s">
        <v>16</v>
      </c>
      <c r="C524" s="1">
        <v>2.1</v>
      </c>
      <c r="D524" s="1">
        <v>700</v>
      </c>
      <c r="E524" s="1">
        <v>20</v>
      </c>
      <c r="F524" s="1">
        <v>1</v>
      </c>
      <c r="G524">
        <v>19</v>
      </c>
      <c r="H524">
        <v>30</v>
      </c>
      <c r="I524" t="s">
        <v>25</v>
      </c>
      <c r="J524" t="s">
        <v>27</v>
      </c>
    </row>
    <row r="525" spans="1:10" x14ac:dyDescent="0.25">
      <c r="A525">
        <v>8</v>
      </c>
      <c r="B525" t="s">
        <v>16</v>
      </c>
      <c r="C525" s="1">
        <v>2.1</v>
      </c>
      <c r="D525" s="1">
        <v>700</v>
      </c>
      <c r="E525" s="1">
        <v>20</v>
      </c>
      <c r="F525" s="1">
        <v>1</v>
      </c>
      <c r="G525">
        <v>20</v>
      </c>
      <c r="H525">
        <v>31</v>
      </c>
      <c r="I525" t="s">
        <v>25</v>
      </c>
      <c r="J525" t="s">
        <v>28</v>
      </c>
    </row>
    <row r="526" spans="1:10" x14ac:dyDescent="0.25">
      <c r="A526">
        <v>8</v>
      </c>
      <c r="B526" t="s">
        <v>16</v>
      </c>
      <c r="C526" s="1">
        <v>2.1</v>
      </c>
      <c r="D526" s="1">
        <v>700</v>
      </c>
      <c r="E526" s="1">
        <v>20</v>
      </c>
      <c r="F526" s="1">
        <v>1</v>
      </c>
      <c r="G526">
        <v>21</v>
      </c>
      <c r="H526">
        <v>32</v>
      </c>
      <c r="I526" t="s">
        <v>25</v>
      </c>
      <c r="J526" t="s">
        <v>29</v>
      </c>
    </row>
    <row r="527" spans="1:10" x14ac:dyDescent="0.25">
      <c r="A527">
        <v>8</v>
      </c>
      <c r="B527" t="s">
        <v>16</v>
      </c>
      <c r="C527" s="1">
        <v>2.1</v>
      </c>
      <c r="D527" s="1">
        <v>700</v>
      </c>
      <c r="E527" s="1">
        <v>20</v>
      </c>
      <c r="F527" s="1">
        <v>1</v>
      </c>
      <c r="G527">
        <v>22</v>
      </c>
      <c r="H527">
        <v>33</v>
      </c>
      <c r="I527" t="s">
        <v>26</v>
      </c>
      <c r="J527" t="s">
        <v>27</v>
      </c>
    </row>
    <row r="528" spans="1:10" x14ac:dyDescent="0.25">
      <c r="A528">
        <v>8</v>
      </c>
      <c r="B528" t="s">
        <v>16</v>
      </c>
      <c r="C528" s="1">
        <v>2.1</v>
      </c>
      <c r="D528" s="1">
        <v>700</v>
      </c>
      <c r="E528" s="1">
        <v>20</v>
      </c>
      <c r="F528" s="1">
        <v>1</v>
      </c>
      <c r="G528">
        <v>23</v>
      </c>
      <c r="H528">
        <v>24</v>
      </c>
      <c r="I528" t="s">
        <v>26</v>
      </c>
      <c r="J528" t="s">
        <v>28</v>
      </c>
    </row>
    <row r="529" spans="1:10" x14ac:dyDescent="0.25">
      <c r="A529">
        <v>8</v>
      </c>
      <c r="B529" t="s">
        <v>16</v>
      </c>
      <c r="C529" s="1">
        <v>2.1</v>
      </c>
      <c r="D529" s="1">
        <v>700</v>
      </c>
      <c r="E529" s="1">
        <v>20</v>
      </c>
      <c r="F529" s="1">
        <v>1</v>
      </c>
      <c r="G529">
        <v>24</v>
      </c>
      <c r="H529">
        <v>25</v>
      </c>
      <c r="I529" t="s">
        <v>26</v>
      </c>
      <c r="J529" t="s">
        <v>29</v>
      </c>
    </row>
    <row r="530" spans="1:10" x14ac:dyDescent="0.25">
      <c r="A530">
        <v>8</v>
      </c>
      <c r="B530" t="s">
        <v>16</v>
      </c>
      <c r="C530" s="1">
        <v>2.1</v>
      </c>
      <c r="D530" s="1">
        <v>700</v>
      </c>
      <c r="E530" s="1">
        <v>20</v>
      </c>
      <c r="F530" s="1">
        <v>1</v>
      </c>
      <c r="G530">
        <v>25</v>
      </c>
      <c r="H530">
        <v>34</v>
      </c>
      <c r="I530" t="s">
        <v>19</v>
      </c>
      <c r="J530" t="s">
        <v>27</v>
      </c>
    </row>
    <row r="531" spans="1:10" x14ac:dyDescent="0.25">
      <c r="A531">
        <v>8</v>
      </c>
      <c r="B531" t="s">
        <v>16</v>
      </c>
      <c r="C531" s="1">
        <v>2.1</v>
      </c>
      <c r="D531" s="1">
        <v>700</v>
      </c>
      <c r="E531" s="1">
        <v>20</v>
      </c>
      <c r="F531" s="1">
        <v>1</v>
      </c>
      <c r="G531">
        <v>26</v>
      </c>
      <c r="H531">
        <v>35</v>
      </c>
      <c r="I531" t="s">
        <v>19</v>
      </c>
      <c r="J531" t="s">
        <v>28</v>
      </c>
    </row>
    <row r="532" spans="1:10" x14ac:dyDescent="0.25">
      <c r="A532">
        <v>8</v>
      </c>
      <c r="B532" t="s">
        <v>16</v>
      </c>
      <c r="C532" s="1">
        <v>2.1</v>
      </c>
      <c r="D532" s="1">
        <v>700</v>
      </c>
      <c r="E532" s="1">
        <v>20</v>
      </c>
      <c r="F532" s="1">
        <v>1</v>
      </c>
      <c r="G532">
        <v>27</v>
      </c>
      <c r="H532">
        <v>36</v>
      </c>
      <c r="I532" t="s">
        <v>19</v>
      </c>
      <c r="J532" t="s">
        <v>29</v>
      </c>
    </row>
    <row r="533" spans="1:10" x14ac:dyDescent="0.25">
      <c r="A533">
        <v>8</v>
      </c>
      <c r="B533" t="s">
        <v>16</v>
      </c>
      <c r="C533" s="1">
        <v>2.1</v>
      </c>
      <c r="D533" s="1">
        <v>700</v>
      </c>
      <c r="E533" s="1">
        <v>20</v>
      </c>
      <c r="F533" s="1">
        <v>1</v>
      </c>
      <c r="G533">
        <v>28</v>
      </c>
      <c r="H533">
        <v>37</v>
      </c>
      <c r="I533" t="s">
        <v>20</v>
      </c>
      <c r="J533" t="s">
        <v>27</v>
      </c>
    </row>
    <row r="534" spans="1:10" x14ac:dyDescent="0.25">
      <c r="A534">
        <v>8</v>
      </c>
      <c r="B534" t="s">
        <v>16</v>
      </c>
      <c r="C534" s="1">
        <v>2.1</v>
      </c>
      <c r="D534" s="1">
        <v>700</v>
      </c>
      <c r="E534" s="1">
        <v>20</v>
      </c>
      <c r="F534" s="1">
        <v>1</v>
      </c>
      <c r="G534">
        <v>29</v>
      </c>
      <c r="H534">
        <v>38</v>
      </c>
      <c r="I534" t="s">
        <v>20</v>
      </c>
      <c r="J534" t="s">
        <v>28</v>
      </c>
    </row>
    <row r="535" spans="1:10" x14ac:dyDescent="0.25">
      <c r="A535">
        <v>8</v>
      </c>
      <c r="B535" t="s">
        <v>16</v>
      </c>
      <c r="C535" s="1">
        <v>2.1</v>
      </c>
      <c r="D535" s="1">
        <v>700</v>
      </c>
      <c r="E535" s="1">
        <v>20</v>
      </c>
      <c r="F535" s="1">
        <v>1</v>
      </c>
      <c r="G535">
        <v>30</v>
      </c>
      <c r="H535">
        <v>39</v>
      </c>
      <c r="I535" t="s">
        <v>20</v>
      </c>
      <c r="J535" t="s">
        <v>29</v>
      </c>
    </row>
    <row r="536" spans="1:10" x14ac:dyDescent="0.25">
      <c r="A536">
        <v>8</v>
      </c>
      <c r="B536" t="s">
        <v>16</v>
      </c>
      <c r="C536" s="1">
        <v>2.1</v>
      </c>
      <c r="D536" s="1">
        <v>700</v>
      </c>
      <c r="E536" s="1">
        <v>20</v>
      </c>
      <c r="F536" s="1">
        <v>1</v>
      </c>
      <c r="G536">
        <v>31</v>
      </c>
      <c r="H536">
        <v>34</v>
      </c>
      <c r="I536" t="s">
        <v>21</v>
      </c>
      <c r="J536" t="s">
        <v>27</v>
      </c>
    </row>
    <row r="537" spans="1:10" x14ac:dyDescent="0.25">
      <c r="A537">
        <v>8</v>
      </c>
      <c r="B537" t="s">
        <v>16</v>
      </c>
      <c r="C537" s="1">
        <v>2.1</v>
      </c>
      <c r="D537" s="1">
        <v>700</v>
      </c>
      <c r="E537" s="1">
        <v>20</v>
      </c>
      <c r="F537" s="1">
        <v>1</v>
      </c>
      <c r="G537">
        <v>32</v>
      </c>
      <c r="H537">
        <v>35</v>
      </c>
      <c r="I537" t="s">
        <v>21</v>
      </c>
      <c r="J537" t="s">
        <v>28</v>
      </c>
    </row>
    <row r="538" spans="1:10" x14ac:dyDescent="0.25">
      <c r="A538">
        <v>8</v>
      </c>
      <c r="B538" t="s">
        <v>16</v>
      </c>
      <c r="C538" s="1">
        <v>2.1</v>
      </c>
      <c r="D538" s="1">
        <v>700</v>
      </c>
      <c r="E538" s="1">
        <v>20</v>
      </c>
      <c r="F538" s="1">
        <v>1</v>
      </c>
      <c r="G538">
        <v>33</v>
      </c>
      <c r="H538">
        <v>36</v>
      </c>
      <c r="I538" t="s">
        <v>21</v>
      </c>
      <c r="J538" t="s">
        <v>29</v>
      </c>
    </row>
    <row r="539" spans="1:10" x14ac:dyDescent="0.25">
      <c r="A539">
        <v>8</v>
      </c>
      <c r="B539" t="s">
        <v>16</v>
      </c>
      <c r="C539" s="1">
        <v>2.1</v>
      </c>
      <c r="D539" s="1">
        <v>700</v>
      </c>
      <c r="E539" s="1">
        <v>20</v>
      </c>
      <c r="F539" s="1">
        <v>1</v>
      </c>
      <c r="G539">
        <v>34</v>
      </c>
      <c r="H539">
        <v>37</v>
      </c>
      <c r="I539" t="s">
        <v>22</v>
      </c>
      <c r="J539" t="s">
        <v>27</v>
      </c>
    </row>
    <row r="540" spans="1:10" x14ac:dyDescent="0.25">
      <c r="A540">
        <v>8</v>
      </c>
      <c r="B540" t="s">
        <v>16</v>
      </c>
      <c r="C540" s="1">
        <v>2.1</v>
      </c>
      <c r="D540" s="1">
        <v>700</v>
      </c>
      <c r="E540" s="1">
        <v>20</v>
      </c>
      <c r="F540" s="1">
        <v>1</v>
      </c>
      <c r="G540">
        <v>35</v>
      </c>
      <c r="H540">
        <v>38</v>
      </c>
      <c r="I540" t="s">
        <v>22</v>
      </c>
      <c r="J540" t="s">
        <v>28</v>
      </c>
    </row>
    <row r="541" spans="1:10" x14ac:dyDescent="0.25">
      <c r="A541">
        <v>8</v>
      </c>
      <c r="B541" t="s">
        <v>16</v>
      </c>
      <c r="C541" s="1">
        <v>2.1</v>
      </c>
      <c r="D541" s="1">
        <v>700</v>
      </c>
      <c r="E541" s="1">
        <v>20</v>
      </c>
      <c r="F541" s="1">
        <v>1</v>
      </c>
      <c r="G541">
        <v>36</v>
      </c>
      <c r="H541">
        <v>39</v>
      </c>
      <c r="I541" t="s">
        <v>22</v>
      </c>
      <c r="J541" t="s">
        <v>29</v>
      </c>
    </row>
    <row r="542" spans="1:10" x14ac:dyDescent="0.25">
      <c r="A542">
        <v>8</v>
      </c>
      <c r="B542" t="s">
        <v>16</v>
      </c>
      <c r="C542" s="1">
        <v>2.1</v>
      </c>
      <c r="D542" s="1">
        <v>700</v>
      </c>
      <c r="E542" s="1">
        <v>20</v>
      </c>
      <c r="F542" s="1">
        <v>1</v>
      </c>
      <c r="G542">
        <v>37</v>
      </c>
      <c r="H542">
        <v>34</v>
      </c>
      <c r="I542" t="s">
        <v>23</v>
      </c>
      <c r="J542" t="s">
        <v>27</v>
      </c>
    </row>
    <row r="543" spans="1:10" x14ac:dyDescent="0.25">
      <c r="A543">
        <v>8</v>
      </c>
      <c r="B543" t="s">
        <v>16</v>
      </c>
      <c r="C543" s="1">
        <v>2.1</v>
      </c>
      <c r="D543" s="1">
        <v>700</v>
      </c>
      <c r="E543" s="1">
        <v>20</v>
      </c>
      <c r="F543" s="1">
        <v>1</v>
      </c>
      <c r="G543">
        <v>38</v>
      </c>
      <c r="H543">
        <v>35</v>
      </c>
      <c r="I543" t="s">
        <v>23</v>
      </c>
      <c r="J543" t="s">
        <v>28</v>
      </c>
    </row>
    <row r="544" spans="1:10" x14ac:dyDescent="0.25">
      <c r="A544">
        <v>8</v>
      </c>
      <c r="B544" t="s">
        <v>16</v>
      </c>
      <c r="C544" s="1">
        <v>2.1</v>
      </c>
      <c r="D544" s="1">
        <v>700</v>
      </c>
      <c r="E544" s="1">
        <v>20</v>
      </c>
      <c r="F544" s="1">
        <v>1</v>
      </c>
      <c r="G544">
        <v>39</v>
      </c>
      <c r="H544">
        <v>36</v>
      </c>
      <c r="I544" t="s">
        <v>23</v>
      </c>
      <c r="J544" t="s">
        <v>29</v>
      </c>
    </row>
    <row r="545" spans="1:10" x14ac:dyDescent="0.25">
      <c r="A545">
        <v>8</v>
      </c>
      <c r="B545" t="s">
        <v>16</v>
      </c>
      <c r="C545" s="1">
        <v>2.1</v>
      </c>
      <c r="D545" s="1">
        <v>700</v>
      </c>
      <c r="E545" s="1">
        <v>20</v>
      </c>
      <c r="F545" s="1">
        <v>1</v>
      </c>
      <c r="G545">
        <v>40</v>
      </c>
      <c r="H545">
        <v>37</v>
      </c>
      <c r="I545" t="s">
        <v>24</v>
      </c>
      <c r="J545" t="s">
        <v>27</v>
      </c>
    </row>
    <row r="546" spans="1:10" x14ac:dyDescent="0.25">
      <c r="A546">
        <v>8</v>
      </c>
      <c r="B546" t="s">
        <v>16</v>
      </c>
      <c r="C546" s="1">
        <v>2.1</v>
      </c>
      <c r="D546" s="1">
        <v>700</v>
      </c>
      <c r="E546" s="1">
        <v>20</v>
      </c>
      <c r="F546" s="1">
        <v>1</v>
      </c>
      <c r="G546">
        <v>41</v>
      </c>
      <c r="H546">
        <v>38</v>
      </c>
      <c r="I546" t="s">
        <v>24</v>
      </c>
      <c r="J546" t="s">
        <v>28</v>
      </c>
    </row>
    <row r="547" spans="1:10" x14ac:dyDescent="0.25">
      <c r="A547">
        <v>8</v>
      </c>
      <c r="B547" t="s">
        <v>16</v>
      </c>
      <c r="C547" s="1">
        <v>2.1</v>
      </c>
      <c r="D547" s="1">
        <v>700</v>
      </c>
      <c r="E547" s="1">
        <v>20</v>
      </c>
      <c r="F547" s="1">
        <v>1</v>
      </c>
      <c r="G547">
        <v>42</v>
      </c>
      <c r="H547">
        <v>39</v>
      </c>
      <c r="I547" t="s">
        <v>24</v>
      </c>
      <c r="J547" t="s">
        <v>29</v>
      </c>
    </row>
    <row r="548" spans="1:10" x14ac:dyDescent="0.25">
      <c r="A548">
        <v>8</v>
      </c>
      <c r="B548" t="s">
        <v>16</v>
      </c>
      <c r="C548" s="1">
        <v>2.1</v>
      </c>
      <c r="D548" s="1">
        <v>700</v>
      </c>
      <c r="E548" s="1">
        <v>20</v>
      </c>
      <c r="F548" s="1">
        <v>1</v>
      </c>
      <c r="G548">
        <v>43</v>
      </c>
      <c r="H548">
        <v>34</v>
      </c>
      <c r="I548" t="s">
        <v>25</v>
      </c>
      <c r="J548" t="s">
        <v>27</v>
      </c>
    </row>
    <row r="549" spans="1:10" x14ac:dyDescent="0.25">
      <c r="A549">
        <v>8</v>
      </c>
      <c r="B549" t="s">
        <v>16</v>
      </c>
      <c r="C549" s="1">
        <v>2.1</v>
      </c>
      <c r="D549" s="1">
        <v>700</v>
      </c>
      <c r="E549" s="1">
        <v>20</v>
      </c>
      <c r="F549" s="1">
        <v>1</v>
      </c>
      <c r="G549">
        <v>44</v>
      </c>
      <c r="H549">
        <v>35</v>
      </c>
      <c r="I549" t="s">
        <v>25</v>
      </c>
      <c r="J549" t="s">
        <v>28</v>
      </c>
    </row>
    <row r="550" spans="1:10" x14ac:dyDescent="0.25">
      <c r="A550">
        <v>8</v>
      </c>
      <c r="B550" t="s">
        <v>16</v>
      </c>
      <c r="C550" s="1">
        <v>2.1</v>
      </c>
      <c r="D550" s="1">
        <v>700</v>
      </c>
      <c r="E550" s="1">
        <v>20</v>
      </c>
      <c r="F550" s="1">
        <v>1</v>
      </c>
      <c r="G550">
        <v>45</v>
      </c>
      <c r="H550">
        <v>36</v>
      </c>
      <c r="I550" t="s">
        <v>25</v>
      </c>
      <c r="J550" t="s">
        <v>29</v>
      </c>
    </row>
    <row r="551" spans="1:10" x14ac:dyDescent="0.25">
      <c r="A551">
        <v>8</v>
      </c>
      <c r="B551" t="s">
        <v>16</v>
      </c>
      <c r="C551" s="1">
        <v>2.1</v>
      </c>
      <c r="D551" s="1">
        <v>700</v>
      </c>
      <c r="E551" s="1">
        <v>20</v>
      </c>
      <c r="F551" s="1">
        <v>1</v>
      </c>
      <c r="G551">
        <v>46</v>
      </c>
      <c r="H551">
        <v>37</v>
      </c>
      <c r="I551" t="s">
        <v>26</v>
      </c>
      <c r="J551" t="s">
        <v>27</v>
      </c>
    </row>
    <row r="552" spans="1:10" x14ac:dyDescent="0.25">
      <c r="A552">
        <v>8</v>
      </c>
      <c r="B552" t="s">
        <v>16</v>
      </c>
      <c r="C552" s="1">
        <v>2.1</v>
      </c>
      <c r="D552" s="1">
        <v>700</v>
      </c>
      <c r="E552" s="1">
        <v>20</v>
      </c>
      <c r="F552" s="1">
        <v>1</v>
      </c>
      <c r="G552">
        <v>47</v>
      </c>
      <c r="H552">
        <v>38</v>
      </c>
      <c r="I552" t="s">
        <v>26</v>
      </c>
      <c r="J552" t="s">
        <v>28</v>
      </c>
    </row>
    <row r="553" spans="1:10" x14ac:dyDescent="0.25">
      <c r="A553">
        <v>8</v>
      </c>
      <c r="B553" t="s">
        <v>16</v>
      </c>
      <c r="C553" s="1">
        <v>2.1</v>
      </c>
      <c r="D553" s="1">
        <v>700</v>
      </c>
      <c r="E553" s="1">
        <v>20</v>
      </c>
      <c r="F553" s="1">
        <v>1</v>
      </c>
      <c r="G553">
        <v>48</v>
      </c>
      <c r="H553">
        <v>39</v>
      </c>
      <c r="I553" t="s">
        <v>26</v>
      </c>
      <c r="J553" t="s">
        <v>29</v>
      </c>
    </row>
    <row r="554" spans="1:10" x14ac:dyDescent="0.25">
      <c r="A554">
        <v>8</v>
      </c>
      <c r="B554" t="s">
        <v>16</v>
      </c>
      <c r="C554" s="1">
        <v>2.1</v>
      </c>
      <c r="D554" s="1">
        <v>700</v>
      </c>
      <c r="E554" s="1">
        <v>20</v>
      </c>
      <c r="F554" s="1">
        <v>1</v>
      </c>
      <c r="G554">
        <v>49</v>
      </c>
      <c r="H554">
        <v>208</v>
      </c>
      <c r="I554" t="s">
        <v>19</v>
      </c>
      <c r="J554" t="s">
        <v>27</v>
      </c>
    </row>
    <row r="555" spans="1:10" x14ac:dyDescent="0.25">
      <c r="A555">
        <v>8</v>
      </c>
      <c r="B555" t="s">
        <v>16</v>
      </c>
      <c r="C555" s="1">
        <v>2.1</v>
      </c>
      <c r="D555" s="1">
        <v>700</v>
      </c>
      <c r="E555" s="1">
        <v>20</v>
      </c>
      <c r="F555" s="1">
        <v>1</v>
      </c>
      <c r="G555">
        <v>50</v>
      </c>
      <c r="H555">
        <v>209</v>
      </c>
      <c r="I555" t="s">
        <v>19</v>
      </c>
      <c r="J555" t="s">
        <v>28</v>
      </c>
    </row>
    <row r="556" spans="1:10" x14ac:dyDescent="0.25">
      <c r="A556">
        <v>8</v>
      </c>
      <c r="B556" t="s">
        <v>16</v>
      </c>
      <c r="C556" s="1">
        <v>2.1</v>
      </c>
      <c r="D556" s="1">
        <v>700</v>
      </c>
      <c r="E556" s="1">
        <v>20</v>
      </c>
      <c r="F556" s="1">
        <v>1</v>
      </c>
      <c r="G556">
        <v>51</v>
      </c>
      <c r="H556">
        <v>210</v>
      </c>
      <c r="I556" t="s">
        <v>19</v>
      </c>
      <c r="J556" t="s">
        <v>29</v>
      </c>
    </row>
    <row r="557" spans="1:10" x14ac:dyDescent="0.25">
      <c r="A557">
        <v>8</v>
      </c>
      <c r="B557" t="s">
        <v>16</v>
      </c>
      <c r="C557" s="1">
        <v>2.1</v>
      </c>
      <c r="D557" s="1">
        <v>700</v>
      </c>
      <c r="E557" s="1">
        <v>20</v>
      </c>
      <c r="F557" s="1">
        <v>1</v>
      </c>
      <c r="G557">
        <v>52</v>
      </c>
      <c r="H557">
        <v>211</v>
      </c>
      <c r="I557" t="s">
        <v>20</v>
      </c>
      <c r="J557" t="s">
        <v>27</v>
      </c>
    </row>
    <row r="558" spans="1:10" x14ac:dyDescent="0.25">
      <c r="A558">
        <v>8</v>
      </c>
      <c r="B558" t="s">
        <v>16</v>
      </c>
      <c r="C558" s="1">
        <v>2.1</v>
      </c>
      <c r="D558" s="1">
        <v>700</v>
      </c>
      <c r="E558" s="1">
        <v>20</v>
      </c>
      <c r="F558" s="1">
        <v>1</v>
      </c>
      <c r="G558">
        <v>53</v>
      </c>
      <c r="H558">
        <v>212</v>
      </c>
      <c r="I558" t="s">
        <v>20</v>
      </c>
      <c r="J558" t="s">
        <v>28</v>
      </c>
    </row>
    <row r="559" spans="1:10" x14ac:dyDescent="0.25">
      <c r="A559">
        <v>8</v>
      </c>
      <c r="B559" t="s">
        <v>16</v>
      </c>
      <c r="C559" s="1">
        <v>2.1</v>
      </c>
      <c r="D559" s="1">
        <v>700</v>
      </c>
      <c r="E559" s="1">
        <v>20</v>
      </c>
      <c r="F559" s="1">
        <v>1</v>
      </c>
      <c r="G559">
        <v>54</v>
      </c>
      <c r="H559">
        <v>213</v>
      </c>
      <c r="I559" t="s">
        <v>20</v>
      </c>
      <c r="J559" t="s">
        <v>29</v>
      </c>
    </row>
    <row r="560" spans="1:10" x14ac:dyDescent="0.25">
      <c r="A560">
        <v>8</v>
      </c>
      <c r="B560" t="s">
        <v>16</v>
      </c>
      <c r="C560" s="1">
        <v>2.1</v>
      </c>
      <c r="D560" s="1">
        <v>700</v>
      </c>
      <c r="E560" s="1">
        <v>20</v>
      </c>
      <c r="F560" s="1">
        <v>1</v>
      </c>
      <c r="G560">
        <v>55</v>
      </c>
      <c r="H560">
        <v>214</v>
      </c>
      <c r="I560" t="s">
        <v>21</v>
      </c>
      <c r="J560" t="s">
        <v>27</v>
      </c>
    </row>
    <row r="561" spans="1:10" x14ac:dyDescent="0.25">
      <c r="A561">
        <v>8</v>
      </c>
      <c r="B561" t="s">
        <v>16</v>
      </c>
      <c r="C561" s="1">
        <v>2.1</v>
      </c>
      <c r="D561" s="1">
        <v>700</v>
      </c>
      <c r="E561" s="1">
        <v>20</v>
      </c>
      <c r="F561" s="1">
        <v>1</v>
      </c>
      <c r="G561">
        <v>56</v>
      </c>
      <c r="H561">
        <v>215</v>
      </c>
      <c r="I561" t="s">
        <v>21</v>
      </c>
      <c r="J561" t="s">
        <v>28</v>
      </c>
    </row>
    <row r="562" spans="1:10" x14ac:dyDescent="0.25">
      <c r="A562">
        <v>8</v>
      </c>
      <c r="B562" t="s">
        <v>16</v>
      </c>
      <c r="C562" s="1">
        <v>2.1</v>
      </c>
      <c r="D562" s="1">
        <v>700</v>
      </c>
      <c r="E562" s="1">
        <v>20</v>
      </c>
      <c r="F562" s="1">
        <v>1</v>
      </c>
      <c r="G562">
        <v>57</v>
      </c>
      <c r="H562">
        <v>216</v>
      </c>
      <c r="I562" t="s">
        <v>21</v>
      </c>
      <c r="J562" t="s">
        <v>29</v>
      </c>
    </row>
    <row r="563" spans="1:10" x14ac:dyDescent="0.25">
      <c r="A563">
        <v>8</v>
      </c>
      <c r="B563" t="s">
        <v>16</v>
      </c>
      <c r="C563" s="1">
        <v>2.1</v>
      </c>
      <c r="D563" s="1">
        <v>700</v>
      </c>
      <c r="E563" s="1">
        <v>20</v>
      </c>
      <c r="F563" s="1">
        <v>1</v>
      </c>
      <c r="G563">
        <v>58</v>
      </c>
      <c r="H563">
        <v>217</v>
      </c>
      <c r="I563" t="s">
        <v>22</v>
      </c>
      <c r="J563" t="s">
        <v>27</v>
      </c>
    </row>
    <row r="564" spans="1:10" x14ac:dyDescent="0.25">
      <c r="A564">
        <v>8</v>
      </c>
      <c r="B564" t="s">
        <v>16</v>
      </c>
      <c r="C564" s="1">
        <v>2.1</v>
      </c>
      <c r="D564" s="1">
        <v>700</v>
      </c>
      <c r="E564" s="1">
        <v>20</v>
      </c>
      <c r="F564" s="1">
        <v>1</v>
      </c>
      <c r="G564">
        <v>59</v>
      </c>
      <c r="H564">
        <v>218</v>
      </c>
      <c r="I564" t="s">
        <v>22</v>
      </c>
      <c r="J564" t="s">
        <v>28</v>
      </c>
    </row>
    <row r="565" spans="1:10" x14ac:dyDescent="0.25">
      <c r="A565">
        <v>8</v>
      </c>
      <c r="B565" t="s">
        <v>16</v>
      </c>
      <c r="C565" s="1">
        <v>2.1</v>
      </c>
      <c r="D565" s="1">
        <v>700</v>
      </c>
      <c r="E565" s="1">
        <v>20</v>
      </c>
      <c r="F565" s="1">
        <v>1</v>
      </c>
      <c r="G565">
        <v>60</v>
      </c>
      <c r="H565">
        <v>219</v>
      </c>
      <c r="I565" t="s">
        <v>22</v>
      </c>
      <c r="J565" t="s">
        <v>29</v>
      </c>
    </row>
    <row r="566" spans="1:10" x14ac:dyDescent="0.25">
      <c r="A566">
        <v>8</v>
      </c>
      <c r="B566" t="s">
        <v>16</v>
      </c>
      <c r="C566" s="1">
        <v>2.1</v>
      </c>
      <c r="D566" s="1">
        <v>700</v>
      </c>
      <c r="E566" s="1">
        <v>20</v>
      </c>
      <c r="F566" s="1">
        <v>1</v>
      </c>
      <c r="G566">
        <v>61</v>
      </c>
      <c r="H566">
        <v>220</v>
      </c>
      <c r="I566" t="s">
        <v>23</v>
      </c>
      <c r="J566" t="s">
        <v>27</v>
      </c>
    </row>
    <row r="567" spans="1:10" x14ac:dyDescent="0.25">
      <c r="A567">
        <v>8</v>
      </c>
      <c r="B567" t="s">
        <v>16</v>
      </c>
      <c r="C567" s="1">
        <v>2.1</v>
      </c>
      <c r="D567" s="1">
        <v>700</v>
      </c>
      <c r="E567" s="1">
        <v>20</v>
      </c>
      <c r="F567" s="1">
        <v>1</v>
      </c>
      <c r="G567">
        <v>62</v>
      </c>
      <c r="H567">
        <v>221</v>
      </c>
      <c r="I567" t="s">
        <v>23</v>
      </c>
      <c r="J567" t="s">
        <v>28</v>
      </c>
    </row>
    <row r="568" spans="1:10" x14ac:dyDescent="0.25">
      <c r="A568">
        <v>8</v>
      </c>
      <c r="B568" t="s">
        <v>16</v>
      </c>
      <c r="C568" s="1">
        <v>2.1</v>
      </c>
      <c r="D568" s="1">
        <v>700</v>
      </c>
      <c r="E568" s="1">
        <v>20</v>
      </c>
      <c r="F568" s="1">
        <v>1</v>
      </c>
      <c r="G568">
        <v>63</v>
      </c>
      <c r="H568">
        <v>222</v>
      </c>
      <c r="I568" t="s">
        <v>23</v>
      </c>
      <c r="J568" t="s">
        <v>29</v>
      </c>
    </row>
    <row r="569" spans="1:10" x14ac:dyDescent="0.25">
      <c r="A569">
        <v>8</v>
      </c>
      <c r="B569" t="s">
        <v>16</v>
      </c>
      <c r="C569" s="1">
        <v>2.1</v>
      </c>
      <c r="D569" s="1">
        <v>700</v>
      </c>
      <c r="E569" s="1">
        <v>20</v>
      </c>
      <c r="F569" s="1">
        <v>1</v>
      </c>
      <c r="G569">
        <v>64</v>
      </c>
      <c r="H569">
        <v>223</v>
      </c>
      <c r="I569" t="s">
        <v>24</v>
      </c>
      <c r="J569" t="s">
        <v>27</v>
      </c>
    </row>
    <row r="570" spans="1:10" x14ac:dyDescent="0.25">
      <c r="A570">
        <v>8</v>
      </c>
      <c r="B570" t="s">
        <v>16</v>
      </c>
      <c r="C570" s="1">
        <v>2.1</v>
      </c>
      <c r="D570" s="1">
        <v>700</v>
      </c>
      <c r="E570" s="1">
        <v>20</v>
      </c>
      <c r="F570" s="1">
        <v>1</v>
      </c>
      <c r="G570">
        <v>65</v>
      </c>
      <c r="H570">
        <v>224</v>
      </c>
      <c r="I570" t="s">
        <v>24</v>
      </c>
      <c r="J570" t="s">
        <v>28</v>
      </c>
    </row>
    <row r="571" spans="1:10" x14ac:dyDescent="0.25">
      <c r="A571">
        <v>8</v>
      </c>
      <c r="B571" t="s">
        <v>16</v>
      </c>
      <c r="C571" s="1">
        <v>2.1</v>
      </c>
      <c r="D571" s="1">
        <v>700</v>
      </c>
      <c r="E571" s="1">
        <v>20</v>
      </c>
      <c r="F571" s="1">
        <v>1</v>
      </c>
      <c r="G571">
        <v>66</v>
      </c>
      <c r="H571">
        <v>225</v>
      </c>
      <c r="I571" t="s">
        <v>24</v>
      </c>
      <c r="J571" t="s">
        <v>29</v>
      </c>
    </row>
    <row r="572" spans="1:10" x14ac:dyDescent="0.25">
      <c r="A572">
        <v>8</v>
      </c>
      <c r="B572" t="s">
        <v>16</v>
      </c>
      <c r="C572" s="1">
        <v>2.1</v>
      </c>
      <c r="D572" s="1">
        <v>700</v>
      </c>
      <c r="E572" s="1">
        <v>20</v>
      </c>
      <c r="F572" s="1">
        <v>1</v>
      </c>
      <c r="G572">
        <v>67</v>
      </c>
      <c r="H572">
        <v>226</v>
      </c>
      <c r="I572" t="s">
        <v>25</v>
      </c>
      <c r="J572" t="s">
        <v>27</v>
      </c>
    </row>
    <row r="573" spans="1:10" x14ac:dyDescent="0.25">
      <c r="A573">
        <v>8</v>
      </c>
      <c r="B573" t="s">
        <v>16</v>
      </c>
      <c r="C573" s="1">
        <v>2.1</v>
      </c>
      <c r="D573" s="1">
        <v>700</v>
      </c>
      <c r="E573" s="1">
        <v>20</v>
      </c>
      <c r="F573" s="1">
        <v>1</v>
      </c>
      <c r="G573">
        <v>68</v>
      </c>
      <c r="H573">
        <v>227</v>
      </c>
      <c r="I573" t="s">
        <v>25</v>
      </c>
      <c r="J573" t="s">
        <v>28</v>
      </c>
    </row>
    <row r="574" spans="1:10" x14ac:dyDescent="0.25">
      <c r="A574">
        <v>8</v>
      </c>
      <c r="B574" t="s">
        <v>16</v>
      </c>
      <c r="C574" s="1">
        <v>2.1</v>
      </c>
      <c r="D574" s="1">
        <v>700</v>
      </c>
      <c r="E574" s="1">
        <v>20</v>
      </c>
      <c r="F574" s="1">
        <v>1</v>
      </c>
      <c r="G574">
        <v>69</v>
      </c>
      <c r="H574">
        <v>228</v>
      </c>
      <c r="I574" t="s">
        <v>25</v>
      </c>
      <c r="J574" t="s">
        <v>29</v>
      </c>
    </row>
    <row r="575" spans="1:10" x14ac:dyDescent="0.25">
      <c r="A575">
        <v>8</v>
      </c>
      <c r="B575" t="s">
        <v>16</v>
      </c>
      <c r="C575" s="1">
        <v>2.1</v>
      </c>
      <c r="D575" s="1">
        <v>700</v>
      </c>
      <c r="E575" s="1">
        <v>20</v>
      </c>
      <c r="F575" s="1">
        <v>1</v>
      </c>
      <c r="G575">
        <v>70</v>
      </c>
      <c r="H575">
        <v>229</v>
      </c>
      <c r="I575" t="s">
        <v>26</v>
      </c>
      <c r="J575" t="s">
        <v>27</v>
      </c>
    </row>
    <row r="576" spans="1:10" x14ac:dyDescent="0.25">
      <c r="A576">
        <v>8</v>
      </c>
      <c r="B576" t="s">
        <v>16</v>
      </c>
      <c r="C576" s="1">
        <v>2.1</v>
      </c>
      <c r="D576" s="1">
        <v>700</v>
      </c>
      <c r="E576" s="1">
        <v>20</v>
      </c>
      <c r="F576" s="1">
        <v>1</v>
      </c>
      <c r="G576">
        <v>71</v>
      </c>
      <c r="H576">
        <v>230</v>
      </c>
      <c r="I576" t="s">
        <v>26</v>
      </c>
      <c r="J576" t="s">
        <v>28</v>
      </c>
    </row>
    <row r="577" spans="1:10" x14ac:dyDescent="0.25">
      <c r="A577">
        <v>8</v>
      </c>
      <c r="B577" t="s">
        <v>16</v>
      </c>
      <c r="C577" s="1">
        <v>2.1</v>
      </c>
      <c r="D577" s="1">
        <v>700</v>
      </c>
      <c r="E577" s="1">
        <v>20</v>
      </c>
      <c r="F577" s="1">
        <v>1</v>
      </c>
      <c r="G577">
        <v>72</v>
      </c>
      <c r="H577">
        <v>231</v>
      </c>
      <c r="I577" t="s">
        <v>26</v>
      </c>
      <c r="J577" t="s">
        <v>29</v>
      </c>
    </row>
    <row r="578" spans="1:10" x14ac:dyDescent="0.25">
      <c r="A578">
        <v>9</v>
      </c>
      <c r="B578" t="s">
        <v>17</v>
      </c>
      <c r="C578" s="1">
        <v>0.1</v>
      </c>
      <c r="D578" s="1">
        <v>700</v>
      </c>
      <c r="E578" s="1">
        <v>22</v>
      </c>
      <c r="F578" s="1">
        <v>0</v>
      </c>
      <c r="G578">
        <v>1</v>
      </c>
      <c r="H578">
        <v>26</v>
      </c>
      <c r="I578" t="s">
        <v>19</v>
      </c>
      <c r="J578" t="s">
        <v>27</v>
      </c>
    </row>
    <row r="579" spans="1:10" x14ac:dyDescent="0.25">
      <c r="A579">
        <v>9</v>
      </c>
      <c r="B579" t="s">
        <v>17</v>
      </c>
      <c r="C579" s="1">
        <v>0.1</v>
      </c>
      <c r="D579" s="1">
        <v>700</v>
      </c>
      <c r="E579" s="1">
        <v>22</v>
      </c>
      <c r="F579" s="1">
        <v>0</v>
      </c>
      <c r="G579">
        <v>2</v>
      </c>
      <c r="H579">
        <v>27</v>
      </c>
      <c r="I579" t="s">
        <v>19</v>
      </c>
      <c r="J579" t="s">
        <v>28</v>
      </c>
    </row>
    <row r="580" spans="1:10" x14ac:dyDescent="0.25">
      <c r="A580">
        <v>9</v>
      </c>
      <c r="B580" t="s">
        <v>17</v>
      </c>
      <c r="C580" s="1">
        <v>0.1</v>
      </c>
      <c r="D580" s="1">
        <v>700</v>
      </c>
      <c r="E580" s="1">
        <v>22</v>
      </c>
      <c r="F580" s="1">
        <v>0</v>
      </c>
      <c r="G580">
        <v>3</v>
      </c>
      <c r="H580">
        <v>28</v>
      </c>
      <c r="I580" t="s">
        <v>19</v>
      </c>
      <c r="J580" t="s">
        <v>29</v>
      </c>
    </row>
    <row r="581" spans="1:10" x14ac:dyDescent="0.25">
      <c r="A581">
        <v>9</v>
      </c>
      <c r="B581" t="s">
        <v>17</v>
      </c>
      <c r="C581" s="1">
        <v>0.1</v>
      </c>
      <c r="D581" s="1">
        <v>700</v>
      </c>
      <c r="E581" s="1">
        <v>22</v>
      </c>
      <c r="F581" s="1">
        <v>0</v>
      </c>
      <c r="G581">
        <v>4</v>
      </c>
      <c r="H581">
        <v>29</v>
      </c>
      <c r="I581" t="s">
        <v>20</v>
      </c>
      <c r="J581" t="s">
        <v>27</v>
      </c>
    </row>
    <row r="582" spans="1:10" x14ac:dyDescent="0.25">
      <c r="A582">
        <v>9</v>
      </c>
      <c r="B582" t="s">
        <v>17</v>
      </c>
      <c r="C582" s="1">
        <v>0.1</v>
      </c>
      <c r="D582" s="1">
        <v>700</v>
      </c>
      <c r="E582" s="1">
        <v>22</v>
      </c>
      <c r="F582" s="1">
        <v>0</v>
      </c>
      <c r="G582">
        <v>5</v>
      </c>
      <c r="H582">
        <v>30</v>
      </c>
      <c r="I582" t="s">
        <v>20</v>
      </c>
      <c r="J582" t="s">
        <v>28</v>
      </c>
    </row>
    <row r="583" spans="1:10" x14ac:dyDescent="0.25">
      <c r="A583">
        <v>9</v>
      </c>
      <c r="B583" t="s">
        <v>17</v>
      </c>
      <c r="C583" s="1">
        <v>0.1</v>
      </c>
      <c r="D583" s="1">
        <v>700</v>
      </c>
      <c r="E583" s="1">
        <v>22</v>
      </c>
      <c r="F583" s="1">
        <v>0</v>
      </c>
      <c r="G583">
        <v>6</v>
      </c>
      <c r="H583">
        <v>31</v>
      </c>
      <c r="I583" t="s">
        <v>20</v>
      </c>
      <c r="J583" t="s">
        <v>29</v>
      </c>
    </row>
    <row r="584" spans="1:10" x14ac:dyDescent="0.25">
      <c r="A584">
        <v>9</v>
      </c>
      <c r="B584" t="s">
        <v>17</v>
      </c>
      <c r="C584" s="1">
        <v>0.1</v>
      </c>
      <c r="D584" s="1">
        <v>700</v>
      </c>
      <c r="E584" s="1">
        <v>22</v>
      </c>
      <c r="F584" s="1">
        <v>0</v>
      </c>
      <c r="G584">
        <v>7</v>
      </c>
      <c r="H584">
        <v>32</v>
      </c>
      <c r="I584" t="s">
        <v>21</v>
      </c>
      <c r="J584" t="s">
        <v>27</v>
      </c>
    </row>
    <row r="585" spans="1:10" x14ac:dyDescent="0.25">
      <c r="A585">
        <v>9</v>
      </c>
      <c r="B585" t="s">
        <v>17</v>
      </c>
      <c r="C585" s="1">
        <v>0.1</v>
      </c>
      <c r="D585" s="1">
        <v>700</v>
      </c>
      <c r="E585" s="1">
        <v>22</v>
      </c>
      <c r="F585" s="1">
        <v>0</v>
      </c>
      <c r="G585">
        <v>8</v>
      </c>
      <c r="H585">
        <v>33</v>
      </c>
      <c r="I585" t="s">
        <v>21</v>
      </c>
      <c r="J585" t="s">
        <v>28</v>
      </c>
    </row>
    <row r="586" spans="1:10" x14ac:dyDescent="0.25">
      <c r="A586">
        <v>9</v>
      </c>
      <c r="B586" t="s">
        <v>17</v>
      </c>
      <c r="C586" s="1">
        <v>0.1</v>
      </c>
      <c r="D586" s="1">
        <v>700</v>
      </c>
      <c r="E586" s="1">
        <v>22</v>
      </c>
      <c r="F586" s="1">
        <v>0</v>
      </c>
      <c r="G586">
        <v>9</v>
      </c>
      <c r="H586">
        <v>24</v>
      </c>
      <c r="I586" t="s">
        <v>21</v>
      </c>
      <c r="J586" t="s">
        <v>29</v>
      </c>
    </row>
    <row r="587" spans="1:10" x14ac:dyDescent="0.25">
      <c r="A587">
        <v>9</v>
      </c>
      <c r="B587" t="s">
        <v>17</v>
      </c>
      <c r="C587" s="1">
        <v>0.1</v>
      </c>
      <c r="D587" s="1">
        <v>700</v>
      </c>
      <c r="E587" s="1">
        <v>22</v>
      </c>
      <c r="F587" s="1">
        <v>0</v>
      </c>
      <c r="G587">
        <v>10</v>
      </c>
      <c r="H587">
        <v>25</v>
      </c>
      <c r="I587" t="s">
        <v>22</v>
      </c>
      <c r="J587" t="s">
        <v>27</v>
      </c>
    </row>
    <row r="588" spans="1:10" x14ac:dyDescent="0.25">
      <c r="A588">
        <v>9</v>
      </c>
      <c r="B588" t="s">
        <v>17</v>
      </c>
      <c r="C588" s="1">
        <v>0.1</v>
      </c>
      <c r="D588" s="1">
        <v>700</v>
      </c>
      <c r="E588" s="1">
        <v>22</v>
      </c>
      <c r="F588" s="1">
        <v>0</v>
      </c>
      <c r="G588">
        <v>11</v>
      </c>
      <c r="H588">
        <v>26</v>
      </c>
      <c r="I588" t="s">
        <v>22</v>
      </c>
      <c r="J588" t="s">
        <v>28</v>
      </c>
    </row>
    <row r="589" spans="1:10" x14ac:dyDescent="0.25">
      <c r="A589">
        <v>9</v>
      </c>
      <c r="B589" t="s">
        <v>17</v>
      </c>
      <c r="C589" s="1">
        <v>0.1</v>
      </c>
      <c r="D589" s="1">
        <v>700</v>
      </c>
      <c r="E589" s="1">
        <v>22</v>
      </c>
      <c r="F589" s="1">
        <v>0</v>
      </c>
      <c r="G589">
        <v>12</v>
      </c>
      <c r="H589">
        <v>27</v>
      </c>
      <c r="I589" t="s">
        <v>22</v>
      </c>
      <c r="J589" t="s">
        <v>29</v>
      </c>
    </row>
    <row r="590" spans="1:10" x14ac:dyDescent="0.25">
      <c r="A590">
        <v>9</v>
      </c>
      <c r="B590" t="s">
        <v>17</v>
      </c>
      <c r="C590" s="1">
        <v>0.1</v>
      </c>
      <c r="D590" s="1">
        <v>700</v>
      </c>
      <c r="E590" s="1">
        <v>22</v>
      </c>
      <c r="F590" s="1">
        <v>0</v>
      </c>
      <c r="G590">
        <v>13</v>
      </c>
      <c r="H590">
        <v>28</v>
      </c>
      <c r="I590" t="s">
        <v>23</v>
      </c>
      <c r="J590" t="s">
        <v>27</v>
      </c>
    </row>
    <row r="591" spans="1:10" x14ac:dyDescent="0.25">
      <c r="A591">
        <v>9</v>
      </c>
      <c r="B591" t="s">
        <v>17</v>
      </c>
      <c r="C591" s="1">
        <v>0.1</v>
      </c>
      <c r="D591" s="1">
        <v>700</v>
      </c>
      <c r="E591" s="1">
        <v>22</v>
      </c>
      <c r="F591" s="1">
        <v>0</v>
      </c>
      <c r="G591">
        <v>14</v>
      </c>
      <c r="H591">
        <v>29</v>
      </c>
      <c r="I591" t="s">
        <v>23</v>
      </c>
      <c r="J591" t="s">
        <v>28</v>
      </c>
    </row>
    <row r="592" spans="1:10" x14ac:dyDescent="0.25">
      <c r="A592">
        <v>9</v>
      </c>
      <c r="B592" t="s">
        <v>17</v>
      </c>
      <c r="C592" s="1">
        <v>0.1</v>
      </c>
      <c r="D592" s="1">
        <v>700</v>
      </c>
      <c r="E592" s="1">
        <v>22</v>
      </c>
      <c r="F592" s="1">
        <v>0</v>
      </c>
      <c r="G592">
        <v>15</v>
      </c>
      <c r="H592">
        <v>30</v>
      </c>
      <c r="I592" t="s">
        <v>23</v>
      </c>
      <c r="J592" t="s">
        <v>29</v>
      </c>
    </row>
    <row r="593" spans="1:10" x14ac:dyDescent="0.25">
      <c r="A593">
        <v>9</v>
      </c>
      <c r="B593" t="s">
        <v>17</v>
      </c>
      <c r="C593" s="1">
        <v>0.1</v>
      </c>
      <c r="D593" s="1">
        <v>700</v>
      </c>
      <c r="E593" s="1">
        <v>22</v>
      </c>
      <c r="F593" s="1">
        <v>0</v>
      </c>
      <c r="G593">
        <v>16</v>
      </c>
      <c r="H593">
        <v>31</v>
      </c>
      <c r="I593" t="s">
        <v>24</v>
      </c>
      <c r="J593" t="s">
        <v>27</v>
      </c>
    </row>
    <row r="594" spans="1:10" x14ac:dyDescent="0.25">
      <c r="A594">
        <v>9</v>
      </c>
      <c r="B594" t="s">
        <v>17</v>
      </c>
      <c r="C594" s="1">
        <v>0.1</v>
      </c>
      <c r="D594" s="1">
        <v>700</v>
      </c>
      <c r="E594" s="1">
        <v>22</v>
      </c>
      <c r="F594" s="1">
        <v>0</v>
      </c>
      <c r="G594">
        <v>17</v>
      </c>
      <c r="H594">
        <v>32</v>
      </c>
      <c r="I594" t="s">
        <v>24</v>
      </c>
      <c r="J594" t="s">
        <v>28</v>
      </c>
    </row>
    <row r="595" spans="1:10" x14ac:dyDescent="0.25">
      <c r="A595">
        <v>9</v>
      </c>
      <c r="B595" t="s">
        <v>17</v>
      </c>
      <c r="C595" s="1">
        <v>0.1</v>
      </c>
      <c r="D595" s="1">
        <v>700</v>
      </c>
      <c r="E595" s="1">
        <v>22</v>
      </c>
      <c r="F595" s="1">
        <v>0</v>
      </c>
      <c r="G595">
        <v>18</v>
      </c>
      <c r="H595">
        <v>33</v>
      </c>
      <c r="I595" t="s">
        <v>24</v>
      </c>
      <c r="J595" t="s">
        <v>29</v>
      </c>
    </row>
    <row r="596" spans="1:10" x14ac:dyDescent="0.25">
      <c r="A596">
        <v>9</v>
      </c>
      <c r="B596" t="s">
        <v>17</v>
      </c>
      <c r="C596" s="1">
        <v>0.1</v>
      </c>
      <c r="D596" s="1">
        <v>700</v>
      </c>
      <c r="E596" s="1">
        <v>22</v>
      </c>
      <c r="F596" s="1">
        <v>0</v>
      </c>
      <c r="G596">
        <v>19</v>
      </c>
      <c r="H596">
        <v>24</v>
      </c>
      <c r="I596" t="s">
        <v>25</v>
      </c>
      <c r="J596" t="s">
        <v>27</v>
      </c>
    </row>
    <row r="597" spans="1:10" x14ac:dyDescent="0.25">
      <c r="A597">
        <v>9</v>
      </c>
      <c r="B597" t="s">
        <v>17</v>
      </c>
      <c r="C597" s="1">
        <v>0.1</v>
      </c>
      <c r="D597" s="1">
        <v>700</v>
      </c>
      <c r="E597" s="1">
        <v>22</v>
      </c>
      <c r="F597" s="1">
        <v>0</v>
      </c>
      <c r="G597">
        <v>20</v>
      </c>
      <c r="H597">
        <v>25</v>
      </c>
      <c r="I597" t="s">
        <v>25</v>
      </c>
      <c r="J597" t="s">
        <v>28</v>
      </c>
    </row>
    <row r="598" spans="1:10" x14ac:dyDescent="0.25">
      <c r="A598">
        <v>9</v>
      </c>
      <c r="B598" t="s">
        <v>17</v>
      </c>
      <c r="C598" s="1">
        <v>0.1</v>
      </c>
      <c r="D598" s="1">
        <v>700</v>
      </c>
      <c r="E598" s="1">
        <v>22</v>
      </c>
      <c r="F598" s="1">
        <v>0</v>
      </c>
      <c r="G598">
        <v>21</v>
      </c>
      <c r="H598">
        <v>26</v>
      </c>
      <c r="I598" t="s">
        <v>25</v>
      </c>
      <c r="J598" t="s">
        <v>29</v>
      </c>
    </row>
    <row r="599" spans="1:10" x14ac:dyDescent="0.25">
      <c r="A599">
        <v>9</v>
      </c>
      <c r="B599" t="s">
        <v>17</v>
      </c>
      <c r="C599" s="1">
        <v>0.1</v>
      </c>
      <c r="D599" s="1">
        <v>700</v>
      </c>
      <c r="E599" s="1">
        <v>22</v>
      </c>
      <c r="F599" s="1">
        <v>0</v>
      </c>
      <c r="G599">
        <v>22</v>
      </c>
      <c r="H599">
        <v>27</v>
      </c>
      <c r="I599" t="s">
        <v>26</v>
      </c>
      <c r="J599" t="s">
        <v>27</v>
      </c>
    </row>
    <row r="600" spans="1:10" x14ac:dyDescent="0.25">
      <c r="A600">
        <v>9</v>
      </c>
      <c r="B600" t="s">
        <v>17</v>
      </c>
      <c r="C600" s="1">
        <v>0.1</v>
      </c>
      <c r="D600" s="1">
        <v>700</v>
      </c>
      <c r="E600" s="1">
        <v>22</v>
      </c>
      <c r="F600" s="1">
        <v>0</v>
      </c>
      <c r="G600">
        <v>23</v>
      </c>
      <c r="H600">
        <v>28</v>
      </c>
      <c r="I600" t="s">
        <v>26</v>
      </c>
      <c r="J600" t="s">
        <v>28</v>
      </c>
    </row>
    <row r="601" spans="1:10" x14ac:dyDescent="0.25">
      <c r="A601">
        <v>9</v>
      </c>
      <c r="B601" t="s">
        <v>17</v>
      </c>
      <c r="C601" s="1">
        <v>0.1</v>
      </c>
      <c r="D601" s="1">
        <v>700</v>
      </c>
      <c r="E601" s="1">
        <v>22</v>
      </c>
      <c r="F601" s="1">
        <v>0</v>
      </c>
      <c r="G601">
        <v>24</v>
      </c>
      <c r="H601">
        <v>29</v>
      </c>
      <c r="I601" t="s">
        <v>26</v>
      </c>
      <c r="J601" t="s">
        <v>29</v>
      </c>
    </row>
    <row r="602" spans="1:10" x14ac:dyDescent="0.25">
      <c r="A602">
        <v>10</v>
      </c>
      <c r="B602" t="s">
        <v>18</v>
      </c>
      <c r="C602" s="1">
        <v>2.1</v>
      </c>
      <c r="D602" s="1">
        <v>700</v>
      </c>
      <c r="E602" s="1">
        <v>20</v>
      </c>
      <c r="F602" s="1">
        <v>1</v>
      </c>
      <c r="G602">
        <v>1</v>
      </c>
      <c r="H602">
        <v>30</v>
      </c>
      <c r="I602" t="s">
        <v>19</v>
      </c>
      <c r="J602" t="s">
        <v>27</v>
      </c>
    </row>
    <row r="603" spans="1:10" x14ac:dyDescent="0.25">
      <c r="A603">
        <v>10</v>
      </c>
      <c r="B603" t="s">
        <v>18</v>
      </c>
      <c r="C603" s="1">
        <v>2.1</v>
      </c>
      <c r="D603" s="1">
        <v>700</v>
      </c>
      <c r="E603" s="1">
        <v>20</v>
      </c>
      <c r="F603" s="1">
        <v>1</v>
      </c>
      <c r="G603">
        <v>2</v>
      </c>
      <c r="H603">
        <v>31</v>
      </c>
      <c r="I603" t="s">
        <v>19</v>
      </c>
      <c r="J603" t="s">
        <v>28</v>
      </c>
    </row>
    <row r="604" spans="1:10" x14ac:dyDescent="0.25">
      <c r="A604">
        <v>10</v>
      </c>
      <c r="B604" t="s">
        <v>18</v>
      </c>
      <c r="C604" s="1">
        <v>2.1</v>
      </c>
      <c r="D604" s="1">
        <v>700</v>
      </c>
      <c r="E604" s="1">
        <v>20</v>
      </c>
      <c r="F604" s="1">
        <v>1</v>
      </c>
      <c r="G604">
        <v>3</v>
      </c>
      <c r="H604">
        <v>32</v>
      </c>
      <c r="I604" t="s">
        <v>19</v>
      </c>
      <c r="J604" t="s">
        <v>29</v>
      </c>
    </row>
    <row r="605" spans="1:10" x14ac:dyDescent="0.25">
      <c r="A605">
        <v>10</v>
      </c>
      <c r="B605" t="s">
        <v>18</v>
      </c>
      <c r="C605" s="1">
        <v>2.1</v>
      </c>
      <c r="D605" s="1">
        <v>700</v>
      </c>
      <c r="E605" s="1">
        <v>20</v>
      </c>
      <c r="F605" s="1">
        <v>1</v>
      </c>
      <c r="G605">
        <v>4</v>
      </c>
      <c r="H605">
        <v>33</v>
      </c>
      <c r="I605" t="s">
        <v>20</v>
      </c>
      <c r="J605" t="s">
        <v>27</v>
      </c>
    </row>
    <row r="606" spans="1:10" x14ac:dyDescent="0.25">
      <c r="A606">
        <v>10</v>
      </c>
      <c r="B606" t="s">
        <v>18</v>
      </c>
      <c r="C606" s="1">
        <v>2.1</v>
      </c>
      <c r="D606" s="1">
        <v>700</v>
      </c>
      <c r="E606" s="1">
        <v>20</v>
      </c>
      <c r="F606" s="1">
        <v>1</v>
      </c>
      <c r="G606">
        <v>5</v>
      </c>
      <c r="H606">
        <v>24</v>
      </c>
      <c r="I606" t="s">
        <v>20</v>
      </c>
      <c r="J606" t="s">
        <v>28</v>
      </c>
    </row>
    <row r="607" spans="1:10" x14ac:dyDescent="0.25">
      <c r="A607">
        <v>10</v>
      </c>
      <c r="B607" t="s">
        <v>18</v>
      </c>
      <c r="C607" s="1">
        <v>2.1</v>
      </c>
      <c r="D607" s="1">
        <v>700</v>
      </c>
      <c r="E607" s="1">
        <v>20</v>
      </c>
      <c r="F607" s="1">
        <v>1</v>
      </c>
      <c r="G607">
        <v>6</v>
      </c>
      <c r="H607">
        <v>25</v>
      </c>
      <c r="I607" t="s">
        <v>20</v>
      </c>
      <c r="J607" t="s">
        <v>29</v>
      </c>
    </row>
    <row r="608" spans="1:10" x14ac:dyDescent="0.25">
      <c r="A608">
        <v>10</v>
      </c>
      <c r="B608" t="s">
        <v>18</v>
      </c>
      <c r="C608" s="1">
        <v>2.1</v>
      </c>
      <c r="D608" s="1">
        <v>700</v>
      </c>
      <c r="E608" s="1">
        <v>20</v>
      </c>
      <c r="F608" s="1">
        <v>1</v>
      </c>
      <c r="G608">
        <v>7</v>
      </c>
      <c r="H608">
        <v>26</v>
      </c>
      <c r="I608" t="s">
        <v>21</v>
      </c>
      <c r="J608" t="s">
        <v>27</v>
      </c>
    </row>
    <row r="609" spans="1:10" x14ac:dyDescent="0.25">
      <c r="A609">
        <v>10</v>
      </c>
      <c r="B609" t="s">
        <v>18</v>
      </c>
      <c r="C609" s="1">
        <v>2.1</v>
      </c>
      <c r="D609" s="1">
        <v>700</v>
      </c>
      <c r="E609" s="1">
        <v>20</v>
      </c>
      <c r="F609" s="1">
        <v>1</v>
      </c>
      <c r="G609">
        <v>8</v>
      </c>
      <c r="H609">
        <v>27</v>
      </c>
      <c r="I609" t="s">
        <v>21</v>
      </c>
      <c r="J609" t="s">
        <v>28</v>
      </c>
    </row>
    <row r="610" spans="1:10" x14ac:dyDescent="0.25">
      <c r="A610">
        <v>10</v>
      </c>
      <c r="B610" t="s">
        <v>18</v>
      </c>
      <c r="C610" s="1">
        <v>2.1</v>
      </c>
      <c r="D610" s="1">
        <v>700</v>
      </c>
      <c r="E610" s="1">
        <v>20</v>
      </c>
      <c r="F610" s="1">
        <v>1</v>
      </c>
      <c r="G610">
        <v>9</v>
      </c>
      <c r="H610">
        <v>28</v>
      </c>
      <c r="I610" t="s">
        <v>21</v>
      </c>
      <c r="J610" t="s">
        <v>29</v>
      </c>
    </row>
    <row r="611" spans="1:10" x14ac:dyDescent="0.25">
      <c r="A611">
        <v>10</v>
      </c>
      <c r="B611" t="s">
        <v>18</v>
      </c>
      <c r="C611" s="1">
        <v>2.1</v>
      </c>
      <c r="D611" s="1">
        <v>700</v>
      </c>
      <c r="E611" s="1">
        <v>20</v>
      </c>
      <c r="F611" s="1">
        <v>1</v>
      </c>
      <c r="G611">
        <v>10</v>
      </c>
      <c r="H611">
        <v>29</v>
      </c>
      <c r="I611" t="s">
        <v>22</v>
      </c>
      <c r="J611" t="s">
        <v>27</v>
      </c>
    </row>
    <row r="612" spans="1:10" x14ac:dyDescent="0.25">
      <c r="A612">
        <v>10</v>
      </c>
      <c r="B612" t="s">
        <v>18</v>
      </c>
      <c r="C612" s="1">
        <v>2.1</v>
      </c>
      <c r="D612" s="1">
        <v>700</v>
      </c>
      <c r="E612" s="1">
        <v>20</v>
      </c>
      <c r="F612" s="1">
        <v>1</v>
      </c>
      <c r="G612">
        <v>11</v>
      </c>
      <c r="H612">
        <v>30</v>
      </c>
      <c r="I612" t="s">
        <v>22</v>
      </c>
      <c r="J612" t="s">
        <v>28</v>
      </c>
    </row>
    <row r="613" spans="1:10" x14ac:dyDescent="0.25">
      <c r="A613">
        <v>10</v>
      </c>
      <c r="B613" t="s">
        <v>18</v>
      </c>
      <c r="C613" s="1">
        <v>2.1</v>
      </c>
      <c r="D613" s="1">
        <v>700</v>
      </c>
      <c r="E613" s="1">
        <v>20</v>
      </c>
      <c r="F613" s="1">
        <v>1</v>
      </c>
      <c r="G613">
        <v>12</v>
      </c>
      <c r="H613">
        <v>31</v>
      </c>
      <c r="I613" t="s">
        <v>22</v>
      </c>
      <c r="J613" t="s">
        <v>29</v>
      </c>
    </row>
    <row r="614" spans="1:10" x14ac:dyDescent="0.25">
      <c r="A614">
        <v>10</v>
      </c>
      <c r="B614" t="s">
        <v>18</v>
      </c>
      <c r="C614" s="1">
        <v>2.1</v>
      </c>
      <c r="D614" s="1">
        <v>700</v>
      </c>
      <c r="E614" s="1">
        <v>20</v>
      </c>
      <c r="F614" s="1">
        <v>1</v>
      </c>
      <c r="G614">
        <v>13</v>
      </c>
      <c r="H614">
        <v>32</v>
      </c>
      <c r="I614" t="s">
        <v>23</v>
      </c>
      <c r="J614" t="s">
        <v>27</v>
      </c>
    </row>
    <row r="615" spans="1:10" x14ac:dyDescent="0.25">
      <c r="A615">
        <v>10</v>
      </c>
      <c r="B615" t="s">
        <v>18</v>
      </c>
      <c r="C615" s="1">
        <v>2.1</v>
      </c>
      <c r="D615" s="1">
        <v>700</v>
      </c>
      <c r="E615" s="1">
        <v>20</v>
      </c>
      <c r="F615" s="1">
        <v>1</v>
      </c>
      <c r="G615">
        <v>14</v>
      </c>
      <c r="H615">
        <v>33</v>
      </c>
      <c r="I615" t="s">
        <v>23</v>
      </c>
      <c r="J615" t="s">
        <v>28</v>
      </c>
    </row>
    <row r="616" spans="1:10" x14ac:dyDescent="0.25">
      <c r="A616">
        <v>10</v>
      </c>
      <c r="B616" t="s">
        <v>18</v>
      </c>
      <c r="C616" s="1">
        <v>2.1</v>
      </c>
      <c r="D616" s="1">
        <v>700</v>
      </c>
      <c r="E616" s="1">
        <v>20</v>
      </c>
      <c r="F616" s="1">
        <v>1</v>
      </c>
      <c r="G616">
        <v>15</v>
      </c>
      <c r="H616">
        <v>24</v>
      </c>
      <c r="I616" t="s">
        <v>23</v>
      </c>
      <c r="J616" t="s">
        <v>29</v>
      </c>
    </row>
    <row r="617" spans="1:10" x14ac:dyDescent="0.25">
      <c r="A617">
        <v>10</v>
      </c>
      <c r="B617" t="s">
        <v>18</v>
      </c>
      <c r="C617" s="1">
        <v>2.1</v>
      </c>
      <c r="D617" s="1">
        <v>700</v>
      </c>
      <c r="E617" s="1">
        <v>20</v>
      </c>
      <c r="F617" s="1">
        <v>1</v>
      </c>
      <c r="G617">
        <v>16</v>
      </c>
      <c r="H617">
        <v>25</v>
      </c>
      <c r="I617" t="s">
        <v>24</v>
      </c>
      <c r="J617" t="s">
        <v>27</v>
      </c>
    </row>
    <row r="618" spans="1:10" x14ac:dyDescent="0.25">
      <c r="A618">
        <v>10</v>
      </c>
      <c r="B618" t="s">
        <v>18</v>
      </c>
      <c r="C618" s="1">
        <v>2.1</v>
      </c>
      <c r="D618" s="1">
        <v>700</v>
      </c>
      <c r="E618" s="1">
        <v>20</v>
      </c>
      <c r="F618" s="1">
        <v>1</v>
      </c>
      <c r="G618">
        <v>17</v>
      </c>
      <c r="H618">
        <v>26</v>
      </c>
      <c r="I618" t="s">
        <v>24</v>
      </c>
      <c r="J618" t="s">
        <v>28</v>
      </c>
    </row>
    <row r="619" spans="1:10" x14ac:dyDescent="0.25">
      <c r="A619">
        <v>10</v>
      </c>
      <c r="B619" t="s">
        <v>18</v>
      </c>
      <c r="C619" s="1">
        <v>2.1</v>
      </c>
      <c r="D619" s="1">
        <v>700</v>
      </c>
      <c r="E619" s="1">
        <v>20</v>
      </c>
      <c r="F619" s="1">
        <v>1</v>
      </c>
      <c r="G619">
        <v>18</v>
      </c>
      <c r="H619">
        <v>27</v>
      </c>
      <c r="I619" t="s">
        <v>24</v>
      </c>
      <c r="J619" t="s">
        <v>29</v>
      </c>
    </row>
    <row r="620" spans="1:10" x14ac:dyDescent="0.25">
      <c r="A620">
        <v>10</v>
      </c>
      <c r="B620" t="s">
        <v>18</v>
      </c>
      <c r="C620" s="1">
        <v>2.1</v>
      </c>
      <c r="D620" s="1">
        <v>700</v>
      </c>
      <c r="E620" s="1">
        <v>20</v>
      </c>
      <c r="F620" s="1">
        <v>1</v>
      </c>
      <c r="G620">
        <v>19</v>
      </c>
      <c r="H620">
        <v>28</v>
      </c>
      <c r="I620" t="s">
        <v>25</v>
      </c>
      <c r="J620" t="s">
        <v>27</v>
      </c>
    </row>
    <row r="621" spans="1:10" x14ac:dyDescent="0.25">
      <c r="A621">
        <v>10</v>
      </c>
      <c r="B621" t="s">
        <v>18</v>
      </c>
      <c r="C621" s="1">
        <v>2.1</v>
      </c>
      <c r="D621" s="1">
        <v>700</v>
      </c>
      <c r="E621" s="1">
        <v>20</v>
      </c>
      <c r="F621" s="1">
        <v>1</v>
      </c>
      <c r="G621">
        <v>20</v>
      </c>
      <c r="H621">
        <v>29</v>
      </c>
      <c r="I621" t="s">
        <v>25</v>
      </c>
      <c r="J621" t="s">
        <v>28</v>
      </c>
    </row>
    <row r="622" spans="1:10" x14ac:dyDescent="0.25">
      <c r="A622">
        <v>10</v>
      </c>
      <c r="B622" t="s">
        <v>18</v>
      </c>
      <c r="C622" s="1">
        <v>2.1</v>
      </c>
      <c r="D622" s="1">
        <v>700</v>
      </c>
      <c r="E622" s="1">
        <v>20</v>
      </c>
      <c r="F622" s="1">
        <v>1</v>
      </c>
      <c r="G622">
        <v>21</v>
      </c>
      <c r="H622">
        <v>30</v>
      </c>
      <c r="I622" t="s">
        <v>25</v>
      </c>
      <c r="J622" t="s">
        <v>29</v>
      </c>
    </row>
    <row r="623" spans="1:10" x14ac:dyDescent="0.25">
      <c r="A623">
        <v>10</v>
      </c>
      <c r="B623" t="s">
        <v>18</v>
      </c>
      <c r="C623" s="1">
        <v>2.1</v>
      </c>
      <c r="D623" s="1">
        <v>700</v>
      </c>
      <c r="E623" s="1">
        <v>20</v>
      </c>
      <c r="F623" s="1">
        <v>1</v>
      </c>
      <c r="G623">
        <v>22</v>
      </c>
      <c r="H623">
        <v>31</v>
      </c>
      <c r="I623" t="s">
        <v>26</v>
      </c>
      <c r="J623" t="s">
        <v>27</v>
      </c>
    </row>
    <row r="624" spans="1:10" x14ac:dyDescent="0.25">
      <c r="A624">
        <v>10</v>
      </c>
      <c r="B624" t="s">
        <v>18</v>
      </c>
      <c r="C624" s="1">
        <v>2.1</v>
      </c>
      <c r="D624" s="1">
        <v>700</v>
      </c>
      <c r="E624" s="1">
        <v>20</v>
      </c>
      <c r="F624" s="1">
        <v>1</v>
      </c>
      <c r="G624">
        <v>23</v>
      </c>
      <c r="H624">
        <v>32</v>
      </c>
      <c r="I624" t="s">
        <v>26</v>
      </c>
      <c r="J624" t="s">
        <v>28</v>
      </c>
    </row>
    <row r="625" spans="1:10" x14ac:dyDescent="0.25">
      <c r="A625">
        <v>10</v>
      </c>
      <c r="B625" t="s">
        <v>18</v>
      </c>
      <c r="C625" s="1">
        <v>2.1</v>
      </c>
      <c r="D625" s="1">
        <v>700</v>
      </c>
      <c r="E625" s="1">
        <v>20</v>
      </c>
      <c r="F625" s="1">
        <v>1</v>
      </c>
      <c r="G625">
        <v>24</v>
      </c>
      <c r="H625">
        <v>33</v>
      </c>
      <c r="I625" t="s">
        <v>26</v>
      </c>
      <c r="J625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9FA3-1FFA-46CA-AB6D-ECBD3F1902E2}">
  <dimension ref="A1:BB253"/>
  <sheetViews>
    <sheetView topLeftCell="AL208" workbookViewId="0">
      <selection activeCell="AY2" sqref="AY2:BB241"/>
    </sheetView>
  </sheetViews>
  <sheetFormatPr baseColWidth="10" defaultRowHeight="15" x14ac:dyDescent="0.25"/>
  <cols>
    <col min="1" max="1" width="9" bestFit="1" customWidth="1"/>
    <col min="2" max="4" width="13.28515625" bestFit="1" customWidth="1"/>
    <col min="5" max="5" width="13.140625" bestFit="1" customWidth="1"/>
    <col min="6" max="6" width="10.140625" bestFit="1" customWidth="1"/>
    <col min="7" max="7" width="11.140625" bestFit="1" customWidth="1"/>
    <col min="8" max="8" width="13.28515625" bestFit="1" customWidth="1"/>
    <col min="9" max="9" width="15.5703125" bestFit="1" customWidth="1"/>
    <col min="10" max="10" width="13.28515625" bestFit="1" customWidth="1"/>
    <col min="11" max="11" width="15.85546875" bestFit="1" customWidth="1"/>
    <col min="12" max="12" width="15.7109375" bestFit="1" customWidth="1"/>
    <col min="13" max="14" width="15.5703125" bestFit="1" customWidth="1"/>
    <col min="15" max="15" width="12.7109375" bestFit="1" customWidth="1"/>
    <col min="16" max="16" width="15.5703125" bestFit="1" customWidth="1"/>
    <col min="17" max="17" width="13.28515625" bestFit="1" customWidth="1"/>
    <col min="19" max="20" width="20.85546875" bestFit="1" customWidth="1"/>
    <col min="21" max="21" width="20.7109375" bestFit="1" customWidth="1"/>
    <col min="22" max="22" width="15.42578125" bestFit="1" customWidth="1"/>
    <col min="23" max="23" width="20.28515625" bestFit="1" customWidth="1"/>
    <col min="24" max="24" width="18.140625" bestFit="1" customWidth="1"/>
    <col min="25" max="25" width="7.5703125" bestFit="1" customWidth="1"/>
    <col min="26" max="26" width="15.42578125" bestFit="1" customWidth="1"/>
    <col min="27" max="27" width="6.5703125" bestFit="1" customWidth="1"/>
    <col min="28" max="28" width="18.140625" bestFit="1" customWidth="1"/>
    <col min="29" max="29" width="6.5703125" bestFit="1" customWidth="1"/>
    <col min="30" max="30" width="15.42578125" bestFit="1" customWidth="1"/>
    <col min="31" max="31" width="6.5703125" bestFit="1" customWidth="1"/>
    <col min="32" max="32" width="18.140625" bestFit="1" customWidth="1"/>
    <col min="33" max="33" width="6.5703125" bestFit="1" customWidth="1"/>
    <col min="34" max="34" width="15.42578125" bestFit="1" customWidth="1"/>
    <col min="35" max="35" width="6.5703125" bestFit="1" customWidth="1"/>
    <col min="36" max="36" width="18.140625" bestFit="1" customWidth="1"/>
    <col min="37" max="37" width="6.5703125" bestFit="1" customWidth="1"/>
    <col min="38" max="38" width="15.42578125" bestFit="1" customWidth="1"/>
    <col min="39" max="39" width="6.5703125" bestFit="1" customWidth="1"/>
    <col min="40" max="40" width="23" bestFit="1" customWidth="1"/>
    <col min="41" max="41" width="7.7109375" bestFit="1" customWidth="1"/>
    <col min="42" max="42" width="22.85546875" bestFit="1" customWidth="1"/>
    <col min="43" max="43" width="7.42578125" bestFit="1" customWidth="1"/>
    <col min="44" max="44" width="22.7109375" bestFit="1" customWidth="1"/>
    <col min="45" max="45" width="7.7109375" bestFit="1" customWidth="1"/>
    <col min="46" max="46" width="10.85546875" bestFit="1" customWidth="1"/>
    <col min="47" max="47" width="22" bestFit="1" customWidth="1"/>
    <col min="48" max="48" width="9.85546875" bestFit="1" customWidth="1"/>
    <col min="49" max="49" width="8" bestFit="1" customWidth="1"/>
    <col min="50" max="52" width="12" bestFit="1" customWidth="1"/>
    <col min="53" max="53" width="9.42578125" bestFit="1" customWidth="1"/>
    <col min="54" max="54" width="9.28515625" bestFit="1" customWidth="1"/>
  </cols>
  <sheetData>
    <row r="1" spans="1:5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30</v>
      </c>
      <c r="L1" s="5" t="s">
        <v>31</v>
      </c>
      <c r="M1" s="5" t="s">
        <v>48</v>
      </c>
      <c r="N1" s="5" t="s">
        <v>32</v>
      </c>
      <c r="O1" s="5" t="s">
        <v>49</v>
      </c>
      <c r="P1" s="5" t="s">
        <v>33</v>
      </c>
      <c r="Q1" s="5" t="s">
        <v>50</v>
      </c>
      <c r="R1" s="5" t="s">
        <v>34</v>
      </c>
      <c r="S1" s="5" t="s">
        <v>35</v>
      </c>
      <c r="T1" s="5" t="s">
        <v>36</v>
      </c>
      <c r="U1" s="5" t="s">
        <v>47</v>
      </c>
      <c r="V1" s="5" t="s">
        <v>37</v>
      </c>
      <c r="W1" s="5" t="s">
        <v>86</v>
      </c>
      <c r="X1" s="5" t="s">
        <v>38</v>
      </c>
      <c r="Y1" s="5" t="s">
        <v>46</v>
      </c>
      <c r="Z1" s="5" t="s">
        <v>39</v>
      </c>
      <c r="AA1" s="5" t="s">
        <v>51</v>
      </c>
      <c r="AB1" s="5" t="s">
        <v>40</v>
      </c>
      <c r="AC1" s="5" t="s">
        <v>52</v>
      </c>
      <c r="AD1" s="5" t="s">
        <v>41</v>
      </c>
      <c r="AE1" s="5" t="s">
        <v>53</v>
      </c>
      <c r="AF1" s="5" t="s">
        <v>42</v>
      </c>
      <c r="AG1" s="5" t="s">
        <v>54</v>
      </c>
      <c r="AH1" s="5" t="s">
        <v>43</v>
      </c>
      <c r="AI1" s="5" t="s">
        <v>55</v>
      </c>
      <c r="AJ1" s="5" t="s">
        <v>44</v>
      </c>
      <c r="AK1" s="5" t="s">
        <v>56</v>
      </c>
      <c r="AL1" s="5" t="s">
        <v>45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5" t="s">
        <v>64</v>
      </c>
      <c r="AU1" s="5" t="s">
        <v>65</v>
      </c>
      <c r="AV1" s="5" t="s">
        <v>66</v>
      </c>
      <c r="AW1" s="5" t="s">
        <v>72</v>
      </c>
      <c r="AX1" s="5" t="s">
        <v>71</v>
      </c>
      <c r="AY1" s="15" t="s">
        <v>76</v>
      </c>
      <c r="AZ1" s="15" t="s">
        <v>75</v>
      </c>
      <c r="BA1" s="15" t="s">
        <v>74</v>
      </c>
      <c r="BB1" s="15" t="s">
        <v>73</v>
      </c>
    </row>
    <row r="2" spans="1:54" x14ac:dyDescent="0.25">
      <c r="A2" s="12">
        <v>1</v>
      </c>
      <c r="B2" s="12">
        <v>1</v>
      </c>
      <c r="C2" s="12">
        <v>2.1</v>
      </c>
      <c r="D2" s="12">
        <v>700</v>
      </c>
      <c r="E2" s="12">
        <v>20</v>
      </c>
      <c r="F2" s="12">
        <v>1</v>
      </c>
      <c r="G2" s="12">
        <v>1</v>
      </c>
      <c r="H2" s="12">
        <v>24</v>
      </c>
      <c r="I2" s="12" t="s">
        <v>19</v>
      </c>
      <c r="J2" s="12" t="s">
        <v>27</v>
      </c>
      <c r="K2" s="12">
        <f>VLOOKUP(Tableau2[[#This Row],[essence]],Tableau5[],2,FALSE)</f>
        <v>-1.806</v>
      </c>
      <c r="L2" s="12">
        <f>VLOOKUP(Tableau2[[#This Row],[essence]],Tableau5[],3,FALSE)</f>
        <v>1.2398</v>
      </c>
      <c r="M2" s="12">
        <f>IF(Tableau2[[#This Row],[priorecol]]="C",1,0)</f>
        <v>1</v>
      </c>
      <c r="N2" s="12">
        <f>VLOOKUP(Tableau2[[#This Row],[essence]],Tableau5[],4,FALSE)</f>
        <v>2.6488</v>
      </c>
      <c r="O2" s="12">
        <f>IF(Tableau2[[#This Row],[priorecol]]="R",1,0)</f>
        <v>0</v>
      </c>
      <c r="P2" s="12">
        <f>VLOOKUP(Tableau2[[#This Row],[essence]],Tableau5[],5,FALSE)</f>
        <v>0.61070000000000002</v>
      </c>
      <c r="Q2" s="12">
        <f>IF(Tableau2[[#This Row],[priorecol]]="S",1,0)</f>
        <v>0</v>
      </c>
      <c r="R2" s="12">
        <f>VLOOKUP(Tableau2[[#This Row],[essence]],Tableau5[],6,FALSE)</f>
        <v>5.67E-2</v>
      </c>
      <c r="S2" s="12">
        <f>VLOOKUP(Tableau2[[#This Row],[essence]],Tableau5[],15,FALSE)</f>
        <v>1.35E-2</v>
      </c>
      <c r="T2" s="12">
        <f>VLOOKUP(Tableau2[[#This Row],[essence]],Tableau5[],7,FALSE)</f>
        <v>0.95779999999999998</v>
      </c>
      <c r="U2" s="12">
        <f>IF(Tableau2[[#This Row],[sdom]]=1,1,0)</f>
        <v>1</v>
      </c>
      <c r="V2" s="12">
        <f>VLOOKUP(Tableau2[[#This Row],[essence]],Tableau5[],8,FALSE)</f>
        <v>0.66500000000000004</v>
      </c>
      <c r="W2" s="12">
        <f>IF(Tableau2[[#This Row],[sdom]]="2EST",1,0)</f>
        <v>0</v>
      </c>
      <c r="X2" s="12">
        <f>VLOOKUP(Tableau2[[#This Row],[essence]],Tableau5[],9,FALSE)</f>
        <v>0.32479999999999998</v>
      </c>
      <c r="Y2" s="12">
        <f>IF(Tableau2[[#This Row],[sdom]]="2OUEST",1,0)</f>
        <v>0</v>
      </c>
      <c r="Z2" s="12">
        <f>VLOOKUP(Tableau2[[#This Row],[essence]],Tableau5[],10,FALSE)</f>
        <v>0.62949999999999995</v>
      </c>
      <c r="AA2" s="12">
        <f>IF(Tableau2[[#This Row],[sdom]]="3EST",1,0)</f>
        <v>0</v>
      </c>
      <c r="AB2" s="12">
        <f>VLOOKUP(Tableau2[[#This Row],[essence]],Tableau5[],11,FALSE)</f>
        <v>0.56679999999999997</v>
      </c>
      <c r="AC2" s="12">
        <f>IF(Tableau2[[#This Row],[sdom]]="3OUEST",1,0)</f>
        <v>0</v>
      </c>
      <c r="AD2" s="12">
        <f>VLOOKUP(Tableau2[[#This Row],[essence]],Tableau5[],12,FALSE)</f>
        <v>0.21729999999999999</v>
      </c>
      <c r="AE2" s="12">
        <f>IF(Tableau2[[#This Row],[sdom]]="4EST",1,0)</f>
        <v>0</v>
      </c>
      <c r="AF2" s="12">
        <f>VLOOKUP(Tableau2[[#This Row],[essence]],Tableau5[],13,FALSE)</f>
        <v>0.39939999999999998</v>
      </c>
      <c r="AG2" s="12">
        <f>IF(Tableau2[[#This Row],[sdom]]="4OUEST",1,0)</f>
        <v>0</v>
      </c>
      <c r="AH2" s="12">
        <f>VLOOKUP(Tableau2[[#This Row],[essence]],Tableau5[],14,FALSE)</f>
        <v>6.5299999999999997E-2</v>
      </c>
      <c r="AI2" s="12">
        <f>IF(Tableau2[[#This Row],[sdom]]="5EST",1,0)</f>
        <v>0</v>
      </c>
      <c r="AJ2" s="12">
        <f>VLOOKUP(Tableau2[[#This Row],[essence]],Tableau5[],16,FALSE)</f>
        <v>0</v>
      </c>
      <c r="AK2" s="12">
        <f>IF(Tableau2[[#This Row],[sdom]]="5OUEST",1,0)</f>
        <v>0</v>
      </c>
      <c r="AL2" s="12">
        <f>VLOOKUP(Tableau2[[#This Row],[essence]],Tableau5[],17,FALSE)</f>
        <v>0</v>
      </c>
      <c r="AM2" s="12">
        <f>IF(Tableau2[[#This Row],[sdom]]="6EST",1,0)</f>
        <v>0</v>
      </c>
      <c r="AN2" s="12">
        <f>VLOOKUP(Tableau2[[#This Row],[essence]],Tableau5[],19,FALSE)</f>
        <v>0</v>
      </c>
      <c r="AO2" s="12">
        <f>IF(Tableau2[[#This Row],[priorecol]]="C",1,0)</f>
        <v>1</v>
      </c>
      <c r="AP2" s="12">
        <f>VLOOKUP(Tableau2[[#This Row],[essence]],Tableau5[],20,FALSE)</f>
        <v>0</v>
      </c>
      <c r="AQ2" s="12">
        <f>IF(Tableau2[[#This Row],[priorecol]]="R",1,0)</f>
        <v>0</v>
      </c>
      <c r="AR2" s="12">
        <f>VLOOKUP(Tableau2[[#This Row],[essence]],Tableau5[],21,FALSE)</f>
        <v>0</v>
      </c>
      <c r="AS2" s="12">
        <f>IF(Tableau2[[#This Row],[priorecol]]="S",1,0)</f>
        <v>0</v>
      </c>
      <c r="AT2" s="12">
        <f>VLOOKUP(Tableau2[[#This Row],[essence]],Tableau5[],22,FALSE)</f>
        <v>0</v>
      </c>
      <c r="AU2" s="12">
        <f>VLOOKUP(Tableau2[[#This Row],[essence]],Tableau5[],23,FALSE)</f>
        <v>0</v>
      </c>
      <c r="AV2" s="12">
        <f>VLOOKUP(Tableau2[[#This Row],[essence]],Tableau5[],18,FALSE)</f>
        <v>0</v>
      </c>
      <c r="AW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2.0224000000000002</v>
      </c>
      <c r="AX2" s="13">
        <f>1/(1+EXP(-Tableau2[[#This Row],[xb_c]]))</f>
        <v>0.88312894629101624</v>
      </c>
      <c r="AY2" s="13" t="str">
        <f t="shared" ref="AY2:AY65" si="0">"NA"</f>
        <v>NA</v>
      </c>
      <c r="AZ2" s="13" t="str">
        <f t="shared" ref="AZ2:AZ65" si="1">"NA"</f>
        <v>NA</v>
      </c>
      <c r="BA2" s="13">
        <f>Tableau2[[#This Row],[prob_c]]</f>
        <v>0.88312894629101624</v>
      </c>
      <c r="BB2" s="13">
        <f>1-Tableau2[[#This Row],[prob_c]]</f>
        <v>0.11687105370898376</v>
      </c>
    </row>
    <row r="3" spans="1:54" x14ac:dyDescent="0.25">
      <c r="A3" s="12">
        <v>1</v>
      </c>
      <c r="B3" s="12">
        <v>1</v>
      </c>
      <c r="C3" s="12">
        <v>2.1</v>
      </c>
      <c r="D3" s="12">
        <v>700</v>
      </c>
      <c r="E3" s="12">
        <v>20</v>
      </c>
      <c r="F3" s="12">
        <v>1</v>
      </c>
      <c r="G3" s="12">
        <v>2</v>
      </c>
      <c r="H3" s="12">
        <v>25</v>
      </c>
      <c r="I3" s="12" t="s">
        <v>19</v>
      </c>
      <c r="J3" s="12" t="s">
        <v>28</v>
      </c>
      <c r="K3" s="12">
        <f>VLOOKUP(Tableau2[[#This Row],[essence]],Tableau5[],2,FALSE)</f>
        <v>-1.806</v>
      </c>
      <c r="L3" s="12">
        <f>VLOOKUP(Tableau2[[#This Row],[essence]],Tableau5[],3,FALSE)</f>
        <v>1.2398</v>
      </c>
      <c r="M3" s="12">
        <f>IF(Tableau2[[#This Row],[priorecol]]="C",1,0)</f>
        <v>0</v>
      </c>
      <c r="N3" s="12">
        <f>VLOOKUP(Tableau2[[#This Row],[essence]],Tableau5[],4,FALSE)</f>
        <v>2.6488</v>
      </c>
      <c r="O3" s="12">
        <f>IF(Tableau2[[#This Row],[priorecol]]="R",1,0)</f>
        <v>1</v>
      </c>
      <c r="P3" s="12">
        <f>VLOOKUP(Tableau2[[#This Row],[essence]],Tableau5[],5,FALSE)</f>
        <v>0.61070000000000002</v>
      </c>
      <c r="Q3" s="12">
        <f>IF(Tableau2[[#This Row],[priorecol]]="S",1,0)</f>
        <v>0</v>
      </c>
      <c r="R3" s="12">
        <f>VLOOKUP(Tableau2[[#This Row],[essence]],Tableau5[],6,FALSE)</f>
        <v>5.67E-2</v>
      </c>
      <c r="S3" s="12">
        <f>VLOOKUP(Tableau2[[#This Row],[essence]],Tableau5[],15,FALSE)</f>
        <v>1.35E-2</v>
      </c>
      <c r="T3" s="12">
        <f>VLOOKUP(Tableau2[[#This Row],[essence]],Tableau5[],7,FALSE)</f>
        <v>0.95779999999999998</v>
      </c>
      <c r="U3" s="12">
        <f>IF(Tableau2[[#This Row],[sdom]]=1,1,0)</f>
        <v>1</v>
      </c>
      <c r="V3" s="12">
        <f>VLOOKUP(Tableau2[[#This Row],[essence]],Tableau5[],8,FALSE)</f>
        <v>0.66500000000000004</v>
      </c>
      <c r="W3" s="12">
        <f>IF(Tableau2[[#This Row],[sdom]]="2EST",1,0)</f>
        <v>0</v>
      </c>
      <c r="X3" s="12">
        <f>VLOOKUP(Tableau2[[#This Row],[essence]],Tableau5[],9,FALSE)</f>
        <v>0.32479999999999998</v>
      </c>
      <c r="Y3" s="12">
        <f>IF(Tableau2[[#This Row],[sdom]]="2OUEST",1,0)</f>
        <v>0</v>
      </c>
      <c r="Z3" s="12">
        <f>VLOOKUP(Tableau2[[#This Row],[essence]],Tableau5[],10,FALSE)</f>
        <v>0.62949999999999995</v>
      </c>
      <c r="AA3" s="12">
        <f>IF(Tableau2[[#This Row],[sdom]]="3EST",1,0)</f>
        <v>0</v>
      </c>
      <c r="AB3" s="12">
        <f>VLOOKUP(Tableau2[[#This Row],[essence]],Tableau5[],11,FALSE)</f>
        <v>0.56679999999999997</v>
      </c>
      <c r="AC3" s="12">
        <f>IF(Tableau2[[#This Row],[sdom]]="3OUEST",1,0)</f>
        <v>0</v>
      </c>
      <c r="AD3" s="12">
        <f>VLOOKUP(Tableau2[[#This Row],[essence]],Tableau5[],12,FALSE)</f>
        <v>0.21729999999999999</v>
      </c>
      <c r="AE3" s="12">
        <f>IF(Tableau2[[#This Row],[sdom]]="4EST",1,0)</f>
        <v>0</v>
      </c>
      <c r="AF3" s="12">
        <f>VLOOKUP(Tableau2[[#This Row],[essence]],Tableau5[],13,FALSE)</f>
        <v>0.39939999999999998</v>
      </c>
      <c r="AG3" s="12">
        <f>IF(Tableau2[[#This Row],[sdom]]="4OUEST",1,0)</f>
        <v>0</v>
      </c>
      <c r="AH3" s="12">
        <f>VLOOKUP(Tableau2[[#This Row],[essence]],Tableau5[],14,FALSE)</f>
        <v>6.5299999999999997E-2</v>
      </c>
      <c r="AI3" s="12">
        <f>IF(Tableau2[[#This Row],[sdom]]="5EST",1,0)</f>
        <v>0</v>
      </c>
      <c r="AJ3" s="12">
        <f>VLOOKUP(Tableau2[[#This Row],[essence]],Tableau5[],16,FALSE)</f>
        <v>0</v>
      </c>
      <c r="AK3" s="12">
        <f>IF(Tableau2[[#This Row],[sdom]]="5OUEST",1,0)</f>
        <v>0</v>
      </c>
      <c r="AL3" s="12">
        <f>VLOOKUP(Tableau2[[#This Row],[essence]],Tableau5[],17,FALSE)</f>
        <v>0</v>
      </c>
      <c r="AM3" s="12">
        <f>IF(Tableau2[[#This Row],[sdom]]="6EST",1,0)</f>
        <v>0</v>
      </c>
      <c r="AN3" s="12">
        <f>VLOOKUP(Tableau2[[#This Row],[essence]],Tableau5[],19,FALSE)</f>
        <v>0</v>
      </c>
      <c r="AO3" s="12">
        <f>IF(Tableau2[[#This Row],[priorecol]]="C",1,0)</f>
        <v>0</v>
      </c>
      <c r="AP3" s="12">
        <f>VLOOKUP(Tableau2[[#This Row],[essence]],Tableau5[],20,FALSE)</f>
        <v>0</v>
      </c>
      <c r="AQ3" s="12">
        <f>IF(Tableau2[[#This Row],[priorecol]]="R",1,0)</f>
        <v>1</v>
      </c>
      <c r="AR3" s="12">
        <f>VLOOKUP(Tableau2[[#This Row],[essence]],Tableau5[],21,FALSE)</f>
        <v>0</v>
      </c>
      <c r="AS3" s="12">
        <f>IF(Tableau2[[#This Row],[priorecol]]="S",1,0)</f>
        <v>0</v>
      </c>
      <c r="AT3" s="12">
        <f>VLOOKUP(Tableau2[[#This Row],[essence]],Tableau5[],22,FALSE)</f>
        <v>0</v>
      </c>
      <c r="AU3" s="12">
        <f>VLOOKUP(Tableau2[[#This Row],[essence]],Tableau5[],23,FALSE)</f>
        <v>0</v>
      </c>
      <c r="AV3" s="12">
        <f>VLOOKUP(Tableau2[[#This Row],[essence]],Tableau5[],18,FALSE)</f>
        <v>0</v>
      </c>
      <c r="AW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3.4881000000000002</v>
      </c>
      <c r="AX3" s="12">
        <f>1/(1+EXP(-Tableau2[[#This Row],[xb_c]]))</f>
        <v>0.9703472751121156</v>
      </c>
      <c r="AY3" s="12" t="str">
        <f t="shared" si="0"/>
        <v>NA</v>
      </c>
      <c r="AZ3" s="12" t="str">
        <f t="shared" si="1"/>
        <v>NA</v>
      </c>
      <c r="BA3" s="12">
        <f>Tableau2[[#This Row],[prob_c]]</f>
        <v>0.9703472751121156</v>
      </c>
      <c r="BB3" s="12">
        <f>1-Tableau2[[#This Row],[prob_c]]</f>
        <v>2.9652724887884396E-2</v>
      </c>
    </row>
    <row r="4" spans="1:54" x14ac:dyDescent="0.25">
      <c r="A4" s="12">
        <v>1</v>
      </c>
      <c r="B4" s="12">
        <v>1</v>
      </c>
      <c r="C4" s="12">
        <v>2.1</v>
      </c>
      <c r="D4" s="12">
        <v>700</v>
      </c>
      <c r="E4" s="12">
        <v>20</v>
      </c>
      <c r="F4" s="12">
        <v>1</v>
      </c>
      <c r="G4" s="12">
        <v>3</v>
      </c>
      <c r="H4" s="12">
        <v>26</v>
      </c>
      <c r="I4" s="12" t="s">
        <v>19</v>
      </c>
      <c r="J4" s="12" t="s">
        <v>29</v>
      </c>
      <c r="K4" s="12">
        <f>VLOOKUP(Tableau2[[#This Row],[essence]],Tableau5[],2,FALSE)</f>
        <v>-1.806</v>
      </c>
      <c r="L4" s="12">
        <f>VLOOKUP(Tableau2[[#This Row],[essence]],Tableau5[],3,FALSE)</f>
        <v>1.2398</v>
      </c>
      <c r="M4" s="12">
        <f>IF(Tableau2[[#This Row],[priorecol]]="C",1,0)</f>
        <v>0</v>
      </c>
      <c r="N4" s="12">
        <f>VLOOKUP(Tableau2[[#This Row],[essence]],Tableau5[],4,FALSE)</f>
        <v>2.6488</v>
      </c>
      <c r="O4" s="12">
        <f>IF(Tableau2[[#This Row],[priorecol]]="R",1,0)</f>
        <v>0</v>
      </c>
      <c r="P4" s="12">
        <f>VLOOKUP(Tableau2[[#This Row],[essence]],Tableau5[],5,FALSE)</f>
        <v>0.61070000000000002</v>
      </c>
      <c r="Q4" s="12">
        <f>IF(Tableau2[[#This Row],[priorecol]]="S",1,0)</f>
        <v>1</v>
      </c>
      <c r="R4" s="12">
        <f>VLOOKUP(Tableau2[[#This Row],[essence]],Tableau5[],6,FALSE)</f>
        <v>5.67E-2</v>
      </c>
      <c r="S4" s="12">
        <f>VLOOKUP(Tableau2[[#This Row],[essence]],Tableau5[],15,FALSE)</f>
        <v>1.35E-2</v>
      </c>
      <c r="T4" s="12">
        <f>VLOOKUP(Tableau2[[#This Row],[essence]],Tableau5[],7,FALSE)</f>
        <v>0.95779999999999998</v>
      </c>
      <c r="U4" s="12">
        <f>IF(Tableau2[[#This Row],[sdom]]=1,1,0)</f>
        <v>1</v>
      </c>
      <c r="V4" s="12">
        <f>VLOOKUP(Tableau2[[#This Row],[essence]],Tableau5[],8,FALSE)</f>
        <v>0.66500000000000004</v>
      </c>
      <c r="W4" s="12">
        <f>IF(Tableau2[[#This Row],[sdom]]="2EST",1,0)</f>
        <v>0</v>
      </c>
      <c r="X4" s="12">
        <f>VLOOKUP(Tableau2[[#This Row],[essence]],Tableau5[],9,FALSE)</f>
        <v>0.32479999999999998</v>
      </c>
      <c r="Y4" s="12">
        <f>IF(Tableau2[[#This Row],[sdom]]="2OUEST",1,0)</f>
        <v>0</v>
      </c>
      <c r="Z4" s="12">
        <f>VLOOKUP(Tableau2[[#This Row],[essence]],Tableau5[],10,FALSE)</f>
        <v>0.62949999999999995</v>
      </c>
      <c r="AA4" s="12">
        <f>IF(Tableau2[[#This Row],[sdom]]="3EST",1,0)</f>
        <v>0</v>
      </c>
      <c r="AB4" s="12">
        <f>VLOOKUP(Tableau2[[#This Row],[essence]],Tableau5[],11,FALSE)</f>
        <v>0.56679999999999997</v>
      </c>
      <c r="AC4" s="12">
        <f>IF(Tableau2[[#This Row],[sdom]]="3OUEST",1,0)</f>
        <v>0</v>
      </c>
      <c r="AD4" s="12">
        <f>VLOOKUP(Tableau2[[#This Row],[essence]],Tableau5[],12,FALSE)</f>
        <v>0.21729999999999999</v>
      </c>
      <c r="AE4" s="12">
        <f>IF(Tableau2[[#This Row],[sdom]]="4EST",1,0)</f>
        <v>0</v>
      </c>
      <c r="AF4" s="12">
        <f>VLOOKUP(Tableau2[[#This Row],[essence]],Tableau5[],13,FALSE)</f>
        <v>0.39939999999999998</v>
      </c>
      <c r="AG4" s="12">
        <f>IF(Tableau2[[#This Row],[sdom]]="4OUEST",1,0)</f>
        <v>0</v>
      </c>
      <c r="AH4" s="12">
        <f>VLOOKUP(Tableau2[[#This Row],[essence]],Tableau5[],14,FALSE)</f>
        <v>6.5299999999999997E-2</v>
      </c>
      <c r="AI4" s="12">
        <f>IF(Tableau2[[#This Row],[sdom]]="5EST",1,0)</f>
        <v>0</v>
      </c>
      <c r="AJ4" s="12">
        <f>VLOOKUP(Tableau2[[#This Row],[essence]],Tableau5[],16,FALSE)</f>
        <v>0</v>
      </c>
      <c r="AK4" s="12">
        <f>IF(Tableau2[[#This Row],[sdom]]="5OUEST",1,0)</f>
        <v>0</v>
      </c>
      <c r="AL4" s="12">
        <f>VLOOKUP(Tableau2[[#This Row],[essence]],Tableau5[],17,FALSE)</f>
        <v>0</v>
      </c>
      <c r="AM4" s="12">
        <f>IF(Tableau2[[#This Row],[sdom]]="6EST",1,0)</f>
        <v>0</v>
      </c>
      <c r="AN4" s="12">
        <f>VLOOKUP(Tableau2[[#This Row],[essence]],Tableau5[],19,FALSE)</f>
        <v>0</v>
      </c>
      <c r="AO4" s="12">
        <f>IF(Tableau2[[#This Row],[priorecol]]="C",1,0)</f>
        <v>0</v>
      </c>
      <c r="AP4" s="12">
        <f>VLOOKUP(Tableau2[[#This Row],[essence]],Tableau5[],20,FALSE)</f>
        <v>0</v>
      </c>
      <c r="AQ4" s="12">
        <f>IF(Tableau2[[#This Row],[priorecol]]="R",1,0)</f>
        <v>0</v>
      </c>
      <c r="AR4" s="12">
        <f>VLOOKUP(Tableau2[[#This Row],[essence]],Tableau5[],21,FALSE)</f>
        <v>0</v>
      </c>
      <c r="AS4" s="12">
        <f>IF(Tableau2[[#This Row],[priorecol]]="S",1,0)</f>
        <v>1</v>
      </c>
      <c r="AT4" s="12">
        <f>VLOOKUP(Tableau2[[#This Row],[essence]],Tableau5[],22,FALSE)</f>
        <v>0</v>
      </c>
      <c r="AU4" s="12">
        <f>VLOOKUP(Tableau2[[#This Row],[essence]],Tableau5[],23,FALSE)</f>
        <v>0</v>
      </c>
      <c r="AV4" s="12">
        <f>VLOOKUP(Tableau2[[#This Row],[essence]],Tableau5[],18,FALSE)</f>
        <v>0</v>
      </c>
      <c r="AW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1.5066999999999999</v>
      </c>
      <c r="AX4" s="12">
        <f>1/(1+EXP(-Tableau2[[#This Row],[xb_c]]))</f>
        <v>0.8185716319950741</v>
      </c>
      <c r="AY4" s="12" t="str">
        <f t="shared" si="0"/>
        <v>NA</v>
      </c>
      <c r="AZ4" s="12" t="str">
        <f t="shared" si="1"/>
        <v>NA</v>
      </c>
      <c r="BA4" s="12">
        <f>Tableau2[[#This Row],[prob_c]]</f>
        <v>0.8185716319950741</v>
      </c>
      <c r="BB4" s="12">
        <f>1-Tableau2[[#This Row],[prob_c]]</f>
        <v>0.1814283680049259</v>
      </c>
    </row>
    <row r="5" spans="1:54" x14ac:dyDescent="0.25">
      <c r="A5" s="12">
        <v>1</v>
      </c>
      <c r="B5" s="12">
        <v>1</v>
      </c>
      <c r="C5" s="12">
        <v>2.1</v>
      </c>
      <c r="D5" s="12">
        <v>700</v>
      </c>
      <c r="E5" s="12">
        <v>20</v>
      </c>
      <c r="F5" s="12">
        <v>1</v>
      </c>
      <c r="G5" s="12">
        <v>4</v>
      </c>
      <c r="H5" s="12">
        <v>27</v>
      </c>
      <c r="I5" s="12" t="s">
        <v>20</v>
      </c>
      <c r="J5" s="12" t="s">
        <v>27</v>
      </c>
      <c r="K5" s="12">
        <f>VLOOKUP(Tableau2[[#This Row],[essence]],Tableau5[],2,FALSE)</f>
        <v>0.69510000000000005</v>
      </c>
      <c r="L5" s="12">
        <f>VLOOKUP(Tableau2[[#This Row],[essence]],Tableau5[],3,FALSE)</f>
        <v>-0.51849999999999996</v>
      </c>
      <c r="M5" s="12">
        <f>IF(Tableau2[[#This Row],[priorecol]]="C",1,0)</f>
        <v>1</v>
      </c>
      <c r="N5" s="12">
        <f>VLOOKUP(Tableau2[[#This Row],[essence]],Tableau5[],4,FALSE)</f>
        <v>0.52129999999999999</v>
      </c>
      <c r="O5" s="12">
        <f>IF(Tableau2[[#This Row],[priorecol]]="R",1,0)</f>
        <v>0</v>
      </c>
      <c r="P5" s="12">
        <f>VLOOKUP(Tableau2[[#This Row],[essence]],Tableau5[],5,FALSE)</f>
        <v>-0.37890000000000001</v>
      </c>
      <c r="Q5" s="12">
        <f>IF(Tableau2[[#This Row],[priorecol]]="S",1,0)</f>
        <v>0</v>
      </c>
      <c r="R5" s="12">
        <f>VLOOKUP(Tableau2[[#This Row],[essence]],Tableau5[],6,FALSE)</f>
        <v>-5.5999999999999995E-4</v>
      </c>
      <c r="S5" s="12">
        <f>VLOOKUP(Tableau2[[#This Row],[essence]],Tableau5[],15,FALSE)</f>
        <v>1.52E-2</v>
      </c>
      <c r="T5" s="12">
        <f>VLOOKUP(Tableau2[[#This Row],[essence]],Tableau5[],7,FALSE)</f>
        <v>0</v>
      </c>
      <c r="U5" s="12">
        <f>IF(Tableau2[[#This Row],[sdom]]=1,1,0)</f>
        <v>1</v>
      </c>
      <c r="V5" s="12">
        <f>VLOOKUP(Tableau2[[#This Row],[essence]],Tableau5[],8,FALSE)</f>
        <v>-8.7900000000000006E-2</v>
      </c>
      <c r="W5" s="12">
        <f>IF(Tableau2[[#This Row],[sdom]]="2EST",1,0)</f>
        <v>0</v>
      </c>
      <c r="X5" s="12">
        <f>VLOOKUP(Tableau2[[#This Row],[essence]],Tableau5[],9,FALSE)</f>
        <v>0.42620000000000002</v>
      </c>
      <c r="Y5" s="12">
        <f>IF(Tableau2[[#This Row],[sdom]]="2OUEST",1,0)</f>
        <v>0</v>
      </c>
      <c r="Z5" s="12">
        <f>VLOOKUP(Tableau2[[#This Row],[essence]],Tableau5[],10,FALSE)</f>
        <v>0.54149999999999998</v>
      </c>
      <c r="AA5" s="12">
        <f>IF(Tableau2[[#This Row],[sdom]]="3EST",1,0)</f>
        <v>0</v>
      </c>
      <c r="AB5" s="12">
        <f>VLOOKUP(Tableau2[[#This Row],[essence]],Tableau5[],11,FALSE)</f>
        <v>0.50339999999999996</v>
      </c>
      <c r="AC5" s="12">
        <f>IF(Tableau2[[#This Row],[sdom]]="3OUEST",1,0)</f>
        <v>0</v>
      </c>
      <c r="AD5" s="12">
        <f>VLOOKUP(Tableau2[[#This Row],[essence]],Tableau5[],12,FALSE)</f>
        <v>-3.0599999999999999E-2</v>
      </c>
      <c r="AE5" s="12">
        <f>IF(Tableau2[[#This Row],[sdom]]="4EST",1,0)</f>
        <v>0</v>
      </c>
      <c r="AF5" s="12">
        <f>VLOOKUP(Tableau2[[#This Row],[essence]],Tableau5[],13,FALSE)</f>
        <v>0.1583</v>
      </c>
      <c r="AG5" s="12">
        <f>IF(Tableau2[[#This Row],[sdom]]="4OUEST",1,0)</f>
        <v>0</v>
      </c>
      <c r="AH5" s="12">
        <f>VLOOKUP(Tableau2[[#This Row],[essence]],Tableau5[],14,FALSE)</f>
        <v>3.9800000000000002E-2</v>
      </c>
      <c r="AI5" s="12">
        <f>IF(Tableau2[[#This Row],[sdom]]="5EST",1,0)</f>
        <v>0</v>
      </c>
      <c r="AJ5" s="12">
        <f>VLOOKUP(Tableau2[[#This Row],[essence]],Tableau5[],16,FALSE)</f>
        <v>0.13650000000000001</v>
      </c>
      <c r="AK5" s="12">
        <f>IF(Tableau2[[#This Row],[sdom]]="5OUEST",1,0)</f>
        <v>0</v>
      </c>
      <c r="AL5" s="12">
        <f>VLOOKUP(Tableau2[[#This Row],[essence]],Tableau5[],17,FALSE)</f>
        <v>-0.39140000000000003</v>
      </c>
      <c r="AM5" s="12">
        <f>IF(Tableau2[[#This Row],[sdom]]="6EST",1,0)</f>
        <v>0</v>
      </c>
      <c r="AN5" s="12">
        <f>VLOOKUP(Tableau2[[#This Row],[essence]],Tableau5[],19,FALSE)</f>
        <v>5.8000000000000003E-2</v>
      </c>
      <c r="AO5" s="12">
        <f>IF(Tableau2[[#This Row],[priorecol]]="C",1,0)</f>
        <v>1</v>
      </c>
      <c r="AP5" s="12">
        <f>VLOOKUP(Tableau2[[#This Row],[essence]],Tableau5[],20,FALSE)</f>
        <v>4.7500000000000001E-2</v>
      </c>
      <c r="AQ5" s="12">
        <f>IF(Tableau2[[#This Row],[priorecol]]="R",1,0)</f>
        <v>0</v>
      </c>
      <c r="AR5" s="12">
        <f>VLOOKUP(Tableau2[[#This Row],[essence]],Tableau5[],21,FALSE)</f>
        <v>4.87E-2</v>
      </c>
      <c r="AS5" s="12">
        <f>IF(Tableau2[[#This Row],[priorecol]]="S",1,0)</f>
        <v>0</v>
      </c>
      <c r="AT5" s="12">
        <f>VLOOKUP(Tableau2[[#This Row],[essence]],Tableau5[],22,FALSE)</f>
        <v>0</v>
      </c>
      <c r="AU5" s="12">
        <f>VLOOKUP(Tableau2[[#This Row],[essence]],Tableau5[],23,FALSE)</f>
        <v>0</v>
      </c>
      <c r="AV5" s="12">
        <f>VLOOKUP(Tableau2[[#This Row],[essence]],Tableau5[],18,FALSE)</f>
        <v>-0.112</v>
      </c>
      <c r="AW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1.7962800000000001</v>
      </c>
      <c r="AX5" s="12">
        <f>1/(1+EXP(-Tableau2[[#This Row],[xb_c]]))</f>
        <v>0.85769549835640901</v>
      </c>
      <c r="AY5" s="12" t="str">
        <f t="shared" si="0"/>
        <v>NA</v>
      </c>
      <c r="AZ5" s="12" t="str">
        <f t="shared" si="1"/>
        <v>NA</v>
      </c>
      <c r="BA5" s="12">
        <f>Tableau2[[#This Row],[prob_c]]</f>
        <v>0.85769549835640901</v>
      </c>
      <c r="BB5" s="12">
        <f>1-Tableau2[[#This Row],[prob_c]]</f>
        <v>0.14230450164359099</v>
      </c>
    </row>
    <row r="6" spans="1:54" x14ac:dyDescent="0.25">
      <c r="A6" s="12">
        <v>1</v>
      </c>
      <c r="B6" s="12">
        <v>1</v>
      </c>
      <c r="C6" s="12">
        <v>2.1</v>
      </c>
      <c r="D6" s="12">
        <v>700</v>
      </c>
      <c r="E6" s="12">
        <v>20</v>
      </c>
      <c r="F6" s="12">
        <v>1</v>
      </c>
      <c r="G6" s="12">
        <v>5</v>
      </c>
      <c r="H6" s="12">
        <v>28</v>
      </c>
      <c r="I6" s="12" t="s">
        <v>20</v>
      </c>
      <c r="J6" s="12" t="s">
        <v>28</v>
      </c>
      <c r="K6" s="12">
        <f>VLOOKUP(Tableau2[[#This Row],[essence]],Tableau5[],2,FALSE)</f>
        <v>0.69510000000000005</v>
      </c>
      <c r="L6" s="12">
        <f>VLOOKUP(Tableau2[[#This Row],[essence]],Tableau5[],3,FALSE)</f>
        <v>-0.51849999999999996</v>
      </c>
      <c r="M6" s="12">
        <f>IF(Tableau2[[#This Row],[priorecol]]="C",1,0)</f>
        <v>0</v>
      </c>
      <c r="N6" s="12">
        <f>VLOOKUP(Tableau2[[#This Row],[essence]],Tableau5[],4,FALSE)</f>
        <v>0.52129999999999999</v>
      </c>
      <c r="O6" s="12">
        <f>IF(Tableau2[[#This Row],[priorecol]]="R",1,0)</f>
        <v>1</v>
      </c>
      <c r="P6" s="12">
        <f>VLOOKUP(Tableau2[[#This Row],[essence]],Tableau5[],5,FALSE)</f>
        <v>-0.37890000000000001</v>
      </c>
      <c r="Q6" s="12">
        <f>IF(Tableau2[[#This Row],[priorecol]]="S",1,0)</f>
        <v>0</v>
      </c>
      <c r="R6" s="12">
        <f>VLOOKUP(Tableau2[[#This Row],[essence]],Tableau5[],6,FALSE)</f>
        <v>-5.5999999999999995E-4</v>
      </c>
      <c r="S6" s="12">
        <f>VLOOKUP(Tableau2[[#This Row],[essence]],Tableau5[],15,FALSE)</f>
        <v>1.52E-2</v>
      </c>
      <c r="T6" s="12">
        <f>VLOOKUP(Tableau2[[#This Row],[essence]],Tableau5[],7,FALSE)</f>
        <v>0</v>
      </c>
      <c r="U6" s="12">
        <f>IF(Tableau2[[#This Row],[sdom]]=1,1,0)</f>
        <v>1</v>
      </c>
      <c r="V6" s="12">
        <f>VLOOKUP(Tableau2[[#This Row],[essence]],Tableau5[],8,FALSE)</f>
        <v>-8.7900000000000006E-2</v>
      </c>
      <c r="W6" s="12">
        <f>IF(Tableau2[[#This Row],[sdom]]="2EST",1,0)</f>
        <v>0</v>
      </c>
      <c r="X6" s="12">
        <f>VLOOKUP(Tableau2[[#This Row],[essence]],Tableau5[],9,FALSE)</f>
        <v>0.42620000000000002</v>
      </c>
      <c r="Y6" s="12">
        <f>IF(Tableau2[[#This Row],[sdom]]="2OUEST",1,0)</f>
        <v>0</v>
      </c>
      <c r="Z6" s="12">
        <f>VLOOKUP(Tableau2[[#This Row],[essence]],Tableau5[],10,FALSE)</f>
        <v>0.54149999999999998</v>
      </c>
      <c r="AA6" s="12">
        <f>IF(Tableau2[[#This Row],[sdom]]="3EST",1,0)</f>
        <v>0</v>
      </c>
      <c r="AB6" s="12">
        <f>VLOOKUP(Tableau2[[#This Row],[essence]],Tableau5[],11,FALSE)</f>
        <v>0.50339999999999996</v>
      </c>
      <c r="AC6" s="12">
        <f>IF(Tableau2[[#This Row],[sdom]]="3OUEST",1,0)</f>
        <v>0</v>
      </c>
      <c r="AD6" s="12">
        <f>VLOOKUP(Tableau2[[#This Row],[essence]],Tableau5[],12,FALSE)</f>
        <v>-3.0599999999999999E-2</v>
      </c>
      <c r="AE6" s="12">
        <f>IF(Tableau2[[#This Row],[sdom]]="4EST",1,0)</f>
        <v>0</v>
      </c>
      <c r="AF6" s="12">
        <f>VLOOKUP(Tableau2[[#This Row],[essence]],Tableau5[],13,FALSE)</f>
        <v>0.1583</v>
      </c>
      <c r="AG6" s="12">
        <f>IF(Tableau2[[#This Row],[sdom]]="4OUEST",1,0)</f>
        <v>0</v>
      </c>
      <c r="AH6" s="12">
        <f>VLOOKUP(Tableau2[[#This Row],[essence]],Tableau5[],14,FALSE)</f>
        <v>3.9800000000000002E-2</v>
      </c>
      <c r="AI6" s="12">
        <f>IF(Tableau2[[#This Row],[sdom]]="5EST",1,0)</f>
        <v>0</v>
      </c>
      <c r="AJ6" s="12">
        <f>VLOOKUP(Tableau2[[#This Row],[essence]],Tableau5[],16,FALSE)</f>
        <v>0.13650000000000001</v>
      </c>
      <c r="AK6" s="12">
        <f>IF(Tableau2[[#This Row],[sdom]]="5OUEST",1,0)</f>
        <v>0</v>
      </c>
      <c r="AL6" s="12">
        <f>VLOOKUP(Tableau2[[#This Row],[essence]],Tableau5[],17,FALSE)</f>
        <v>-0.39140000000000003</v>
      </c>
      <c r="AM6" s="12">
        <f>IF(Tableau2[[#This Row],[sdom]]="6EST",1,0)</f>
        <v>0</v>
      </c>
      <c r="AN6" s="12">
        <f>VLOOKUP(Tableau2[[#This Row],[essence]],Tableau5[],19,FALSE)</f>
        <v>5.8000000000000003E-2</v>
      </c>
      <c r="AO6" s="12">
        <f>IF(Tableau2[[#This Row],[priorecol]]="C",1,0)</f>
        <v>0</v>
      </c>
      <c r="AP6" s="12">
        <f>VLOOKUP(Tableau2[[#This Row],[essence]],Tableau5[],20,FALSE)</f>
        <v>4.7500000000000001E-2</v>
      </c>
      <c r="AQ6" s="12">
        <f>IF(Tableau2[[#This Row],[priorecol]]="R",1,0)</f>
        <v>1</v>
      </c>
      <c r="AR6" s="12">
        <f>VLOOKUP(Tableau2[[#This Row],[essence]],Tableau5[],21,FALSE)</f>
        <v>4.87E-2</v>
      </c>
      <c r="AS6" s="12">
        <f>IF(Tableau2[[#This Row],[priorecol]]="S",1,0)</f>
        <v>0</v>
      </c>
      <c r="AT6" s="12">
        <f>VLOOKUP(Tableau2[[#This Row],[essence]],Tableau5[],22,FALSE)</f>
        <v>0</v>
      </c>
      <c r="AU6" s="12">
        <f>VLOOKUP(Tableau2[[#This Row],[essence]],Tableau5[],23,FALSE)</f>
        <v>0</v>
      </c>
      <c r="AV6" s="12">
        <f>VLOOKUP(Tableau2[[#This Row],[essence]],Tableau5[],18,FALSE)</f>
        <v>-0.112</v>
      </c>
      <c r="AW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2.5995200000000005</v>
      </c>
      <c r="AX6" s="12">
        <f>1/(1+EXP(-Tableau2[[#This Row],[xb_c]]))</f>
        <v>0.93083068128343971</v>
      </c>
      <c r="AY6" s="12" t="str">
        <f t="shared" si="0"/>
        <v>NA</v>
      </c>
      <c r="AZ6" s="12" t="str">
        <f t="shared" si="1"/>
        <v>NA</v>
      </c>
      <c r="BA6" s="12">
        <f>Tableau2[[#This Row],[prob_c]]</f>
        <v>0.93083068128343971</v>
      </c>
      <c r="BB6" s="12">
        <f>1-Tableau2[[#This Row],[prob_c]]</f>
        <v>6.9169318716560291E-2</v>
      </c>
    </row>
    <row r="7" spans="1:54" x14ac:dyDescent="0.25">
      <c r="A7" s="12">
        <v>1</v>
      </c>
      <c r="B7" s="12">
        <v>1</v>
      </c>
      <c r="C7" s="12">
        <v>2.1</v>
      </c>
      <c r="D7" s="12">
        <v>700</v>
      </c>
      <c r="E7" s="12">
        <v>20</v>
      </c>
      <c r="F7" s="12">
        <v>1</v>
      </c>
      <c r="G7" s="12">
        <v>6</v>
      </c>
      <c r="H7" s="12">
        <v>29</v>
      </c>
      <c r="I7" s="12" t="s">
        <v>20</v>
      </c>
      <c r="J7" s="12" t="s">
        <v>29</v>
      </c>
      <c r="K7" s="12">
        <f>VLOOKUP(Tableau2[[#This Row],[essence]],Tableau5[],2,FALSE)</f>
        <v>0.69510000000000005</v>
      </c>
      <c r="L7" s="12">
        <f>VLOOKUP(Tableau2[[#This Row],[essence]],Tableau5[],3,FALSE)</f>
        <v>-0.51849999999999996</v>
      </c>
      <c r="M7" s="12">
        <f>IF(Tableau2[[#This Row],[priorecol]]="C",1,0)</f>
        <v>0</v>
      </c>
      <c r="N7" s="12">
        <f>VLOOKUP(Tableau2[[#This Row],[essence]],Tableau5[],4,FALSE)</f>
        <v>0.52129999999999999</v>
      </c>
      <c r="O7" s="12">
        <f>IF(Tableau2[[#This Row],[priorecol]]="R",1,0)</f>
        <v>0</v>
      </c>
      <c r="P7" s="12">
        <f>VLOOKUP(Tableau2[[#This Row],[essence]],Tableau5[],5,FALSE)</f>
        <v>-0.37890000000000001</v>
      </c>
      <c r="Q7" s="12">
        <f>IF(Tableau2[[#This Row],[priorecol]]="S",1,0)</f>
        <v>1</v>
      </c>
      <c r="R7" s="12">
        <f>VLOOKUP(Tableau2[[#This Row],[essence]],Tableau5[],6,FALSE)</f>
        <v>-5.5999999999999995E-4</v>
      </c>
      <c r="S7" s="12">
        <f>VLOOKUP(Tableau2[[#This Row],[essence]],Tableau5[],15,FALSE)</f>
        <v>1.52E-2</v>
      </c>
      <c r="T7" s="12">
        <f>VLOOKUP(Tableau2[[#This Row],[essence]],Tableau5[],7,FALSE)</f>
        <v>0</v>
      </c>
      <c r="U7" s="12">
        <f>IF(Tableau2[[#This Row],[sdom]]=1,1,0)</f>
        <v>1</v>
      </c>
      <c r="V7" s="12">
        <f>VLOOKUP(Tableau2[[#This Row],[essence]],Tableau5[],8,FALSE)</f>
        <v>-8.7900000000000006E-2</v>
      </c>
      <c r="W7" s="12">
        <f>IF(Tableau2[[#This Row],[sdom]]="2EST",1,0)</f>
        <v>0</v>
      </c>
      <c r="X7" s="12">
        <f>VLOOKUP(Tableau2[[#This Row],[essence]],Tableau5[],9,FALSE)</f>
        <v>0.42620000000000002</v>
      </c>
      <c r="Y7" s="12">
        <f>IF(Tableau2[[#This Row],[sdom]]="2OUEST",1,0)</f>
        <v>0</v>
      </c>
      <c r="Z7" s="12">
        <f>VLOOKUP(Tableau2[[#This Row],[essence]],Tableau5[],10,FALSE)</f>
        <v>0.54149999999999998</v>
      </c>
      <c r="AA7" s="12">
        <f>IF(Tableau2[[#This Row],[sdom]]="3EST",1,0)</f>
        <v>0</v>
      </c>
      <c r="AB7" s="12">
        <f>VLOOKUP(Tableau2[[#This Row],[essence]],Tableau5[],11,FALSE)</f>
        <v>0.50339999999999996</v>
      </c>
      <c r="AC7" s="12">
        <f>IF(Tableau2[[#This Row],[sdom]]="3OUEST",1,0)</f>
        <v>0</v>
      </c>
      <c r="AD7" s="12">
        <f>VLOOKUP(Tableau2[[#This Row],[essence]],Tableau5[],12,FALSE)</f>
        <v>-3.0599999999999999E-2</v>
      </c>
      <c r="AE7" s="12">
        <f>IF(Tableau2[[#This Row],[sdom]]="4EST",1,0)</f>
        <v>0</v>
      </c>
      <c r="AF7" s="12">
        <f>VLOOKUP(Tableau2[[#This Row],[essence]],Tableau5[],13,FALSE)</f>
        <v>0.1583</v>
      </c>
      <c r="AG7" s="12">
        <f>IF(Tableau2[[#This Row],[sdom]]="4OUEST",1,0)</f>
        <v>0</v>
      </c>
      <c r="AH7" s="12">
        <f>VLOOKUP(Tableau2[[#This Row],[essence]],Tableau5[],14,FALSE)</f>
        <v>3.9800000000000002E-2</v>
      </c>
      <c r="AI7" s="12">
        <f>IF(Tableau2[[#This Row],[sdom]]="5EST",1,0)</f>
        <v>0</v>
      </c>
      <c r="AJ7" s="12">
        <f>VLOOKUP(Tableau2[[#This Row],[essence]],Tableau5[],16,FALSE)</f>
        <v>0.13650000000000001</v>
      </c>
      <c r="AK7" s="12">
        <f>IF(Tableau2[[#This Row],[sdom]]="5OUEST",1,0)</f>
        <v>0</v>
      </c>
      <c r="AL7" s="12">
        <f>VLOOKUP(Tableau2[[#This Row],[essence]],Tableau5[],17,FALSE)</f>
        <v>-0.39140000000000003</v>
      </c>
      <c r="AM7" s="12">
        <f>IF(Tableau2[[#This Row],[sdom]]="6EST",1,0)</f>
        <v>0</v>
      </c>
      <c r="AN7" s="12">
        <f>VLOOKUP(Tableau2[[#This Row],[essence]],Tableau5[],19,FALSE)</f>
        <v>5.8000000000000003E-2</v>
      </c>
      <c r="AO7" s="12">
        <f>IF(Tableau2[[#This Row],[priorecol]]="C",1,0)</f>
        <v>0</v>
      </c>
      <c r="AP7" s="12">
        <f>VLOOKUP(Tableau2[[#This Row],[essence]],Tableau5[],20,FALSE)</f>
        <v>4.7500000000000001E-2</v>
      </c>
      <c r="AQ7" s="12">
        <f>IF(Tableau2[[#This Row],[priorecol]]="R",1,0)</f>
        <v>0</v>
      </c>
      <c r="AR7" s="12">
        <f>VLOOKUP(Tableau2[[#This Row],[essence]],Tableau5[],21,FALSE)</f>
        <v>4.87E-2</v>
      </c>
      <c r="AS7" s="12">
        <f>IF(Tableau2[[#This Row],[priorecol]]="S",1,0)</f>
        <v>1</v>
      </c>
      <c r="AT7" s="12">
        <f>VLOOKUP(Tableau2[[#This Row],[essence]],Tableau5[],22,FALSE)</f>
        <v>0</v>
      </c>
      <c r="AU7" s="12">
        <f>VLOOKUP(Tableau2[[#This Row],[essence]],Tableau5[],23,FALSE)</f>
        <v>0</v>
      </c>
      <c r="AV7" s="12">
        <f>VLOOKUP(Tableau2[[#This Row],[essence]],Tableau5[],18,FALSE)</f>
        <v>-0.112</v>
      </c>
      <c r="AW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1.7810599999999999</v>
      </c>
      <c r="AX7" s="12">
        <f>1/(1+EXP(-Tableau2[[#This Row],[xb_c]]))</f>
        <v>0.85582770508975592</v>
      </c>
      <c r="AY7" s="12" t="str">
        <f t="shared" si="0"/>
        <v>NA</v>
      </c>
      <c r="AZ7" s="12" t="str">
        <f t="shared" si="1"/>
        <v>NA</v>
      </c>
      <c r="BA7" s="12">
        <f>Tableau2[[#This Row],[prob_c]]</f>
        <v>0.85582770508975592</v>
      </c>
      <c r="BB7" s="12">
        <f>1-Tableau2[[#This Row],[prob_c]]</f>
        <v>0.14417229491024408</v>
      </c>
    </row>
    <row r="8" spans="1:54" x14ac:dyDescent="0.25">
      <c r="A8" s="12">
        <v>1</v>
      </c>
      <c r="B8" s="12">
        <v>1</v>
      </c>
      <c r="C8" s="12">
        <v>2.1</v>
      </c>
      <c r="D8" s="12">
        <v>700</v>
      </c>
      <c r="E8" s="12">
        <v>20</v>
      </c>
      <c r="F8" s="12">
        <v>1</v>
      </c>
      <c r="G8" s="12">
        <v>7</v>
      </c>
      <c r="H8" s="12">
        <v>30</v>
      </c>
      <c r="I8" s="12" t="s">
        <v>21</v>
      </c>
      <c r="J8" s="12" t="s">
        <v>27</v>
      </c>
      <c r="K8" s="12">
        <f>VLOOKUP(Tableau2[[#This Row],[essence]],Tableau5[],2,FALSE)</f>
        <v>5.0801999999999996</v>
      </c>
      <c r="L8" s="12">
        <f>VLOOKUP(Tableau2[[#This Row],[essence]],Tableau5[],3,FALSE)</f>
        <v>1.7765</v>
      </c>
      <c r="M8" s="12">
        <f>IF(Tableau2[[#This Row],[priorecol]]="C",1,0)</f>
        <v>1</v>
      </c>
      <c r="N8" s="12">
        <f>VLOOKUP(Tableau2[[#This Row],[essence]],Tableau5[],4,FALSE)</f>
        <v>3.3664000000000001</v>
      </c>
      <c r="O8" s="12">
        <f>IF(Tableau2[[#This Row],[priorecol]]="R",1,0)</f>
        <v>0</v>
      </c>
      <c r="P8" s="12">
        <f>VLOOKUP(Tableau2[[#This Row],[essence]],Tableau5[],5,FALSE)</f>
        <v>0.57940000000000003</v>
      </c>
      <c r="Q8" s="12">
        <f>IF(Tableau2[[#This Row],[priorecol]]="S",1,0)</f>
        <v>0</v>
      </c>
      <c r="R8" s="12">
        <f>VLOOKUP(Tableau2[[#This Row],[essence]],Tableau5[],6,FALSE)</f>
        <v>-0.2109</v>
      </c>
      <c r="S8" s="12">
        <f>VLOOKUP(Tableau2[[#This Row],[essence]],Tableau5[],15,FALSE)</f>
        <v>-0.2429</v>
      </c>
      <c r="T8" s="12">
        <f>VLOOKUP(Tableau2[[#This Row],[essence]],Tableau5[],7,FALSE)</f>
        <v>0</v>
      </c>
      <c r="U8" s="12">
        <f>IF(Tableau2[[#This Row],[sdom]]=1,1,0)</f>
        <v>1</v>
      </c>
      <c r="V8" s="12">
        <f>VLOOKUP(Tableau2[[#This Row],[essence]],Tableau5[],8,FALSE)</f>
        <v>0</v>
      </c>
      <c r="W8" s="12">
        <f>IF(Tableau2[[#This Row],[sdom]]="2EST",1,0)</f>
        <v>0</v>
      </c>
      <c r="X8" s="12">
        <f>VLOOKUP(Tableau2[[#This Row],[essence]],Tableau5[],9,FALSE)</f>
        <v>0</v>
      </c>
      <c r="Y8" s="12">
        <f>IF(Tableau2[[#This Row],[sdom]]="2OUEST",1,0)</f>
        <v>0</v>
      </c>
      <c r="Z8" s="12">
        <f>VLOOKUP(Tableau2[[#This Row],[essence]],Tableau5[],10,FALSE)</f>
        <v>0</v>
      </c>
      <c r="AA8" s="12">
        <f>IF(Tableau2[[#This Row],[sdom]]="3EST",1,0)</f>
        <v>0</v>
      </c>
      <c r="AB8" s="12">
        <f>VLOOKUP(Tableau2[[#This Row],[essence]],Tableau5[],11,FALSE)</f>
        <v>0</v>
      </c>
      <c r="AC8" s="12">
        <f>IF(Tableau2[[#This Row],[sdom]]="3OUEST",1,0)</f>
        <v>0</v>
      </c>
      <c r="AD8" s="12">
        <f>VLOOKUP(Tableau2[[#This Row],[essence]],Tableau5[],12,FALSE)</f>
        <v>0</v>
      </c>
      <c r="AE8" s="12">
        <f>IF(Tableau2[[#This Row],[sdom]]="4EST",1,0)</f>
        <v>0</v>
      </c>
      <c r="AF8" s="12">
        <f>VLOOKUP(Tableau2[[#This Row],[essence]],Tableau5[],13,FALSE)</f>
        <v>0</v>
      </c>
      <c r="AG8" s="12">
        <f>IF(Tableau2[[#This Row],[sdom]]="4OUEST",1,0)</f>
        <v>0</v>
      </c>
      <c r="AH8" s="12">
        <f>VLOOKUP(Tableau2[[#This Row],[essence]],Tableau5[],14,FALSE)</f>
        <v>0</v>
      </c>
      <c r="AI8" s="12">
        <f>IF(Tableau2[[#This Row],[sdom]]="5EST",1,0)</f>
        <v>0</v>
      </c>
      <c r="AJ8" s="12">
        <f>VLOOKUP(Tableau2[[#This Row],[essence]],Tableau5[],16,FALSE)</f>
        <v>0</v>
      </c>
      <c r="AK8" s="12">
        <f>IF(Tableau2[[#This Row],[sdom]]="5OUEST",1,0)</f>
        <v>0</v>
      </c>
      <c r="AL8" s="12">
        <f>VLOOKUP(Tableau2[[#This Row],[essence]],Tableau5[],17,FALSE)</f>
        <v>0</v>
      </c>
      <c r="AM8" s="12">
        <f>IF(Tableau2[[#This Row],[sdom]]="6EST",1,0)</f>
        <v>0</v>
      </c>
      <c r="AN8" s="12">
        <f>VLOOKUP(Tableau2[[#This Row],[essence]],Tableau5[],19,FALSE)</f>
        <v>0</v>
      </c>
      <c r="AO8" s="12">
        <f>IF(Tableau2[[#This Row],[priorecol]]="C",1,0)</f>
        <v>1</v>
      </c>
      <c r="AP8" s="12">
        <f>VLOOKUP(Tableau2[[#This Row],[essence]],Tableau5[],20,FALSE)</f>
        <v>0</v>
      </c>
      <c r="AQ8" s="12">
        <f>IF(Tableau2[[#This Row],[priorecol]]="R",1,0)</f>
        <v>0</v>
      </c>
      <c r="AR8" s="12">
        <f>VLOOKUP(Tableau2[[#This Row],[essence]],Tableau5[],21,FALSE)</f>
        <v>0</v>
      </c>
      <c r="AS8" s="12">
        <f>IF(Tableau2[[#This Row],[priorecol]]="S",1,0)</f>
        <v>0</v>
      </c>
      <c r="AT8" s="12">
        <f>VLOOKUP(Tableau2[[#This Row],[essence]],Tableau5[],22,FALSE)</f>
        <v>1.1384000000000001</v>
      </c>
      <c r="AU8" s="12">
        <f>VLOOKUP(Tableau2[[#This Row],[essence]],Tableau5[],23,FALSE)</f>
        <v>1.0699999999999999E-2</v>
      </c>
      <c r="AV8" s="12">
        <f>VLOOKUP(Tableau2[[#This Row],[essence]],Tableau5[],18,FALSE)</f>
        <v>0</v>
      </c>
      <c r="AW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3.2300999999999993</v>
      </c>
      <c r="AX8" s="12">
        <f>1/(1+EXP(-Tableau2[[#This Row],[xb_c]]))</f>
        <v>0.96195141318727639</v>
      </c>
      <c r="AY8" s="12" t="str">
        <f t="shared" si="0"/>
        <v>NA</v>
      </c>
      <c r="AZ8" s="12" t="str">
        <f t="shared" si="1"/>
        <v>NA</v>
      </c>
      <c r="BA8" s="12">
        <f>Tableau2[[#This Row],[prob_c]]</f>
        <v>0.96195141318727639</v>
      </c>
      <c r="BB8" s="12">
        <f>1-Tableau2[[#This Row],[prob_c]]</f>
        <v>3.8048586812723606E-2</v>
      </c>
    </row>
    <row r="9" spans="1:54" x14ac:dyDescent="0.25">
      <c r="A9" s="12">
        <v>1</v>
      </c>
      <c r="B9" s="12">
        <v>1</v>
      </c>
      <c r="C9" s="12">
        <v>2.1</v>
      </c>
      <c r="D9" s="12">
        <v>700</v>
      </c>
      <c r="E9" s="12">
        <v>20</v>
      </c>
      <c r="F9" s="12">
        <v>1</v>
      </c>
      <c r="G9" s="12">
        <v>8</v>
      </c>
      <c r="H9" s="12">
        <v>31</v>
      </c>
      <c r="I9" s="12" t="s">
        <v>21</v>
      </c>
      <c r="J9" s="12" t="s">
        <v>28</v>
      </c>
      <c r="K9" s="12">
        <f>VLOOKUP(Tableau2[[#This Row],[essence]],Tableau5[],2,FALSE)</f>
        <v>5.0801999999999996</v>
      </c>
      <c r="L9" s="12">
        <f>VLOOKUP(Tableau2[[#This Row],[essence]],Tableau5[],3,FALSE)</f>
        <v>1.7765</v>
      </c>
      <c r="M9" s="12">
        <f>IF(Tableau2[[#This Row],[priorecol]]="C",1,0)</f>
        <v>0</v>
      </c>
      <c r="N9" s="12">
        <f>VLOOKUP(Tableau2[[#This Row],[essence]],Tableau5[],4,FALSE)</f>
        <v>3.3664000000000001</v>
      </c>
      <c r="O9" s="12">
        <f>IF(Tableau2[[#This Row],[priorecol]]="R",1,0)</f>
        <v>1</v>
      </c>
      <c r="P9" s="12">
        <f>VLOOKUP(Tableau2[[#This Row],[essence]],Tableau5[],5,FALSE)</f>
        <v>0.57940000000000003</v>
      </c>
      <c r="Q9" s="12">
        <f>IF(Tableau2[[#This Row],[priorecol]]="S",1,0)</f>
        <v>0</v>
      </c>
      <c r="R9" s="12">
        <f>VLOOKUP(Tableau2[[#This Row],[essence]],Tableau5[],6,FALSE)</f>
        <v>-0.2109</v>
      </c>
      <c r="S9" s="12">
        <f>VLOOKUP(Tableau2[[#This Row],[essence]],Tableau5[],15,FALSE)</f>
        <v>-0.2429</v>
      </c>
      <c r="T9" s="12">
        <f>VLOOKUP(Tableau2[[#This Row],[essence]],Tableau5[],7,FALSE)</f>
        <v>0</v>
      </c>
      <c r="U9" s="12">
        <f>IF(Tableau2[[#This Row],[sdom]]=1,1,0)</f>
        <v>1</v>
      </c>
      <c r="V9" s="12">
        <f>VLOOKUP(Tableau2[[#This Row],[essence]],Tableau5[],8,FALSE)</f>
        <v>0</v>
      </c>
      <c r="W9" s="12">
        <f>IF(Tableau2[[#This Row],[sdom]]="2EST",1,0)</f>
        <v>0</v>
      </c>
      <c r="X9" s="12">
        <f>VLOOKUP(Tableau2[[#This Row],[essence]],Tableau5[],9,FALSE)</f>
        <v>0</v>
      </c>
      <c r="Y9" s="12">
        <f>IF(Tableau2[[#This Row],[sdom]]="2OUEST",1,0)</f>
        <v>0</v>
      </c>
      <c r="Z9" s="12">
        <f>VLOOKUP(Tableau2[[#This Row],[essence]],Tableau5[],10,FALSE)</f>
        <v>0</v>
      </c>
      <c r="AA9" s="12">
        <f>IF(Tableau2[[#This Row],[sdom]]="3EST",1,0)</f>
        <v>0</v>
      </c>
      <c r="AB9" s="12">
        <f>VLOOKUP(Tableau2[[#This Row],[essence]],Tableau5[],11,FALSE)</f>
        <v>0</v>
      </c>
      <c r="AC9" s="12">
        <f>IF(Tableau2[[#This Row],[sdom]]="3OUEST",1,0)</f>
        <v>0</v>
      </c>
      <c r="AD9" s="12">
        <f>VLOOKUP(Tableau2[[#This Row],[essence]],Tableau5[],12,FALSE)</f>
        <v>0</v>
      </c>
      <c r="AE9" s="12">
        <f>IF(Tableau2[[#This Row],[sdom]]="4EST",1,0)</f>
        <v>0</v>
      </c>
      <c r="AF9" s="12">
        <f>VLOOKUP(Tableau2[[#This Row],[essence]],Tableau5[],13,FALSE)</f>
        <v>0</v>
      </c>
      <c r="AG9" s="12">
        <f>IF(Tableau2[[#This Row],[sdom]]="4OUEST",1,0)</f>
        <v>0</v>
      </c>
      <c r="AH9" s="12">
        <f>VLOOKUP(Tableau2[[#This Row],[essence]],Tableau5[],14,FALSE)</f>
        <v>0</v>
      </c>
      <c r="AI9" s="12">
        <f>IF(Tableau2[[#This Row],[sdom]]="5EST",1,0)</f>
        <v>0</v>
      </c>
      <c r="AJ9" s="12">
        <f>VLOOKUP(Tableau2[[#This Row],[essence]],Tableau5[],16,FALSE)</f>
        <v>0</v>
      </c>
      <c r="AK9" s="12">
        <f>IF(Tableau2[[#This Row],[sdom]]="5OUEST",1,0)</f>
        <v>0</v>
      </c>
      <c r="AL9" s="12">
        <f>VLOOKUP(Tableau2[[#This Row],[essence]],Tableau5[],17,FALSE)</f>
        <v>0</v>
      </c>
      <c r="AM9" s="12">
        <f>IF(Tableau2[[#This Row],[sdom]]="6EST",1,0)</f>
        <v>0</v>
      </c>
      <c r="AN9" s="12">
        <f>VLOOKUP(Tableau2[[#This Row],[essence]],Tableau5[],19,FALSE)</f>
        <v>0</v>
      </c>
      <c r="AO9" s="12">
        <f>IF(Tableau2[[#This Row],[priorecol]]="C",1,0)</f>
        <v>0</v>
      </c>
      <c r="AP9" s="12">
        <f>VLOOKUP(Tableau2[[#This Row],[essence]],Tableau5[],20,FALSE)</f>
        <v>0</v>
      </c>
      <c r="AQ9" s="12">
        <f>IF(Tableau2[[#This Row],[priorecol]]="R",1,0)</f>
        <v>1</v>
      </c>
      <c r="AR9" s="12">
        <f>VLOOKUP(Tableau2[[#This Row],[essence]],Tableau5[],21,FALSE)</f>
        <v>0</v>
      </c>
      <c r="AS9" s="12">
        <f>IF(Tableau2[[#This Row],[priorecol]]="S",1,0)</f>
        <v>0</v>
      </c>
      <c r="AT9" s="12">
        <f>VLOOKUP(Tableau2[[#This Row],[essence]],Tableau5[],22,FALSE)</f>
        <v>1.1384000000000001</v>
      </c>
      <c r="AU9" s="12">
        <f>VLOOKUP(Tableau2[[#This Row],[essence]],Tableau5[],23,FALSE)</f>
        <v>1.0699999999999999E-2</v>
      </c>
      <c r="AV9" s="12">
        <f>VLOOKUP(Tableau2[[#This Row],[essence]],Tableau5[],18,FALSE)</f>
        <v>0</v>
      </c>
      <c r="AW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4.8230999999999984</v>
      </c>
      <c r="AX9" s="12">
        <f>1/(1+EXP(-Tableau2[[#This Row],[xb_c]]))</f>
        <v>0.99202233610776824</v>
      </c>
      <c r="AY9" s="12" t="str">
        <f t="shared" si="0"/>
        <v>NA</v>
      </c>
      <c r="AZ9" s="12" t="str">
        <f t="shared" si="1"/>
        <v>NA</v>
      </c>
      <c r="BA9" s="12">
        <f>Tableau2[[#This Row],[prob_c]]</f>
        <v>0.99202233610776824</v>
      </c>
      <c r="BB9" s="12">
        <f>1-Tableau2[[#This Row],[prob_c]]</f>
        <v>7.9776638922317566E-3</v>
      </c>
    </row>
    <row r="10" spans="1:54" x14ac:dyDescent="0.25">
      <c r="A10" s="12">
        <v>1</v>
      </c>
      <c r="B10" s="12">
        <v>1</v>
      </c>
      <c r="C10" s="12">
        <v>2.1</v>
      </c>
      <c r="D10" s="12">
        <v>700</v>
      </c>
      <c r="E10" s="12">
        <v>20</v>
      </c>
      <c r="F10" s="12">
        <v>1</v>
      </c>
      <c r="G10" s="12">
        <v>9</v>
      </c>
      <c r="H10" s="12">
        <v>32</v>
      </c>
      <c r="I10" s="12" t="s">
        <v>21</v>
      </c>
      <c r="J10" s="12" t="s">
        <v>29</v>
      </c>
      <c r="K10" s="12">
        <f>VLOOKUP(Tableau2[[#This Row],[essence]],Tableau5[],2,FALSE)</f>
        <v>5.0801999999999996</v>
      </c>
      <c r="L10" s="12">
        <f>VLOOKUP(Tableau2[[#This Row],[essence]],Tableau5[],3,FALSE)</f>
        <v>1.7765</v>
      </c>
      <c r="M10" s="12">
        <f>IF(Tableau2[[#This Row],[priorecol]]="C",1,0)</f>
        <v>0</v>
      </c>
      <c r="N10" s="12">
        <f>VLOOKUP(Tableau2[[#This Row],[essence]],Tableau5[],4,FALSE)</f>
        <v>3.3664000000000001</v>
      </c>
      <c r="O10" s="12">
        <f>IF(Tableau2[[#This Row],[priorecol]]="R",1,0)</f>
        <v>0</v>
      </c>
      <c r="P10" s="12">
        <f>VLOOKUP(Tableau2[[#This Row],[essence]],Tableau5[],5,FALSE)</f>
        <v>0.57940000000000003</v>
      </c>
      <c r="Q10" s="12">
        <f>IF(Tableau2[[#This Row],[priorecol]]="S",1,0)</f>
        <v>1</v>
      </c>
      <c r="R10" s="12">
        <f>VLOOKUP(Tableau2[[#This Row],[essence]],Tableau5[],6,FALSE)</f>
        <v>-0.2109</v>
      </c>
      <c r="S10" s="12">
        <f>VLOOKUP(Tableau2[[#This Row],[essence]],Tableau5[],15,FALSE)</f>
        <v>-0.2429</v>
      </c>
      <c r="T10" s="12">
        <f>VLOOKUP(Tableau2[[#This Row],[essence]],Tableau5[],7,FALSE)</f>
        <v>0</v>
      </c>
      <c r="U10" s="12">
        <f>IF(Tableau2[[#This Row],[sdom]]=1,1,0)</f>
        <v>1</v>
      </c>
      <c r="V10" s="12">
        <f>VLOOKUP(Tableau2[[#This Row],[essence]],Tableau5[],8,FALSE)</f>
        <v>0</v>
      </c>
      <c r="W10" s="12">
        <f>IF(Tableau2[[#This Row],[sdom]]="2EST",1,0)</f>
        <v>0</v>
      </c>
      <c r="X10" s="12">
        <f>VLOOKUP(Tableau2[[#This Row],[essence]],Tableau5[],9,FALSE)</f>
        <v>0</v>
      </c>
      <c r="Y10" s="12">
        <f>IF(Tableau2[[#This Row],[sdom]]="2OUEST",1,0)</f>
        <v>0</v>
      </c>
      <c r="Z10" s="12">
        <f>VLOOKUP(Tableau2[[#This Row],[essence]],Tableau5[],10,FALSE)</f>
        <v>0</v>
      </c>
      <c r="AA10" s="12">
        <f>IF(Tableau2[[#This Row],[sdom]]="3EST",1,0)</f>
        <v>0</v>
      </c>
      <c r="AB10" s="12">
        <f>VLOOKUP(Tableau2[[#This Row],[essence]],Tableau5[],11,FALSE)</f>
        <v>0</v>
      </c>
      <c r="AC10" s="12">
        <f>IF(Tableau2[[#This Row],[sdom]]="3OUEST",1,0)</f>
        <v>0</v>
      </c>
      <c r="AD10" s="12">
        <f>VLOOKUP(Tableau2[[#This Row],[essence]],Tableau5[],12,FALSE)</f>
        <v>0</v>
      </c>
      <c r="AE10" s="12">
        <f>IF(Tableau2[[#This Row],[sdom]]="4EST",1,0)</f>
        <v>0</v>
      </c>
      <c r="AF10" s="12">
        <f>VLOOKUP(Tableau2[[#This Row],[essence]],Tableau5[],13,FALSE)</f>
        <v>0</v>
      </c>
      <c r="AG10" s="12">
        <f>IF(Tableau2[[#This Row],[sdom]]="4OUEST",1,0)</f>
        <v>0</v>
      </c>
      <c r="AH10" s="12">
        <f>VLOOKUP(Tableau2[[#This Row],[essence]],Tableau5[],14,FALSE)</f>
        <v>0</v>
      </c>
      <c r="AI10" s="12">
        <f>IF(Tableau2[[#This Row],[sdom]]="5EST",1,0)</f>
        <v>0</v>
      </c>
      <c r="AJ10" s="12">
        <f>VLOOKUP(Tableau2[[#This Row],[essence]],Tableau5[],16,FALSE)</f>
        <v>0</v>
      </c>
      <c r="AK10" s="12">
        <f>IF(Tableau2[[#This Row],[sdom]]="5OUEST",1,0)</f>
        <v>0</v>
      </c>
      <c r="AL10" s="12">
        <f>VLOOKUP(Tableau2[[#This Row],[essence]],Tableau5[],17,FALSE)</f>
        <v>0</v>
      </c>
      <c r="AM10" s="12">
        <f>IF(Tableau2[[#This Row],[sdom]]="6EST",1,0)</f>
        <v>0</v>
      </c>
      <c r="AN10" s="12">
        <f>VLOOKUP(Tableau2[[#This Row],[essence]],Tableau5[],19,FALSE)</f>
        <v>0</v>
      </c>
      <c r="AO10" s="12">
        <f>IF(Tableau2[[#This Row],[priorecol]]="C",1,0)</f>
        <v>0</v>
      </c>
      <c r="AP10" s="12">
        <f>VLOOKUP(Tableau2[[#This Row],[essence]],Tableau5[],20,FALSE)</f>
        <v>0</v>
      </c>
      <c r="AQ10" s="12">
        <f>IF(Tableau2[[#This Row],[priorecol]]="R",1,0)</f>
        <v>0</v>
      </c>
      <c r="AR10" s="12">
        <f>VLOOKUP(Tableau2[[#This Row],[essence]],Tableau5[],21,FALSE)</f>
        <v>0</v>
      </c>
      <c r="AS10" s="12">
        <f>IF(Tableau2[[#This Row],[priorecol]]="S",1,0)</f>
        <v>1</v>
      </c>
      <c r="AT10" s="12">
        <f>VLOOKUP(Tableau2[[#This Row],[essence]],Tableau5[],22,FALSE)</f>
        <v>1.1384000000000001</v>
      </c>
      <c r="AU10" s="12">
        <f>VLOOKUP(Tableau2[[#This Row],[essence]],Tableau5[],23,FALSE)</f>
        <v>1.0699999999999999E-2</v>
      </c>
      <c r="AV10" s="12">
        <f>VLOOKUP(Tableau2[[#This Row],[essence]],Tableau5[],18,FALSE)</f>
        <v>0</v>
      </c>
      <c r="AW1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2.0391999999999983</v>
      </c>
      <c r="AX10" s="12">
        <f>1/(1+EXP(-Tableau2[[#This Row],[xb_c]]))</f>
        <v>0.88485178176202128</v>
      </c>
      <c r="AY10" s="12" t="str">
        <f t="shared" si="0"/>
        <v>NA</v>
      </c>
      <c r="AZ10" s="12" t="str">
        <f t="shared" si="1"/>
        <v>NA</v>
      </c>
      <c r="BA10" s="12">
        <f>Tableau2[[#This Row],[prob_c]]</f>
        <v>0.88485178176202128</v>
      </c>
      <c r="BB10" s="12">
        <f>1-Tableau2[[#This Row],[prob_c]]</f>
        <v>0.11514821823797872</v>
      </c>
    </row>
    <row r="11" spans="1:54" x14ac:dyDescent="0.25">
      <c r="A11" s="12">
        <v>1</v>
      </c>
      <c r="B11" s="12">
        <v>1</v>
      </c>
      <c r="C11" s="12">
        <v>2.1</v>
      </c>
      <c r="D11" s="12">
        <v>700</v>
      </c>
      <c r="E11" s="12">
        <v>20</v>
      </c>
      <c r="F11" s="12">
        <v>1</v>
      </c>
      <c r="G11" s="12">
        <v>10</v>
      </c>
      <c r="H11" s="12">
        <v>33</v>
      </c>
      <c r="I11" s="12" t="s">
        <v>22</v>
      </c>
      <c r="J11" s="12" t="s">
        <v>27</v>
      </c>
      <c r="K11" s="12">
        <f>VLOOKUP(Tableau2[[#This Row],[essence]],Tableau5[],2,FALSE)</f>
        <v>-0.54949999999999999</v>
      </c>
      <c r="L11" s="12">
        <f>VLOOKUP(Tableau2[[#This Row],[essence]],Tableau5[],3,FALSE)</f>
        <v>-0.14960000000000001</v>
      </c>
      <c r="M11" s="12">
        <f>IF(Tableau2[[#This Row],[priorecol]]="C",1,0)</f>
        <v>1</v>
      </c>
      <c r="N11" s="12">
        <f>VLOOKUP(Tableau2[[#This Row],[essence]],Tableau5[],4,FALSE)</f>
        <v>1.6746000000000001</v>
      </c>
      <c r="O11" s="12">
        <f>IF(Tableau2[[#This Row],[priorecol]]="R",1,0)</f>
        <v>0</v>
      </c>
      <c r="P11" s="12">
        <f>VLOOKUP(Tableau2[[#This Row],[essence]],Tableau5[],5,FALSE)</f>
        <v>0.65110000000000001</v>
      </c>
      <c r="Q11" s="12">
        <f>IF(Tableau2[[#This Row],[priorecol]]="S",1,0)</f>
        <v>0</v>
      </c>
      <c r="R11" s="12">
        <f>VLOOKUP(Tableau2[[#This Row],[essence]],Tableau5[],6,FALSE)</f>
        <v>-3.0599999999999999E-2</v>
      </c>
      <c r="S11" s="12">
        <f>VLOOKUP(Tableau2[[#This Row],[essence]],Tableau5[],15,FALSE)</f>
        <v>-3.8399999999999997E-2</v>
      </c>
      <c r="T11" s="12">
        <f>VLOOKUP(Tableau2[[#This Row],[essence]],Tableau5[],7,FALSE)</f>
        <v>1.2454000000000001</v>
      </c>
      <c r="U11" s="12">
        <f>IF(Tableau2[[#This Row],[sdom]]=1,1,0)</f>
        <v>1</v>
      </c>
      <c r="V11" s="12">
        <f>VLOOKUP(Tableau2[[#This Row],[essence]],Tableau5[],8,FALSE)</f>
        <v>0.85550000000000004</v>
      </c>
      <c r="W11" s="12">
        <f>IF(Tableau2[[#This Row],[sdom]]="2EST",1,0)</f>
        <v>0</v>
      </c>
      <c r="X11" s="12">
        <f>VLOOKUP(Tableau2[[#This Row],[essence]],Tableau5[],9,FALSE)</f>
        <v>1.2195</v>
      </c>
      <c r="Y11" s="12">
        <f>IF(Tableau2[[#This Row],[sdom]]="2OUEST",1,0)</f>
        <v>0</v>
      </c>
      <c r="Z11" s="12">
        <f>VLOOKUP(Tableau2[[#This Row],[essence]],Tableau5[],10,FALSE)</f>
        <v>0.94630000000000003</v>
      </c>
      <c r="AA11" s="12">
        <f>IF(Tableau2[[#This Row],[sdom]]="3EST",1,0)</f>
        <v>0</v>
      </c>
      <c r="AB11" s="12">
        <f>VLOOKUP(Tableau2[[#This Row],[essence]],Tableau5[],11,FALSE)</f>
        <v>0.64859999999999995</v>
      </c>
      <c r="AC11" s="12">
        <f>IF(Tableau2[[#This Row],[sdom]]="3OUEST",1,0)</f>
        <v>0</v>
      </c>
      <c r="AD11" s="12">
        <f>VLOOKUP(Tableau2[[#This Row],[essence]],Tableau5[],12,FALSE)</f>
        <v>0.91920000000000002</v>
      </c>
      <c r="AE11" s="12">
        <f>IF(Tableau2[[#This Row],[sdom]]="4EST",1,0)</f>
        <v>0</v>
      </c>
      <c r="AF11" s="12">
        <f>VLOOKUP(Tableau2[[#This Row],[essence]],Tableau5[],13,FALSE)</f>
        <v>0.67230000000000001</v>
      </c>
      <c r="AG11" s="12">
        <f>IF(Tableau2[[#This Row],[sdom]]="4OUEST",1,0)</f>
        <v>0</v>
      </c>
      <c r="AH11" s="12">
        <f>VLOOKUP(Tableau2[[#This Row],[essence]],Tableau5[],14,FALSE)</f>
        <v>0.43309999999999998</v>
      </c>
      <c r="AI11" s="12">
        <f>IF(Tableau2[[#This Row],[sdom]]="5EST",1,0)</f>
        <v>0</v>
      </c>
      <c r="AJ11" s="12">
        <f>VLOOKUP(Tableau2[[#This Row],[essence]],Tableau5[],16,FALSE)</f>
        <v>0</v>
      </c>
      <c r="AK11" s="12">
        <f>IF(Tableau2[[#This Row],[sdom]]="5OUEST",1,0)</f>
        <v>0</v>
      </c>
      <c r="AL11" s="12">
        <f>VLOOKUP(Tableau2[[#This Row],[essence]],Tableau5[],17,FALSE)</f>
        <v>0</v>
      </c>
      <c r="AM11" s="12">
        <f>IF(Tableau2[[#This Row],[sdom]]="6EST",1,0)</f>
        <v>0</v>
      </c>
      <c r="AN11" s="12">
        <f>VLOOKUP(Tableau2[[#This Row],[essence]],Tableau5[],19,FALSE)</f>
        <v>6.6900000000000001E-2</v>
      </c>
      <c r="AO11" s="12">
        <f>IF(Tableau2[[#This Row],[priorecol]]="C",1,0)</f>
        <v>1</v>
      </c>
      <c r="AP11" s="12">
        <f>VLOOKUP(Tableau2[[#This Row],[essence]],Tableau5[],20,FALSE)</f>
        <v>4.3799999999999999E-2</v>
      </c>
      <c r="AQ11" s="12">
        <f>IF(Tableau2[[#This Row],[priorecol]]="R",1,0)</f>
        <v>0</v>
      </c>
      <c r="AR11" s="12">
        <f>VLOOKUP(Tableau2[[#This Row],[essence]],Tableau5[],21,FALSE)</f>
        <v>2.7900000000000001E-2</v>
      </c>
      <c r="AS11" s="12">
        <f>IF(Tableau2[[#This Row],[priorecol]]="S",1,0)</f>
        <v>0</v>
      </c>
      <c r="AT11" s="12">
        <f>VLOOKUP(Tableau2[[#This Row],[essence]],Tableau5[],22,FALSE)</f>
        <v>0</v>
      </c>
      <c r="AU11" s="12">
        <f>VLOOKUP(Tableau2[[#This Row],[essence]],Tableau5[],23,FALSE)</f>
        <v>1.73E-3</v>
      </c>
      <c r="AV11" s="12">
        <f>VLOOKUP(Tableau2[[#This Row],[essence]],Tableau5[],18,FALSE)</f>
        <v>0.1295</v>
      </c>
      <c r="AW1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2.3899499999999998</v>
      </c>
      <c r="AX11" s="12">
        <f>1/(1+EXP(-Tableau2[[#This Row],[xb_c]]))</f>
        <v>0.91605772338388314</v>
      </c>
      <c r="AY11" s="12" t="str">
        <f t="shared" si="0"/>
        <v>NA</v>
      </c>
      <c r="AZ11" s="12" t="str">
        <f t="shared" si="1"/>
        <v>NA</v>
      </c>
      <c r="BA11" s="12">
        <f>Tableau2[[#This Row],[prob_c]]</f>
        <v>0.91605772338388314</v>
      </c>
      <c r="BB11" s="12">
        <f>1-Tableau2[[#This Row],[prob_c]]</f>
        <v>8.3942276616116862E-2</v>
      </c>
    </row>
    <row r="12" spans="1:54" x14ac:dyDescent="0.25">
      <c r="A12" s="12">
        <v>1</v>
      </c>
      <c r="B12" s="12">
        <v>1</v>
      </c>
      <c r="C12" s="12">
        <v>2.1</v>
      </c>
      <c r="D12" s="12">
        <v>700</v>
      </c>
      <c r="E12" s="12">
        <v>20</v>
      </c>
      <c r="F12" s="12">
        <v>1</v>
      </c>
      <c r="G12" s="12">
        <v>11</v>
      </c>
      <c r="H12" s="12">
        <v>24</v>
      </c>
      <c r="I12" s="12" t="s">
        <v>22</v>
      </c>
      <c r="J12" s="12" t="s">
        <v>28</v>
      </c>
      <c r="K12" s="12">
        <f>VLOOKUP(Tableau2[[#This Row],[essence]],Tableau5[],2,FALSE)</f>
        <v>-0.54949999999999999</v>
      </c>
      <c r="L12" s="12">
        <f>VLOOKUP(Tableau2[[#This Row],[essence]],Tableau5[],3,FALSE)</f>
        <v>-0.14960000000000001</v>
      </c>
      <c r="M12" s="12">
        <f>IF(Tableau2[[#This Row],[priorecol]]="C",1,0)</f>
        <v>0</v>
      </c>
      <c r="N12" s="12">
        <f>VLOOKUP(Tableau2[[#This Row],[essence]],Tableau5[],4,FALSE)</f>
        <v>1.6746000000000001</v>
      </c>
      <c r="O12" s="12">
        <f>IF(Tableau2[[#This Row],[priorecol]]="R",1,0)</f>
        <v>1</v>
      </c>
      <c r="P12" s="12">
        <f>VLOOKUP(Tableau2[[#This Row],[essence]],Tableau5[],5,FALSE)</f>
        <v>0.65110000000000001</v>
      </c>
      <c r="Q12" s="12">
        <f>IF(Tableau2[[#This Row],[priorecol]]="S",1,0)</f>
        <v>0</v>
      </c>
      <c r="R12" s="12">
        <f>VLOOKUP(Tableau2[[#This Row],[essence]],Tableau5[],6,FALSE)</f>
        <v>-3.0599999999999999E-2</v>
      </c>
      <c r="S12" s="12">
        <f>VLOOKUP(Tableau2[[#This Row],[essence]],Tableau5[],15,FALSE)</f>
        <v>-3.8399999999999997E-2</v>
      </c>
      <c r="T12" s="12">
        <f>VLOOKUP(Tableau2[[#This Row],[essence]],Tableau5[],7,FALSE)</f>
        <v>1.2454000000000001</v>
      </c>
      <c r="U12" s="12">
        <f>IF(Tableau2[[#This Row],[sdom]]=1,1,0)</f>
        <v>1</v>
      </c>
      <c r="V12" s="12">
        <f>VLOOKUP(Tableau2[[#This Row],[essence]],Tableau5[],8,FALSE)</f>
        <v>0.85550000000000004</v>
      </c>
      <c r="W12" s="12">
        <f>IF(Tableau2[[#This Row],[sdom]]="2EST",1,0)</f>
        <v>0</v>
      </c>
      <c r="X12" s="12">
        <f>VLOOKUP(Tableau2[[#This Row],[essence]],Tableau5[],9,FALSE)</f>
        <v>1.2195</v>
      </c>
      <c r="Y12" s="12">
        <f>IF(Tableau2[[#This Row],[sdom]]="2OUEST",1,0)</f>
        <v>0</v>
      </c>
      <c r="Z12" s="12">
        <f>VLOOKUP(Tableau2[[#This Row],[essence]],Tableau5[],10,FALSE)</f>
        <v>0.94630000000000003</v>
      </c>
      <c r="AA12" s="12">
        <f>IF(Tableau2[[#This Row],[sdom]]="3EST",1,0)</f>
        <v>0</v>
      </c>
      <c r="AB12" s="12">
        <f>VLOOKUP(Tableau2[[#This Row],[essence]],Tableau5[],11,FALSE)</f>
        <v>0.64859999999999995</v>
      </c>
      <c r="AC12" s="12">
        <f>IF(Tableau2[[#This Row],[sdom]]="3OUEST",1,0)</f>
        <v>0</v>
      </c>
      <c r="AD12" s="12">
        <f>VLOOKUP(Tableau2[[#This Row],[essence]],Tableau5[],12,FALSE)</f>
        <v>0.91920000000000002</v>
      </c>
      <c r="AE12" s="12">
        <f>IF(Tableau2[[#This Row],[sdom]]="4EST",1,0)</f>
        <v>0</v>
      </c>
      <c r="AF12" s="12">
        <f>VLOOKUP(Tableau2[[#This Row],[essence]],Tableau5[],13,FALSE)</f>
        <v>0.67230000000000001</v>
      </c>
      <c r="AG12" s="12">
        <f>IF(Tableau2[[#This Row],[sdom]]="4OUEST",1,0)</f>
        <v>0</v>
      </c>
      <c r="AH12" s="12">
        <f>VLOOKUP(Tableau2[[#This Row],[essence]],Tableau5[],14,FALSE)</f>
        <v>0.43309999999999998</v>
      </c>
      <c r="AI12" s="12">
        <f>IF(Tableau2[[#This Row],[sdom]]="5EST",1,0)</f>
        <v>0</v>
      </c>
      <c r="AJ12" s="12">
        <f>VLOOKUP(Tableau2[[#This Row],[essence]],Tableau5[],16,FALSE)</f>
        <v>0</v>
      </c>
      <c r="AK12" s="12">
        <f>IF(Tableau2[[#This Row],[sdom]]="5OUEST",1,0)</f>
        <v>0</v>
      </c>
      <c r="AL12" s="12">
        <f>VLOOKUP(Tableau2[[#This Row],[essence]],Tableau5[],17,FALSE)</f>
        <v>0</v>
      </c>
      <c r="AM12" s="12">
        <f>IF(Tableau2[[#This Row],[sdom]]="6EST",1,0)</f>
        <v>0</v>
      </c>
      <c r="AN12" s="12">
        <f>VLOOKUP(Tableau2[[#This Row],[essence]],Tableau5[],19,FALSE)</f>
        <v>6.6900000000000001E-2</v>
      </c>
      <c r="AO12" s="12">
        <f>IF(Tableau2[[#This Row],[priorecol]]="C",1,0)</f>
        <v>0</v>
      </c>
      <c r="AP12" s="12">
        <f>VLOOKUP(Tableau2[[#This Row],[essence]],Tableau5[],20,FALSE)</f>
        <v>4.3799999999999999E-2</v>
      </c>
      <c r="AQ12" s="12">
        <f>IF(Tableau2[[#This Row],[priorecol]]="R",1,0)</f>
        <v>1</v>
      </c>
      <c r="AR12" s="12">
        <f>VLOOKUP(Tableau2[[#This Row],[essence]],Tableau5[],21,FALSE)</f>
        <v>2.7900000000000001E-2</v>
      </c>
      <c r="AS12" s="12">
        <f>IF(Tableau2[[#This Row],[priorecol]]="S",1,0)</f>
        <v>0</v>
      </c>
      <c r="AT12" s="12">
        <f>VLOOKUP(Tableau2[[#This Row],[essence]],Tableau5[],22,FALSE)</f>
        <v>0</v>
      </c>
      <c r="AU12" s="12">
        <f>VLOOKUP(Tableau2[[#This Row],[essence]],Tableau5[],23,FALSE)</f>
        <v>1.73E-3</v>
      </c>
      <c r="AV12" s="12">
        <f>VLOOKUP(Tableau2[[#This Row],[essence]],Tableau5[],18,FALSE)</f>
        <v>0.1295</v>
      </c>
      <c r="AW1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3.0216500000000002</v>
      </c>
      <c r="AX12" s="12">
        <f>1/(1+EXP(-Tableau2[[#This Row],[xb_c]]))</f>
        <v>0.95354267363002576</v>
      </c>
      <c r="AY12" s="12" t="str">
        <f t="shared" si="0"/>
        <v>NA</v>
      </c>
      <c r="AZ12" s="12" t="str">
        <f t="shared" si="1"/>
        <v>NA</v>
      </c>
      <c r="BA12" s="12">
        <f>Tableau2[[#This Row],[prob_c]]</f>
        <v>0.95354267363002576</v>
      </c>
      <c r="BB12" s="12">
        <f>1-Tableau2[[#This Row],[prob_c]]</f>
        <v>4.6457326369974239E-2</v>
      </c>
    </row>
    <row r="13" spans="1:54" x14ac:dyDescent="0.25">
      <c r="A13" s="12">
        <v>1</v>
      </c>
      <c r="B13" s="12">
        <v>1</v>
      </c>
      <c r="C13" s="12">
        <v>2.1</v>
      </c>
      <c r="D13" s="12">
        <v>700</v>
      </c>
      <c r="E13" s="12">
        <v>20</v>
      </c>
      <c r="F13" s="12">
        <v>1</v>
      </c>
      <c r="G13" s="12">
        <v>12</v>
      </c>
      <c r="H13" s="12">
        <v>25</v>
      </c>
      <c r="I13" s="12" t="s">
        <v>22</v>
      </c>
      <c r="J13" s="12" t="s">
        <v>29</v>
      </c>
      <c r="K13" s="12">
        <f>VLOOKUP(Tableau2[[#This Row],[essence]],Tableau5[],2,FALSE)</f>
        <v>-0.54949999999999999</v>
      </c>
      <c r="L13" s="12">
        <f>VLOOKUP(Tableau2[[#This Row],[essence]],Tableau5[],3,FALSE)</f>
        <v>-0.14960000000000001</v>
      </c>
      <c r="M13" s="12">
        <f>IF(Tableau2[[#This Row],[priorecol]]="C",1,0)</f>
        <v>0</v>
      </c>
      <c r="N13" s="12">
        <f>VLOOKUP(Tableau2[[#This Row],[essence]],Tableau5[],4,FALSE)</f>
        <v>1.6746000000000001</v>
      </c>
      <c r="O13" s="12">
        <f>IF(Tableau2[[#This Row],[priorecol]]="R",1,0)</f>
        <v>0</v>
      </c>
      <c r="P13" s="12">
        <f>VLOOKUP(Tableau2[[#This Row],[essence]],Tableau5[],5,FALSE)</f>
        <v>0.65110000000000001</v>
      </c>
      <c r="Q13" s="12">
        <f>IF(Tableau2[[#This Row],[priorecol]]="S",1,0)</f>
        <v>1</v>
      </c>
      <c r="R13" s="12">
        <f>VLOOKUP(Tableau2[[#This Row],[essence]],Tableau5[],6,FALSE)</f>
        <v>-3.0599999999999999E-2</v>
      </c>
      <c r="S13" s="12">
        <f>VLOOKUP(Tableau2[[#This Row],[essence]],Tableau5[],15,FALSE)</f>
        <v>-3.8399999999999997E-2</v>
      </c>
      <c r="T13" s="12">
        <f>VLOOKUP(Tableau2[[#This Row],[essence]],Tableau5[],7,FALSE)</f>
        <v>1.2454000000000001</v>
      </c>
      <c r="U13" s="12">
        <f>IF(Tableau2[[#This Row],[sdom]]=1,1,0)</f>
        <v>1</v>
      </c>
      <c r="V13" s="12">
        <f>VLOOKUP(Tableau2[[#This Row],[essence]],Tableau5[],8,FALSE)</f>
        <v>0.85550000000000004</v>
      </c>
      <c r="W13" s="12">
        <f>IF(Tableau2[[#This Row],[sdom]]="2EST",1,0)</f>
        <v>0</v>
      </c>
      <c r="X13" s="12">
        <f>VLOOKUP(Tableau2[[#This Row],[essence]],Tableau5[],9,FALSE)</f>
        <v>1.2195</v>
      </c>
      <c r="Y13" s="12">
        <f>IF(Tableau2[[#This Row],[sdom]]="2OUEST",1,0)</f>
        <v>0</v>
      </c>
      <c r="Z13" s="12">
        <f>VLOOKUP(Tableau2[[#This Row],[essence]],Tableau5[],10,FALSE)</f>
        <v>0.94630000000000003</v>
      </c>
      <c r="AA13" s="12">
        <f>IF(Tableau2[[#This Row],[sdom]]="3EST",1,0)</f>
        <v>0</v>
      </c>
      <c r="AB13" s="12">
        <f>VLOOKUP(Tableau2[[#This Row],[essence]],Tableau5[],11,FALSE)</f>
        <v>0.64859999999999995</v>
      </c>
      <c r="AC13" s="12">
        <f>IF(Tableau2[[#This Row],[sdom]]="3OUEST",1,0)</f>
        <v>0</v>
      </c>
      <c r="AD13" s="12">
        <f>VLOOKUP(Tableau2[[#This Row],[essence]],Tableau5[],12,FALSE)</f>
        <v>0.91920000000000002</v>
      </c>
      <c r="AE13" s="12">
        <f>IF(Tableau2[[#This Row],[sdom]]="4EST",1,0)</f>
        <v>0</v>
      </c>
      <c r="AF13" s="12">
        <f>VLOOKUP(Tableau2[[#This Row],[essence]],Tableau5[],13,FALSE)</f>
        <v>0.67230000000000001</v>
      </c>
      <c r="AG13" s="12">
        <f>IF(Tableau2[[#This Row],[sdom]]="4OUEST",1,0)</f>
        <v>0</v>
      </c>
      <c r="AH13" s="12">
        <f>VLOOKUP(Tableau2[[#This Row],[essence]],Tableau5[],14,FALSE)</f>
        <v>0.43309999999999998</v>
      </c>
      <c r="AI13" s="12">
        <f>IF(Tableau2[[#This Row],[sdom]]="5EST",1,0)</f>
        <v>0</v>
      </c>
      <c r="AJ13" s="12">
        <f>VLOOKUP(Tableau2[[#This Row],[essence]],Tableau5[],16,FALSE)</f>
        <v>0</v>
      </c>
      <c r="AK13" s="12">
        <f>IF(Tableau2[[#This Row],[sdom]]="5OUEST",1,0)</f>
        <v>0</v>
      </c>
      <c r="AL13" s="12">
        <f>VLOOKUP(Tableau2[[#This Row],[essence]],Tableau5[],17,FALSE)</f>
        <v>0</v>
      </c>
      <c r="AM13" s="12">
        <f>IF(Tableau2[[#This Row],[sdom]]="6EST",1,0)</f>
        <v>0</v>
      </c>
      <c r="AN13" s="12">
        <f>VLOOKUP(Tableau2[[#This Row],[essence]],Tableau5[],19,FALSE)</f>
        <v>6.6900000000000001E-2</v>
      </c>
      <c r="AO13" s="12">
        <f>IF(Tableau2[[#This Row],[priorecol]]="C",1,0)</f>
        <v>0</v>
      </c>
      <c r="AP13" s="12">
        <f>VLOOKUP(Tableau2[[#This Row],[essence]],Tableau5[],20,FALSE)</f>
        <v>4.3799999999999999E-2</v>
      </c>
      <c r="AQ13" s="12">
        <f>IF(Tableau2[[#This Row],[priorecol]]="R",1,0)</f>
        <v>0</v>
      </c>
      <c r="AR13" s="12">
        <f>VLOOKUP(Tableau2[[#This Row],[essence]],Tableau5[],21,FALSE)</f>
        <v>2.7900000000000001E-2</v>
      </c>
      <c r="AS13" s="12">
        <f>IF(Tableau2[[#This Row],[priorecol]]="S",1,0)</f>
        <v>1</v>
      </c>
      <c r="AT13" s="12">
        <f>VLOOKUP(Tableau2[[#This Row],[essence]],Tableau5[],22,FALSE)</f>
        <v>0</v>
      </c>
      <c r="AU13" s="12">
        <f>VLOOKUP(Tableau2[[#This Row],[essence]],Tableau5[],23,FALSE)</f>
        <v>1.73E-3</v>
      </c>
      <c r="AV13" s="12">
        <f>VLOOKUP(Tableau2[[#This Row],[essence]],Tableau5[],18,FALSE)</f>
        <v>0.1295</v>
      </c>
      <c r="AW1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1.64845</v>
      </c>
      <c r="AX13" s="12">
        <f>1/(1+EXP(-Tableau2[[#This Row],[xb_c]]))</f>
        <v>0.83868145344132716</v>
      </c>
      <c r="AY13" s="12" t="str">
        <f t="shared" si="0"/>
        <v>NA</v>
      </c>
      <c r="AZ13" s="12" t="str">
        <f t="shared" si="1"/>
        <v>NA</v>
      </c>
      <c r="BA13" s="12">
        <f>Tableau2[[#This Row],[prob_c]]</f>
        <v>0.83868145344132716</v>
      </c>
      <c r="BB13" s="12">
        <f>1-Tableau2[[#This Row],[prob_c]]</f>
        <v>0.16131854655867284</v>
      </c>
    </row>
    <row r="14" spans="1:54" x14ac:dyDescent="0.25">
      <c r="A14" s="12">
        <v>1</v>
      </c>
      <c r="B14" s="12">
        <v>1</v>
      </c>
      <c r="C14" s="12">
        <v>2.1</v>
      </c>
      <c r="D14" s="12">
        <v>700</v>
      </c>
      <c r="E14" s="12">
        <v>20</v>
      </c>
      <c r="F14" s="12">
        <v>1</v>
      </c>
      <c r="G14" s="12">
        <v>13</v>
      </c>
      <c r="H14" s="12">
        <v>26</v>
      </c>
      <c r="I14" s="12" t="s">
        <v>23</v>
      </c>
      <c r="J14" s="12" t="s">
        <v>27</v>
      </c>
      <c r="K14" s="12">
        <f>VLOOKUP(Tableau2[[#This Row],[essence]],Tableau5[],2,FALSE)</f>
        <v>-1.5804</v>
      </c>
      <c r="L14" s="12">
        <f>VLOOKUP(Tableau2[[#This Row],[essence]],Tableau5[],3,FALSE)</f>
        <v>0.70079999999999998</v>
      </c>
      <c r="M14" s="12">
        <f>IF(Tableau2[[#This Row],[priorecol]]="C",1,0)</f>
        <v>1</v>
      </c>
      <c r="N14" s="12">
        <f>VLOOKUP(Tableau2[[#This Row],[essence]],Tableau5[],4,FALSE)</f>
        <v>0.1178</v>
      </c>
      <c r="O14" s="12">
        <f>IF(Tableau2[[#This Row],[priorecol]]="R",1,0)</f>
        <v>0</v>
      </c>
      <c r="P14" s="12">
        <f>VLOOKUP(Tableau2[[#This Row],[essence]],Tableau5[],5,FALSE)</f>
        <v>0.88300000000000001</v>
      </c>
      <c r="Q14" s="12">
        <f>IF(Tableau2[[#This Row],[priorecol]]="S",1,0)</f>
        <v>0</v>
      </c>
      <c r="R14" s="12">
        <f>VLOOKUP(Tableau2[[#This Row],[essence]],Tableau5[],6,FALSE)</f>
        <v>4.8599999999999997E-2</v>
      </c>
      <c r="S14" s="12">
        <f>VLOOKUP(Tableau2[[#This Row],[essence]],Tableau5[],15,FALSE)</f>
        <v>0</v>
      </c>
      <c r="T14" s="12">
        <f>VLOOKUP(Tableau2[[#This Row],[essence]],Tableau5[],7,FALSE)</f>
        <v>1.111</v>
      </c>
      <c r="U14" s="12">
        <f>IF(Tableau2[[#This Row],[sdom]]=1,1,0)</f>
        <v>1</v>
      </c>
      <c r="V14" s="12">
        <f>VLOOKUP(Tableau2[[#This Row],[essence]],Tableau5[],8,FALSE)</f>
        <v>0.68489999999999995</v>
      </c>
      <c r="W14" s="12">
        <f>IF(Tableau2[[#This Row],[sdom]]="2EST",1,0)</f>
        <v>0</v>
      </c>
      <c r="X14" s="12">
        <f>VLOOKUP(Tableau2[[#This Row],[essence]],Tableau5[],9,FALSE)</f>
        <v>0.72130000000000005</v>
      </c>
      <c r="Y14" s="12">
        <f>IF(Tableau2[[#This Row],[sdom]]="2OUEST",1,0)</f>
        <v>0</v>
      </c>
      <c r="Z14" s="12">
        <f>VLOOKUP(Tableau2[[#This Row],[essence]],Tableau5[],10,FALSE)</f>
        <v>0.83930000000000005</v>
      </c>
      <c r="AA14" s="12">
        <f>IF(Tableau2[[#This Row],[sdom]]="3EST",1,0)</f>
        <v>0</v>
      </c>
      <c r="AB14" s="12">
        <f>VLOOKUP(Tableau2[[#This Row],[essence]],Tableau5[],11,FALSE)</f>
        <v>0.6865</v>
      </c>
      <c r="AC14" s="12">
        <f>IF(Tableau2[[#This Row],[sdom]]="3OUEST",1,0)</f>
        <v>0</v>
      </c>
      <c r="AD14" s="12">
        <f>VLOOKUP(Tableau2[[#This Row],[essence]],Tableau5[],12,FALSE)</f>
        <v>0.79569999999999996</v>
      </c>
      <c r="AE14" s="12">
        <f>IF(Tableau2[[#This Row],[sdom]]="4EST",1,0)</f>
        <v>0</v>
      </c>
      <c r="AF14" s="12">
        <f>VLOOKUP(Tableau2[[#This Row],[essence]],Tableau5[],13,FALSE)</f>
        <v>0.54700000000000004</v>
      </c>
      <c r="AG14" s="12">
        <f>IF(Tableau2[[#This Row],[sdom]]="4OUEST",1,0)</f>
        <v>0</v>
      </c>
      <c r="AH14" s="12">
        <f>VLOOKUP(Tableau2[[#This Row],[essence]],Tableau5[],14,FALSE)</f>
        <v>0</v>
      </c>
      <c r="AI14" s="12">
        <f>IF(Tableau2[[#This Row],[sdom]]="5EST",1,0)</f>
        <v>0</v>
      </c>
      <c r="AJ14" s="12">
        <f>VLOOKUP(Tableau2[[#This Row],[essence]],Tableau5[],16,FALSE)</f>
        <v>0</v>
      </c>
      <c r="AK14" s="12">
        <f>IF(Tableau2[[#This Row],[sdom]]="5OUEST",1,0)</f>
        <v>0</v>
      </c>
      <c r="AL14" s="12">
        <f>VLOOKUP(Tableau2[[#This Row],[essence]],Tableau5[],17,FALSE)</f>
        <v>0</v>
      </c>
      <c r="AM14" s="12">
        <f>IF(Tableau2[[#This Row],[sdom]]="6EST",1,0)</f>
        <v>0</v>
      </c>
      <c r="AN14" s="12">
        <f>VLOOKUP(Tableau2[[#This Row],[essence]],Tableau5[],19,FALSE)</f>
        <v>4.2000000000000003E-2</v>
      </c>
      <c r="AO14" s="12">
        <f>IF(Tableau2[[#This Row],[priorecol]]="C",1,0)</f>
        <v>1</v>
      </c>
      <c r="AP14" s="12">
        <f>VLOOKUP(Tableau2[[#This Row],[essence]],Tableau5[],20,FALSE)</f>
        <v>0.111</v>
      </c>
      <c r="AQ14" s="12">
        <f>IF(Tableau2[[#This Row],[priorecol]]="R",1,0)</f>
        <v>0</v>
      </c>
      <c r="AR14" s="12">
        <f>VLOOKUP(Tableau2[[#This Row],[essence]],Tableau5[],21,FALSE)</f>
        <v>4.3600000000000002E-3</v>
      </c>
      <c r="AS14" s="12">
        <f>IF(Tableau2[[#This Row],[priorecol]]="S",1,0)</f>
        <v>0</v>
      </c>
      <c r="AT14" s="12">
        <f>VLOOKUP(Tableau2[[#This Row],[essence]],Tableau5[],22,FALSE)</f>
        <v>0</v>
      </c>
      <c r="AU14" s="12">
        <f>VLOOKUP(Tableau2[[#This Row],[essence]],Tableau5[],23,FALSE)</f>
        <v>0</v>
      </c>
      <c r="AV14" s="12">
        <f>VLOOKUP(Tableau2[[#This Row],[essence]],Tableau5[],18,FALSE)</f>
        <v>0</v>
      </c>
      <c r="AW1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2.5869999999999997</v>
      </c>
      <c r="AX14" s="12">
        <f>1/(1+EXP(-Tableau2[[#This Row],[xb_c]]))</f>
        <v>0.93002022099789916</v>
      </c>
      <c r="AY14" s="12" t="str">
        <f t="shared" si="0"/>
        <v>NA</v>
      </c>
      <c r="AZ14" s="12" t="str">
        <f t="shared" si="1"/>
        <v>NA</v>
      </c>
      <c r="BA14" s="12">
        <f>Tableau2[[#This Row],[prob_c]]</f>
        <v>0.93002022099789916</v>
      </c>
      <c r="BB14" s="12">
        <f>1-Tableau2[[#This Row],[prob_c]]</f>
        <v>6.9979779002100839E-2</v>
      </c>
    </row>
    <row r="15" spans="1:54" x14ac:dyDescent="0.25">
      <c r="A15" s="12">
        <v>1</v>
      </c>
      <c r="B15" s="12">
        <v>1</v>
      </c>
      <c r="C15" s="12">
        <v>2.1</v>
      </c>
      <c r="D15" s="12">
        <v>700</v>
      </c>
      <c r="E15" s="12">
        <v>20</v>
      </c>
      <c r="F15" s="12">
        <v>1</v>
      </c>
      <c r="G15" s="12">
        <v>14</v>
      </c>
      <c r="H15" s="12">
        <v>27</v>
      </c>
      <c r="I15" s="12" t="s">
        <v>23</v>
      </c>
      <c r="J15" s="12" t="s">
        <v>28</v>
      </c>
      <c r="K15" s="12">
        <f>VLOOKUP(Tableau2[[#This Row],[essence]],Tableau5[],2,FALSE)</f>
        <v>-1.5804</v>
      </c>
      <c r="L15" s="12">
        <f>VLOOKUP(Tableau2[[#This Row],[essence]],Tableau5[],3,FALSE)</f>
        <v>0.70079999999999998</v>
      </c>
      <c r="M15" s="12">
        <f>IF(Tableau2[[#This Row],[priorecol]]="C",1,0)</f>
        <v>0</v>
      </c>
      <c r="N15" s="12">
        <f>VLOOKUP(Tableau2[[#This Row],[essence]],Tableau5[],4,FALSE)</f>
        <v>0.1178</v>
      </c>
      <c r="O15" s="12">
        <f>IF(Tableau2[[#This Row],[priorecol]]="R",1,0)</f>
        <v>1</v>
      </c>
      <c r="P15" s="12">
        <f>VLOOKUP(Tableau2[[#This Row],[essence]],Tableau5[],5,FALSE)</f>
        <v>0.88300000000000001</v>
      </c>
      <c r="Q15" s="12">
        <f>IF(Tableau2[[#This Row],[priorecol]]="S",1,0)</f>
        <v>0</v>
      </c>
      <c r="R15" s="12">
        <f>VLOOKUP(Tableau2[[#This Row],[essence]],Tableau5[],6,FALSE)</f>
        <v>4.8599999999999997E-2</v>
      </c>
      <c r="S15" s="12">
        <f>VLOOKUP(Tableau2[[#This Row],[essence]],Tableau5[],15,FALSE)</f>
        <v>0</v>
      </c>
      <c r="T15" s="12">
        <f>VLOOKUP(Tableau2[[#This Row],[essence]],Tableau5[],7,FALSE)</f>
        <v>1.111</v>
      </c>
      <c r="U15" s="12">
        <f>IF(Tableau2[[#This Row],[sdom]]=1,1,0)</f>
        <v>1</v>
      </c>
      <c r="V15" s="12">
        <f>VLOOKUP(Tableau2[[#This Row],[essence]],Tableau5[],8,FALSE)</f>
        <v>0.68489999999999995</v>
      </c>
      <c r="W15" s="12">
        <f>IF(Tableau2[[#This Row],[sdom]]="2EST",1,0)</f>
        <v>0</v>
      </c>
      <c r="X15" s="12">
        <f>VLOOKUP(Tableau2[[#This Row],[essence]],Tableau5[],9,FALSE)</f>
        <v>0.72130000000000005</v>
      </c>
      <c r="Y15" s="12">
        <f>IF(Tableau2[[#This Row],[sdom]]="2OUEST",1,0)</f>
        <v>0</v>
      </c>
      <c r="Z15" s="12">
        <f>VLOOKUP(Tableau2[[#This Row],[essence]],Tableau5[],10,FALSE)</f>
        <v>0.83930000000000005</v>
      </c>
      <c r="AA15" s="12">
        <f>IF(Tableau2[[#This Row],[sdom]]="3EST",1,0)</f>
        <v>0</v>
      </c>
      <c r="AB15" s="12">
        <f>VLOOKUP(Tableau2[[#This Row],[essence]],Tableau5[],11,FALSE)</f>
        <v>0.6865</v>
      </c>
      <c r="AC15" s="12">
        <f>IF(Tableau2[[#This Row],[sdom]]="3OUEST",1,0)</f>
        <v>0</v>
      </c>
      <c r="AD15" s="12">
        <f>VLOOKUP(Tableau2[[#This Row],[essence]],Tableau5[],12,FALSE)</f>
        <v>0.79569999999999996</v>
      </c>
      <c r="AE15" s="12">
        <f>IF(Tableau2[[#This Row],[sdom]]="4EST",1,0)</f>
        <v>0</v>
      </c>
      <c r="AF15" s="12">
        <f>VLOOKUP(Tableau2[[#This Row],[essence]],Tableau5[],13,FALSE)</f>
        <v>0.54700000000000004</v>
      </c>
      <c r="AG15" s="12">
        <f>IF(Tableau2[[#This Row],[sdom]]="4OUEST",1,0)</f>
        <v>0</v>
      </c>
      <c r="AH15" s="12">
        <f>VLOOKUP(Tableau2[[#This Row],[essence]],Tableau5[],14,FALSE)</f>
        <v>0</v>
      </c>
      <c r="AI15" s="12">
        <f>IF(Tableau2[[#This Row],[sdom]]="5EST",1,0)</f>
        <v>0</v>
      </c>
      <c r="AJ15" s="12">
        <f>VLOOKUP(Tableau2[[#This Row],[essence]],Tableau5[],16,FALSE)</f>
        <v>0</v>
      </c>
      <c r="AK15" s="12">
        <f>IF(Tableau2[[#This Row],[sdom]]="5OUEST",1,0)</f>
        <v>0</v>
      </c>
      <c r="AL15" s="12">
        <f>VLOOKUP(Tableau2[[#This Row],[essence]],Tableau5[],17,FALSE)</f>
        <v>0</v>
      </c>
      <c r="AM15" s="12">
        <f>IF(Tableau2[[#This Row],[sdom]]="6EST",1,0)</f>
        <v>0</v>
      </c>
      <c r="AN15" s="12">
        <f>VLOOKUP(Tableau2[[#This Row],[essence]],Tableau5[],19,FALSE)</f>
        <v>4.2000000000000003E-2</v>
      </c>
      <c r="AO15" s="12">
        <f>IF(Tableau2[[#This Row],[priorecol]]="C",1,0)</f>
        <v>0</v>
      </c>
      <c r="AP15" s="12">
        <f>VLOOKUP(Tableau2[[#This Row],[essence]],Tableau5[],20,FALSE)</f>
        <v>0.111</v>
      </c>
      <c r="AQ15" s="12">
        <f>IF(Tableau2[[#This Row],[priorecol]]="R",1,0)</f>
        <v>1</v>
      </c>
      <c r="AR15" s="12">
        <f>VLOOKUP(Tableau2[[#This Row],[essence]],Tableau5[],21,FALSE)</f>
        <v>4.3600000000000002E-3</v>
      </c>
      <c r="AS15" s="12">
        <f>IF(Tableau2[[#This Row],[priorecol]]="S",1,0)</f>
        <v>0</v>
      </c>
      <c r="AT15" s="12">
        <f>VLOOKUP(Tableau2[[#This Row],[essence]],Tableau5[],22,FALSE)</f>
        <v>0</v>
      </c>
      <c r="AU15" s="12">
        <f>VLOOKUP(Tableau2[[#This Row],[essence]],Tableau5[],23,FALSE)</f>
        <v>0</v>
      </c>
      <c r="AV15" s="12">
        <f>VLOOKUP(Tableau2[[#This Row],[essence]],Tableau5[],18,FALSE)</f>
        <v>0</v>
      </c>
      <c r="AW1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3.9575999999999998</v>
      </c>
      <c r="AX15" s="12">
        <f>1/(1+EXP(-Tableau2[[#This Row],[xb_c]]))</f>
        <v>0.98124938333550749</v>
      </c>
      <c r="AY15" s="12" t="str">
        <f t="shared" si="0"/>
        <v>NA</v>
      </c>
      <c r="AZ15" s="12" t="str">
        <f t="shared" si="1"/>
        <v>NA</v>
      </c>
      <c r="BA15" s="12">
        <f>Tableau2[[#This Row],[prob_c]]</f>
        <v>0.98124938333550749</v>
      </c>
      <c r="BB15" s="12">
        <f>1-Tableau2[[#This Row],[prob_c]]</f>
        <v>1.8750616664492514E-2</v>
      </c>
    </row>
    <row r="16" spans="1:54" x14ac:dyDescent="0.25">
      <c r="A16" s="12">
        <v>1</v>
      </c>
      <c r="B16" s="12">
        <v>1</v>
      </c>
      <c r="C16" s="12">
        <v>2.1</v>
      </c>
      <c r="D16" s="12">
        <v>700</v>
      </c>
      <c r="E16" s="12">
        <v>20</v>
      </c>
      <c r="F16" s="12">
        <v>1</v>
      </c>
      <c r="G16" s="12">
        <v>15</v>
      </c>
      <c r="H16" s="12">
        <v>28</v>
      </c>
      <c r="I16" s="12" t="s">
        <v>23</v>
      </c>
      <c r="J16" s="12" t="s">
        <v>29</v>
      </c>
      <c r="K16" s="12">
        <f>VLOOKUP(Tableau2[[#This Row],[essence]],Tableau5[],2,FALSE)</f>
        <v>-1.5804</v>
      </c>
      <c r="L16" s="12">
        <f>VLOOKUP(Tableau2[[#This Row],[essence]],Tableau5[],3,FALSE)</f>
        <v>0.70079999999999998</v>
      </c>
      <c r="M16" s="12">
        <f>IF(Tableau2[[#This Row],[priorecol]]="C",1,0)</f>
        <v>0</v>
      </c>
      <c r="N16" s="12">
        <f>VLOOKUP(Tableau2[[#This Row],[essence]],Tableau5[],4,FALSE)</f>
        <v>0.1178</v>
      </c>
      <c r="O16" s="12">
        <f>IF(Tableau2[[#This Row],[priorecol]]="R",1,0)</f>
        <v>0</v>
      </c>
      <c r="P16" s="12">
        <f>VLOOKUP(Tableau2[[#This Row],[essence]],Tableau5[],5,FALSE)</f>
        <v>0.88300000000000001</v>
      </c>
      <c r="Q16" s="12">
        <f>IF(Tableau2[[#This Row],[priorecol]]="S",1,0)</f>
        <v>1</v>
      </c>
      <c r="R16" s="12">
        <f>VLOOKUP(Tableau2[[#This Row],[essence]],Tableau5[],6,FALSE)</f>
        <v>4.8599999999999997E-2</v>
      </c>
      <c r="S16" s="12">
        <f>VLOOKUP(Tableau2[[#This Row],[essence]],Tableau5[],15,FALSE)</f>
        <v>0</v>
      </c>
      <c r="T16" s="12">
        <f>VLOOKUP(Tableau2[[#This Row],[essence]],Tableau5[],7,FALSE)</f>
        <v>1.111</v>
      </c>
      <c r="U16" s="12">
        <f>IF(Tableau2[[#This Row],[sdom]]=1,1,0)</f>
        <v>1</v>
      </c>
      <c r="V16" s="12">
        <f>VLOOKUP(Tableau2[[#This Row],[essence]],Tableau5[],8,FALSE)</f>
        <v>0.68489999999999995</v>
      </c>
      <c r="W16" s="12">
        <f>IF(Tableau2[[#This Row],[sdom]]="2EST",1,0)</f>
        <v>0</v>
      </c>
      <c r="X16" s="12">
        <f>VLOOKUP(Tableau2[[#This Row],[essence]],Tableau5[],9,FALSE)</f>
        <v>0.72130000000000005</v>
      </c>
      <c r="Y16" s="12">
        <f>IF(Tableau2[[#This Row],[sdom]]="2OUEST",1,0)</f>
        <v>0</v>
      </c>
      <c r="Z16" s="12">
        <f>VLOOKUP(Tableau2[[#This Row],[essence]],Tableau5[],10,FALSE)</f>
        <v>0.83930000000000005</v>
      </c>
      <c r="AA16" s="12">
        <f>IF(Tableau2[[#This Row],[sdom]]="3EST",1,0)</f>
        <v>0</v>
      </c>
      <c r="AB16" s="12">
        <f>VLOOKUP(Tableau2[[#This Row],[essence]],Tableau5[],11,FALSE)</f>
        <v>0.6865</v>
      </c>
      <c r="AC16" s="12">
        <f>IF(Tableau2[[#This Row],[sdom]]="3OUEST",1,0)</f>
        <v>0</v>
      </c>
      <c r="AD16" s="12">
        <f>VLOOKUP(Tableau2[[#This Row],[essence]],Tableau5[],12,FALSE)</f>
        <v>0.79569999999999996</v>
      </c>
      <c r="AE16" s="12">
        <f>IF(Tableau2[[#This Row],[sdom]]="4EST",1,0)</f>
        <v>0</v>
      </c>
      <c r="AF16" s="12">
        <f>VLOOKUP(Tableau2[[#This Row],[essence]],Tableau5[],13,FALSE)</f>
        <v>0.54700000000000004</v>
      </c>
      <c r="AG16" s="12">
        <f>IF(Tableau2[[#This Row],[sdom]]="4OUEST",1,0)</f>
        <v>0</v>
      </c>
      <c r="AH16" s="12">
        <f>VLOOKUP(Tableau2[[#This Row],[essence]],Tableau5[],14,FALSE)</f>
        <v>0</v>
      </c>
      <c r="AI16" s="12">
        <f>IF(Tableau2[[#This Row],[sdom]]="5EST",1,0)</f>
        <v>0</v>
      </c>
      <c r="AJ16" s="12">
        <f>VLOOKUP(Tableau2[[#This Row],[essence]],Tableau5[],16,FALSE)</f>
        <v>0</v>
      </c>
      <c r="AK16" s="12">
        <f>IF(Tableau2[[#This Row],[sdom]]="5OUEST",1,0)</f>
        <v>0</v>
      </c>
      <c r="AL16" s="12">
        <f>VLOOKUP(Tableau2[[#This Row],[essence]],Tableau5[],17,FALSE)</f>
        <v>0</v>
      </c>
      <c r="AM16" s="12">
        <f>IF(Tableau2[[#This Row],[sdom]]="6EST",1,0)</f>
        <v>0</v>
      </c>
      <c r="AN16" s="12">
        <f>VLOOKUP(Tableau2[[#This Row],[essence]],Tableau5[],19,FALSE)</f>
        <v>4.2000000000000003E-2</v>
      </c>
      <c r="AO16" s="12">
        <f>IF(Tableau2[[#This Row],[priorecol]]="C",1,0)</f>
        <v>0</v>
      </c>
      <c r="AP16" s="12">
        <f>VLOOKUP(Tableau2[[#This Row],[essence]],Tableau5[],20,FALSE)</f>
        <v>0.111</v>
      </c>
      <c r="AQ16" s="12">
        <f>IF(Tableau2[[#This Row],[priorecol]]="R",1,0)</f>
        <v>0</v>
      </c>
      <c r="AR16" s="12">
        <f>VLOOKUP(Tableau2[[#This Row],[essence]],Tableau5[],21,FALSE)</f>
        <v>4.3600000000000002E-3</v>
      </c>
      <c r="AS16" s="12">
        <f>IF(Tableau2[[#This Row],[priorecol]]="S",1,0)</f>
        <v>1</v>
      </c>
      <c r="AT16" s="12">
        <f>VLOOKUP(Tableau2[[#This Row],[essence]],Tableau5[],22,FALSE)</f>
        <v>0</v>
      </c>
      <c r="AU16" s="12">
        <f>VLOOKUP(Tableau2[[#This Row],[essence]],Tableau5[],23,FALSE)</f>
        <v>0</v>
      </c>
      <c r="AV16" s="12">
        <f>VLOOKUP(Tableau2[[#This Row],[essence]],Tableau5[],18,FALSE)</f>
        <v>0</v>
      </c>
      <c r="AW1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1.8964799999999999</v>
      </c>
      <c r="AX16" s="12">
        <f>1/(1+EXP(-Tableau2[[#This Row],[xb_c]]))</f>
        <v>0.86949261214367479</v>
      </c>
      <c r="AY16" s="12" t="str">
        <f t="shared" si="0"/>
        <v>NA</v>
      </c>
      <c r="AZ16" s="12" t="str">
        <f t="shared" si="1"/>
        <v>NA</v>
      </c>
      <c r="BA16" s="12">
        <f>Tableau2[[#This Row],[prob_c]]</f>
        <v>0.86949261214367479</v>
      </c>
      <c r="BB16" s="12">
        <f>1-Tableau2[[#This Row],[prob_c]]</f>
        <v>0.13050738785632521</v>
      </c>
    </row>
    <row r="17" spans="1:54" x14ac:dyDescent="0.25">
      <c r="A17" s="12">
        <v>1</v>
      </c>
      <c r="B17" s="12">
        <v>1</v>
      </c>
      <c r="C17" s="12">
        <v>2.1</v>
      </c>
      <c r="D17" s="12">
        <v>700</v>
      </c>
      <c r="E17" s="12">
        <v>20</v>
      </c>
      <c r="F17" s="12">
        <v>1</v>
      </c>
      <c r="G17" s="12">
        <v>16</v>
      </c>
      <c r="H17" s="12">
        <v>29</v>
      </c>
      <c r="I17" s="12" t="s">
        <v>24</v>
      </c>
      <c r="J17" s="12" t="s">
        <v>27</v>
      </c>
      <c r="K17" s="12">
        <f>VLOOKUP(Tableau2[[#This Row],[essence]],Tableau5[],2,FALSE)</f>
        <v>1.9585999999999999</v>
      </c>
      <c r="L17" s="12">
        <f>VLOOKUP(Tableau2[[#This Row],[essence]],Tableau5[],3,FALSE)</f>
        <v>6.6000000000000003E-2</v>
      </c>
      <c r="M17" s="12">
        <f>IF(Tableau2[[#This Row],[priorecol]]="C",1,0)</f>
        <v>1</v>
      </c>
      <c r="N17" s="12">
        <f>VLOOKUP(Tableau2[[#This Row],[essence]],Tableau5[],4,FALSE)</f>
        <v>-1.9339999999999999</v>
      </c>
      <c r="O17" s="12">
        <f>IF(Tableau2[[#This Row],[priorecol]]="R",1,0)</f>
        <v>0</v>
      </c>
      <c r="P17" s="12">
        <f>VLOOKUP(Tableau2[[#This Row],[essence]],Tableau5[],5,FALSE)</f>
        <v>-4.4771999999999998</v>
      </c>
      <c r="Q17" s="12">
        <f>IF(Tableau2[[#This Row],[priorecol]]="S",1,0)</f>
        <v>0</v>
      </c>
      <c r="R17" s="12">
        <f>VLOOKUP(Tableau2[[#This Row],[essence]],Tableau5[],6,FALSE)</f>
        <v>-2.5499999999999998E-2</v>
      </c>
      <c r="S17" s="12">
        <f>VLOOKUP(Tableau2[[#This Row],[essence]],Tableau5[],15,FALSE)</f>
        <v>0</v>
      </c>
      <c r="T17" s="12">
        <f>VLOOKUP(Tableau2[[#This Row],[essence]],Tableau5[],7,FALSE)</f>
        <v>0</v>
      </c>
      <c r="U17" s="12">
        <f>IF(Tableau2[[#This Row],[sdom]]=1,1,0)</f>
        <v>1</v>
      </c>
      <c r="V17" s="12">
        <f>VLOOKUP(Tableau2[[#This Row],[essence]],Tableau5[],8,FALSE)</f>
        <v>0</v>
      </c>
      <c r="W17" s="12">
        <f>IF(Tableau2[[#This Row],[sdom]]="2EST",1,0)</f>
        <v>0</v>
      </c>
      <c r="X17" s="12">
        <f>VLOOKUP(Tableau2[[#This Row],[essence]],Tableau5[],9,FALSE)</f>
        <v>0</v>
      </c>
      <c r="Y17" s="12">
        <f>IF(Tableau2[[#This Row],[sdom]]="2OUEST",1,0)</f>
        <v>0</v>
      </c>
      <c r="Z17" s="12">
        <f>VLOOKUP(Tableau2[[#This Row],[essence]],Tableau5[],10,FALSE)</f>
        <v>0</v>
      </c>
      <c r="AA17" s="12">
        <f>IF(Tableau2[[#This Row],[sdom]]="3EST",1,0)</f>
        <v>0</v>
      </c>
      <c r="AB17" s="12">
        <f>VLOOKUP(Tableau2[[#This Row],[essence]],Tableau5[],11,FALSE)</f>
        <v>0</v>
      </c>
      <c r="AC17" s="12">
        <f>IF(Tableau2[[#This Row],[sdom]]="3OUEST",1,0)</f>
        <v>0</v>
      </c>
      <c r="AD17" s="12">
        <f>VLOOKUP(Tableau2[[#This Row],[essence]],Tableau5[],12,FALSE)</f>
        <v>0</v>
      </c>
      <c r="AE17" s="12">
        <f>IF(Tableau2[[#This Row],[sdom]]="4EST",1,0)</f>
        <v>0</v>
      </c>
      <c r="AF17" s="12">
        <f>VLOOKUP(Tableau2[[#This Row],[essence]],Tableau5[],13,FALSE)</f>
        <v>0</v>
      </c>
      <c r="AG17" s="12">
        <f>IF(Tableau2[[#This Row],[sdom]]="4OUEST",1,0)</f>
        <v>0</v>
      </c>
      <c r="AH17" s="12">
        <f>VLOOKUP(Tableau2[[#This Row],[essence]],Tableau5[],14,FALSE)</f>
        <v>0</v>
      </c>
      <c r="AI17" s="12">
        <f>IF(Tableau2[[#This Row],[sdom]]="5EST",1,0)</f>
        <v>0</v>
      </c>
      <c r="AJ17" s="12">
        <f>VLOOKUP(Tableau2[[#This Row],[essence]],Tableau5[],16,FALSE)</f>
        <v>0</v>
      </c>
      <c r="AK17" s="12">
        <f>IF(Tableau2[[#This Row],[sdom]]="5OUEST",1,0)</f>
        <v>0</v>
      </c>
      <c r="AL17" s="12">
        <f>VLOOKUP(Tableau2[[#This Row],[essence]],Tableau5[],17,FALSE)</f>
        <v>0</v>
      </c>
      <c r="AM17" s="12">
        <f>IF(Tableau2[[#This Row],[sdom]]="6EST",1,0)</f>
        <v>0</v>
      </c>
      <c r="AN17" s="12">
        <f>VLOOKUP(Tableau2[[#This Row],[essence]],Tableau5[],19,FALSE)</f>
        <v>4.2599999999999999E-2</v>
      </c>
      <c r="AO17" s="12">
        <f>IF(Tableau2[[#This Row],[priorecol]]="C",1,0)</f>
        <v>1</v>
      </c>
      <c r="AP17" s="12">
        <f>VLOOKUP(Tableau2[[#This Row],[essence]],Tableau5[],20,FALSE)</f>
        <v>0.17699999999999999</v>
      </c>
      <c r="AQ17" s="12">
        <f>IF(Tableau2[[#This Row],[priorecol]]="R",1,0)</f>
        <v>0</v>
      </c>
      <c r="AR17" s="12">
        <f>VLOOKUP(Tableau2[[#This Row],[essence]],Tableau5[],21,FALSE)</f>
        <v>0.19650000000000001</v>
      </c>
      <c r="AS17" s="12">
        <f>IF(Tableau2[[#This Row],[priorecol]]="S",1,0)</f>
        <v>0</v>
      </c>
      <c r="AT17" s="12">
        <f>VLOOKUP(Tableau2[[#This Row],[essence]],Tableau5[],22,FALSE)</f>
        <v>0</v>
      </c>
      <c r="AU17" s="12">
        <f>VLOOKUP(Tableau2[[#This Row],[essence]],Tableau5[],23,FALSE)</f>
        <v>0</v>
      </c>
      <c r="AV17" s="12">
        <f>VLOOKUP(Tableau2[[#This Row],[essence]],Tableau5[],18,FALSE)</f>
        <v>0</v>
      </c>
      <c r="AW1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2.5205000000000002</v>
      </c>
      <c r="AX17" s="12">
        <f>1/(1+EXP(-Tableau2[[#This Row],[xb_c]]))</f>
        <v>0.92556650873778823</v>
      </c>
      <c r="AY17" s="12" t="str">
        <f t="shared" si="0"/>
        <v>NA</v>
      </c>
      <c r="AZ17" s="12" t="str">
        <f t="shared" si="1"/>
        <v>NA</v>
      </c>
      <c r="BA17" s="12">
        <f>Tableau2[[#This Row],[prob_c]]</f>
        <v>0.92556650873778823</v>
      </c>
      <c r="BB17" s="12">
        <f>1-Tableau2[[#This Row],[prob_c]]</f>
        <v>7.4433491262211771E-2</v>
      </c>
    </row>
    <row r="18" spans="1:54" x14ac:dyDescent="0.25">
      <c r="A18" s="12">
        <v>1</v>
      </c>
      <c r="B18" s="12">
        <v>1</v>
      </c>
      <c r="C18" s="12">
        <v>2.1</v>
      </c>
      <c r="D18" s="12">
        <v>700</v>
      </c>
      <c r="E18" s="12">
        <v>20</v>
      </c>
      <c r="F18" s="12">
        <v>1</v>
      </c>
      <c r="G18" s="12">
        <v>17</v>
      </c>
      <c r="H18" s="12">
        <v>30</v>
      </c>
      <c r="I18" s="12" t="s">
        <v>24</v>
      </c>
      <c r="J18" s="12" t="s">
        <v>28</v>
      </c>
      <c r="K18" s="12">
        <f>VLOOKUP(Tableau2[[#This Row],[essence]],Tableau5[],2,FALSE)</f>
        <v>1.9585999999999999</v>
      </c>
      <c r="L18" s="12">
        <f>VLOOKUP(Tableau2[[#This Row],[essence]],Tableau5[],3,FALSE)</f>
        <v>6.6000000000000003E-2</v>
      </c>
      <c r="M18" s="12">
        <f>IF(Tableau2[[#This Row],[priorecol]]="C",1,0)</f>
        <v>0</v>
      </c>
      <c r="N18" s="12">
        <f>VLOOKUP(Tableau2[[#This Row],[essence]],Tableau5[],4,FALSE)</f>
        <v>-1.9339999999999999</v>
      </c>
      <c r="O18" s="12">
        <f>IF(Tableau2[[#This Row],[priorecol]]="R",1,0)</f>
        <v>1</v>
      </c>
      <c r="P18" s="12">
        <f>VLOOKUP(Tableau2[[#This Row],[essence]],Tableau5[],5,FALSE)</f>
        <v>-4.4771999999999998</v>
      </c>
      <c r="Q18" s="12">
        <f>IF(Tableau2[[#This Row],[priorecol]]="S",1,0)</f>
        <v>0</v>
      </c>
      <c r="R18" s="12">
        <f>VLOOKUP(Tableau2[[#This Row],[essence]],Tableau5[],6,FALSE)</f>
        <v>-2.5499999999999998E-2</v>
      </c>
      <c r="S18" s="12">
        <f>VLOOKUP(Tableau2[[#This Row],[essence]],Tableau5[],15,FALSE)</f>
        <v>0</v>
      </c>
      <c r="T18" s="12">
        <f>VLOOKUP(Tableau2[[#This Row],[essence]],Tableau5[],7,FALSE)</f>
        <v>0</v>
      </c>
      <c r="U18" s="12">
        <f>IF(Tableau2[[#This Row],[sdom]]=1,1,0)</f>
        <v>1</v>
      </c>
      <c r="V18" s="12">
        <f>VLOOKUP(Tableau2[[#This Row],[essence]],Tableau5[],8,FALSE)</f>
        <v>0</v>
      </c>
      <c r="W18" s="12">
        <f>IF(Tableau2[[#This Row],[sdom]]="2EST",1,0)</f>
        <v>0</v>
      </c>
      <c r="X18" s="12">
        <f>VLOOKUP(Tableau2[[#This Row],[essence]],Tableau5[],9,FALSE)</f>
        <v>0</v>
      </c>
      <c r="Y18" s="12">
        <f>IF(Tableau2[[#This Row],[sdom]]="2OUEST",1,0)</f>
        <v>0</v>
      </c>
      <c r="Z18" s="12">
        <f>VLOOKUP(Tableau2[[#This Row],[essence]],Tableau5[],10,FALSE)</f>
        <v>0</v>
      </c>
      <c r="AA18" s="12">
        <f>IF(Tableau2[[#This Row],[sdom]]="3EST",1,0)</f>
        <v>0</v>
      </c>
      <c r="AB18" s="12">
        <f>VLOOKUP(Tableau2[[#This Row],[essence]],Tableau5[],11,FALSE)</f>
        <v>0</v>
      </c>
      <c r="AC18" s="12">
        <f>IF(Tableau2[[#This Row],[sdom]]="3OUEST",1,0)</f>
        <v>0</v>
      </c>
      <c r="AD18" s="12">
        <f>VLOOKUP(Tableau2[[#This Row],[essence]],Tableau5[],12,FALSE)</f>
        <v>0</v>
      </c>
      <c r="AE18" s="12">
        <f>IF(Tableau2[[#This Row],[sdom]]="4EST",1,0)</f>
        <v>0</v>
      </c>
      <c r="AF18" s="12">
        <f>VLOOKUP(Tableau2[[#This Row],[essence]],Tableau5[],13,FALSE)</f>
        <v>0</v>
      </c>
      <c r="AG18" s="12">
        <f>IF(Tableau2[[#This Row],[sdom]]="4OUEST",1,0)</f>
        <v>0</v>
      </c>
      <c r="AH18" s="12">
        <f>VLOOKUP(Tableau2[[#This Row],[essence]],Tableau5[],14,FALSE)</f>
        <v>0</v>
      </c>
      <c r="AI18" s="12">
        <f>IF(Tableau2[[#This Row],[sdom]]="5EST",1,0)</f>
        <v>0</v>
      </c>
      <c r="AJ18" s="12">
        <f>VLOOKUP(Tableau2[[#This Row],[essence]],Tableau5[],16,FALSE)</f>
        <v>0</v>
      </c>
      <c r="AK18" s="12">
        <f>IF(Tableau2[[#This Row],[sdom]]="5OUEST",1,0)</f>
        <v>0</v>
      </c>
      <c r="AL18" s="12">
        <f>VLOOKUP(Tableau2[[#This Row],[essence]],Tableau5[],17,FALSE)</f>
        <v>0</v>
      </c>
      <c r="AM18" s="12">
        <f>IF(Tableau2[[#This Row],[sdom]]="6EST",1,0)</f>
        <v>0</v>
      </c>
      <c r="AN18" s="12">
        <f>VLOOKUP(Tableau2[[#This Row],[essence]],Tableau5[],19,FALSE)</f>
        <v>4.2599999999999999E-2</v>
      </c>
      <c r="AO18" s="12">
        <f>IF(Tableau2[[#This Row],[priorecol]]="C",1,0)</f>
        <v>0</v>
      </c>
      <c r="AP18" s="12">
        <f>VLOOKUP(Tableau2[[#This Row],[essence]],Tableau5[],20,FALSE)</f>
        <v>0.17699999999999999</v>
      </c>
      <c r="AQ18" s="12">
        <f>IF(Tableau2[[#This Row],[priorecol]]="R",1,0)</f>
        <v>1</v>
      </c>
      <c r="AR18" s="12">
        <f>VLOOKUP(Tableau2[[#This Row],[essence]],Tableau5[],21,FALSE)</f>
        <v>0.19650000000000001</v>
      </c>
      <c r="AS18" s="12">
        <f>IF(Tableau2[[#This Row],[priorecol]]="S",1,0)</f>
        <v>0</v>
      </c>
      <c r="AT18" s="12">
        <f>VLOOKUP(Tableau2[[#This Row],[essence]],Tableau5[],22,FALSE)</f>
        <v>0</v>
      </c>
      <c r="AU18" s="12">
        <f>VLOOKUP(Tableau2[[#This Row],[essence]],Tableau5[],23,FALSE)</f>
        <v>0</v>
      </c>
      <c r="AV18" s="12">
        <f>VLOOKUP(Tableau2[[#This Row],[essence]],Tableau5[],18,FALSE)</f>
        <v>0</v>
      </c>
      <c r="AW1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4.5695999999999994</v>
      </c>
      <c r="AX18" s="12">
        <f>1/(1+EXP(-Tableau2[[#This Row],[xb_c]]))</f>
        <v>0.98974416826206058</v>
      </c>
      <c r="AY18" s="12" t="str">
        <f t="shared" si="0"/>
        <v>NA</v>
      </c>
      <c r="AZ18" s="12" t="str">
        <f t="shared" si="1"/>
        <v>NA</v>
      </c>
      <c r="BA18" s="12">
        <f>Tableau2[[#This Row],[prob_c]]</f>
        <v>0.98974416826206058</v>
      </c>
      <c r="BB18" s="12">
        <f>1-Tableau2[[#This Row],[prob_c]]</f>
        <v>1.0255831737939425E-2</v>
      </c>
    </row>
    <row r="19" spans="1:54" x14ac:dyDescent="0.25">
      <c r="A19" s="12">
        <v>1</v>
      </c>
      <c r="B19" s="12">
        <v>1</v>
      </c>
      <c r="C19" s="12">
        <v>2.1</v>
      </c>
      <c r="D19" s="12">
        <v>700</v>
      </c>
      <c r="E19" s="12">
        <v>20</v>
      </c>
      <c r="F19" s="12">
        <v>1</v>
      </c>
      <c r="G19" s="12">
        <v>18</v>
      </c>
      <c r="H19" s="12">
        <v>31</v>
      </c>
      <c r="I19" s="12" t="s">
        <v>24</v>
      </c>
      <c r="J19" s="12" t="s">
        <v>29</v>
      </c>
      <c r="K19" s="12">
        <f>VLOOKUP(Tableau2[[#This Row],[essence]],Tableau5[],2,FALSE)</f>
        <v>1.9585999999999999</v>
      </c>
      <c r="L19" s="12">
        <f>VLOOKUP(Tableau2[[#This Row],[essence]],Tableau5[],3,FALSE)</f>
        <v>6.6000000000000003E-2</v>
      </c>
      <c r="M19" s="12">
        <f>IF(Tableau2[[#This Row],[priorecol]]="C",1,0)</f>
        <v>0</v>
      </c>
      <c r="N19" s="12">
        <f>VLOOKUP(Tableau2[[#This Row],[essence]],Tableau5[],4,FALSE)</f>
        <v>-1.9339999999999999</v>
      </c>
      <c r="O19" s="12">
        <f>IF(Tableau2[[#This Row],[priorecol]]="R",1,0)</f>
        <v>0</v>
      </c>
      <c r="P19" s="12">
        <f>VLOOKUP(Tableau2[[#This Row],[essence]],Tableau5[],5,FALSE)</f>
        <v>-4.4771999999999998</v>
      </c>
      <c r="Q19" s="12">
        <f>IF(Tableau2[[#This Row],[priorecol]]="S",1,0)</f>
        <v>1</v>
      </c>
      <c r="R19" s="12">
        <f>VLOOKUP(Tableau2[[#This Row],[essence]],Tableau5[],6,FALSE)</f>
        <v>-2.5499999999999998E-2</v>
      </c>
      <c r="S19" s="12">
        <f>VLOOKUP(Tableau2[[#This Row],[essence]],Tableau5[],15,FALSE)</f>
        <v>0</v>
      </c>
      <c r="T19" s="12">
        <f>VLOOKUP(Tableau2[[#This Row],[essence]],Tableau5[],7,FALSE)</f>
        <v>0</v>
      </c>
      <c r="U19" s="12">
        <f>IF(Tableau2[[#This Row],[sdom]]=1,1,0)</f>
        <v>1</v>
      </c>
      <c r="V19" s="12">
        <f>VLOOKUP(Tableau2[[#This Row],[essence]],Tableau5[],8,FALSE)</f>
        <v>0</v>
      </c>
      <c r="W19" s="12">
        <f>IF(Tableau2[[#This Row],[sdom]]="2EST",1,0)</f>
        <v>0</v>
      </c>
      <c r="X19" s="12">
        <f>VLOOKUP(Tableau2[[#This Row],[essence]],Tableau5[],9,FALSE)</f>
        <v>0</v>
      </c>
      <c r="Y19" s="12">
        <f>IF(Tableau2[[#This Row],[sdom]]="2OUEST",1,0)</f>
        <v>0</v>
      </c>
      <c r="Z19" s="12">
        <f>VLOOKUP(Tableau2[[#This Row],[essence]],Tableau5[],10,FALSE)</f>
        <v>0</v>
      </c>
      <c r="AA19" s="12">
        <f>IF(Tableau2[[#This Row],[sdom]]="3EST",1,0)</f>
        <v>0</v>
      </c>
      <c r="AB19" s="12">
        <f>VLOOKUP(Tableau2[[#This Row],[essence]],Tableau5[],11,FALSE)</f>
        <v>0</v>
      </c>
      <c r="AC19" s="12">
        <f>IF(Tableau2[[#This Row],[sdom]]="3OUEST",1,0)</f>
        <v>0</v>
      </c>
      <c r="AD19" s="12">
        <f>VLOOKUP(Tableau2[[#This Row],[essence]],Tableau5[],12,FALSE)</f>
        <v>0</v>
      </c>
      <c r="AE19" s="12">
        <f>IF(Tableau2[[#This Row],[sdom]]="4EST",1,0)</f>
        <v>0</v>
      </c>
      <c r="AF19" s="12">
        <f>VLOOKUP(Tableau2[[#This Row],[essence]],Tableau5[],13,FALSE)</f>
        <v>0</v>
      </c>
      <c r="AG19" s="12">
        <f>IF(Tableau2[[#This Row],[sdom]]="4OUEST",1,0)</f>
        <v>0</v>
      </c>
      <c r="AH19" s="12">
        <f>VLOOKUP(Tableau2[[#This Row],[essence]],Tableau5[],14,FALSE)</f>
        <v>0</v>
      </c>
      <c r="AI19" s="12">
        <f>IF(Tableau2[[#This Row],[sdom]]="5EST",1,0)</f>
        <v>0</v>
      </c>
      <c r="AJ19" s="12">
        <f>VLOOKUP(Tableau2[[#This Row],[essence]],Tableau5[],16,FALSE)</f>
        <v>0</v>
      </c>
      <c r="AK19" s="12">
        <f>IF(Tableau2[[#This Row],[sdom]]="5OUEST",1,0)</f>
        <v>0</v>
      </c>
      <c r="AL19" s="12">
        <f>VLOOKUP(Tableau2[[#This Row],[essence]],Tableau5[],17,FALSE)</f>
        <v>0</v>
      </c>
      <c r="AM19" s="12">
        <f>IF(Tableau2[[#This Row],[sdom]]="6EST",1,0)</f>
        <v>0</v>
      </c>
      <c r="AN19" s="12">
        <f>VLOOKUP(Tableau2[[#This Row],[essence]],Tableau5[],19,FALSE)</f>
        <v>4.2599999999999999E-2</v>
      </c>
      <c r="AO19" s="12">
        <f>IF(Tableau2[[#This Row],[priorecol]]="C",1,0)</f>
        <v>0</v>
      </c>
      <c r="AP19" s="12">
        <f>VLOOKUP(Tableau2[[#This Row],[essence]],Tableau5[],20,FALSE)</f>
        <v>0.17699999999999999</v>
      </c>
      <c r="AQ19" s="12">
        <f>IF(Tableau2[[#This Row],[priorecol]]="R",1,0)</f>
        <v>0</v>
      </c>
      <c r="AR19" s="12">
        <f>VLOOKUP(Tableau2[[#This Row],[essence]],Tableau5[],21,FALSE)</f>
        <v>0.19650000000000001</v>
      </c>
      <c r="AS19" s="12">
        <f>IF(Tableau2[[#This Row],[priorecol]]="S",1,0)</f>
        <v>1</v>
      </c>
      <c r="AT19" s="12">
        <f>VLOOKUP(Tableau2[[#This Row],[essence]],Tableau5[],22,FALSE)</f>
        <v>0</v>
      </c>
      <c r="AU19" s="12">
        <f>VLOOKUP(Tableau2[[#This Row],[essence]],Tableau5[],23,FALSE)</f>
        <v>0</v>
      </c>
      <c r="AV19" s="12">
        <f>VLOOKUP(Tableau2[[#This Row],[essence]],Tableau5[],18,FALSE)</f>
        <v>0</v>
      </c>
      <c r="AW1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2.7824</v>
      </c>
      <c r="AX19" s="12">
        <f>1/(1+EXP(-Tableau2[[#This Row],[xb_c]]))</f>
        <v>0.94171731015096183</v>
      </c>
      <c r="AY19" s="12" t="str">
        <f t="shared" si="0"/>
        <v>NA</v>
      </c>
      <c r="AZ19" s="12" t="str">
        <f t="shared" si="1"/>
        <v>NA</v>
      </c>
      <c r="BA19" s="12">
        <f>Tableau2[[#This Row],[prob_c]]</f>
        <v>0.94171731015096183</v>
      </c>
      <c r="BB19" s="12">
        <f>1-Tableau2[[#This Row],[prob_c]]</f>
        <v>5.8282689849038172E-2</v>
      </c>
    </row>
    <row r="20" spans="1:54" x14ac:dyDescent="0.25">
      <c r="A20" s="12">
        <v>1</v>
      </c>
      <c r="B20" s="12">
        <v>1</v>
      </c>
      <c r="C20" s="12">
        <v>2.1</v>
      </c>
      <c r="D20" s="12">
        <v>700</v>
      </c>
      <c r="E20" s="12">
        <v>20</v>
      </c>
      <c r="F20" s="12">
        <v>1</v>
      </c>
      <c r="G20" s="12">
        <v>19</v>
      </c>
      <c r="H20" s="12">
        <v>32</v>
      </c>
      <c r="I20" s="12" t="s">
        <v>25</v>
      </c>
      <c r="J20" s="12" t="s">
        <v>27</v>
      </c>
      <c r="K20" s="12">
        <f>VLOOKUP(Tableau2[[#This Row],[essence]],Tableau5[],2,FALSE)</f>
        <v>-2.4066000000000001</v>
      </c>
      <c r="L20" s="12">
        <f>VLOOKUP(Tableau2[[#This Row],[essence]],Tableau5[],3,FALSE)</f>
        <v>1.0301</v>
      </c>
      <c r="M20" s="12">
        <f>IF(Tableau2[[#This Row],[priorecol]]="C",1,0)</f>
        <v>1</v>
      </c>
      <c r="N20" s="12">
        <f>VLOOKUP(Tableau2[[#This Row],[essence]],Tableau5[],4,FALSE)</f>
        <v>1.9907999999999999</v>
      </c>
      <c r="O20" s="12">
        <f>IF(Tableau2[[#This Row],[priorecol]]="R",1,0)</f>
        <v>0</v>
      </c>
      <c r="P20" s="12">
        <f>VLOOKUP(Tableau2[[#This Row],[essence]],Tableau5[],5,FALSE)</f>
        <v>1.1955</v>
      </c>
      <c r="Q20" s="12">
        <f>IF(Tableau2[[#This Row],[priorecol]]="S",1,0)</f>
        <v>0</v>
      </c>
      <c r="R20" s="12">
        <f>VLOOKUP(Tableau2[[#This Row],[essence]],Tableau5[],6,FALSE)</f>
        <v>4.2599999999999999E-2</v>
      </c>
      <c r="S20" s="12">
        <f>VLOOKUP(Tableau2[[#This Row],[essence]],Tableau5[],15,FALSE)</f>
        <v>1.3299999999999999E-2</v>
      </c>
      <c r="T20" s="12">
        <f>VLOOKUP(Tableau2[[#This Row],[essence]],Tableau5[],7,FALSE)</f>
        <v>0</v>
      </c>
      <c r="U20" s="12">
        <f>IF(Tableau2[[#This Row],[sdom]]=1,1,0)</f>
        <v>1</v>
      </c>
      <c r="V20" s="12">
        <f>VLOOKUP(Tableau2[[#This Row],[essence]],Tableau5[],8,FALSE)</f>
        <v>0.72299999999999998</v>
      </c>
      <c r="W20" s="12">
        <f>IF(Tableau2[[#This Row],[sdom]]="2EST",1,0)</f>
        <v>0</v>
      </c>
      <c r="X20" s="12">
        <f>VLOOKUP(Tableau2[[#This Row],[essence]],Tableau5[],9,FALSE)</f>
        <v>0.28749999999999998</v>
      </c>
      <c r="Y20" s="12">
        <f>IF(Tableau2[[#This Row],[sdom]]="2OUEST",1,0)</f>
        <v>0</v>
      </c>
      <c r="Z20" s="12">
        <f>VLOOKUP(Tableau2[[#This Row],[essence]],Tableau5[],10,FALSE)</f>
        <v>0.5746</v>
      </c>
      <c r="AA20" s="12">
        <f>IF(Tableau2[[#This Row],[sdom]]="3EST",1,0)</f>
        <v>0</v>
      </c>
      <c r="AB20" s="12">
        <f>VLOOKUP(Tableau2[[#This Row],[essence]],Tableau5[],11,FALSE)</f>
        <v>0.40360000000000001</v>
      </c>
      <c r="AC20" s="12">
        <f>IF(Tableau2[[#This Row],[sdom]]="3OUEST",1,0)</f>
        <v>0</v>
      </c>
      <c r="AD20" s="12">
        <f>VLOOKUP(Tableau2[[#This Row],[essence]],Tableau5[],12,FALSE)</f>
        <v>0</v>
      </c>
      <c r="AE20" s="12">
        <f>IF(Tableau2[[#This Row],[sdom]]="4EST",1,0)</f>
        <v>0</v>
      </c>
      <c r="AF20" s="12">
        <f>VLOOKUP(Tableau2[[#This Row],[essence]],Tableau5[],13,FALSE)</f>
        <v>0</v>
      </c>
      <c r="AG20" s="12">
        <f>IF(Tableau2[[#This Row],[sdom]]="4OUEST",1,0)</f>
        <v>0</v>
      </c>
      <c r="AH20" s="12">
        <f>VLOOKUP(Tableau2[[#This Row],[essence]],Tableau5[],14,FALSE)</f>
        <v>0</v>
      </c>
      <c r="AI20" s="12">
        <f>IF(Tableau2[[#This Row],[sdom]]="5EST",1,0)</f>
        <v>0</v>
      </c>
      <c r="AJ20" s="12">
        <f>VLOOKUP(Tableau2[[#This Row],[essence]],Tableau5[],16,FALSE)</f>
        <v>0</v>
      </c>
      <c r="AK20" s="12">
        <f>IF(Tableau2[[#This Row],[sdom]]="5OUEST",1,0)</f>
        <v>0</v>
      </c>
      <c r="AL20" s="12">
        <f>VLOOKUP(Tableau2[[#This Row],[essence]],Tableau5[],17,FALSE)</f>
        <v>0</v>
      </c>
      <c r="AM20" s="12">
        <f>IF(Tableau2[[#This Row],[sdom]]="6EST",1,0)</f>
        <v>0</v>
      </c>
      <c r="AN20" s="12">
        <f>VLOOKUP(Tableau2[[#This Row],[essence]],Tableau5[],19,FALSE)</f>
        <v>0</v>
      </c>
      <c r="AO20" s="12">
        <f>IF(Tableau2[[#This Row],[priorecol]]="C",1,0)</f>
        <v>1</v>
      </c>
      <c r="AP20" s="12">
        <f>VLOOKUP(Tableau2[[#This Row],[essence]],Tableau5[],20,FALSE)</f>
        <v>0</v>
      </c>
      <c r="AQ20" s="12">
        <f>IF(Tableau2[[#This Row],[priorecol]]="R",1,0)</f>
        <v>0</v>
      </c>
      <c r="AR20" s="12">
        <f>VLOOKUP(Tableau2[[#This Row],[essence]],Tableau5[],21,FALSE)</f>
        <v>0</v>
      </c>
      <c r="AS20" s="12">
        <f>IF(Tableau2[[#This Row],[priorecol]]="S",1,0)</f>
        <v>0</v>
      </c>
      <c r="AT20" s="12">
        <f>VLOOKUP(Tableau2[[#This Row],[essence]],Tableau5[],22,FALSE)</f>
        <v>0.36130000000000001</v>
      </c>
      <c r="AU20" s="12">
        <f>VLOOKUP(Tableau2[[#This Row],[essence]],Tableau5[],23,FALSE)</f>
        <v>0</v>
      </c>
      <c r="AV20" s="12">
        <f>VLOOKUP(Tableau2[[#This Row],[essence]],Tableau5[],18,FALSE)</f>
        <v>0</v>
      </c>
      <c r="AW2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0.61399999999999988</v>
      </c>
      <c r="AX20" s="12">
        <f>1/(1+EXP(-Tableau2[[#This Row],[xb_c]]))</f>
        <v>0.64885271530439015</v>
      </c>
      <c r="AY20" s="12" t="str">
        <f t="shared" si="0"/>
        <v>NA</v>
      </c>
      <c r="AZ20" s="12" t="str">
        <f t="shared" si="1"/>
        <v>NA</v>
      </c>
      <c r="BA20" s="12">
        <f>Tableau2[[#This Row],[prob_c]]</f>
        <v>0.64885271530439015</v>
      </c>
      <c r="BB20" s="12">
        <f>1-Tableau2[[#This Row],[prob_c]]</f>
        <v>0.35114728469560985</v>
      </c>
    </row>
    <row r="21" spans="1:54" x14ac:dyDescent="0.25">
      <c r="A21" s="12">
        <v>1</v>
      </c>
      <c r="B21" s="12">
        <v>1</v>
      </c>
      <c r="C21" s="12">
        <v>2.1</v>
      </c>
      <c r="D21" s="12">
        <v>700</v>
      </c>
      <c r="E21" s="12">
        <v>20</v>
      </c>
      <c r="F21" s="12">
        <v>1</v>
      </c>
      <c r="G21" s="12">
        <v>20</v>
      </c>
      <c r="H21" s="12">
        <v>33</v>
      </c>
      <c r="I21" s="12" t="s">
        <v>25</v>
      </c>
      <c r="J21" s="12" t="s">
        <v>28</v>
      </c>
      <c r="K21" s="12">
        <f>VLOOKUP(Tableau2[[#This Row],[essence]],Tableau5[],2,FALSE)</f>
        <v>-2.4066000000000001</v>
      </c>
      <c r="L21" s="12">
        <f>VLOOKUP(Tableau2[[#This Row],[essence]],Tableau5[],3,FALSE)</f>
        <v>1.0301</v>
      </c>
      <c r="M21" s="12">
        <f>IF(Tableau2[[#This Row],[priorecol]]="C",1,0)</f>
        <v>0</v>
      </c>
      <c r="N21" s="12">
        <f>VLOOKUP(Tableau2[[#This Row],[essence]],Tableau5[],4,FALSE)</f>
        <v>1.9907999999999999</v>
      </c>
      <c r="O21" s="12">
        <f>IF(Tableau2[[#This Row],[priorecol]]="R",1,0)</f>
        <v>1</v>
      </c>
      <c r="P21" s="12">
        <f>VLOOKUP(Tableau2[[#This Row],[essence]],Tableau5[],5,FALSE)</f>
        <v>1.1955</v>
      </c>
      <c r="Q21" s="12">
        <f>IF(Tableau2[[#This Row],[priorecol]]="S",1,0)</f>
        <v>0</v>
      </c>
      <c r="R21" s="12">
        <f>VLOOKUP(Tableau2[[#This Row],[essence]],Tableau5[],6,FALSE)</f>
        <v>4.2599999999999999E-2</v>
      </c>
      <c r="S21" s="12">
        <f>VLOOKUP(Tableau2[[#This Row],[essence]],Tableau5[],15,FALSE)</f>
        <v>1.3299999999999999E-2</v>
      </c>
      <c r="T21" s="12">
        <f>VLOOKUP(Tableau2[[#This Row],[essence]],Tableau5[],7,FALSE)</f>
        <v>0</v>
      </c>
      <c r="U21" s="12">
        <f>IF(Tableau2[[#This Row],[sdom]]=1,1,0)</f>
        <v>1</v>
      </c>
      <c r="V21" s="12">
        <f>VLOOKUP(Tableau2[[#This Row],[essence]],Tableau5[],8,FALSE)</f>
        <v>0.72299999999999998</v>
      </c>
      <c r="W21" s="12">
        <f>IF(Tableau2[[#This Row],[sdom]]="2EST",1,0)</f>
        <v>0</v>
      </c>
      <c r="X21" s="12">
        <f>VLOOKUP(Tableau2[[#This Row],[essence]],Tableau5[],9,FALSE)</f>
        <v>0.28749999999999998</v>
      </c>
      <c r="Y21" s="12">
        <f>IF(Tableau2[[#This Row],[sdom]]="2OUEST",1,0)</f>
        <v>0</v>
      </c>
      <c r="Z21" s="12">
        <f>VLOOKUP(Tableau2[[#This Row],[essence]],Tableau5[],10,FALSE)</f>
        <v>0.5746</v>
      </c>
      <c r="AA21" s="12">
        <f>IF(Tableau2[[#This Row],[sdom]]="3EST",1,0)</f>
        <v>0</v>
      </c>
      <c r="AB21" s="12">
        <f>VLOOKUP(Tableau2[[#This Row],[essence]],Tableau5[],11,FALSE)</f>
        <v>0.40360000000000001</v>
      </c>
      <c r="AC21" s="12">
        <f>IF(Tableau2[[#This Row],[sdom]]="3OUEST",1,0)</f>
        <v>0</v>
      </c>
      <c r="AD21" s="12">
        <f>VLOOKUP(Tableau2[[#This Row],[essence]],Tableau5[],12,FALSE)</f>
        <v>0</v>
      </c>
      <c r="AE21" s="12">
        <f>IF(Tableau2[[#This Row],[sdom]]="4EST",1,0)</f>
        <v>0</v>
      </c>
      <c r="AF21" s="12">
        <f>VLOOKUP(Tableau2[[#This Row],[essence]],Tableau5[],13,FALSE)</f>
        <v>0</v>
      </c>
      <c r="AG21" s="12">
        <f>IF(Tableau2[[#This Row],[sdom]]="4OUEST",1,0)</f>
        <v>0</v>
      </c>
      <c r="AH21" s="12">
        <f>VLOOKUP(Tableau2[[#This Row],[essence]],Tableau5[],14,FALSE)</f>
        <v>0</v>
      </c>
      <c r="AI21" s="12">
        <f>IF(Tableau2[[#This Row],[sdom]]="5EST",1,0)</f>
        <v>0</v>
      </c>
      <c r="AJ21" s="12">
        <f>VLOOKUP(Tableau2[[#This Row],[essence]],Tableau5[],16,FALSE)</f>
        <v>0</v>
      </c>
      <c r="AK21" s="12">
        <f>IF(Tableau2[[#This Row],[sdom]]="5OUEST",1,0)</f>
        <v>0</v>
      </c>
      <c r="AL21" s="12">
        <f>VLOOKUP(Tableau2[[#This Row],[essence]],Tableau5[],17,FALSE)</f>
        <v>0</v>
      </c>
      <c r="AM21" s="12">
        <f>IF(Tableau2[[#This Row],[sdom]]="6EST",1,0)</f>
        <v>0</v>
      </c>
      <c r="AN21" s="12">
        <f>VLOOKUP(Tableau2[[#This Row],[essence]],Tableau5[],19,FALSE)</f>
        <v>0</v>
      </c>
      <c r="AO21" s="12">
        <f>IF(Tableau2[[#This Row],[priorecol]]="C",1,0)</f>
        <v>0</v>
      </c>
      <c r="AP21" s="12">
        <f>VLOOKUP(Tableau2[[#This Row],[essence]],Tableau5[],20,FALSE)</f>
        <v>0</v>
      </c>
      <c r="AQ21" s="12">
        <f>IF(Tableau2[[#This Row],[priorecol]]="R",1,0)</f>
        <v>1</v>
      </c>
      <c r="AR21" s="12">
        <f>VLOOKUP(Tableau2[[#This Row],[essence]],Tableau5[],21,FALSE)</f>
        <v>0</v>
      </c>
      <c r="AS21" s="12">
        <f>IF(Tableau2[[#This Row],[priorecol]]="S",1,0)</f>
        <v>0</v>
      </c>
      <c r="AT21" s="12">
        <f>VLOOKUP(Tableau2[[#This Row],[essence]],Tableau5[],22,FALSE)</f>
        <v>0.36130000000000001</v>
      </c>
      <c r="AU21" s="12">
        <f>VLOOKUP(Tableau2[[#This Row],[essence]],Tableau5[],23,FALSE)</f>
        <v>0</v>
      </c>
      <c r="AV21" s="12">
        <f>VLOOKUP(Tableau2[[#This Row],[essence]],Tableau5[],18,FALSE)</f>
        <v>0</v>
      </c>
      <c r="AW2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1.6172999999999997</v>
      </c>
      <c r="AX21" s="12">
        <f>1/(1+EXP(-Tableau2[[#This Row],[xb_c]]))</f>
        <v>0.83442243013825546</v>
      </c>
      <c r="AY21" s="12" t="str">
        <f t="shared" si="0"/>
        <v>NA</v>
      </c>
      <c r="AZ21" s="12" t="str">
        <f t="shared" si="1"/>
        <v>NA</v>
      </c>
      <c r="BA21" s="12">
        <f>Tableau2[[#This Row],[prob_c]]</f>
        <v>0.83442243013825546</v>
      </c>
      <c r="BB21" s="12">
        <f>1-Tableau2[[#This Row],[prob_c]]</f>
        <v>0.16557756986174454</v>
      </c>
    </row>
    <row r="22" spans="1:54" x14ac:dyDescent="0.25">
      <c r="A22" s="12">
        <v>1</v>
      </c>
      <c r="B22" s="12">
        <v>1</v>
      </c>
      <c r="C22" s="12">
        <v>2.1</v>
      </c>
      <c r="D22" s="12">
        <v>700</v>
      </c>
      <c r="E22" s="12">
        <v>20</v>
      </c>
      <c r="F22" s="12">
        <v>1</v>
      </c>
      <c r="G22" s="12">
        <v>21</v>
      </c>
      <c r="H22" s="12">
        <v>24</v>
      </c>
      <c r="I22" s="12" t="s">
        <v>25</v>
      </c>
      <c r="J22" s="12" t="s">
        <v>29</v>
      </c>
      <c r="K22" s="12">
        <f>VLOOKUP(Tableau2[[#This Row],[essence]],Tableau5[],2,FALSE)</f>
        <v>-2.4066000000000001</v>
      </c>
      <c r="L22" s="12">
        <f>VLOOKUP(Tableau2[[#This Row],[essence]],Tableau5[],3,FALSE)</f>
        <v>1.0301</v>
      </c>
      <c r="M22" s="12">
        <f>IF(Tableau2[[#This Row],[priorecol]]="C",1,0)</f>
        <v>0</v>
      </c>
      <c r="N22" s="12">
        <f>VLOOKUP(Tableau2[[#This Row],[essence]],Tableau5[],4,FALSE)</f>
        <v>1.9907999999999999</v>
      </c>
      <c r="O22" s="12">
        <f>IF(Tableau2[[#This Row],[priorecol]]="R",1,0)</f>
        <v>0</v>
      </c>
      <c r="P22" s="12">
        <f>VLOOKUP(Tableau2[[#This Row],[essence]],Tableau5[],5,FALSE)</f>
        <v>1.1955</v>
      </c>
      <c r="Q22" s="12">
        <f>IF(Tableau2[[#This Row],[priorecol]]="S",1,0)</f>
        <v>1</v>
      </c>
      <c r="R22" s="12">
        <f>VLOOKUP(Tableau2[[#This Row],[essence]],Tableau5[],6,FALSE)</f>
        <v>4.2599999999999999E-2</v>
      </c>
      <c r="S22" s="12">
        <f>VLOOKUP(Tableau2[[#This Row],[essence]],Tableau5[],15,FALSE)</f>
        <v>1.3299999999999999E-2</v>
      </c>
      <c r="T22" s="12">
        <f>VLOOKUP(Tableau2[[#This Row],[essence]],Tableau5[],7,FALSE)</f>
        <v>0</v>
      </c>
      <c r="U22" s="12">
        <f>IF(Tableau2[[#This Row],[sdom]]=1,1,0)</f>
        <v>1</v>
      </c>
      <c r="V22" s="12">
        <f>VLOOKUP(Tableau2[[#This Row],[essence]],Tableau5[],8,FALSE)</f>
        <v>0.72299999999999998</v>
      </c>
      <c r="W22" s="12">
        <f>IF(Tableau2[[#This Row],[sdom]]="2EST",1,0)</f>
        <v>0</v>
      </c>
      <c r="X22" s="12">
        <f>VLOOKUP(Tableau2[[#This Row],[essence]],Tableau5[],9,FALSE)</f>
        <v>0.28749999999999998</v>
      </c>
      <c r="Y22" s="12">
        <f>IF(Tableau2[[#This Row],[sdom]]="2OUEST",1,0)</f>
        <v>0</v>
      </c>
      <c r="Z22" s="12">
        <f>VLOOKUP(Tableau2[[#This Row],[essence]],Tableau5[],10,FALSE)</f>
        <v>0.5746</v>
      </c>
      <c r="AA22" s="12">
        <f>IF(Tableau2[[#This Row],[sdom]]="3EST",1,0)</f>
        <v>0</v>
      </c>
      <c r="AB22" s="12">
        <f>VLOOKUP(Tableau2[[#This Row],[essence]],Tableau5[],11,FALSE)</f>
        <v>0.40360000000000001</v>
      </c>
      <c r="AC22" s="12">
        <f>IF(Tableau2[[#This Row],[sdom]]="3OUEST",1,0)</f>
        <v>0</v>
      </c>
      <c r="AD22" s="12">
        <f>VLOOKUP(Tableau2[[#This Row],[essence]],Tableau5[],12,FALSE)</f>
        <v>0</v>
      </c>
      <c r="AE22" s="12">
        <f>IF(Tableau2[[#This Row],[sdom]]="4EST",1,0)</f>
        <v>0</v>
      </c>
      <c r="AF22" s="12">
        <f>VLOOKUP(Tableau2[[#This Row],[essence]],Tableau5[],13,FALSE)</f>
        <v>0</v>
      </c>
      <c r="AG22" s="12">
        <f>IF(Tableau2[[#This Row],[sdom]]="4OUEST",1,0)</f>
        <v>0</v>
      </c>
      <c r="AH22" s="12">
        <f>VLOOKUP(Tableau2[[#This Row],[essence]],Tableau5[],14,FALSE)</f>
        <v>0</v>
      </c>
      <c r="AI22" s="12">
        <f>IF(Tableau2[[#This Row],[sdom]]="5EST",1,0)</f>
        <v>0</v>
      </c>
      <c r="AJ22" s="12">
        <f>VLOOKUP(Tableau2[[#This Row],[essence]],Tableau5[],16,FALSE)</f>
        <v>0</v>
      </c>
      <c r="AK22" s="12">
        <f>IF(Tableau2[[#This Row],[sdom]]="5OUEST",1,0)</f>
        <v>0</v>
      </c>
      <c r="AL22" s="12">
        <f>VLOOKUP(Tableau2[[#This Row],[essence]],Tableau5[],17,FALSE)</f>
        <v>0</v>
      </c>
      <c r="AM22" s="12">
        <f>IF(Tableau2[[#This Row],[sdom]]="6EST",1,0)</f>
        <v>0</v>
      </c>
      <c r="AN22" s="12">
        <f>VLOOKUP(Tableau2[[#This Row],[essence]],Tableau5[],19,FALSE)</f>
        <v>0</v>
      </c>
      <c r="AO22" s="12">
        <f>IF(Tableau2[[#This Row],[priorecol]]="C",1,0)</f>
        <v>0</v>
      </c>
      <c r="AP22" s="12">
        <f>VLOOKUP(Tableau2[[#This Row],[essence]],Tableau5[],20,FALSE)</f>
        <v>0</v>
      </c>
      <c r="AQ22" s="12">
        <f>IF(Tableau2[[#This Row],[priorecol]]="R",1,0)</f>
        <v>0</v>
      </c>
      <c r="AR22" s="12">
        <f>VLOOKUP(Tableau2[[#This Row],[essence]],Tableau5[],21,FALSE)</f>
        <v>0</v>
      </c>
      <c r="AS22" s="12">
        <f>IF(Tableau2[[#This Row],[priorecol]]="S",1,0)</f>
        <v>1</v>
      </c>
      <c r="AT22" s="12">
        <f>VLOOKUP(Tableau2[[#This Row],[essence]],Tableau5[],22,FALSE)</f>
        <v>0.36130000000000001</v>
      </c>
      <c r="AU22" s="12">
        <f>VLOOKUP(Tableau2[[#This Row],[essence]],Tableau5[],23,FALSE)</f>
        <v>0</v>
      </c>
      <c r="AV22" s="12">
        <f>VLOOKUP(Tableau2[[#This Row],[essence]],Tableau5[],18,FALSE)</f>
        <v>0</v>
      </c>
      <c r="AW2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0.43859999999999993</v>
      </c>
      <c r="AX22" s="12">
        <f>1/(1+EXP(-Tableau2[[#This Row],[xb_c]]))</f>
        <v>0.60792538825810538</v>
      </c>
      <c r="AY22" s="12" t="str">
        <f t="shared" si="0"/>
        <v>NA</v>
      </c>
      <c r="AZ22" s="12" t="str">
        <f t="shared" si="1"/>
        <v>NA</v>
      </c>
      <c r="BA22" s="12">
        <f>Tableau2[[#This Row],[prob_c]]</f>
        <v>0.60792538825810538</v>
      </c>
      <c r="BB22" s="12">
        <f>1-Tableau2[[#This Row],[prob_c]]</f>
        <v>0.39207461174189462</v>
      </c>
    </row>
    <row r="23" spans="1:54" x14ac:dyDescent="0.25">
      <c r="A23" s="12">
        <v>1</v>
      </c>
      <c r="B23" s="12">
        <v>1</v>
      </c>
      <c r="C23" s="12">
        <v>2.1</v>
      </c>
      <c r="D23" s="12">
        <v>700</v>
      </c>
      <c r="E23" s="12">
        <v>20</v>
      </c>
      <c r="F23" s="12">
        <v>1</v>
      </c>
      <c r="G23" s="12">
        <v>22</v>
      </c>
      <c r="H23" s="12">
        <v>25</v>
      </c>
      <c r="I23" s="12" t="s">
        <v>26</v>
      </c>
      <c r="J23" s="12" t="s">
        <v>27</v>
      </c>
      <c r="K23" s="12">
        <f>VLOOKUP(Tableau2[[#This Row],[essence]],Tableau5[],2,FALSE)</f>
        <v>-9.0399999999999994E-2</v>
      </c>
      <c r="L23" s="12">
        <f>VLOOKUP(Tableau2[[#This Row],[essence]],Tableau5[],3,FALSE)</f>
        <v>1.0844</v>
      </c>
      <c r="M23" s="12">
        <f>IF(Tableau2[[#This Row],[priorecol]]="C",1,0)</f>
        <v>1</v>
      </c>
      <c r="N23" s="12">
        <f>VLOOKUP(Tableau2[[#This Row],[essence]],Tableau5[],4,FALSE)</f>
        <v>-1.3041</v>
      </c>
      <c r="O23" s="12">
        <f>IF(Tableau2[[#This Row],[priorecol]]="R",1,0)</f>
        <v>0</v>
      </c>
      <c r="P23" s="12">
        <f>VLOOKUP(Tableau2[[#This Row],[essence]],Tableau5[],5,FALSE)</f>
        <v>-0.79790000000000005</v>
      </c>
      <c r="Q23" s="12">
        <f>IF(Tableau2[[#This Row],[priorecol]]="S",1,0)</f>
        <v>0</v>
      </c>
      <c r="R23" s="12">
        <f>VLOOKUP(Tableau2[[#This Row],[essence]],Tableau5[],6,FALSE)</f>
        <v>-5.3E-3</v>
      </c>
      <c r="S23" s="12">
        <f>VLOOKUP(Tableau2[[#This Row],[essence]],Tableau5[],15,FALSE)</f>
        <v>1.2500000000000001E-2</v>
      </c>
      <c r="T23" s="12">
        <f>VLOOKUP(Tableau2[[#This Row],[essence]],Tableau5[],7,FALSE)</f>
        <v>0</v>
      </c>
      <c r="U23" s="12">
        <f>IF(Tableau2[[#This Row],[sdom]]=1,1,0)</f>
        <v>1</v>
      </c>
      <c r="V23" s="12">
        <f>VLOOKUP(Tableau2[[#This Row],[essence]],Tableau5[],8,FALSE)</f>
        <v>0.1497</v>
      </c>
      <c r="W23" s="12">
        <f>IF(Tableau2[[#This Row],[sdom]]="2EST",1,0)</f>
        <v>0</v>
      </c>
      <c r="X23" s="12">
        <f>VLOOKUP(Tableau2[[#This Row],[essence]],Tableau5[],9,FALSE)</f>
        <v>0.4839</v>
      </c>
      <c r="Y23" s="12">
        <f>IF(Tableau2[[#This Row],[sdom]]="2OUEST",1,0)</f>
        <v>0</v>
      </c>
      <c r="Z23" s="12">
        <f>VLOOKUP(Tableau2[[#This Row],[essence]],Tableau5[],10,FALSE)</f>
        <v>-0.14019999999999999</v>
      </c>
      <c r="AA23" s="12">
        <f>IF(Tableau2[[#This Row],[sdom]]="3EST",1,0)</f>
        <v>0</v>
      </c>
      <c r="AB23" s="12">
        <f>VLOOKUP(Tableau2[[#This Row],[essence]],Tableau5[],11,FALSE)</f>
        <v>0.65649999999999997</v>
      </c>
      <c r="AC23" s="12">
        <f>IF(Tableau2[[#This Row],[sdom]]="3OUEST",1,0)</f>
        <v>0</v>
      </c>
      <c r="AD23" s="12">
        <f>VLOOKUP(Tableau2[[#This Row],[essence]],Tableau5[],12,FALSE)</f>
        <v>-1.21E-2</v>
      </c>
      <c r="AE23" s="12">
        <f>IF(Tableau2[[#This Row],[sdom]]="4EST",1,0)</f>
        <v>0</v>
      </c>
      <c r="AF23" s="12">
        <f>VLOOKUP(Tableau2[[#This Row],[essence]],Tableau5[],13,FALSE)</f>
        <v>0.52600000000000002</v>
      </c>
      <c r="AG23" s="12">
        <f>IF(Tableau2[[#This Row],[sdom]]="4OUEST",1,0)</f>
        <v>0</v>
      </c>
      <c r="AH23" s="12">
        <f>VLOOKUP(Tableau2[[#This Row],[essence]],Tableau5[],14,FALSE)</f>
        <v>-0.753</v>
      </c>
      <c r="AI23" s="12">
        <f>IF(Tableau2[[#This Row],[sdom]]="5EST",1,0)</f>
        <v>0</v>
      </c>
      <c r="AJ23" s="12">
        <f>VLOOKUP(Tableau2[[#This Row],[essence]],Tableau5[],16,FALSE)</f>
        <v>0</v>
      </c>
      <c r="AK23" s="12">
        <f>IF(Tableau2[[#This Row],[sdom]]="5OUEST",1,0)</f>
        <v>0</v>
      </c>
      <c r="AL23" s="12">
        <f>VLOOKUP(Tableau2[[#This Row],[essence]],Tableau5[],17,FALSE)</f>
        <v>0</v>
      </c>
      <c r="AM23" s="12">
        <f>IF(Tableau2[[#This Row],[sdom]]="6EST",1,0)</f>
        <v>0</v>
      </c>
      <c r="AN23" s="12">
        <f>VLOOKUP(Tableau2[[#This Row],[essence]],Tableau5[],19,FALSE)</f>
        <v>3.04E-2</v>
      </c>
      <c r="AO23" s="12">
        <f>IF(Tableau2[[#This Row],[priorecol]]="C",1,0)</f>
        <v>1</v>
      </c>
      <c r="AP23" s="12">
        <f>VLOOKUP(Tableau2[[#This Row],[essence]],Tableau5[],20,FALSE)</f>
        <v>0.14549999999999999</v>
      </c>
      <c r="AQ23" s="12">
        <f>IF(Tableau2[[#This Row],[priorecol]]="R",1,0)</f>
        <v>0</v>
      </c>
      <c r="AR23" s="12">
        <f>VLOOKUP(Tableau2[[#This Row],[essence]],Tableau5[],21,FALSE)</f>
        <v>7.8700000000000006E-2</v>
      </c>
      <c r="AS23" s="12">
        <f>IF(Tableau2[[#This Row],[priorecol]]="S",1,0)</f>
        <v>0</v>
      </c>
      <c r="AT23" s="12">
        <f>VLOOKUP(Tableau2[[#This Row],[essence]],Tableau5[],22,FALSE)</f>
        <v>0</v>
      </c>
      <c r="AU23" s="12">
        <f>VLOOKUP(Tableau2[[#This Row],[essence]],Tableau5[],23,FALSE)</f>
        <v>0</v>
      </c>
      <c r="AV23" s="12">
        <f>VLOOKUP(Tableau2[[#This Row],[essence]],Tableau5[],18,FALSE)</f>
        <v>0</v>
      </c>
      <c r="AW2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1.8714999999999999</v>
      </c>
      <c r="AX23" s="12">
        <f>1/(1+EXP(-Tableau2[[#This Row],[xb_c]]))</f>
        <v>0.86663174457788839</v>
      </c>
      <c r="AY23" s="12" t="str">
        <f t="shared" si="0"/>
        <v>NA</v>
      </c>
      <c r="AZ23" s="12" t="str">
        <f t="shared" si="1"/>
        <v>NA</v>
      </c>
      <c r="BA23" s="12">
        <f>Tableau2[[#This Row],[prob_c]]</f>
        <v>0.86663174457788839</v>
      </c>
      <c r="BB23" s="12">
        <f>1-Tableau2[[#This Row],[prob_c]]</f>
        <v>0.13336825542211161</v>
      </c>
    </row>
    <row r="24" spans="1:54" x14ac:dyDescent="0.25">
      <c r="A24" s="12">
        <v>1</v>
      </c>
      <c r="B24" s="12">
        <v>1</v>
      </c>
      <c r="C24" s="12">
        <v>2.1</v>
      </c>
      <c r="D24" s="12">
        <v>700</v>
      </c>
      <c r="E24" s="12">
        <v>20</v>
      </c>
      <c r="F24" s="12">
        <v>1</v>
      </c>
      <c r="G24" s="12">
        <v>23</v>
      </c>
      <c r="H24" s="12">
        <v>26</v>
      </c>
      <c r="I24" s="12" t="s">
        <v>26</v>
      </c>
      <c r="J24" s="12" t="s">
        <v>28</v>
      </c>
      <c r="K24" s="12">
        <f>VLOOKUP(Tableau2[[#This Row],[essence]],Tableau5[],2,FALSE)</f>
        <v>-9.0399999999999994E-2</v>
      </c>
      <c r="L24" s="12">
        <f>VLOOKUP(Tableau2[[#This Row],[essence]],Tableau5[],3,FALSE)</f>
        <v>1.0844</v>
      </c>
      <c r="M24" s="12">
        <f>IF(Tableau2[[#This Row],[priorecol]]="C",1,0)</f>
        <v>0</v>
      </c>
      <c r="N24" s="12">
        <f>VLOOKUP(Tableau2[[#This Row],[essence]],Tableau5[],4,FALSE)</f>
        <v>-1.3041</v>
      </c>
      <c r="O24" s="12">
        <f>IF(Tableau2[[#This Row],[priorecol]]="R",1,0)</f>
        <v>1</v>
      </c>
      <c r="P24" s="12">
        <f>VLOOKUP(Tableau2[[#This Row],[essence]],Tableau5[],5,FALSE)</f>
        <v>-0.79790000000000005</v>
      </c>
      <c r="Q24" s="12">
        <f>IF(Tableau2[[#This Row],[priorecol]]="S",1,0)</f>
        <v>0</v>
      </c>
      <c r="R24" s="12">
        <f>VLOOKUP(Tableau2[[#This Row],[essence]],Tableau5[],6,FALSE)</f>
        <v>-5.3E-3</v>
      </c>
      <c r="S24" s="12">
        <f>VLOOKUP(Tableau2[[#This Row],[essence]],Tableau5[],15,FALSE)</f>
        <v>1.2500000000000001E-2</v>
      </c>
      <c r="T24" s="12">
        <f>VLOOKUP(Tableau2[[#This Row],[essence]],Tableau5[],7,FALSE)</f>
        <v>0</v>
      </c>
      <c r="U24" s="12">
        <f>IF(Tableau2[[#This Row],[sdom]]=1,1,0)</f>
        <v>1</v>
      </c>
      <c r="V24" s="12">
        <f>VLOOKUP(Tableau2[[#This Row],[essence]],Tableau5[],8,FALSE)</f>
        <v>0.1497</v>
      </c>
      <c r="W24" s="12">
        <f>IF(Tableau2[[#This Row],[sdom]]="2EST",1,0)</f>
        <v>0</v>
      </c>
      <c r="X24" s="12">
        <f>VLOOKUP(Tableau2[[#This Row],[essence]],Tableau5[],9,FALSE)</f>
        <v>0.4839</v>
      </c>
      <c r="Y24" s="12">
        <f>IF(Tableau2[[#This Row],[sdom]]="2OUEST",1,0)</f>
        <v>0</v>
      </c>
      <c r="Z24" s="12">
        <f>VLOOKUP(Tableau2[[#This Row],[essence]],Tableau5[],10,FALSE)</f>
        <v>-0.14019999999999999</v>
      </c>
      <c r="AA24" s="12">
        <f>IF(Tableau2[[#This Row],[sdom]]="3EST",1,0)</f>
        <v>0</v>
      </c>
      <c r="AB24" s="12">
        <f>VLOOKUP(Tableau2[[#This Row],[essence]],Tableau5[],11,FALSE)</f>
        <v>0.65649999999999997</v>
      </c>
      <c r="AC24" s="12">
        <f>IF(Tableau2[[#This Row],[sdom]]="3OUEST",1,0)</f>
        <v>0</v>
      </c>
      <c r="AD24" s="12">
        <f>VLOOKUP(Tableau2[[#This Row],[essence]],Tableau5[],12,FALSE)</f>
        <v>-1.21E-2</v>
      </c>
      <c r="AE24" s="12">
        <f>IF(Tableau2[[#This Row],[sdom]]="4EST",1,0)</f>
        <v>0</v>
      </c>
      <c r="AF24" s="12">
        <f>VLOOKUP(Tableau2[[#This Row],[essence]],Tableau5[],13,FALSE)</f>
        <v>0.52600000000000002</v>
      </c>
      <c r="AG24" s="12">
        <f>IF(Tableau2[[#This Row],[sdom]]="4OUEST",1,0)</f>
        <v>0</v>
      </c>
      <c r="AH24" s="12">
        <f>VLOOKUP(Tableau2[[#This Row],[essence]],Tableau5[],14,FALSE)</f>
        <v>-0.753</v>
      </c>
      <c r="AI24" s="12">
        <f>IF(Tableau2[[#This Row],[sdom]]="5EST",1,0)</f>
        <v>0</v>
      </c>
      <c r="AJ24" s="12">
        <f>VLOOKUP(Tableau2[[#This Row],[essence]],Tableau5[],16,FALSE)</f>
        <v>0</v>
      </c>
      <c r="AK24" s="12">
        <f>IF(Tableau2[[#This Row],[sdom]]="5OUEST",1,0)</f>
        <v>0</v>
      </c>
      <c r="AL24" s="12">
        <f>VLOOKUP(Tableau2[[#This Row],[essence]],Tableau5[],17,FALSE)</f>
        <v>0</v>
      </c>
      <c r="AM24" s="12">
        <f>IF(Tableau2[[#This Row],[sdom]]="6EST",1,0)</f>
        <v>0</v>
      </c>
      <c r="AN24" s="12">
        <f>VLOOKUP(Tableau2[[#This Row],[essence]],Tableau5[],19,FALSE)</f>
        <v>3.04E-2</v>
      </c>
      <c r="AO24" s="12">
        <f>IF(Tableau2[[#This Row],[priorecol]]="C",1,0)</f>
        <v>0</v>
      </c>
      <c r="AP24" s="12">
        <f>VLOOKUP(Tableau2[[#This Row],[essence]],Tableau5[],20,FALSE)</f>
        <v>0.14549999999999999</v>
      </c>
      <c r="AQ24" s="12">
        <f>IF(Tableau2[[#This Row],[priorecol]]="R",1,0)</f>
        <v>1</v>
      </c>
      <c r="AR24" s="12">
        <f>VLOOKUP(Tableau2[[#This Row],[essence]],Tableau5[],21,FALSE)</f>
        <v>7.8700000000000006E-2</v>
      </c>
      <c r="AS24" s="12">
        <f>IF(Tableau2[[#This Row],[priorecol]]="S",1,0)</f>
        <v>0</v>
      </c>
      <c r="AT24" s="12">
        <f>VLOOKUP(Tableau2[[#This Row],[essence]],Tableau5[],22,FALSE)</f>
        <v>0</v>
      </c>
      <c r="AU24" s="12">
        <f>VLOOKUP(Tableau2[[#This Row],[essence]],Tableau5[],23,FALSE)</f>
        <v>0</v>
      </c>
      <c r="AV24" s="12">
        <f>VLOOKUP(Tableau2[[#This Row],[essence]],Tableau5[],18,FALSE)</f>
        <v>0</v>
      </c>
      <c r="AW2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2.5007000000000001</v>
      </c>
      <c r="AX24" s="12">
        <f>1/(1+EXP(-Tableau2[[#This Row],[xb_c]]))</f>
        <v>0.92419087801304012</v>
      </c>
      <c r="AY24" s="12" t="str">
        <f t="shared" si="0"/>
        <v>NA</v>
      </c>
      <c r="AZ24" s="12" t="str">
        <f t="shared" si="1"/>
        <v>NA</v>
      </c>
      <c r="BA24" s="12">
        <f>Tableau2[[#This Row],[prob_c]]</f>
        <v>0.92419087801304012</v>
      </c>
      <c r="BB24" s="12">
        <f>1-Tableau2[[#This Row],[prob_c]]</f>
        <v>7.5809121986959882E-2</v>
      </c>
    </row>
    <row r="25" spans="1:54" x14ac:dyDescent="0.25">
      <c r="A25" s="12">
        <v>1</v>
      </c>
      <c r="B25" s="12">
        <v>1</v>
      </c>
      <c r="C25" s="12">
        <v>2.1</v>
      </c>
      <c r="D25" s="12">
        <v>700</v>
      </c>
      <c r="E25" s="12">
        <v>20</v>
      </c>
      <c r="F25" s="12">
        <v>1</v>
      </c>
      <c r="G25" s="12">
        <v>24</v>
      </c>
      <c r="H25" s="12">
        <v>27</v>
      </c>
      <c r="I25" s="12" t="s">
        <v>26</v>
      </c>
      <c r="J25" s="12" t="s">
        <v>29</v>
      </c>
      <c r="K25" s="12">
        <f>VLOOKUP(Tableau2[[#This Row],[essence]],Tableau5[],2,FALSE)</f>
        <v>-9.0399999999999994E-2</v>
      </c>
      <c r="L25" s="12">
        <f>VLOOKUP(Tableau2[[#This Row],[essence]],Tableau5[],3,FALSE)</f>
        <v>1.0844</v>
      </c>
      <c r="M25" s="12">
        <f>IF(Tableau2[[#This Row],[priorecol]]="C",1,0)</f>
        <v>0</v>
      </c>
      <c r="N25" s="12">
        <f>VLOOKUP(Tableau2[[#This Row],[essence]],Tableau5[],4,FALSE)</f>
        <v>-1.3041</v>
      </c>
      <c r="O25" s="12">
        <f>IF(Tableau2[[#This Row],[priorecol]]="R",1,0)</f>
        <v>0</v>
      </c>
      <c r="P25" s="12">
        <f>VLOOKUP(Tableau2[[#This Row],[essence]],Tableau5[],5,FALSE)</f>
        <v>-0.79790000000000005</v>
      </c>
      <c r="Q25" s="12">
        <f>IF(Tableau2[[#This Row],[priorecol]]="S",1,0)</f>
        <v>1</v>
      </c>
      <c r="R25" s="12">
        <f>VLOOKUP(Tableau2[[#This Row],[essence]],Tableau5[],6,FALSE)</f>
        <v>-5.3E-3</v>
      </c>
      <c r="S25" s="12">
        <f>VLOOKUP(Tableau2[[#This Row],[essence]],Tableau5[],15,FALSE)</f>
        <v>1.2500000000000001E-2</v>
      </c>
      <c r="T25" s="12">
        <f>VLOOKUP(Tableau2[[#This Row],[essence]],Tableau5[],7,FALSE)</f>
        <v>0</v>
      </c>
      <c r="U25" s="12">
        <f>IF(Tableau2[[#This Row],[sdom]]=1,1,0)</f>
        <v>1</v>
      </c>
      <c r="V25" s="12">
        <f>VLOOKUP(Tableau2[[#This Row],[essence]],Tableau5[],8,FALSE)</f>
        <v>0.1497</v>
      </c>
      <c r="W25" s="12">
        <f>IF(Tableau2[[#This Row],[sdom]]="2EST",1,0)</f>
        <v>0</v>
      </c>
      <c r="X25" s="12">
        <f>VLOOKUP(Tableau2[[#This Row],[essence]],Tableau5[],9,FALSE)</f>
        <v>0.4839</v>
      </c>
      <c r="Y25" s="12">
        <f>IF(Tableau2[[#This Row],[sdom]]="2OUEST",1,0)</f>
        <v>0</v>
      </c>
      <c r="Z25" s="12">
        <f>VLOOKUP(Tableau2[[#This Row],[essence]],Tableau5[],10,FALSE)</f>
        <v>-0.14019999999999999</v>
      </c>
      <c r="AA25" s="12">
        <f>IF(Tableau2[[#This Row],[sdom]]="3EST",1,0)</f>
        <v>0</v>
      </c>
      <c r="AB25" s="12">
        <f>VLOOKUP(Tableau2[[#This Row],[essence]],Tableau5[],11,FALSE)</f>
        <v>0.65649999999999997</v>
      </c>
      <c r="AC25" s="12">
        <f>IF(Tableau2[[#This Row],[sdom]]="3OUEST",1,0)</f>
        <v>0</v>
      </c>
      <c r="AD25" s="12">
        <f>VLOOKUP(Tableau2[[#This Row],[essence]],Tableau5[],12,FALSE)</f>
        <v>-1.21E-2</v>
      </c>
      <c r="AE25" s="12">
        <f>IF(Tableau2[[#This Row],[sdom]]="4EST",1,0)</f>
        <v>0</v>
      </c>
      <c r="AF25" s="12">
        <f>VLOOKUP(Tableau2[[#This Row],[essence]],Tableau5[],13,FALSE)</f>
        <v>0.52600000000000002</v>
      </c>
      <c r="AG25" s="12">
        <f>IF(Tableau2[[#This Row],[sdom]]="4OUEST",1,0)</f>
        <v>0</v>
      </c>
      <c r="AH25" s="12">
        <f>VLOOKUP(Tableau2[[#This Row],[essence]],Tableau5[],14,FALSE)</f>
        <v>-0.753</v>
      </c>
      <c r="AI25" s="12">
        <f>IF(Tableau2[[#This Row],[sdom]]="5EST",1,0)</f>
        <v>0</v>
      </c>
      <c r="AJ25" s="12">
        <f>VLOOKUP(Tableau2[[#This Row],[essence]],Tableau5[],16,FALSE)</f>
        <v>0</v>
      </c>
      <c r="AK25" s="12">
        <f>IF(Tableau2[[#This Row],[sdom]]="5OUEST",1,0)</f>
        <v>0</v>
      </c>
      <c r="AL25" s="12">
        <f>VLOOKUP(Tableau2[[#This Row],[essence]],Tableau5[],17,FALSE)</f>
        <v>0</v>
      </c>
      <c r="AM25" s="12">
        <f>IF(Tableau2[[#This Row],[sdom]]="6EST",1,0)</f>
        <v>0</v>
      </c>
      <c r="AN25" s="12">
        <f>VLOOKUP(Tableau2[[#This Row],[essence]],Tableau5[],19,FALSE)</f>
        <v>3.04E-2</v>
      </c>
      <c r="AO25" s="12">
        <f>IF(Tableau2[[#This Row],[priorecol]]="C",1,0)</f>
        <v>0</v>
      </c>
      <c r="AP25" s="12">
        <f>VLOOKUP(Tableau2[[#This Row],[essence]],Tableau5[],20,FALSE)</f>
        <v>0.14549999999999999</v>
      </c>
      <c r="AQ25" s="12">
        <f>IF(Tableau2[[#This Row],[priorecol]]="R",1,0)</f>
        <v>0</v>
      </c>
      <c r="AR25" s="12">
        <f>VLOOKUP(Tableau2[[#This Row],[essence]],Tableau5[],21,FALSE)</f>
        <v>7.8700000000000006E-2</v>
      </c>
      <c r="AS25" s="12">
        <f>IF(Tableau2[[#This Row],[priorecol]]="S",1,0)</f>
        <v>1</v>
      </c>
      <c r="AT25" s="12">
        <f>VLOOKUP(Tableau2[[#This Row],[essence]],Tableau5[],22,FALSE)</f>
        <v>0</v>
      </c>
      <c r="AU25" s="12">
        <f>VLOOKUP(Tableau2[[#This Row],[essence]],Tableau5[],23,FALSE)</f>
        <v>0</v>
      </c>
      <c r="AV25" s="12">
        <f>VLOOKUP(Tableau2[[#This Row],[essence]],Tableau5[],18,FALSE)</f>
        <v>0</v>
      </c>
      <c r="AW2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1.3435000000000001</v>
      </c>
      <c r="AX25" s="12">
        <f>1/(1+EXP(-Tableau2[[#This Row],[xb_c]]))</f>
        <v>0.79306492595279565</v>
      </c>
      <c r="AY25" s="12" t="str">
        <f t="shared" si="0"/>
        <v>NA</v>
      </c>
      <c r="AZ25" s="12" t="str">
        <f t="shared" si="1"/>
        <v>NA</v>
      </c>
      <c r="BA25" s="12">
        <f>Tableau2[[#This Row],[prob_c]]</f>
        <v>0.79306492595279565</v>
      </c>
      <c r="BB25" s="12">
        <f>1-Tableau2[[#This Row],[prob_c]]</f>
        <v>0.20693507404720435</v>
      </c>
    </row>
    <row r="26" spans="1:54" x14ac:dyDescent="0.25">
      <c r="A26" s="12">
        <v>2</v>
      </c>
      <c r="B26" s="12" t="s">
        <v>10</v>
      </c>
      <c r="C26" s="12">
        <v>2.1</v>
      </c>
      <c r="D26" s="12">
        <v>828</v>
      </c>
      <c r="E26" s="12">
        <v>29</v>
      </c>
      <c r="F26" s="12">
        <v>0</v>
      </c>
      <c r="G26" s="12">
        <v>1</v>
      </c>
      <c r="H26" s="12">
        <v>28</v>
      </c>
      <c r="I26" s="12" t="s">
        <v>19</v>
      </c>
      <c r="J26" s="12" t="s">
        <v>27</v>
      </c>
      <c r="K26" s="12">
        <f>VLOOKUP(Tableau2[[#This Row],[essence]],Tableau5[],2,FALSE)</f>
        <v>-1.806</v>
      </c>
      <c r="L26" s="12">
        <f>VLOOKUP(Tableau2[[#This Row],[essence]],Tableau5[],3,FALSE)</f>
        <v>1.2398</v>
      </c>
      <c r="M26" s="12">
        <f>IF(Tableau2[[#This Row],[priorecol]]="C",1,0)</f>
        <v>1</v>
      </c>
      <c r="N26" s="12">
        <f>VLOOKUP(Tableau2[[#This Row],[essence]],Tableau5[],4,FALSE)</f>
        <v>2.6488</v>
      </c>
      <c r="O26" s="12">
        <f>IF(Tableau2[[#This Row],[priorecol]]="R",1,0)</f>
        <v>0</v>
      </c>
      <c r="P26" s="12">
        <f>VLOOKUP(Tableau2[[#This Row],[essence]],Tableau5[],5,FALSE)</f>
        <v>0.61070000000000002</v>
      </c>
      <c r="Q26" s="12">
        <f>IF(Tableau2[[#This Row],[priorecol]]="S",1,0)</f>
        <v>0</v>
      </c>
      <c r="R26" s="12">
        <f>VLOOKUP(Tableau2[[#This Row],[essence]],Tableau5[],6,FALSE)</f>
        <v>5.67E-2</v>
      </c>
      <c r="S26" s="12">
        <f>VLOOKUP(Tableau2[[#This Row],[essence]],Tableau5[],15,FALSE)</f>
        <v>1.35E-2</v>
      </c>
      <c r="T26" s="12">
        <f>VLOOKUP(Tableau2[[#This Row],[essence]],Tableau5[],7,FALSE)</f>
        <v>0.95779999999999998</v>
      </c>
      <c r="U26" s="12">
        <f>IF(Tableau2[[#This Row],[sdom]]=1,1,0)</f>
        <v>0</v>
      </c>
      <c r="V26" s="12">
        <f>VLOOKUP(Tableau2[[#This Row],[essence]],Tableau5[],8,FALSE)</f>
        <v>0.66500000000000004</v>
      </c>
      <c r="W26" s="12">
        <f>IF(Tableau2[[#This Row],[sdom]]="2EST",1,0)</f>
        <v>1</v>
      </c>
      <c r="X26" s="12">
        <f>VLOOKUP(Tableau2[[#This Row],[essence]],Tableau5[],9,FALSE)</f>
        <v>0.32479999999999998</v>
      </c>
      <c r="Y26" s="12">
        <f>IF(Tableau2[[#This Row],[sdom]]="2OUEST",1,0)</f>
        <v>0</v>
      </c>
      <c r="Z26" s="12">
        <f>VLOOKUP(Tableau2[[#This Row],[essence]],Tableau5[],10,FALSE)</f>
        <v>0.62949999999999995</v>
      </c>
      <c r="AA26" s="12">
        <f>IF(Tableau2[[#This Row],[sdom]]="3EST",1,0)</f>
        <v>0</v>
      </c>
      <c r="AB26" s="12">
        <f>VLOOKUP(Tableau2[[#This Row],[essence]],Tableau5[],11,FALSE)</f>
        <v>0.56679999999999997</v>
      </c>
      <c r="AC26" s="12">
        <f>IF(Tableau2[[#This Row],[sdom]]="3OUEST",1,0)</f>
        <v>0</v>
      </c>
      <c r="AD26" s="12">
        <f>VLOOKUP(Tableau2[[#This Row],[essence]],Tableau5[],12,FALSE)</f>
        <v>0.21729999999999999</v>
      </c>
      <c r="AE26" s="12">
        <f>IF(Tableau2[[#This Row],[sdom]]="4EST",1,0)</f>
        <v>0</v>
      </c>
      <c r="AF26" s="12">
        <f>VLOOKUP(Tableau2[[#This Row],[essence]],Tableau5[],13,FALSE)</f>
        <v>0.39939999999999998</v>
      </c>
      <c r="AG26" s="12">
        <f>IF(Tableau2[[#This Row],[sdom]]="4OUEST",1,0)</f>
        <v>0</v>
      </c>
      <c r="AH26" s="12">
        <f>VLOOKUP(Tableau2[[#This Row],[essence]],Tableau5[],14,FALSE)</f>
        <v>6.5299999999999997E-2</v>
      </c>
      <c r="AI26" s="12">
        <f>IF(Tableau2[[#This Row],[sdom]]="5EST",1,0)</f>
        <v>0</v>
      </c>
      <c r="AJ26" s="12">
        <f>VLOOKUP(Tableau2[[#This Row],[essence]],Tableau5[],16,FALSE)</f>
        <v>0</v>
      </c>
      <c r="AK26" s="12">
        <f>IF(Tableau2[[#This Row],[sdom]]="5OUEST",1,0)</f>
        <v>0</v>
      </c>
      <c r="AL26" s="12">
        <f>VLOOKUP(Tableau2[[#This Row],[essence]],Tableau5[],17,FALSE)</f>
        <v>0</v>
      </c>
      <c r="AM26" s="12">
        <f>IF(Tableau2[[#This Row],[sdom]]="6EST",1,0)</f>
        <v>0</v>
      </c>
      <c r="AN26" s="12">
        <f>VLOOKUP(Tableau2[[#This Row],[essence]],Tableau5[],19,FALSE)</f>
        <v>0</v>
      </c>
      <c r="AO26" s="12">
        <f>IF(Tableau2[[#This Row],[priorecol]]="C",1,0)</f>
        <v>1</v>
      </c>
      <c r="AP26" s="12">
        <f>VLOOKUP(Tableau2[[#This Row],[essence]],Tableau5[],20,FALSE)</f>
        <v>0</v>
      </c>
      <c r="AQ26" s="12">
        <f>IF(Tableau2[[#This Row],[priorecol]]="R",1,0)</f>
        <v>0</v>
      </c>
      <c r="AR26" s="12">
        <f>VLOOKUP(Tableau2[[#This Row],[essence]],Tableau5[],21,FALSE)</f>
        <v>0</v>
      </c>
      <c r="AS26" s="12">
        <f>IF(Tableau2[[#This Row],[priorecol]]="S",1,0)</f>
        <v>0</v>
      </c>
      <c r="AT26" s="12">
        <f>VLOOKUP(Tableau2[[#This Row],[essence]],Tableau5[],22,FALSE)</f>
        <v>0</v>
      </c>
      <c r="AU26" s="12">
        <f>VLOOKUP(Tableau2[[#This Row],[essence]],Tableau5[],23,FALSE)</f>
        <v>0</v>
      </c>
      <c r="AV26" s="12">
        <f>VLOOKUP(Tableau2[[#This Row],[essence]],Tableau5[],18,FALSE)</f>
        <v>0</v>
      </c>
      <c r="AW2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2.0779000000000001</v>
      </c>
      <c r="AX26" s="12">
        <f>1/(1+EXP(-Tableau2[[#This Row],[xb_c]]))</f>
        <v>0.88873654656148704</v>
      </c>
      <c r="AY26" s="12" t="str">
        <f t="shared" si="0"/>
        <v>NA</v>
      </c>
      <c r="AZ26" s="12" t="str">
        <f t="shared" si="1"/>
        <v>NA</v>
      </c>
      <c r="BA26" s="12">
        <f>Tableau2[[#This Row],[prob_c]]</f>
        <v>0.88873654656148704</v>
      </c>
      <c r="BB26" s="12">
        <f>1-Tableau2[[#This Row],[prob_c]]</f>
        <v>0.11126345343851296</v>
      </c>
    </row>
    <row r="27" spans="1:54" x14ac:dyDescent="0.25">
      <c r="A27" s="12">
        <v>2</v>
      </c>
      <c r="B27" s="12" t="s">
        <v>10</v>
      </c>
      <c r="C27" s="12">
        <v>2.1</v>
      </c>
      <c r="D27" s="12">
        <v>828</v>
      </c>
      <c r="E27" s="12">
        <v>29</v>
      </c>
      <c r="F27" s="12">
        <v>0</v>
      </c>
      <c r="G27" s="12">
        <v>2</v>
      </c>
      <c r="H27" s="12">
        <v>29</v>
      </c>
      <c r="I27" s="12" t="s">
        <v>19</v>
      </c>
      <c r="J27" s="12" t="s">
        <v>28</v>
      </c>
      <c r="K27" s="12">
        <f>VLOOKUP(Tableau2[[#This Row],[essence]],Tableau5[],2,FALSE)</f>
        <v>-1.806</v>
      </c>
      <c r="L27" s="12">
        <f>VLOOKUP(Tableau2[[#This Row],[essence]],Tableau5[],3,FALSE)</f>
        <v>1.2398</v>
      </c>
      <c r="M27" s="12">
        <f>IF(Tableau2[[#This Row],[priorecol]]="C",1,0)</f>
        <v>0</v>
      </c>
      <c r="N27" s="12">
        <f>VLOOKUP(Tableau2[[#This Row],[essence]],Tableau5[],4,FALSE)</f>
        <v>2.6488</v>
      </c>
      <c r="O27" s="12">
        <f>IF(Tableau2[[#This Row],[priorecol]]="R",1,0)</f>
        <v>1</v>
      </c>
      <c r="P27" s="12">
        <f>VLOOKUP(Tableau2[[#This Row],[essence]],Tableau5[],5,FALSE)</f>
        <v>0.61070000000000002</v>
      </c>
      <c r="Q27" s="12">
        <f>IF(Tableau2[[#This Row],[priorecol]]="S",1,0)</f>
        <v>0</v>
      </c>
      <c r="R27" s="12">
        <f>VLOOKUP(Tableau2[[#This Row],[essence]],Tableau5[],6,FALSE)</f>
        <v>5.67E-2</v>
      </c>
      <c r="S27" s="12">
        <f>VLOOKUP(Tableau2[[#This Row],[essence]],Tableau5[],15,FALSE)</f>
        <v>1.35E-2</v>
      </c>
      <c r="T27" s="12">
        <f>VLOOKUP(Tableau2[[#This Row],[essence]],Tableau5[],7,FALSE)</f>
        <v>0.95779999999999998</v>
      </c>
      <c r="U27" s="12">
        <f>IF(Tableau2[[#This Row],[sdom]]=1,1,0)</f>
        <v>0</v>
      </c>
      <c r="V27" s="12">
        <f>VLOOKUP(Tableau2[[#This Row],[essence]],Tableau5[],8,FALSE)</f>
        <v>0.66500000000000004</v>
      </c>
      <c r="W27" s="12">
        <f>IF(Tableau2[[#This Row],[sdom]]="2EST",1,0)</f>
        <v>1</v>
      </c>
      <c r="X27" s="12">
        <f>VLOOKUP(Tableau2[[#This Row],[essence]],Tableau5[],9,FALSE)</f>
        <v>0.32479999999999998</v>
      </c>
      <c r="Y27" s="12">
        <f>IF(Tableau2[[#This Row],[sdom]]="2OUEST",1,0)</f>
        <v>0</v>
      </c>
      <c r="Z27" s="12">
        <f>VLOOKUP(Tableau2[[#This Row],[essence]],Tableau5[],10,FALSE)</f>
        <v>0.62949999999999995</v>
      </c>
      <c r="AA27" s="12">
        <f>IF(Tableau2[[#This Row],[sdom]]="3EST",1,0)</f>
        <v>0</v>
      </c>
      <c r="AB27" s="12">
        <f>VLOOKUP(Tableau2[[#This Row],[essence]],Tableau5[],11,FALSE)</f>
        <v>0.56679999999999997</v>
      </c>
      <c r="AC27" s="12">
        <f>IF(Tableau2[[#This Row],[sdom]]="3OUEST",1,0)</f>
        <v>0</v>
      </c>
      <c r="AD27" s="12">
        <f>VLOOKUP(Tableau2[[#This Row],[essence]],Tableau5[],12,FALSE)</f>
        <v>0.21729999999999999</v>
      </c>
      <c r="AE27" s="12">
        <f>IF(Tableau2[[#This Row],[sdom]]="4EST",1,0)</f>
        <v>0</v>
      </c>
      <c r="AF27" s="12">
        <f>VLOOKUP(Tableau2[[#This Row],[essence]],Tableau5[],13,FALSE)</f>
        <v>0.39939999999999998</v>
      </c>
      <c r="AG27" s="12">
        <f>IF(Tableau2[[#This Row],[sdom]]="4OUEST",1,0)</f>
        <v>0</v>
      </c>
      <c r="AH27" s="12">
        <f>VLOOKUP(Tableau2[[#This Row],[essence]],Tableau5[],14,FALSE)</f>
        <v>6.5299999999999997E-2</v>
      </c>
      <c r="AI27" s="12">
        <f>IF(Tableau2[[#This Row],[sdom]]="5EST",1,0)</f>
        <v>0</v>
      </c>
      <c r="AJ27" s="12">
        <f>VLOOKUP(Tableau2[[#This Row],[essence]],Tableau5[],16,FALSE)</f>
        <v>0</v>
      </c>
      <c r="AK27" s="12">
        <f>IF(Tableau2[[#This Row],[sdom]]="5OUEST",1,0)</f>
        <v>0</v>
      </c>
      <c r="AL27" s="12">
        <f>VLOOKUP(Tableau2[[#This Row],[essence]],Tableau5[],17,FALSE)</f>
        <v>0</v>
      </c>
      <c r="AM27" s="12">
        <f>IF(Tableau2[[#This Row],[sdom]]="6EST",1,0)</f>
        <v>0</v>
      </c>
      <c r="AN27" s="12">
        <f>VLOOKUP(Tableau2[[#This Row],[essence]],Tableau5[],19,FALSE)</f>
        <v>0</v>
      </c>
      <c r="AO27" s="12">
        <f>IF(Tableau2[[#This Row],[priorecol]]="C",1,0)</f>
        <v>0</v>
      </c>
      <c r="AP27" s="12">
        <f>VLOOKUP(Tableau2[[#This Row],[essence]],Tableau5[],20,FALSE)</f>
        <v>0</v>
      </c>
      <c r="AQ27" s="12">
        <f>IF(Tableau2[[#This Row],[priorecol]]="R",1,0)</f>
        <v>1</v>
      </c>
      <c r="AR27" s="12">
        <f>VLOOKUP(Tableau2[[#This Row],[essence]],Tableau5[],21,FALSE)</f>
        <v>0</v>
      </c>
      <c r="AS27" s="12">
        <f>IF(Tableau2[[#This Row],[priorecol]]="S",1,0)</f>
        <v>0</v>
      </c>
      <c r="AT27" s="12">
        <f>VLOOKUP(Tableau2[[#This Row],[essence]],Tableau5[],22,FALSE)</f>
        <v>0</v>
      </c>
      <c r="AU27" s="12">
        <f>VLOOKUP(Tableau2[[#This Row],[essence]],Tableau5[],23,FALSE)</f>
        <v>0</v>
      </c>
      <c r="AV27" s="12">
        <f>VLOOKUP(Tableau2[[#This Row],[essence]],Tableau5[],18,FALSE)</f>
        <v>0</v>
      </c>
      <c r="AW2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3.5436000000000001</v>
      </c>
      <c r="AX27" s="12">
        <f>1/(1+EXP(-Tableau2[[#This Row],[xb_c]]))</f>
        <v>0.97190318579545698</v>
      </c>
      <c r="AY27" s="12" t="str">
        <f t="shared" si="0"/>
        <v>NA</v>
      </c>
      <c r="AZ27" s="12" t="str">
        <f t="shared" si="1"/>
        <v>NA</v>
      </c>
      <c r="BA27" s="12">
        <f>Tableau2[[#This Row],[prob_c]]</f>
        <v>0.97190318579545698</v>
      </c>
      <c r="BB27" s="12">
        <f>1-Tableau2[[#This Row],[prob_c]]</f>
        <v>2.8096814204543019E-2</v>
      </c>
    </row>
    <row r="28" spans="1:54" x14ac:dyDescent="0.25">
      <c r="A28" s="12">
        <v>2</v>
      </c>
      <c r="B28" s="12" t="s">
        <v>10</v>
      </c>
      <c r="C28" s="12">
        <v>2.1</v>
      </c>
      <c r="D28" s="12">
        <v>828</v>
      </c>
      <c r="E28" s="12">
        <v>29</v>
      </c>
      <c r="F28" s="12">
        <v>0</v>
      </c>
      <c r="G28" s="12">
        <v>3</v>
      </c>
      <c r="H28" s="12">
        <v>30</v>
      </c>
      <c r="I28" s="12" t="s">
        <v>19</v>
      </c>
      <c r="J28" s="12" t="s">
        <v>29</v>
      </c>
      <c r="K28" s="12">
        <f>VLOOKUP(Tableau2[[#This Row],[essence]],Tableau5[],2,FALSE)</f>
        <v>-1.806</v>
      </c>
      <c r="L28" s="12">
        <f>VLOOKUP(Tableau2[[#This Row],[essence]],Tableau5[],3,FALSE)</f>
        <v>1.2398</v>
      </c>
      <c r="M28" s="12">
        <f>IF(Tableau2[[#This Row],[priorecol]]="C",1,0)</f>
        <v>0</v>
      </c>
      <c r="N28" s="12">
        <f>VLOOKUP(Tableau2[[#This Row],[essence]],Tableau5[],4,FALSE)</f>
        <v>2.6488</v>
      </c>
      <c r="O28" s="12">
        <f>IF(Tableau2[[#This Row],[priorecol]]="R",1,0)</f>
        <v>0</v>
      </c>
      <c r="P28" s="12">
        <f>VLOOKUP(Tableau2[[#This Row],[essence]],Tableau5[],5,FALSE)</f>
        <v>0.61070000000000002</v>
      </c>
      <c r="Q28" s="12">
        <f>IF(Tableau2[[#This Row],[priorecol]]="S",1,0)</f>
        <v>1</v>
      </c>
      <c r="R28" s="12">
        <f>VLOOKUP(Tableau2[[#This Row],[essence]],Tableau5[],6,FALSE)</f>
        <v>5.67E-2</v>
      </c>
      <c r="S28" s="12">
        <f>VLOOKUP(Tableau2[[#This Row],[essence]],Tableau5[],15,FALSE)</f>
        <v>1.35E-2</v>
      </c>
      <c r="T28" s="12">
        <f>VLOOKUP(Tableau2[[#This Row],[essence]],Tableau5[],7,FALSE)</f>
        <v>0.95779999999999998</v>
      </c>
      <c r="U28" s="12">
        <f>IF(Tableau2[[#This Row],[sdom]]=1,1,0)</f>
        <v>0</v>
      </c>
      <c r="V28" s="12">
        <f>VLOOKUP(Tableau2[[#This Row],[essence]],Tableau5[],8,FALSE)</f>
        <v>0.66500000000000004</v>
      </c>
      <c r="W28" s="12">
        <f>IF(Tableau2[[#This Row],[sdom]]="2EST",1,0)</f>
        <v>1</v>
      </c>
      <c r="X28" s="12">
        <f>VLOOKUP(Tableau2[[#This Row],[essence]],Tableau5[],9,FALSE)</f>
        <v>0.32479999999999998</v>
      </c>
      <c r="Y28" s="12">
        <f>IF(Tableau2[[#This Row],[sdom]]="2OUEST",1,0)</f>
        <v>0</v>
      </c>
      <c r="Z28" s="12">
        <f>VLOOKUP(Tableau2[[#This Row],[essence]],Tableau5[],10,FALSE)</f>
        <v>0.62949999999999995</v>
      </c>
      <c r="AA28" s="12">
        <f>IF(Tableau2[[#This Row],[sdom]]="3EST",1,0)</f>
        <v>0</v>
      </c>
      <c r="AB28" s="12">
        <f>VLOOKUP(Tableau2[[#This Row],[essence]],Tableau5[],11,FALSE)</f>
        <v>0.56679999999999997</v>
      </c>
      <c r="AC28" s="12">
        <f>IF(Tableau2[[#This Row],[sdom]]="3OUEST",1,0)</f>
        <v>0</v>
      </c>
      <c r="AD28" s="12">
        <f>VLOOKUP(Tableau2[[#This Row],[essence]],Tableau5[],12,FALSE)</f>
        <v>0.21729999999999999</v>
      </c>
      <c r="AE28" s="12">
        <f>IF(Tableau2[[#This Row],[sdom]]="4EST",1,0)</f>
        <v>0</v>
      </c>
      <c r="AF28" s="12">
        <f>VLOOKUP(Tableau2[[#This Row],[essence]],Tableau5[],13,FALSE)</f>
        <v>0.39939999999999998</v>
      </c>
      <c r="AG28" s="12">
        <f>IF(Tableau2[[#This Row],[sdom]]="4OUEST",1,0)</f>
        <v>0</v>
      </c>
      <c r="AH28" s="12">
        <f>VLOOKUP(Tableau2[[#This Row],[essence]],Tableau5[],14,FALSE)</f>
        <v>6.5299999999999997E-2</v>
      </c>
      <c r="AI28" s="12">
        <f>IF(Tableau2[[#This Row],[sdom]]="5EST",1,0)</f>
        <v>0</v>
      </c>
      <c r="AJ28" s="12">
        <f>VLOOKUP(Tableau2[[#This Row],[essence]],Tableau5[],16,FALSE)</f>
        <v>0</v>
      </c>
      <c r="AK28" s="12">
        <f>IF(Tableau2[[#This Row],[sdom]]="5OUEST",1,0)</f>
        <v>0</v>
      </c>
      <c r="AL28" s="12">
        <f>VLOOKUP(Tableau2[[#This Row],[essence]],Tableau5[],17,FALSE)</f>
        <v>0</v>
      </c>
      <c r="AM28" s="12">
        <f>IF(Tableau2[[#This Row],[sdom]]="6EST",1,0)</f>
        <v>0</v>
      </c>
      <c r="AN28" s="12">
        <f>VLOOKUP(Tableau2[[#This Row],[essence]],Tableau5[],19,FALSE)</f>
        <v>0</v>
      </c>
      <c r="AO28" s="12">
        <f>IF(Tableau2[[#This Row],[priorecol]]="C",1,0)</f>
        <v>0</v>
      </c>
      <c r="AP28" s="12">
        <f>VLOOKUP(Tableau2[[#This Row],[essence]],Tableau5[],20,FALSE)</f>
        <v>0</v>
      </c>
      <c r="AQ28" s="12">
        <f>IF(Tableau2[[#This Row],[priorecol]]="R",1,0)</f>
        <v>0</v>
      </c>
      <c r="AR28" s="12">
        <f>VLOOKUP(Tableau2[[#This Row],[essence]],Tableau5[],21,FALSE)</f>
        <v>0</v>
      </c>
      <c r="AS28" s="12">
        <f>IF(Tableau2[[#This Row],[priorecol]]="S",1,0)</f>
        <v>1</v>
      </c>
      <c r="AT28" s="12">
        <f>VLOOKUP(Tableau2[[#This Row],[essence]],Tableau5[],22,FALSE)</f>
        <v>0</v>
      </c>
      <c r="AU28" s="12">
        <f>VLOOKUP(Tableau2[[#This Row],[essence]],Tableau5[],23,FALSE)</f>
        <v>0</v>
      </c>
      <c r="AV28" s="12">
        <f>VLOOKUP(Tableau2[[#This Row],[essence]],Tableau5[],18,FALSE)</f>
        <v>0</v>
      </c>
      <c r="AW2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1.5622</v>
      </c>
      <c r="AX28" s="12">
        <f>1/(1+EXP(-Tableau2[[#This Row],[xb_c]]))</f>
        <v>0.82666881203709019</v>
      </c>
      <c r="AY28" s="12" t="str">
        <f t="shared" si="0"/>
        <v>NA</v>
      </c>
      <c r="AZ28" s="12" t="str">
        <f t="shared" si="1"/>
        <v>NA</v>
      </c>
      <c r="BA28" s="12">
        <f>Tableau2[[#This Row],[prob_c]]</f>
        <v>0.82666881203709019</v>
      </c>
      <c r="BB28" s="12">
        <f>1-Tableau2[[#This Row],[prob_c]]</f>
        <v>0.17333118796290981</v>
      </c>
    </row>
    <row r="29" spans="1:54" x14ac:dyDescent="0.25">
      <c r="A29" s="12">
        <v>2</v>
      </c>
      <c r="B29" s="12" t="s">
        <v>10</v>
      </c>
      <c r="C29" s="12">
        <v>2.1</v>
      </c>
      <c r="D29" s="12">
        <v>828</v>
      </c>
      <c r="E29" s="12">
        <v>29</v>
      </c>
      <c r="F29" s="12">
        <v>0</v>
      </c>
      <c r="G29" s="12">
        <v>4</v>
      </c>
      <c r="H29" s="12">
        <v>31</v>
      </c>
      <c r="I29" s="12" t="s">
        <v>20</v>
      </c>
      <c r="J29" s="12" t="s">
        <v>27</v>
      </c>
      <c r="K29" s="12">
        <f>VLOOKUP(Tableau2[[#This Row],[essence]],Tableau5[],2,FALSE)</f>
        <v>0.69510000000000005</v>
      </c>
      <c r="L29" s="12">
        <f>VLOOKUP(Tableau2[[#This Row],[essence]],Tableau5[],3,FALSE)</f>
        <v>-0.51849999999999996</v>
      </c>
      <c r="M29" s="12">
        <f>IF(Tableau2[[#This Row],[priorecol]]="C",1,0)</f>
        <v>1</v>
      </c>
      <c r="N29" s="12">
        <f>VLOOKUP(Tableau2[[#This Row],[essence]],Tableau5[],4,FALSE)</f>
        <v>0.52129999999999999</v>
      </c>
      <c r="O29" s="12">
        <f>IF(Tableau2[[#This Row],[priorecol]]="R",1,0)</f>
        <v>0</v>
      </c>
      <c r="P29" s="12">
        <f>VLOOKUP(Tableau2[[#This Row],[essence]],Tableau5[],5,FALSE)</f>
        <v>-0.37890000000000001</v>
      </c>
      <c r="Q29" s="12">
        <f>IF(Tableau2[[#This Row],[priorecol]]="S",1,0)</f>
        <v>0</v>
      </c>
      <c r="R29" s="12">
        <f>VLOOKUP(Tableau2[[#This Row],[essence]],Tableau5[],6,FALSE)</f>
        <v>-5.5999999999999995E-4</v>
      </c>
      <c r="S29" s="12">
        <f>VLOOKUP(Tableau2[[#This Row],[essence]],Tableau5[],15,FALSE)</f>
        <v>1.52E-2</v>
      </c>
      <c r="T29" s="12">
        <f>VLOOKUP(Tableau2[[#This Row],[essence]],Tableau5[],7,FALSE)</f>
        <v>0</v>
      </c>
      <c r="U29" s="12">
        <f>IF(Tableau2[[#This Row],[sdom]]=1,1,0)</f>
        <v>0</v>
      </c>
      <c r="V29" s="12">
        <f>VLOOKUP(Tableau2[[#This Row],[essence]],Tableau5[],8,FALSE)</f>
        <v>-8.7900000000000006E-2</v>
      </c>
      <c r="W29" s="12">
        <f>IF(Tableau2[[#This Row],[sdom]]="2EST",1,0)</f>
        <v>1</v>
      </c>
      <c r="X29" s="12">
        <f>VLOOKUP(Tableau2[[#This Row],[essence]],Tableau5[],9,FALSE)</f>
        <v>0.42620000000000002</v>
      </c>
      <c r="Y29" s="12">
        <f>IF(Tableau2[[#This Row],[sdom]]="2OUEST",1,0)</f>
        <v>0</v>
      </c>
      <c r="Z29" s="12">
        <f>VLOOKUP(Tableau2[[#This Row],[essence]],Tableau5[],10,FALSE)</f>
        <v>0.54149999999999998</v>
      </c>
      <c r="AA29" s="12">
        <f>IF(Tableau2[[#This Row],[sdom]]="3EST",1,0)</f>
        <v>0</v>
      </c>
      <c r="AB29" s="12">
        <f>VLOOKUP(Tableau2[[#This Row],[essence]],Tableau5[],11,FALSE)</f>
        <v>0.50339999999999996</v>
      </c>
      <c r="AC29" s="12">
        <f>IF(Tableau2[[#This Row],[sdom]]="3OUEST",1,0)</f>
        <v>0</v>
      </c>
      <c r="AD29" s="12">
        <f>VLOOKUP(Tableau2[[#This Row],[essence]],Tableau5[],12,FALSE)</f>
        <v>-3.0599999999999999E-2</v>
      </c>
      <c r="AE29" s="12">
        <f>IF(Tableau2[[#This Row],[sdom]]="4EST",1,0)</f>
        <v>0</v>
      </c>
      <c r="AF29" s="12">
        <f>VLOOKUP(Tableau2[[#This Row],[essence]],Tableau5[],13,FALSE)</f>
        <v>0.1583</v>
      </c>
      <c r="AG29" s="12">
        <f>IF(Tableau2[[#This Row],[sdom]]="4OUEST",1,0)</f>
        <v>0</v>
      </c>
      <c r="AH29" s="12">
        <f>VLOOKUP(Tableau2[[#This Row],[essence]],Tableau5[],14,FALSE)</f>
        <v>3.9800000000000002E-2</v>
      </c>
      <c r="AI29" s="12">
        <f>IF(Tableau2[[#This Row],[sdom]]="5EST",1,0)</f>
        <v>0</v>
      </c>
      <c r="AJ29" s="12">
        <f>VLOOKUP(Tableau2[[#This Row],[essence]],Tableau5[],16,FALSE)</f>
        <v>0.13650000000000001</v>
      </c>
      <c r="AK29" s="12">
        <f>IF(Tableau2[[#This Row],[sdom]]="5OUEST",1,0)</f>
        <v>0</v>
      </c>
      <c r="AL29" s="12">
        <f>VLOOKUP(Tableau2[[#This Row],[essence]],Tableau5[],17,FALSE)</f>
        <v>-0.39140000000000003</v>
      </c>
      <c r="AM29" s="12">
        <f>IF(Tableau2[[#This Row],[sdom]]="6EST",1,0)</f>
        <v>0</v>
      </c>
      <c r="AN29" s="12">
        <f>VLOOKUP(Tableau2[[#This Row],[essence]],Tableau5[],19,FALSE)</f>
        <v>5.8000000000000003E-2</v>
      </c>
      <c r="AO29" s="12">
        <f>IF(Tableau2[[#This Row],[priorecol]]="C",1,0)</f>
        <v>1</v>
      </c>
      <c r="AP29" s="12">
        <f>VLOOKUP(Tableau2[[#This Row],[essence]],Tableau5[],20,FALSE)</f>
        <v>4.7500000000000001E-2</v>
      </c>
      <c r="AQ29" s="12">
        <f>IF(Tableau2[[#This Row],[priorecol]]="R",1,0)</f>
        <v>0</v>
      </c>
      <c r="AR29" s="12">
        <f>VLOOKUP(Tableau2[[#This Row],[essence]],Tableau5[],21,FALSE)</f>
        <v>4.87E-2</v>
      </c>
      <c r="AS29" s="12">
        <f>IF(Tableau2[[#This Row],[priorecol]]="S",1,0)</f>
        <v>0</v>
      </c>
      <c r="AT29" s="12">
        <f>VLOOKUP(Tableau2[[#This Row],[essence]],Tableau5[],22,FALSE)</f>
        <v>0</v>
      </c>
      <c r="AU29" s="12">
        <f>VLOOKUP(Tableau2[[#This Row],[essence]],Tableau5[],23,FALSE)</f>
        <v>0</v>
      </c>
      <c r="AV29" s="12">
        <f>VLOOKUP(Tableau2[[#This Row],[essence]],Tableau5[],18,FALSE)</f>
        <v>-0.112</v>
      </c>
      <c r="AW2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2.0749400000000002</v>
      </c>
      <c r="AX29" s="12">
        <f>1/(1+EXP(-Tableau2[[#This Row],[xb_c]]))</f>
        <v>0.88844351325747906</v>
      </c>
      <c r="AY29" s="12" t="str">
        <f t="shared" si="0"/>
        <v>NA</v>
      </c>
      <c r="AZ29" s="12" t="str">
        <f t="shared" si="1"/>
        <v>NA</v>
      </c>
      <c r="BA29" s="12">
        <f>Tableau2[[#This Row],[prob_c]]</f>
        <v>0.88844351325747906</v>
      </c>
      <c r="BB29" s="12">
        <f>1-Tableau2[[#This Row],[prob_c]]</f>
        <v>0.11155648674252094</v>
      </c>
    </row>
    <row r="30" spans="1:54" x14ac:dyDescent="0.25">
      <c r="A30" s="12">
        <v>2</v>
      </c>
      <c r="B30" s="12" t="s">
        <v>10</v>
      </c>
      <c r="C30" s="12">
        <v>2.1</v>
      </c>
      <c r="D30" s="12">
        <v>828</v>
      </c>
      <c r="E30" s="12">
        <v>29</v>
      </c>
      <c r="F30" s="12">
        <v>0</v>
      </c>
      <c r="G30" s="12">
        <v>5</v>
      </c>
      <c r="H30" s="12">
        <v>32</v>
      </c>
      <c r="I30" s="12" t="s">
        <v>20</v>
      </c>
      <c r="J30" s="12" t="s">
        <v>28</v>
      </c>
      <c r="K30" s="12">
        <f>VLOOKUP(Tableau2[[#This Row],[essence]],Tableau5[],2,FALSE)</f>
        <v>0.69510000000000005</v>
      </c>
      <c r="L30" s="12">
        <f>VLOOKUP(Tableau2[[#This Row],[essence]],Tableau5[],3,FALSE)</f>
        <v>-0.51849999999999996</v>
      </c>
      <c r="M30" s="12">
        <f>IF(Tableau2[[#This Row],[priorecol]]="C",1,0)</f>
        <v>0</v>
      </c>
      <c r="N30" s="12">
        <f>VLOOKUP(Tableau2[[#This Row],[essence]],Tableau5[],4,FALSE)</f>
        <v>0.52129999999999999</v>
      </c>
      <c r="O30" s="12">
        <f>IF(Tableau2[[#This Row],[priorecol]]="R",1,0)</f>
        <v>1</v>
      </c>
      <c r="P30" s="12">
        <f>VLOOKUP(Tableau2[[#This Row],[essence]],Tableau5[],5,FALSE)</f>
        <v>-0.37890000000000001</v>
      </c>
      <c r="Q30" s="12">
        <f>IF(Tableau2[[#This Row],[priorecol]]="S",1,0)</f>
        <v>0</v>
      </c>
      <c r="R30" s="12">
        <f>VLOOKUP(Tableau2[[#This Row],[essence]],Tableau5[],6,FALSE)</f>
        <v>-5.5999999999999995E-4</v>
      </c>
      <c r="S30" s="12">
        <f>VLOOKUP(Tableau2[[#This Row],[essence]],Tableau5[],15,FALSE)</f>
        <v>1.52E-2</v>
      </c>
      <c r="T30" s="12">
        <f>VLOOKUP(Tableau2[[#This Row],[essence]],Tableau5[],7,FALSE)</f>
        <v>0</v>
      </c>
      <c r="U30" s="12">
        <f>IF(Tableau2[[#This Row],[sdom]]=1,1,0)</f>
        <v>0</v>
      </c>
      <c r="V30" s="12">
        <f>VLOOKUP(Tableau2[[#This Row],[essence]],Tableau5[],8,FALSE)</f>
        <v>-8.7900000000000006E-2</v>
      </c>
      <c r="W30" s="12">
        <f>IF(Tableau2[[#This Row],[sdom]]="2EST",1,0)</f>
        <v>1</v>
      </c>
      <c r="X30" s="12">
        <f>VLOOKUP(Tableau2[[#This Row],[essence]],Tableau5[],9,FALSE)</f>
        <v>0.42620000000000002</v>
      </c>
      <c r="Y30" s="12">
        <f>IF(Tableau2[[#This Row],[sdom]]="2OUEST",1,0)</f>
        <v>0</v>
      </c>
      <c r="Z30" s="12">
        <f>VLOOKUP(Tableau2[[#This Row],[essence]],Tableau5[],10,FALSE)</f>
        <v>0.54149999999999998</v>
      </c>
      <c r="AA30" s="12">
        <f>IF(Tableau2[[#This Row],[sdom]]="3EST",1,0)</f>
        <v>0</v>
      </c>
      <c r="AB30" s="12">
        <f>VLOOKUP(Tableau2[[#This Row],[essence]],Tableau5[],11,FALSE)</f>
        <v>0.50339999999999996</v>
      </c>
      <c r="AC30" s="12">
        <f>IF(Tableau2[[#This Row],[sdom]]="3OUEST",1,0)</f>
        <v>0</v>
      </c>
      <c r="AD30" s="12">
        <f>VLOOKUP(Tableau2[[#This Row],[essence]],Tableau5[],12,FALSE)</f>
        <v>-3.0599999999999999E-2</v>
      </c>
      <c r="AE30" s="12">
        <f>IF(Tableau2[[#This Row],[sdom]]="4EST",1,0)</f>
        <v>0</v>
      </c>
      <c r="AF30" s="12">
        <f>VLOOKUP(Tableau2[[#This Row],[essence]],Tableau5[],13,FALSE)</f>
        <v>0.1583</v>
      </c>
      <c r="AG30" s="12">
        <f>IF(Tableau2[[#This Row],[sdom]]="4OUEST",1,0)</f>
        <v>0</v>
      </c>
      <c r="AH30" s="12">
        <f>VLOOKUP(Tableau2[[#This Row],[essence]],Tableau5[],14,FALSE)</f>
        <v>3.9800000000000002E-2</v>
      </c>
      <c r="AI30" s="12">
        <f>IF(Tableau2[[#This Row],[sdom]]="5EST",1,0)</f>
        <v>0</v>
      </c>
      <c r="AJ30" s="12">
        <f>VLOOKUP(Tableau2[[#This Row],[essence]],Tableau5[],16,FALSE)</f>
        <v>0.13650000000000001</v>
      </c>
      <c r="AK30" s="12">
        <f>IF(Tableau2[[#This Row],[sdom]]="5OUEST",1,0)</f>
        <v>0</v>
      </c>
      <c r="AL30" s="12">
        <f>VLOOKUP(Tableau2[[#This Row],[essence]],Tableau5[],17,FALSE)</f>
        <v>-0.39140000000000003</v>
      </c>
      <c r="AM30" s="12">
        <f>IF(Tableau2[[#This Row],[sdom]]="6EST",1,0)</f>
        <v>0</v>
      </c>
      <c r="AN30" s="12">
        <f>VLOOKUP(Tableau2[[#This Row],[essence]],Tableau5[],19,FALSE)</f>
        <v>5.8000000000000003E-2</v>
      </c>
      <c r="AO30" s="12">
        <f>IF(Tableau2[[#This Row],[priorecol]]="C",1,0)</f>
        <v>0</v>
      </c>
      <c r="AP30" s="12">
        <f>VLOOKUP(Tableau2[[#This Row],[essence]],Tableau5[],20,FALSE)</f>
        <v>4.7500000000000001E-2</v>
      </c>
      <c r="AQ30" s="12">
        <f>IF(Tableau2[[#This Row],[priorecol]]="R",1,0)</f>
        <v>1</v>
      </c>
      <c r="AR30" s="12">
        <f>VLOOKUP(Tableau2[[#This Row],[essence]],Tableau5[],21,FALSE)</f>
        <v>4.87E-2</v>
      </c>
      <c r="AS30" s="12">
        <f>IF(Tableau2[[#This Row],[priorecol]]="S",1,0)</f>
        <v>0</v>
      </c>
      <c r="AT30" s="12">
        <f>VLOOKUP(Tableau2[[#This Row],[essence]],Tableau5[],22,FALSE)</f>
        <v>0</v>
      </c>
      <c r="AU30" s="12">
        <f>VLOOKUP(Tableau2[[#This Row],[essence]],Tableau5[],23,FALSE)</f>
        <v>0</v>
      </c>
      <c r="AV30" s="12">
        <f>VLOOKUP(Tableau2[[#This Row],[essence]],Tableau5[],18,FALSE)</f>
        <v>-0.112</v>
      </c>
      <c r="AW3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2.8361800000000006</v>
      </c>
      <c r="AX30" s="12">
        <f>1/(1+EXP(-Tableau2[[#This Row],[xb_c]]))</f>
        <v>0.94459989723738036</v>
      </c>
      <c r="AY30" s="12" t="str">
        <f t="shared" si="0"/>
        <v>NA</v>
      </c>
      <c r="AZ30" s="12" t="str">
        <f t="shared" si="1"/>
        <v>NA</v>
      </c>
      <c r="BA30" s="12">
        <f>Tableau2[[#This Row],[prob_c]]</f>
        <v>0.94459989723738036</v>
      </c>
      <c r="BB30" s="12">
        <f>1-Tableau2[[#This Row],[prob_c]]</f>
        <v>5.5400102762619641E-2</v>
      </c>
    </row>
    <row r="31" spans="1:54" x14ac:dyDescent="0.25">
      <c r="A31" s="12">
        <v>2</v>
      </c>
      <c r="B31" s="12" t="s">
        <v>10</v>
      </c>
      <c r="C31" s="12">
        <v>2.1</v>
      </c>
      <c r="D31" s="12">
        <v>828</v>
      </c>
      <c r="E31" s="12">
        <v>29</v>
      </c>
      <c r="F31" s="12">
        <v>0</v>
      </c>
      <c r="G31" s="12">
        <v>6</v>
      </c>
      <c r="H31" s="12">
        <v>33</v>
      </c>
      <c r="I31" s="12" t="s">
        <v>20</v>
      </c>
      <c r="J31" s="12" t="s">
        <v>29</v>
      </c>
      <c r="K31" s="12">
        <f>VLOOKUP(Tableau2[[#This Row],[essence]],Tableau5[],2,FALSE)</f>
        <v>0.69510000000000005</v>
      </c>
      <c r="L31" s="12">
        <f>VLOOKUP(Tableau2[[#This Row],[essence]],Tableau5[],3,FALSE)</f>
        <v>-0.51849999999999996</v>
      </c>
      <c r="M31" s="12">
        <f>IF(Tableau2[[#This Row],[priorecol]]="C",1,0)</f>
        <v>0</v>
      </c>
      <c r="N31" s="12">
        <f>VLOOKUP(Tableau2[[#This Row],[essence]],Tableau5[],4,FALSE)</f>
        <v>0.52129999999999999</v>
      </c>
      <c r="O31" s="12">
        <f>IF(Tableau2[[#This Row],[priorecol]]="R",1,0)</f>
        <v>0</v>
      </c>
      <c r="P31" s="12">
        <f>VLOOKUP(Tableau2[[#This Row],[essence]],Tableau5[],5,FALSE)</f>
        <v>-0.37890000000000001</v>
      </c>
      <c r="Q31" s="12">
        <f>IF(Tableau2[[#This Row],[priorecol]]="S",1,0)</f>
        <v>1</v>
      </c>
      <c r="R31" s="12">
        <f>VLOOKUP(Tableau2[[#This Row],[essence]],Tableau5[],6,FALSE)</f>
        <v>-5.5999999999999995E-4</v>
      </c>
      <c r="S31" s="12">
        <f>VLOOKUP(Tableau2[[#This Row],[essence]],Tableau5[],15,FALSE)</f>
        <v>1.52E-2</v>
      </c>
      <c r="T31" s="12">
        <f>VLOOKUP(Tableau2[[#This Row],[essence]],Tableau5[],7,FALSE)</f>
        <v>0</v>
      </c>
      <c r="U31" s="12">
        <f>IF(Tableau2[[#This Row],[sdom]]=1,1,0)</f>
        <v>0</v>
      </c>
      <c r="V31" s="12">
        <f>VLOOKUP(Tableau2[[#This Row],[essence]],Tableau5[],8,FALSE)</f>
        <v>-8.7900000000000006E-2</v>
      </c>
      <c r="W31" s="12">
        <f>IF(Tableau2[[#This Row],[sdom]]="2EST",1,0)</f>
        <v>1</v>
      </c>
      <c r="X31" s="12">
        <f>VLOOKUP(Tableau2[[#This Row],[essence]],Tableau5[],9,FALSE)</f>
        <v>0.42620000000000002</v>
      </c>
      <c r="Y31" s="12">
        <f>IF(Tableau2[[#This Row],[sdom]]="2OUEST",1,0)</f>
        <v>0</v>
      </c>
      <c r="Z31" s="12">
        <f>VLOOKUP(Tableau2[[#This Row],[essence]],Tableau5[],10,FALSE)</f>
        <v>0.54149999999999998</v>
      </c>
      <c r="AA31" s="12">
        <f>IF(Tableau2[[#This Row],[sdom]]="3EST",1,0)</f>
        <v>0</v>
      </c>
      <c r="AB31" s="12">
        <f>VLOOKUP(Tableau2[[#This Row],[essence]],Tableau5[],11,FALSE)</f>
        <v>0.50339999999999996</v>
      </c>
      <c r="AC31" s="12">
        <f>IF(Tableau2[[#This Row],[sdom]]="3OUEST",1,0)</f>
        <v>0</v>
      </c>
      <c r="AD31" s="12">
        <f>VLOOKUP(Tableau2[[#This Row],[essence]],Tableau5[],12,FALSE)</f>
        <v>-3.0599999999999999E-2</v>
      </c>
      <c r="AE31" s="12">
        <f>IF(Tableau2[[#This Row],[sdom]]="4EST",1,0)</f>
        <v>0</v>
      </c>
      <c r="AF31" s="12">
        <f>VLOOKUP(Tableau2[[#This Row],[essence]],Tableau5[],13,FALSE)</f>
        <v>0.1583</v>
      </c>
      <c r="AG31" s="12">
        <f>IF(Tableau2[[#This Row],[sdom]]="4OUEST",1,0)</f>
        <v>0</v>
      </c>
      <c r="AH31" s="12">
        <f>VLOOKUP(Tableau2[[#This Row],[essence]],Tableau5[],14,FALSE)</f>
        <v>3.9800000000000002E-2</v>
      </c>
      <c r="AI31" s="12">
        <f>IF(Tableau2[[#This Row],[sdom]]="5EST",1,0)</f>
        <v>0</v>
      </c>
      <c r="AJ31" s="12">
        <f>VLOOKUP(Tableau2[[#This Row],[essence]],Tableau5[],16,FALSE)</f>
        <v>0.13650000000000001</v>
      </c>
      <c r="AK31" s="12">
        <f>IF(Tableau2[[#This Row],[sdom]]="5OUEST",1,0)</f>
        <v>0</v>
      </c>
      <c r="AL31" s="12">
        <f>VLOOKUP(Tableau2[[#This Row],[essence]],Tableau5[],17,FALSE)</f>
        <v>-0.39140000000000003</v>
      </c>
      <c r="AM31" s="12">
        <f>IF(Tableau2[[#This Row],[sdom]]="6EST",1,0)</f>
        <v>0</v>
      </c>
      <c r="AN31" s="12">
        <f>VLOOKUP(Tableau2[[#This Row],[essence]],Tableau5[],19,FALSE)</f>
        <v>5.8000000000000003E-2</v>
      </c>
      <c r="AO31" s="12">
        <f>IF(Tableau2[[#This Row],[priorecol]]="C",1,0)</f>
        <v>0</v>
      </c>
      <c r="AP31" s="12">
        <f>VLOOKUP(Tableau2[[#This Row],[essence]],Tableau5[],20,FALSE)</f>
        <v>4.7500000000000001E-2</v>
      </c>
      <c r="AQ31" s="12">
        <f>IF(Tableau2[[#This Row],[priorecol]]="R",1,0)</f>
        <v>0</v>
      </c>
      <c r="AR31" s="12">
        <f>VLOOKUP(Tableau2[[#This Row],[essence]],Tableau5[],21,FALSE)</f>
        <v>4.87E-2</v>
      </c>
      <c r="AS31" s="12">
        <f>IF(Tableau2[[#This Row],[priorecol]]="S",1,0)</f>
        <v>1</v>
      </c>
      <c r="AT31" s="12">
        <f>VLOOKUP(Tableau2[[#This Row],[essence]],Tableau5[],22,FALSE)</f>
        <v>0</v>
      </c>
      <c r="AU31" s="12">
        <f>VLOOKUP(Tableau2[[#This Row],[essence]],Tableau5[],23,FALSE)</f>
        <v>0</v>
      </c>
      <c r="AV31" s="12">
        <f>VLOOKUP(Tableau2[[#This Row],[essence]],Tableau5[],18,FALSE)</f>
        <v>-0.112</v>
      </c>
      <c r="AW3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2.0225200000000001</v>
      </c>
      <c r="AX31" s="12">
        <f>1/(1+EXP(-Tableau2[[#This Row],[xb_c]]))</f>
        <v>0.88314133118686156</v>
      </c>
      <c r="AY31" s="12" t="str">
        <f t="shared" si="0"/>
        <v>NA</v>
      </c>
      <c r="AZ31" s="12" t="str">
        <f t="shared" si="1"/>
        <v>NA</v>
      </c>
      <c r="BA31" s="12">
        <f>Tableau2[[#This Row],[prob_c]]</f>
        <v>0.88314133118686156</v>
      </c>
      <c r="BB31" s="12">
        <f>1-Tableau2[[#This Row],[prob_c]]</f>
        <v>0.11685866881313844</v>
      </c>
    </row>
    <row r="32" spans="1:54" x14ac:dyDescent="0.25">
      <c r="A32" s="12">
        <v>2</v>
      </c>
      <c r="B32" s="12" t="s">
        <v>10</v>
      </c>
      <c r="C32" s="12">
        <v>2.1</v>
      </c>
      <c r="D32" s="12">
        <v>828</v>
      </c>
      <c r="E32" s="12">
        <v>29</v>
      </c>
      <c r="F32" s="12">
        <v>0</v>
      </c>
      <c r="G32" s="12">
        <v>7</v>
      </c>
      <c r="H32" s="12">
        <v>24</v>
      </c>
      <c r="I32" s="12" t="s">
        <v>21</v>
      </c>
      <c r="J32" s="12" t="s">
        <v>27</v>
      </c>
      <c r="K32" s="12">
        <f>VLOOKUP(Tableau2[[#This Row],[essence]],Tableau5[],2,FALSE)</f>
        <v>5.0801999999999996</v>
      </c>
      <c r="L32" s="12">
        <f>VLOOKUP(Tableau2[[#This Row],[essence]],Tableau5[],3,FALSE)</f>
        <v>1.7765</v>
      </c>
      <c r="M32" s="12">
        <f>IF(Tableau2[[#This Row],[priorecol]]="C",1,0)</f>
        <v>1</v>
      </c>
      <c r="N32" s="12">
        <f>VLOOKUP(Tableau2[[#This Row],[essence]],Tableau5[],4,FALSE)</f>
        <v>3.3664000000000001</v>
      </c>
      <c r="O32" s="12">
        <f>IF(Tableau2[[#This Row],[priorecol]]="R",1,0)</f>
        <v>0</v>
      </c>
      <c r="P32" s="12">
        <f>VLOOKUP(Tableau2[[#This Row],[essence]],Tableau5[],5,FALSE)</f>
        <v>0.57940000000000003</v>
      </c>
      <c r="Q32" s="12">
        <f>IF(Tableau2[[#This Row],[priorecol]]="S",1,0)</f>
        <v>0</v>
      </c>
      <c r="R32" s="12">
        <f>VLOOKUP(Tableau2[[#This Row],[essence]],Tableau5[],6,FALSE)</f>
        <v>-0.2109</v>
      </c>
      <c r="S32" s="12">
        <f>VLOOKUP(Tableau2[[#This Row],[essence]],Tableau5[],15,FALSE)</f>
        <v>-0.2429</v>
      </c>
      <c r="T32" s="12">
        <f>VLOOKUP(Tableau2[[#This Row],[essence]],Tableau5[],7,FALSE)</f>
        <v>0</v>
      </c>
      <c r="U32" s="12">
        <f>IF(Tableau2[[#This Row],[sdom]]=1,1,0)</f>
        <v>0</v>
      </c>
      <c r="V32" s="12">
        <f>VLOOKUP(Tableau2[[#This Row],[essence]],Tableau5[],8,FALSE)</f>
        <v>0</v>
      </c>
      <c r="W32" s="12">
        <f>IF(Tableau2[[#This Row],[sdom]]="2EST",1,0)</f>
        <v>1</v>
      </c>
      <c r="X32" s="12">
        <f>VLOOKUP(Tableau2[[#This Row],[essence]],Tableau5[],9,FALSE)</f>
        <v>0</v>
      </c>
      <c r="Y32" s="12">
        <f>IF(Tableau2[[#This Row],[sdom]]="2OUEST",1,0)</f>
        <v>0</v>
      </c>
      <c r="Z32" s="12">
        <f>VLOOKUP(Tableau2[[#This Row],[essence]],Tableau5[],10,FALSE)</f>
        <v>0</v>
      </c>
      <c r="AA32" s="12">
        <f>IF(Tableau2[[#This Row],[sdom]]="3EST",1,0)</f>
        <v>0</v>
      </c>
      <c r="AB32" s="12">
        <f>VLOOKUP(Tableau2[[#This Row],[essence]],Tableau5[],11,FALSE)</f>
        <v>0</v>
      </c>
      <c r="AC32" s="12">
        <f>IF(Tableau2[[#This Row],[sdom]]="3OUEST",1,0)</f>
        <v>0</v>
      </c>
      <c r="AD32" s="12">
        <f>VLOOKUP(Tableau2[[#This Row],[essence]],Tableau5[],12,FALSE)</f>
        <v>0</v>
      </c>
      <c r="AE32" s="12">
        <f>IF(Tableau2[[#This Row],[sdom]]="4EST",1,0)</f>
        <v>0</v>
      </c>
      <c r="AF32" s="12">
        <f>VLOOKUP(Tableau2[[#This Row],[essence]],Tableau5[],13,FALSE)</f>
        <v>0</v>
      </c>
      <c r="AG32" s="12">
        <f>IF(Tableau2[[#This Row],[sdom]]="4OUEST",1,0)</f>
        <v>0</v>
      </c>
      <c r="AH32" s="12">
        <f>VLOOKUP(Tableau2[[#This Row],[essence]],Tableau5[],14,FALSE)</f>
        <v>0</v>
      </c>
      <c r="AI32" s="12">
        <f>IF(Tableau2[[#This Row],[sdom]]="5EST",1,0)</f>
        <v>0</v>
      </c>
      <c r="AJ32" s="12">
        <f>VLOOKUP(Tableau2[[#This Row],[essence]],Tableau5[],16,FALSE)</f>
        <v>0</v>
      </c>
      <c r="AK32" s="12">
        <f>IF(Tableau2[[#This Row],[sdom]]="5OUEST",1,0)</f>
        <v>0</v>
      </c>
      <c r="AL32" s="12">
        <f>VLOOKUP(Tableau2[[#This Row],[essence]],Tableau5[],17,FALSE)</f>
        <v>0</v>
      </c>
      <c r="AM32" s="12">
        <f>IF(Tableau2[[#This Row],[sdom]]="6EST",1,0)</f>
        <v>0</v>
      </c>
      <c r="AN32" s="12">
        <f>VLOOKUP(Tableau2[[#This Row],[essence]],Tableau5[],19,FALSE)</f>
        <v>0</v>
      </c>
      <c r="AO32" s="12">
        <f>IF(Tableau2[[#This Row],[priorecol]]="C",1,0)</f>
        <v>1</v>
      </c>
      <c r="AP32" s="12">
        <f>VLOOKUP(Tableau2[[#This Row],[essence]],Tableau5[],20,FALSE)</f>
        <v>0</v>
      </c>
      <c r="AQ32" s="12">
        <f>IF(Tableau2[[#This Row],[priorecol]]="R",1,0)</f>
        <v>0</v>
      </c>
      <c r="AR32" s="12">
        <f>VLOOKUP(Tableau2[[#This Row],[essence]],Tableau5[],21,FALSE)</f>
        <v>0</v>
      </c>
      <c r="AS32" s="12">
        <f>IF(Tableau2[[#This Row],[priorecol]]="S",1,0)</f>
        <v>0</v>
      </c>
      <c r="AT32" s="12">
        <f>VLOOKUP(Tableau2[[#This Row],[essence]],Tableau5[],22,FALSE)</f>
        <v>1.1384000000000001</v>
      </c>
      <c r="AU32" s="12">
        <f>VLOOKUP(Tableau2[[#This Row],[essence]],Tableau5[],23,FALSE)</f>
        <v>1.0699999999999999E-2</v>
      </c>
      <c r="AV32" s="12">
        <f>VLOOKUP(Tableau2[[#This Row],[essence]],Tableau5[],18,FALSE)</f>
        <v>0</v>
      </c>
      <c r="AW3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2.1981999999999982</v>
      </c>
      <c r="AX32" s="12">
        <f>1/(1+EXP(-Tableau2[[#This Row],[xb_c]]))</f>
        <v>0.90008775379396655</v>
      </c>
      <c r="AY32" s="12" t="str">
        <f t="shared" si="0"/>
        <v>NA</v>
      </c>
      <c r="AZ32" s="12" t="str">
        <f t="shared" si="1"/>
        <v>NA</v>
      </c>
      <c r="BA32" s="12">
        <f>Tableau2[[#This Row],[prob_c]]</f>
        <v>0.90008775379396655</v>
      </c>
      <c r="BB32" s="12">
        <f>1-Tableau2[[#This Row],[prob_c]]</f>
        <v>9.991224620603345E-2</v>
      </c>
    </row>
    <row r="33" spans="1:54" x14ac:dyDescent="0.25">
      <c r="A33" s="12">
        <v>2</v>
      </c>
      <c r="B33" s="12" t="s">
        <v>10</v>
      </c>
      <c r="C33" s="12">
        <v>2.1</v>
      </c>
      <c r="D33" s="12">
        <v>828</v>
      </c>
      <c r="E33" s="12">
        <v>29</v>
      </c>
      <c r="F33" s="12">
        <v>0</v>
      </c>
      <c r="G33" s="12">
        <v>8</v>
      </c>
      <c r="H33" s="12">
        <v>25</v>
      </c>
      <c r="I33" s="12" t="s">
        <v>21</v>
      </c>
      <c r="J33" s="12" t="s">
        <v>28</v>
      </c>
      <c r="K33" s="12">
        <f>VLOOKUP(Tableau2[[#This Row],[essence]],Tableau5[],2,FALSE)</f>
        <v>5.0801999999999996</v>
      </c>
      <c r="L33" s="12">
        <f>VLOOKUP(Tableau2[[#This Row],[essence]],Tableau5[],3,FALSE)</f>
        <v>1.7765</v>
      </c>
      <c r="M33" s="12">
        <f>IF(Tableau2[[#This Row],[priorecol]]="C",1,0)</f>
        <v>0</v>
      </c>
      <c r="N33" s="12">
        <f>VLOOKUP(Tableau2[[#This Row],[essence]],Tableau5[],4,FALSE)</f>
        <v>3.3664000000000001</v>
      </c>
      <c r="O33" s="12">
        <f>IF(Tableau2[[#This Row],[priorecol]]="R",1,0)</f>
        <v>1</v>
      </c>
      <c r="P33" s="12">
        <f>VLOOKUP(Tableau2[[#This Row],[essence]],Tableau5[],5,FALSE)</f>
        <v>0.57940000000000003</v>
      </c>
      <c r="Q33" s="12">
        <f>IF(Tableau2[[#This Row],[priorecol]]="S",1,0)</f>
        <v>0</v>
      </c>
      <c r="R33" s="12">
        <f>VLOOKUP(Tableau2[[#This Row],[essence]],Tableau5[],6,FALSE)</f>
        <v>-0.2109</v>
      </c>
      <c r="S33" s="12">
        <f>VLOOKUP(Tableau2[[#This Row],[essence]],Tableau5[],15,FALSE)</f>
        <v>-0.2429</v>
      </c>
      <c r="T33" s="12">
        <f>VLOOKUP(Tableau2[[#This Row],[essence]],Tableau5[],7,FALSE)</f>
        <v>0</v>
      </c>
      <c r="U33" s="12">
        <f>IF(Tableau2[[#This Row],[sdom]]=1,1,0)</f>
        <v>0</v>
      </c>
      <c r="V33" s="12">
        <f>VLOOKUP(Tableau2[[#This Row],[essence]],Tableau5[],8,FALSE)</f>
        <v>0</v>
      </c>
      <c r="W33" s="12">
        <f>IF(Tableau2[[#This Row],[sdom]]="2EST",1,0)</f>
        <v>1</v>
      </c>
      <c r="X33" s="12">
        <f>VLOOKUP(Tableau2[[#This Row],[essence]],Tableau5[],9,FALSE)</f>
        <v>0</v>
      </c>
      <c r="Y33" s="12">
        <f>IF(Tableau2[[#This Row],[sdom]]="2OUEST",1,0)</f>
        <v>0</v>
      </c>
      <c r="Z33" s="12">
        <f>VLOOKUP(Tableau2[[#This Row],[essence]],Tableau5[],10,FALSE)</f>
        <v>0</v>
      </c>
      <c r="AA33" s="12">
        <f>IF(Tableau2[[#This Row],[sdom]]="3EST",1,0)</f>
        <v>0</v>
      </c>
      <c r="AB33" s="12">
        <f>VLOOKUP(Tableau2[[#This Row],[essence]],Tableau5[],11,FALSE)</f>
        <v>0</v>
      </c>
      <c r="AC33" s="12">
        <f>IF(Tableau2[[#This Row],[sdom]]="3OUEST",1,0)</f>
        <v>0</v>
      </c>
      <c r="AD33" s="12">
        <f>VLOOKUP(Tableau2[[#This Row],[essence]],Tableau5[],12,FALSE)</f>
        <v>0</v>
      </c>
      <c r="AE33" s="12">
        <f>IF(Tableau2[[#This Row],[sdom]]="4EST",1,0)</f>
        <v>0</v>
      </c>
      <c r="AF33" s="12">
        <f>VLOOKUP(Tableau2[[#This Row],[essence]],Tableau5[],13,FALSE)</f>
        <v>0</v>
      </c>
      <c r="AG33" s="12">
        <f>IF(Tableau2[[#This Row],[sdom]]="4OUEST",1,0)</f>
        <v>0</v>
      </c>
      <c r="AH33" s="12">
        <f>VLOOKUP(Tableau2[[#This Row],[essence]],Tableau5[],14,FALSE)</f>
        <v>0</v>
      </c>
      <c r="AI33" s="12">
        <f>IF(Tableau2[[#This Row],[sdom]]="5EST",1,0)</f>
        <v>0</v>
      </c>
      <c r="AJ33" s="12">
        <f>VLOOKUP(Tableau2[[#This Row],[essence]],Tableau5[],16,FALSE)</f>
        <v>0</v>
      </c>
      <c r="AK33" s="12">
        <f>IF(Tableau2[[#This Row],[sdom]]="5OUEST",1,0)</f>
        <v>0</v>
      </c>
      <c r="AL33" s="12">
        <f>VLOOKUP(Tableau2[[#This Row],[essence]],Tableau5[],17,FALSE)</f>
        <v>0</v>
      </c>
      <c r="AM33" s="12">
        <f>IF(Tableau2[[#This Row],[sdom]]="6EST",1,0)</f>
        <v>0</v>
      </c>
      <c r="AN33" s="12">
        <f>VLOOKUP(Tableau2[[#This Row],[essence]],Tableau5[],19,FALSE)</f>
        <v>0</v>
      </c>
      <c r="AO33" s="12">
        <f>IF(Tableau2[[#This Row],[priorecol]]="C",1,0)</f>
        <v>0</v>
      </c>
      <c r="AP33" s="12">
        <f>VLOOKUP(Tableau2[[#This Row],[essence]],Tableau5[],20,FALSE)</f>
        <v>0</v>
      </c>
      <c r="AQ33" s="12">
        <f>IF(Tableau2[[#This Row],[priorecol]]="R",1,0)</f>
        <v>1</v>
      </c>
      <c r="AR33" s="12">
        <f>VLOOKUP(Tableau2[[#This Row],[essence]],Tableau5[],21,FALSE)</f>
        <v>0</v>
      </c>
      <c r="AS33" s="12">
        <f>IF(Tableau2[[#This Row],[priorecol]]="S",1,0)</f>
        <v>0</v>
      </c>
      <c r="AT33" s="12">
        <f>VLOOKUP(Tableau2[[#This Row],[essence]],Tableau5[],22,FALSE)</f>
        <v>1.1384000000000001</v>
      </c>
      <c r="AU33" s="12">
        <f>VLOOKUP(Tableau2[[#This Row],[essence]],Tableau5[],23,FALSE)</f>
        <v>1.0699999999999999E-2</v>
      </c>
      <c r="AV33" s="12">
        <f>VLOOKUP(Tableau2[[#This Row],[essence]],Tableau5[],18,FALSE)</f>
        <v>0</v>
      </c>
      <c r="AW3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3.8874999999999993</v>
      </c>
      <c r="AX33" s="12">
        <f>1/(1+EXP(-Tableau2[[#This Row],[xb_c]]))</f>
        <v>0.97991514632429044</v>
      </c>
      <c r="AY33" s="12" t="str">
        <f t="shared" si="0"/>
        <v>NA</v>
      </c>
      <c r="AZ33" s="12" t="str">
        <f t="shared" si="1"/>
        <v>NA</v>
      </c>
      <c r="BA33" s="12">
        <f>Tableau2[[#This Row],[prob_c]]</f>
        <v>0.97991514632429044</v>
      </c>
      <c r="BB33" s="12">
        <f>1-Tableau2[[#This Row],[prob_c]]</f>
        <v>2.0084853675709557E-2</v>
      </c>
    </row>
    <row r="34" spans="1:54" x14ac:dyDescent="0.25">
      <c r="A34" s="12">
        <v>2</v>
      </c>
      <c r="B34" s="12" t="s">
        <v>10</v>
      </c>
      <c r="C34" s="12">
        <v>2.1</v>
      </c>
      <c r="D34" s="12">
        <v>828</v>
      </c>
      <c r="E34" s="12">
        <v>29</v>
      </c>
      <c r="F34" s="12">
        <v>0</v>
      </c>
      <c r="G34" s="12">
        <v>9</v>
      </c>
      <c r="H34" s="12">
        <v>26</v>
      </c>
      <c r="I34" s="12" t="s">
        <v>21</v>
      </c>
      <c r="J34" s="12" t="s">
        <v>29</v>
      </c>
      <c r="K34" s="12">
        <f>VLOOKUP(Tableau2[[#This Row],[essence]],Tableau5[],2,FALSE)</f>
        <v>5.0801999999999996</v>
      </c>
      <c r="L34" s="12">
        <f>VLOOKUP(Tableau2[[#This Row],[essence]],Tableau5[],3,FALSE)</f>
        <v>1.7765</v>
      </c>
      <c r="M34" s="12">
        <f>IF(Tableau2[[#This Row],[priorecol]]="C",1,0)</f>
        <v>0</v>
      </c>
      <c r="N34" s="12">
        <f>VLOOKUP(Tableau2[[#This Row],[essence]],Tableau5[],4,FALSE)</f>
        <v>3.3664000000000001</v>
      </c>
      <c r="O34" s="12">
        <f>IF(Tableau2[[#This Row],[priorecol]]="R",1,0)</f>
        <v>0</v>
      </c>
      <c r="P34" s="12">
        <f>VLOOKUP(Tableau2[[#This Row],[essence]],Tableau5[],5,FALSE)</f>
        <v>0.57940000000000003</v>
      </c>
      <c r="Q34" s="12">
        <f>IF(Tableau2[[#This Row],[priorecol]]="S",1,0)</f>
        <v>1</v>
      </c>
      <c r="R34" s="12">
        <f>VLOOKUP(Tableau2[[#This Row],[essence]],Tableau5[],6,FALSE)</f>
        <v>-0.2109</v>
      </c>
      <c r="S34" s="12">
        <f>VLOOKUP(Tableau2[[#This Row],[essence]],Tableau5[],15,FALSE)</f>
        <v>-0.2429</v>
      </c>
      <c r="T34" s="12">
        <f>VLOOKUP(Tableau2[[#This Row],[essence]],Tableau5[],7,FALSE)</f>
        <v>0</v>
      </c>
      <c r="U34" s="12">
        <f>IF(Tableau2[[#This Row],[sdom]]=1,1,0)</f>
        <v>0</v>
      </c>
      <c r="V34" s="12">
        <f>VLOOKUP(Tableau2[[#This Row],[essence]],Tableau5[],8,FALSE)</f>
        <v>0</v>
      </c>
      <c r="W34" s="12">
        <f>IF(Tableau2[[#This Row],[sdom]]="2EST",1,0)</f>
        <v>1</v>
      </c>
      <c r="X34" s="12">
        <f>VLOOKUP(Tableau2[[#This Row],[essence]],Tableau5[],9,FALSE)</f>
        <v>0</v>
      </c>
      <c r="Y34" s="12">
        <f>IF(Tableau2[[#This Row],[sdom]]="2OUEST",1,0)</f>
        <v>0</v>
      </c>
      <c r="Z34" s="12">
        <f>VLOOKUP(Tableau2[[#This Row],[essence]],Tableau5[],10,FALSE)</f>
        <v>0</v>
      </c>
      <c r="AA34" s="12">
        <f>IF(Tableau2[[#This Row],[sdom]]="3EST",1,0)</f>
        <v>0</v>
      </c>
      <c r="AB34" s="12">
        <f>VLOOKUP(Tableau2[[#This Row],[essence]],Tableau5[],11,FALSE)</f>
        <v>0</v>
      </c>
      <c r="AC34" s="12">
        <f>IF(Tableau2[[#This Row],[sdom]]="3OUEST",1,0)</f>
        <v>0</v>
      </c>
      <c r="AD34" s="12">
        <f>VLOOKUP(Tableau2[[#This Row],[essence]],Tableau5[],12,FALSE)</f>
        <v>0</v>
      </c>
      <c r="AE34" s="12">
        <f>IF(Tableau2[[#This Row],[sdom]]="4EST",1,0)</f>
        <v>0</v>
      </c>
      <c r="AF34" s="12">
        <f>VLOOKUP(Tableau2[[#This Row],[essence]],Tableau5[],13,FALSE)</f>
        <v>0</v>
      </c>
      <c r="AG34" s="12">
        <f>IF(Tableau2[[#This Row],[sdom]]="4OUEST",1,0)</f>
        <v>0</v>
      </c>
      <c r="AH34" s="12">
        <f>VLOOKUP(Tableau2[[#This Row],[essence]],Tableau5[],14,FALSE)</f>
        <v>0</v>
      </c>
      <c r="AI34" s="12">
        <f>IF(Tableau2[[#This Row],[sdom]]="5EST",1,0)</f>
        <v>0</v>
      </c>
      <c r="AJ34" s="12">
        <f>VLOOKUP(Tableau2[[#This Row],[essence]],Tableau5[],16,FALSE)</f>
        <v>0</v>
      </c>
      <c r="AK34" s="12">
        <f>IF(Tableau2[[#This Row],[sdom]]="5OUEST",1,0)</f>
        <v>0</v>
      </c>
      <c r="AL34" s="12">
        <f>VLOOKUP(Tableau2[[#This Row],[essence]],Tableau5[],17,FALSE)</f>
        <v>0</v>
      </c>
      <c r="AM34" s="12">
        <f>IF(Tableau2[[#This Row],[sdom]]="6EST",1,0)</f>
        <v>0</v>
      </c>
      <c r="AN34" s="12">
        <f>VLOOKUP(Tableau2[[#This Row],[essence]],Tableau5[],19,FALSE)</f>
        <v>0</v>
      </c>
      <c r="AO34" s="12">
        <f>IF(Tableau2[[#This Row],[priorecol]]="C",1,0)</f>
        <v>0</v>
      </c>
      <c r="AP34" s="12">
        <f>VLOOKUP(Tableau2[[#This Row],[essence]],Tableau5[],20,FALSE)</f>
        <v>0</v>
      </c>
      <c r="AQ34" s="12">
        <f>IF(Tableau2[[#This Row],[priorecol]]="R",1,0)</f>
        <v>0</v>
      </c>
      <c r="AR34" s="12">
        <f>VLOOKUP(Tableau2[[#This Row],[essence]],Tableau5[],21,FALSE)</f>
        <v>0</v>
      </c>
      <c r="AS34" s="12">
        <f>IF(Tableau2[[#This Row],[priorecol]]="S",1,0)</f>
        <v>1</v>
      </c>
      <c r="AT34" s="12">
        <f>VLOOKUP(Tableau2[[#This Row],[essence]],Tableau5[],22,FALSE)</f>
        <v>1.1384000000000001</v>
      </c>
      <c r="AU34" s="12">
        <f>VLOOKUP(Tableau2[[#This Row],[essence]],Tableau5[],23,FALSE)</f>
        <v>1.0699999999999999E-2</v>
      </c>
      <c r="AV34" s="12">
        <f>VLOOKUP(Tableau2[[#This Row],[essence]],Tableau5[],18,FALSE)</f>
        <v>0</v>
      </c>
      <c r="AW3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1.1998999999999969</v>
      </c>
      <c r="AX34" s="12">
        <f>1/(1+EXP(-Tableau2[[#This Row],[xb_c]]))</f>
        <v>0.76850699357726371</v>
      </c>
      <c r="AY34" s="12" t="str">
        <f t="shared" si="0"/>
        <v>NA</v>
      </c>
      <c r="AZ34" s="12" t="str">
        <f t="shared" si="1"/>
        <v>NA</v>
      </c>
      <c r="BA34" s="12">
        <f>Tableau2[[#This Row],[prob_c]]</f>
        <v>0.76850699357726371</v>
      </c>
      <c r="BB34" s="12">
        <f>1-Tableau2[[#This Row],[prob_c]]</f>
        <v>0.23149300642273629</v>
      </c>
    </row>
    <row r="35" spans="1:54" x14ac:dyDescent="0.25">
      <c r="A35" s="12">
        <v>2</v>
      </c>
      <c r="B35" s="12" t="s">
        <v>10</v>
      </c>
      <c r="C35" s="12">
        <v>2.1</v>
      </c>
      <c r="D35" s="12">
        <v>828</v>
      </c>
      <c r="E35" s="12">
        <v>29</v>
      </c>
      <c r="F35" s="12">
        <v>0</v>
      </c>
      <c r="G35" s="12">
        <v>10</v>
      </c>
      <c r="H35" s="12">
        <v>27</v>
      </c>
      <c r="I35" s="12" t="s">
        <v>22</v>
      </c>
      <c r="J35" s="12" t="s">
        <v>27</v>
      </c>
      <c r="K35" s="12">
        <f>VLOOKUP(Tableau2[[#This Row],[essence]],Tableau5[],2,FALSE)</f>
        <v>-0.54949999999999999</v>
      </c>
      <c r="L35" s="12">
        <f>VLOOKUP(Tableau2[[#This Row],[essence]],Tableau5[],3,FALSE)</f>
        <v>-0.14960000000000001</v>
      </c>
      <c r="M35" s="12">
        <f>IF(Tableau2[[#This Row],[priorecol]]="C",1,0)</f>
        <v>1</v>
      </c>
      <c r="N35" s="12">
        <f>VLOOKUP(Tableau2[[#This Row],[essence]],Tableau5[],4,FALSE)</f>
        <v>1.6746000000000001</v>
      </c>
      <c r="O35" s="12">
        <f>IF(Tableau2[[#This Row],[priorecol]]="R",1,0)</f>
        <v>0</v>
      </c>
      <c r="P35" s="12">
        <f>VLOOKUP(Tableau2[[#This Row],[essence]],Tableau5[],5,FALSE)</f>
        <v>0.65110000000000001</v>
      </c>
      <c r="Q35" s="12">
        <f>IF(Tableau2[[#This Row],[priorecol]]="S",1,0)</f>
        <v>0</v>
      </c>
      <c r="R35" s="12">
        <f>VLOOKUP(Tableau2[[#This Row],[essence]],Tableau5[],6,FALSE)</f>
        <v>-3.0599999999999999E-2</v>
      </c>
      <c r="S35" s="12">
        <f>VLOOKUP(Tableau2[[#This Row],[essence]],Tableau5[],15,FALSE)</f>
        <v>-3.8399999999999997E-2</v>
      </c>
      <c r="T35" s="12">
        <f>VLOOKUP(Tableau2[[#This Row],[essence]],Tableau5[],7,FALSE)</f>
        <v>1.2454000000000001</v>
      </c>
      <c r="U35" s="12">
        <f>IF(Tableau2[[#This Row],[sdom]]=1,1,0)</f>
        <v>0</v>
      </c>
      <c r="V35" s="12">
        <f>VLOOKUP(Tableau2[[#This Row],[essence]],Tableau5[],8,FALSE)</f>
        <v>0.85550000000000004</v>
      </c>
      <c r="W35" s="12">
        <f>IF(Tableau2[[#This Row],[sdom]]="2EST",1,0)</f>
        <v>1</v>
      </c>
      <c r="X35" s="12">
        <f>VLOOKUP(Tableau2[[#This Row],[essence]],Tableau5[],9,FALSE)</f>
        <v>1.2195</v>
      </c>
      <c r="Y35" s="12">
        <f>IF(Tableau2[[#This Row],[sdom]]="2OUEST",1,0)</f>
        <v>0</v>
      </c>
      <c r="Z35" s="12">
        <f>VLOOKUP(Tableau2[[#This Row],[essence]],Tableau5[],10,FALSE)</f>
        <v>0.94630000000000003</v>
      </c>
      <c r="AA35" s="12">
        <f>IF(Tableau2[[#This Row],[sdom]]="3EST",1,0)</f>
        <v>0</v>
      </c>
      <c r="AB35" s="12">
        <f>VLOOKUP(Tableau2[[#This Row],[essence]],Tableau5[],11,FALSE)</f>
        <v>0.64859999999999995</v>
      </c>
      <c r="AC35" s="12">
        <f>IF(Tableau2[[#This Row],[sdom]]="3OUEST",1,0)</f>
        <v>0</v>
      </c>
      <c r="AD35" s="12">
        <f>VLOOKUP(Tableau2[[#This Row],[essence]],Tableau5[],12,FALSE)</f>
        <v>0.91920000000000002</v>
      </c>
      <c r="AE35" s="12">
        <f>IF(Tableau2[[#This Row],[sdom]]="4EST",1,0)</f>
        <v>0</v>
      </c>
      <c r="AF35" s="12">
        <f>VLOOKUP(Tableau2[[#This Row],[essence]],Tableau5[],13,FALSE)</f>
        <v>0.67230000000000001</v>
      </c>
      <c r="AG35" s="12">
        <f>IF(Tableau2[[#This Row],[sdom]]="4OUEST",1,0)</f>
        <v>0</v>
      </c>
      <c r="AH35" s="12">
        <f>VLOOKUP(Tableau2[[#This Row],[essence]],Tableau5[],14,FALSE)</f>
        <v>0.43309999999999998</v>
      </c>
      <c r="AI35" s="12">
        <f>IF(Tableau2[[#This Row],[sdom]]="5EST",1,0)</f>
        <v>0</v>
      </c>
      <c r="AJ35" s="12">
        <f>VLOOKUP(Tableau2[[#This Row],[essence]],Tableau5[],16,FALSE)</f>
        <v>0</v>
      </c>
      <c r="AK35" s="12">
        <f>IF(Tableau2[[#This Row],[sdom]]="5OUEST",1,0)</f>
        <v>0</v>
      </c>
      <c r="AL35" s="12">
        <f>VLOOKUP(Tableau2[[#This Row],[essence]],Tableau5[],17,FALSE)</f>
        <v>0</v>
      </c>
      <c r="AM35" s="12">
        <f>IF(Tableau2[[#This Row],[sdom]]="6EST",1,0)</f>
        <v>0</v>
      </c>
      <c r="AN35" s="12">
        <f>VLOOKUP(Tableau2[[#This Row],[essence]],Tableau5[],19,FALSE)</f>
        <v>6.6900000000000001E-2</v>
      </c>
      <c r="AO35" s="12">
        <f>IF(Tableau2[[#This Row],[priorecol]]="C",1,0)</f>
        <v>1</v>
      </c>
      <c r="AP35" s="12">
        <f>VLOOKUP(Tableau2[[#This Row],[essence]],Tableau5[],20,FALSE)</f>
        <v>4.3799999999999999E-2</v>
      </c>
      <c r="AQ35" s="12">
        <f>IF(Tableau2[[#This Row],[priorecol]]="R",1,0)</f>
        <v>0</v>
      </c>
      <c r="AR35" s="12">
        <f>VLOOKUP(Tableau2[[#This Row],[essence]],Tableau5[],21,FALSE)</f>
        <v>2.7900000000000001E-2</v>
      </c>
      <c r="AS35" s="12">
        <f>IF(Tableau2[[#This Row],[priorecol]]="S",1,0)</f>
        <v>0</v>
      </c>
      <c r="AT35" s="12">
        <f>VLOOKUP(Tableau2[[#This Row],[essence]],Tableau5[],22,FALSE)</f>
        <v>0</v>
      </c>
      <c r="AU35" s="12">
        <f>VLOOKUP(Tableau2[[#This Row],[essence]],Tableau5[],23,FALSE)</f>
        <v>1.73E-3</v>
      </c>
      <c r="AV35" s="12">
        <f>VLOOKUP(Tableau2[[#This Row],[essence]],Tableau5[],18,FALSE)</f>
        <v>0.1295</v>
      </c>
      <c r="AW3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1.6494400000000002</v>
      </c>
      <c r="AX35" s="12">
        <f>1/(1+EXP(-Tableau2[[#This Row],[xb_c]]))</f>
        <v>0.8388153504598026</v>
      </c>
      <c r="AY35" s="12" t="str">
        <f t="shared" si="0"/>
        <v>NA</v>
      </c>
      <c r="AZ35" s="12" t="str">
        <f t="shared" si="1"/>
        <v>NA</v>
      </c>
      <c r="BA35" s="12">
        <f>Tableau2[[#This Row],[prob_c]]</f>
        <v>0.8388153504598026</v>
      </c>
      <c r="BB35" s="12">
        <f>1-Tableau2[[#This Row],[prob_c]]</f>
        <v>0.1611846495401974</v>
      </c>
    </row>
    <row r="36" spans="1:54" x14ac:dyDescent="0.25">
      <c r="A36" s="12">
        <v>2</v>
      </c>
      <c r="B36" s="12" t="s">
        <v>10</v>
      </c>
      <c r="C36" s="12">
        <v>2.1</v>
      </c>
      <c r="D36" s="12">
        <v>828</v>
      </c>
      <c r="E36" s="12">
        <v>29</v>
      </c>
      <c r="F36" s="12">
        <v>0</v>
      </c>
      <c r="G36" s="12">
        <v>11</v>
      </c>
      <c r="H36" s="12">
        <v>28</v>
      </c>
      <c r="I36" s="12" t="s">
        <v>22</v>
      </c>
      <c r="J36" s="12" t="s">
        <v>28</v>
      </c>
      <c r="K36" s="12">
        <f>VLOOKUP(Tableau2[[#This Row],[essence]],Tableau5[],2,FALSE)</f>
        <v>-0.54949999999999999</v>
      </c>
      <c r="L36" s="12">
        <f>VLOOKUP(Tableau2[[#This Row],[essence]],Tableau5[],3,FALSE)</f>
        <v>-0.14960000000000001</v>
      </c>
      <c r="M36" s="12">
        <f>IF(Tableau2[[#This Row],[priorecol]]="C",1,0)</f>
        <v>0</v>
      </c>
      <c r="N36" s="12">
        <f>VLOOKUP(Tableau2[[#This Row],[essence]],Tableau5[],4,FALSE)</f>
        <v>1.6746000000000001</v>
      </c>
      <c r="O36" s="12">
        <f>IF(Tableau2[[#This Row],[priorecol]]="R",1,0)</f>
        <v>1</v>
      </c>
      <c r="P36" s="12">
        <f>VLOOKUP(Tableau2[[#This Row],[essence]],Tableau5[],5,FALSE)</f>
        <v>0.65110000000000001</v>
      </c>
      <c r="Q36" s="12">
        <f>IF(Tableau2[[#This Row],[priorecol]]="S",1,0)</f>
        <v>0</v>
      </c>
      <c r="R36" s="12">
        <f>VLOOKUP(Tableau2[[#This Row],[essence]],Tableau5[],6,FALSE)</f>
        <v>-3.0599999999999999E-2</v>
      </c>
      <c r="S36" s="12">
        <f>VLOOKUP(Tableau2[[#This Row],[essence]],Tableau5[],15,FALSE)</f>
        <v>-3.8399999999999997E-2</v>
      </c>
      <c r="T36" s="12">
        <f>VLOOKUP(Tableau2[[#This Row],[essence]],Tableau5[],7,FALSE)</f>
        <v>1.2454000000000001</v>
      </c>
      <c r="U36" s="12">
        <f>IF(Tableau2[[#This Row],[sdom]]=1,1,0)</f>
        <v>0</v>
      </c>
      <c r="V36" s="12">
        <f>VLOOKUP(Tableau2[[#This Row],[essence]],Tableau5[],8,FALSE)</f>
        <v>0.85550000000000004</v>
      </c>
      <c r="W36" s="12">
        <f>IF(Tableau2[[#This Row],[sdom]]="2EST",1,0)</f>
        <v>1</v>
      </c>
      <c r="X36" s="12">
        <f>VLOOKUP(Tableau2[[#This Row],[essence]],Tableau5[],9,FALSE)</f>
        <v>1.2195</v>
      </c>
      <c r="Y36" s="12">
        <f>IF(Tableau2[[#This Row],[sdom]]="2OUEST",1,0)</f>
        <v>0</v>
      </c>
      <c r="Z36" s="12">
        <f>VLOOKUP(Tableau2[[#This Row],[essence]],Tableau5[],10,FALSE)</f>
        <v>0.94630000000000003</v>
      </c>
      <c r="AA36" s="12">
        <f>IF(Tableau2[[#This Row],[sdom]]="3EST",1,0)</f>
        <v>0</v>
      </c>
      <c r="AB36" s="12">
        <f>VLOOKUP(Tableau2[[#This Row],[essence]],Tableau5[],11,FALSE)</f>
        <v>0.64859999999999995</v>
      </c>
      <c r="AC36" s="12">
        <f>IF(Tableau2[[#This Row],[sdom]]="3OUEST",1,0)</f>
        <v>0</v>
      </c>
      <c r="AD36" s="12">
        <f>VLOOKUP(Tableau2[[#This Row],[essence]],Tableau5[],12,FALSE)</f>
        <v>0.91920000000000002</v>
      </c>
      <c r="AE36" s="12">
        <f>IF(Tableau2[[#This Row],[sdom]]="4EST",1,0)</f>
        <v>0</v>
      </c>
      <c r="AF36" s="12">
        <f>VLOOKUP(Tableau2[[#This Row],[essence]],Tableau5[],13,FALSE)</f>
        <v>0.67230000000000001</v>
      </c>
      <c r="AG36" s="12">
        <f>IF(Tableau2[[#This Row],[sdom]]="4OUEST",1,0)</f>
        <v>0</v>
      </c>
      <c r="AH36" s="12">
        <f>VLOOKUP(Tableau2[[#This Row],[essence]],Tableau5[],14,FALSE)</f>
        <v>0.43309999999999998</v>
      </c>
      <c r="AI36" s="12">
        <f>IF(Tableau2[[#This Row],[sdom]]="5EST",1,0)</f>
        <v>0</v>
      </c>
      <c r="AJ36" s="12">
        <f>VLOOKUP(Tableau2[[#This Row],[essence]],Tableau5[],16,FALSE)</f>
        <v>0</v>
      </c>
      <c r="AK36" s="12">
        <f>IF(Tableau2[[#This Row],[sdom]]="5OUEST",1,0)</f>
        <v>0</v>
      </c>
      <c r="AL36" s="12">
        <f>VLOOKUP(Tableau2[[#This Row],[essence]],Tableau5[],17,FALSE)</f>
        <v>0</v>
      </c>
      <c r="AM36" s="12">
        <f>IF(Tableau2[[#This Row],[sdom]]="6EST",1,0)</f>
        <v>0</v>
      </c>
      <c r="AN36" s="12">
        <f>VLOOKUP(Tableau2[[#This Row],[essence]],Tableau5[],19,FALSE)</f>
        <v>6.6900000000000001E-2</v>
      </c>
      <c r="AO36" s="12">
        <f>IF(Tableau2[[#This Row],[priorecol]]="C",1,0)</f>
        <v>0</v>
      </c>
      <c r="AP36" s="12">
        <f>VLOOKUP(Tableau2[[#This Row],[essence]],Tableau5[],20,FALSE)</f>
        <v>4.3799999999999999E-2</v>
      </c>
      <c r="AQ36" s="12">
        <f>IF(Tableau2[[#This Row],[priorecol]]="R",1,0)</f>
        <v>1</v>
      </c>
      <c r="AR36" s="12">
        <f>VLOOKUP(Tableau2[[#This Row],[essence]],Tableau5[],21,FALSE)</f>
        <v>2.7900000000000001E-2</v>
      </c>
      <c r="AS36" s="12">
        <f>IF(Tableau2[[#This Row],[priorecol]]="S",1,0)</f>
        <v>0</v>
      </c>
      <c r="AT36" s="12">
        <f>VLOOKUP(Tableau2[[#This Row],[essence]],Tableau5[],22,FALSE)</f>
        <v>0</v>
      </c>
      <c r="AU36" s="12">
        <f>VLOOKUP(Tableau2[[#This Row],[essence]],Tableau5[],23,FALSE)</f>
        <v>1.73E-3</v>
      </c>
      <c r="AV36" s="12">
        <f>VLOOKUP(Tableau2[[#This Row],[essence]],Tableau5[],18,FALSE)</f>
        <v>0.1295</v>
      </c>
      <c r="AW3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2.9133100000000001</v>
      </c>
      <c r="AX36" s="12">
        <f>1/(1+EXP(-Tableau2[[#This Row],[xb_c]]))</f>
        <v>0.94850048936895215</v>
      </c>
      <c r="AY36" s="12" t="str">
        <f t="shared" si="0"/>
        <v>NA</v>
      </c>
      <c r="AZ36" s="12" t="str">
        <f t="shared" si="1"/>
        <v>NA</v>
      </c>
      <c r="BA36" s="12">
        <f>Tableau2[[#This Row],[prob_c]]</f>
        <v>0.94850048936895215</v>
      </c>
      <c r="BB36" s="12">
        <f>1-Tableau2[[#This Row],[prob_c]]</f>
        <v>5.1499510631047851E-2</v>
      </c>
    </row>
    <row r="37" spans="1:54" x14ac:dyDescent="0.25">
      <c r="A37" s="12">
        <v>2</v>
      </c>
      <c r="B37" s="12" t="s">
        <v>10</v>
      </c>
      <c r="C37" s="12">
        <v>2.1</v>
      </c>
      <c r="D37" s="12">
        <v>828</v>
      </c>
      <c r="E37" s="12">
        <v>29</v>
      </c>
      <c r="F37" s="12">
        <v>0</v>
      </c>
      <c r="G37" s="12">
        <v>12</v>
      </c>
      <c r="H37" s="12">
        <v>29</v>
      </c>
      <c r="I37" s="12" t="s">
        <v>22</v>
      </c>
      <c r="J37" s="12" t="s">
        <v>29</v>
      </c>
      <c r="K37" s="12">
        <f>VLOOKUP(Tableau2[[#This Row],[essence]],Tableau5[],2,FALSE)</f>
        <v>-0.54949999999999999</v>
      </c>
      <c r="L37" s="12">
        <f>VLOOKUP(Tableau2[[#This Row],[essence]],Tableau5[],3,FALSE)</f>
        <v>-0.14960000000000001</v>
      </c>
      <c r="M37" s="12">
        <f>IF(Tableau2[[#This Row],[priorecol]]="C",1,0)</f>
        <v>0</v>
      </c>
      <c r="N37" s="12">
        <f>VLOOKUP(Tableau2[[#This Row],[essence]],Tableau5[],4,FALSE)</f>
        <v>1.6746000000000001</v>
      </c>
      <c r="O37" s="12">
        <f>IF(Tableau2[[#This Row],[priorecol]]="R",1,0)</f>
        <v>0</v>
      </c>
      <c r="P37" s="12">
        <f>VLOOKUP(Tableau2[[#This Row],[essence]],Tableau5[],5,FALSE)</f>
        <v>0.65110000000000001</v>
      </c>
      <c r="Q37" s="12">
        <f>IF(Tableau2[[#This Row],[priorecol]]="S",1,0)</f>
        <v>1</v>
      </c>
      <c r="R37" s="12">
        <f>VLOOKUP(Tableau2[[#This Row],[essence]],Tableau5[],6,FALSE)</f>
        <v>-3.0599999999999999E-2</v>
      </c>
      <c r="S37" s="12">
        <f>VLOOKUP(Tableau2[[#This Row],[essence]],Tableau5[],15,FALSE)</f>
        <v>-3.8399999999999997E-2</v>
      </c>
      <c r="T37" s="12">
        <f>VLOOKUP(Tableau2[[#This Row],[essence]],Tableau5[],7,FALSE)</f>
        <v>1.2454000000000001</v>
      </c>
      <c r="U37" s="12">
        <f>IF(Tableau2[[#This Row],[sdom]]=1,1,0)</f>
        <v>0</v>
      </c>
      <c r="V37" s="12">
        <f>VLOOKUP(Tableau2[[#This Row],[essence]],Tableau5[],8,FALSE)</f>
        <v>0.85550000000000004</v>
      </c>
      <c r="W37" s="12">
        <f>IF(Tableau2[[#This Row],[sdom]]="2EST",1,0)</f>
        <v>1</v>
      </c>
      <c r="X37" s="12">
        <f>VLOOKUP(Tableau2[[#This Row],[essence]],Tableau5[],9,FALSE)</f>
        <v>1.2195</v>
      </c>
      <c r="Y37" s="12">
        <f>IF(Tableau2[[#This Row],[sdom]]="2OUEST",1,0)</f>
        <v>0</v>
      </c>
      <c r="Z37" s="12">
        <f>VLOOKUP(Tableau2[[#This Row],[essence]],Tableau5[],10,FALSE)</f>
        <v>0.94630000000000003</v>
      </c>
      <c r="AA37" s="12">
        <f>IF(Tableau2[[#This Row],[sdom]]="3EST",1,0)</f>
        <v>0</v>
      </c>
      <c r="AB37" s="12">
        <f>VLOOKUP(Tableau2[[#This Row],[essence]],Tableau5[],11,FALSE)</f>
        <v>0.64859999999999995</v>
      </c>
      <c r="AC37" s="12">
        <f>IF(Tableau2[[#This Row],[sdom]]="3OUEST",1,0)</f>
        <v>0</v>
      </c>
      <c r="AD37" s="12">
        <f>VLOOKUP(Tableau2[[#This Row],[essence]],Tableau5[],12,FALSE)</f>
        <v>0.91920000000000002</v>
      </c>
      <c r="AE37" s="12">
        <f>IF(Tableau2[[#This Row],[sdom]]="4EST",1,0)</f>
        <v>0</v>
      </c>
      <c r="AF37" s="12">
        <f>VLOOKUP(Tableau2[[#This Row],[essence]],Tableau5[],13,FALSE)</f>
        <v>0.67230000000000001</v>
      </c>
      <c r="AG37" s="12">
        <f>IF(Tableau2[[#This Row],[sdom]]="4OUEST",1,0)</f>
        <v>0</v>
      </c>
      <c r="AH37" s="12">
        <f>VLOOKUP(Tableau2[[#This Row],[essence]],Tableau5[],14,FALSE)</f>
        <v>0.43309999999999998</v>
      </c>
      <c r="AI37" s="12">
        <f>IF(Tableau2[[#This Row],[sdom]]="5EST",1,0)</f>
        <v>0</v>
      </c>
      <c r="AJ37" s="12">
        <f>VLOOKUP(Tableau2[[#This Row],[essence]],Tableau5[],16,FALSE)</f>
        <v>0</v>
      </c>
      <c r="AK37" s="12">
        <f>IF(Tableau2[[#This Row],[sdom]]="5OUEST",1,0)</f>
        <v>0</v>
      </c>
      <c r="AL37" s="12">
        <f>VLOOKUP(Tableau2[[#This Row],[essence]],Tableau5[],17,FALSE)</f>
        <v>0</v>
      </c>
      <c r="AM37" s="12">
        <f>IF(Tableau2[[#This Row],[sdom]]="6EST",1,0)</f>
        <v>0</v>
      </c>
      <c r="AN37" s="12">
        <f>VLOOKUP(Tableau2[[#This Row],[essence]],Tableau5[],19,FALSE)</f>
        <v>6.6900000000000001E-2</v>
      </c>
      <c r="AO37" s="12">
        <f>IF(Tableau2[[#This Row],[priorecol]]="C",1,0)</f>
        <v>0</v>
      </c>
      <c r="AP37" s="12">
        <f>VLOOKUP(Tableau2[[#This Row],[essence]],Tableau5[],20,FALSE)</f>
        <v>4.3799999999999999E-2</v>
      </c>
      <c r="AQ37" s="12">
        <f>IF(Tableau2[[#This Row],[priorecol]]="R",1,0)</f>
        <v>0</v>
      </c>
      <c r="AR37" s="12">
        <f>VLOOKUP(Tableau2[[#This Row],[essence]],Tableau5[],21,FALSE)</f>
        <v>2.7900000000000001E-2</v>
      </c>
      <c r="AS37" s="12">
        <f>IF(Tableau2[[#This Row],[priorecol]]="S",1,0)</f>
        <v>1</v>
      </c>
      <c r="AT37" s="12">
        <f>VLOOKUP(Tableau2[[#This Row],[essence]],Tableau5[],22,FALSE)</f>
        <v>0</v>
      </c>
      <c r="AU37" s="12">
        <f>VLOOKUP(Tableau2[[#This Row],[essence]],Tableau5[],23,FALSE)</f>
        <v>1.73E-3</v>
      </c>
      <c r="AV37" s="12">
        <f>VLOOKUP(Tableau2[[#This Row],[essence]],Tableau5[],18,FALSE)</f>
        <v>0.1295</v>
      </c>
      <c r="AW3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1.4920800000000001</v>
      </c>
      <c r="AX37" s="12">
        <f>1/(1+EXP(-Tableau2[[#This Row],[xb_c]]))</f>
        <v>0.81639026396477432</v>
      </c>
      <c r="AY37" s="12" t="str">
        <f t="shared" si="0"/>
        <v>NA</v>
      </c>
      <c r="AZ37" s="12" t="str">
        <f t="shared" si="1"/>
        <v>NA</v>
      </c>
      <c r="BA37" s="12">
        <f>Tableau2[[#This Row],[prob_c]]</f>
        <v>0.81639026396477432</v>
      </c>
      <c r="BB37" s="12">
        <f>1-Tableau2[[#This Row],[prob_c]]</f>
        <v>0.18360973603522568</v>
      </c>
    </row>
    <row r="38" spans="1:54" x14ac:dyDescent="0.25">
      <c r="A38" s="12">
        <v>2</v>
      </c>
      <c r="B38" s="12" t="s">
        <v>10</v>
      </c>
      <c r="C38" s="12">
        <v>2.1</v>
      </c>
      <c r="D38" s="12">
        <v>828</v>
      </c>
      <c r="E38" s="12">
        <v>29</v>
      </c>
      <c r="F38" s="12">
        <v>0</v>
      </c>
      <c r="G38" s="12">
        <v>13</v>
      </c>
      <c r="H38" s="12">
        <v>30</v>
      </c>
      <c r="I38" s="12" t="s">
        <v>23</v>
      </c>
      <c r="J38" s="12" t="s">
        <v>27</v>
      </c>
      <c r="K38" s="12">
        <f>VLOOKUP(Tableau2[[#This Row],[essence]],Tableau5[],2,FALSE)</f>
        <v>-1.5804</v>
      </c>
      <c r="L38" s="12">
        <f>VLOOKUP(Tableau2[[#This Row],[essence]],Tableau5[],3,FALSE)</f>
        <v>0.70079999999999998</v>
      </c>
      <c r="M38" s="12">
        <f>IF(Tableau2[[#This Row],[priorecol]]="C",1,0)</f>
        <v>1</v>
      </c>
      <c r="N38" s="12">
        <f>VLOOKUP(Tableau2[[#This Row],[essence]],Tableau5[],4,FALSE)</f>
        <v>0.1178</v>
      </c>
      <c r="O38" s="12">
        <f>IF(Tableau2[[#This Row],[priorecol]]="R",1,0)</f>
        <v>0</v>
      </c>
      <c r="P38" s="12">
        <f>VLOOKUP(Tableau2[[#This Row],[essence]],Tableau5[],5,FALSE)</f>
        <v>0.88300000000000001</v>
      </c>
      <c r="Q38" s="12">
        <f>IF(Tableau2[[#This Row],[priorecol]]="S",1,0)</f>
        <v>0</v>
      </c>
      <c r="R38" s="12">
        <f>VLOOKUP(Tableau2[[#This Row],[essence]],Tableau5[],6,FALSE)</f>
        <v>4.8599999999999997E-2</v>
      </c>
      <c r="S38" s="12">
        <f>VLOOKUP(Tableau2[[#This Row],[essence]],Tableau5[],15,FALSE)</f>
        <v>0</v>
      </c>
      <c r="T38" s="12">
        <f>VLOOKUP(Tableau2[[#This Row],[essence]],Tableau5[],7,FALSE)</f>
        <v>1.111</v>
      </c>
      <c r="U38" s="12">
        <f>IF(Tableau2[[#This Row],[sdom]]=1,1,0)</f>
        <v>0</v>
      </c>
      <c r="V38" s="12">
        <f>VLOOKUP(Tableau2[[#This Row],[essence]],Tableau5[],8,FALSE)</f>
        <v>0.68489999999999995</v>
      </c>
      <c r="W38" s="12">
        <f>IF(Tableau2[[#This Row],[sdom]]="2EST",1,0)</f>
        <v>1</v>
      </c>
      <c r="X38" s="12">
        <f>VLOOKUP(Tableau2[[#This Row],[essence]],Tableau5[],9,FALSE)</f>
        <v>0.72130000000000005</v>
      </c>
      <c r="Y38" s="12">
        <f>IF(Tableau2[[#This Row],[sdom]]="2OUEST",1,0)</f>
        <v>0</v>
      </c>
      <c r="Z38" s="12">
        <f>VLOOKUP(Tableau2[[#This Row],[essence]],Tableau5[],10,FALSE)</f>
        <v>0.83930000000000005</v>
      </c>
      <c r="AA38" s="12">
        <f>IF(Tableau2[[#This Row],[sdom]]="3EST",1,0)</f>
        <v>0</v>
      </c>
      <c r="AB38" s="12">
        <f>VLOOKUP(Tableau2[[#This Row],[essence]],Tableau5[],11,FALSE)</f>
        <v>0.6865</v>
      </c>
      <c r="AC38" s="12">
        <f>IF(Tableau2[[#This Row],[sdom]]="3OUEST",1,0)</f>
        <v>0</v>
      </c>
      <c r="AD38" s="12">
        <f>VLOOKUP(Tableau2[[#This Row],[essence]],Tableau5[],12,FALSE)</f>
        <v>0.79569999999999996</v>
      </c>
      <c r="AE38" s="12">
        <f>IF(Tableau2[[#This Row],[sdom]]="4EST",1,0)</f>
        <v>0</v>
      </c>
      <c r="AF38" s="12">
        <f>VLOOKUP(Tableau2[[#This Row],[essence]],Tableau5[],13,FALSE)</f>
        <v>0.54700000000000004</v>
      </c>
      <c r="AG38" s="12">
        <f>IF(Tableau2[[#This Row],[sdom]]="4OUEST",1,0)</f>
        <v>0</v>
      </c>
      <c r="AH38" s="12">
        <f>VLOOKUP(Tableau2[[#This Row],[essence]],Tableau5[],14,FALSE)</f>
        <v>0</v>
      </c>
      <c r="AI38" s="12">
        <f>IF(Tableau2[[#This Row],[sdom]]="5EST",1,0)</f>
        <v>0</v>
      </c>
      <c r="AJ38" s="12">
        <f>VLOOKUP(Tableau2[[#This Row],[essence]],Tableau5[],16,FALSE)</f>
        <v>0</v>
      </c>
      <c r="AK38" s="12">
        <f>IF(Tableau2[[#This Row],[sdom]]="5OUEST",1,0)</f>
        <v>0</v>
      </c>
      <c r="AL38" s="12">
        <f>VLOOKUP(Tableau2[[#This Row],[essence]],Tableau5[],17,FALSE)</f>
        <v>0</v>
      </c>
      <c r="AM38" s="12">
        <f>IF(Tableau2[[#This Row],[sdom]]="6EST",1,0)</f>
        <v>0</v>
      </c>
      <c r="AN38" s="12">
        <f>VLOOKUP(Tableau2[[#This Row],[essence]],Tableau5[],19,FALSE)</f>
        <v>4.2000000000000003E-2</v>
      </c>
      <c r="AO38" s="12">
        <f>IF(Tableau2[[#This Row],[priorecol]]="C",1,0)</f>
        <v>1</v>
      </c>
      <c r="AP38" s="12">
        <f>VLOOKUP(Tableau2[[#This Row],[essence]],Tableau5[],20,FALSE)</f>
        <v>0.111</v>
      </c>
      <c r="AQ38" s="12">
        <f>IF(Tableau2[[#This Row],[priorecol]]="R",1,0)</f>
        <v>0</v>
      </c>
      <c r="AR38" s="12">
        <f>VLOOKUP(Tableau2[[#This Row],[essence]],Tableau5[],21,FALSE)</f>
        <v>4.3600000000000002E-3</v>
      </c>
      <c r="AS38" s="12">
        <f>IF(Tableau2[[#This Row],[priorecol]]="S",1,0)</f>
        <v>0</v>
      </c>
      <c r="AT38" s="12">
        <f>VLOOKUP(Tableau2[[#This Row],[essence]],Tableau5[],22,FALSE)</f>
        <v>0</v>
      </c>
      <c r="AU38" s="12">
        <f>VLOOKUP(Tableau2[[#This Row],[essence]],Tableau5[],23,FALSE)</f>
        <v>0</v>
      </c>
      <c r="AV38" s="12">
        <f>VLOOKUP(Tableau2[[#This Row],[essence]],Tableau5[],18,FALSE)</f>
        <v>0</v>
      </c>
      <c r="AW3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2.5232999999999999</v>
      </c>
      <c r="AX38" s="12">
        <f>1/(1+EXP(-Tableau2[[#This Row],[xb_c]]))</f>
        <v>0.92575917983827472</v>
      </c>
      <c r="AY38" s="12" t="str">
        <f t="shared" si="0"/>
        <v>NA</v>
      </c>
      <c r="AZ38" s="12" t="str">
        <f t="shared" si="1"/>
        <v>NA</v>
      </c>
      <c r="BA38" s="12">
        <f>Tableau2[[#This Row],[prob_c]]</f>
        <v>0.92575917983827472</v>
      </c>
      <c r="BB38" s="12">
        <f>1-Tableau2[[#This Row],[prob_c]]</f>
        <v>7.4240820161725285E-2</v>
      </c>
    </row>
    <row r="39" spans="1:54" x14ac:dyDescent="0.25">
      <c r="A39" s="12">
        <v>2</v>
      </c>
      <c r="B39" s="12" t="s">
        <v>10</v>
      </c>
      <c r="C39" s="12">
        <v>2.1</v>
      </c>
      <c r="D39" s="12">
        <v>828</v>
      </c>
      <c r="E39" s="12">
        <v>29</v>
      </c>
      <c r="F39" s="12">
        <v>0</v>
      </c>
      <c r="G39" s="12">
        <v>14</v>
      </c>
      <c r="H39" s="12">
        <v>31</v>
      </c>
      <c r="I39" s="12" t="s">
        <v>23</v>
      </c>
      <c r="J39" s="12" t="s">
        <v>28</v>
      </c>
      <c r="K39" s="12">
        <f>VLOOKUP(Tableau2[[#This Row],[essence]],Tableau5[],2,FALSE)</f>
        <v>-1.5804</v>
      </c>
      <c r="L39" s="12">
        <f>VLOOKUP(Tableau2[[#This Row],[essence]],Tableau5[],3,FALSE)</f>
        <v>0.70079999999999998</v>
      </c>
      <c r="M39" s="12">
        <f>IF(Tableau2[[#This Row],[priorecol]]="C",1,0)</f>
        <v>0</v>
      </c>
      <c r="N39" s="12">
        <f>VLOOKUP(Tableau2[[#This Row],[essence]],Tableau5[],4,FALSE)</f>
        <v>0.1178</v>
      </c>
      <c r="O39" s="12">
        <f>IF(Tableau2[[#This Row],[priorecol]]="R",1,0)</f>
        <v>1</v>
      </c>
      <c r="P39" s="12">
        <f>VLOOKUP(Tableau2[[#This Row],[essence]],Tableau5[],5,FALSE)</f>
        <v>0.88300000000000001</v>
      </c>
      <c r="Q39" s="12">
        <f>IF(Tableau2[[#This Row],[priorecol]]="S",1,0)</f>
        <v>0</v>
      </c>
      <c r="R39" s="12">
        <f>VLOOKUP(Tableau2[[#This Row],[essence]],Tableau5[],6,FALSE)</f>
        <v>4.8599999999999997E-2</v>
      </c>
      <c r="S39" s="12">
        <f>VLOOKUP(Tableau2[[#This Row],[essence]],Tableau5[],15,FALSE)</f>
        <v>0</v>
      </c>
      <c r="T39" s="12">
        <f>VLOOKUP(Tableau2[[#This Row],[essence]],Tableau5[],7,FALSE)</f>
        <v>1.111</v>
      </c>
      <c r="U39" s="12">
        <f>IF(Tableau2[[#This Row],[sdom]]=1,1,0)</f>
        <v>0</v>
      </c>
      <c r="V39" s="12">
        <f>VLOOKUP(Tableau2[[#This Row],[essence]],Tableau5[],8,FALSE)</f>
        <v>0.68489999999999995</v>
      </c>
      <c r="W39" s="12">
        <f>IF(Tableau2[[#This Row],[sdom]]="2EST",1,0)</f>
        <v>1</v>
      </c>
      <c r="X39" s="12">
        <f>VLOOKUP(Tableau2[[#This Row],[essence]],Tableau5[],9,FALSE)</f>
        <v>0.72130000000000005</v>
      </c>
      <c r="Y39" s="12">
        <f>IF(Tableau2[[#This Row],[sdom]]="2OUEST",1,0)</f>
        <v>0</v>
      </c>
      <c r="Z39" s="12">
        <f>VLOOKUP(Tableau2[[#This Row],[essence]],Tableau5[],10,FALSE)</f>
        <v>0.83930000000000005</v>
      </c>
      <c r="AA39" s="12">
        <f>IF(Tableau2[[#This Row],[sdom]]="3EST",1,0)</f>
        <v>0</v>
      </c>
      <c r="AB39" s="12">
        <f>VLOOKUP(Tableau2[[#This Row],[essence]],Tableau5[],11,FALSE)</f>
        <v>0.6865</v>
      </c>
      <c r="AC39" s="12">
        <f>IF(Tableau2[[#This Row],[sdom]]="3OUEST",1,0)</f>
        <v>0</v>
      </c>
      <c r="AD39" s="12">
        <f>VLOOKUP(Tableau2[[#This Row],[essence]],Tableau5[],12,FALSE)</f>
        <v>0.79569999999999996</v>
      </c>
      <c r="AE39" s="12">
        <f>IF(Tableau2[[#This Row],[sdom]]="4EST",1,0)</f>
        <v>0</v>
      </c>
      <c r="AF39" s="12">
        <f>VLOOKUP(Tableau2[[#This Row],[essence]],Tableau5[],13,FALSE)</f>
        <v>0.54700000000000004</v>
      </c>
      <c r="AG39" s="12">
        <f>IF(Tableau2[[#This Row],[sdom]]="4OUEST",1,0)</f>
        <v>0</v>
      </c>
      <c r="AH39" s="12">
        <f>VLOOKUP(Tableau2[[#This Row],[essence]],Tableau5[],14,FALSE)</f>
        <v>0</v>
      </c>
      <c r="AI39" s="12">
        <f>IF(Tableau2[[#This Row],[sdom]]="5EST",1,0)</f>
        <v>0</v>
      </c>
      <c r="AJ39" s="12">
        <f>VLOOKUP(Tableau2[[#This Row],[essence]],Tableau5[],16,FALSE)</f>
        <v>0</v>
      </c>
      <c r="AK39" s="12">
        <f>IF(Tableau2[[#This Row],[sdom]]="5OUEST",1,0)</f>
        <v>0</v>
      </c>
      <c r="AL39" s="12">
        <f>VLOOKUP(Tableau2[[#This Row],[essence]],Tableau5[],17,FALSE)</f>
        <v>0</v>
      </c>
      <c r="AM39" s="12">
        <f>IF(Tableau2[[#This Row],[sdom]]="6EST",1,0)</f>
        <v>0</v>
      </c>
      <c r="AN39" s="12">
        <f>VLOOKUP(Tableau2[[#This Row],[essence]],Tableau5[],19,FALSE)</f>
        <v>4.2000000000000003E-2</v>
      </c>
      <c r="AO39" s="12">
        <f>IF(Tableau2[[#This Row],[priorecol]]="C",1,0)</f>
        <v>0</v>
      </c>
      <c r="AP39" s="12">
        <f>VLOOKUP(Tableau2[[#This Row],[essence]],Tableau5[],20,FALSE)</f>
        <v>0.111</v>
      </c>
      <c r="AQ39" s="12">
        <f>IF(Tableau2[[#This Row],[priorecol]]="R",1,0)</f>
        <v>1</v>
      </c>
      <c r="AR39" s="12">
        <f>VLOOKUP(Tableau2[[#This Row],[essence]],Tableau5[],21,FALSE)</f>
        <v>4.3600000000000002E-3</v>
      </c>
      <c r="AS39" s="12">
        <f>IF(Tableau2[[#This Row],[priorecol]]="S",1,0)</f>
        <v>0</v>
      </c>
      <c r="AT39" s="12">
        <f>VLOOKUP(Tableau2[[#This Row],[essence]],Tableau5[],22,FALSE)</f>
        <v>0</v>
      </c>
      <c r="AU39" s="12">
        <f>VLOOKUP(Tableau2[[#This Row],[essence]],Tableau5[],23,FALSE)</f>
        <v>0</v>
      </c>
      <c r="AV39" s="12">
        <f>VLOOKUP(Tableau2[[#This Row],[essence]],Tableau5[],18,FALSE)</f>
        <v>0</v>
      </c>
      <c r="AW3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4.1698999999999993</v>
      </c>
      <c r="AX39" s="12">
        <f>1/(1+EXP(-Tableau2[[#This Row],[xb_c]]))</f>
        <v>0.98478138016265093</v>
      </c>
      <c r="AY39" s="12" t="str">
        <f t="shared" si="0"/>
        <v>NA</v>
      </c>
      <c r="AZ39" s="12" t="str">
        <f t="shared" si="1"/>
        <v>NA</v>
      </c>
      <c r="BA39" s="12">
        <f>Tableau2[[#This Row],[prob_c]]</f>
        <v>0.98478138016265093</v>
      </c>
      <c r="BB39" s="12">
        <f>1-Tableau2[[#This Row],[prob_c]]</f>
        <v>1.5218619837349068E-2</v>
      </c>
    </row>
    <row r="40" spans="1:54" x14ac:dyDescent="0.25">
      <c r="A40" s="12">
        <v>2</v>
      </c>
      <c r="B40" s="12" t="s">
        <v>10</v>
      </c>
      <c r="C40" s="12">
        <v>2.1</v>
      </c>
      <c r="D40" s="12">
        <v>828</v>
      </c>
      <c r="E40" s="12">
        <v>29</v>
      </c>
      <c r="F40" s="12">
        <v>0</v>
      </c>
      <c r="G40" s="12">
        <v>15</v>
      </c>
      <c r="H40" s="12">
        <v>32</v>
      </c>
      <c r="I40" s="12" t="s">
        <v>23</v>
      </c>
      <c r="J40" s="12" t="s">
        <v>29</v>
      </c>
      <c r="K40" s="12">
        <f>VLOOKUP(Tableau2[[#This Row],[essence]],Tableau5[],2,FALSE)</f>
        <v>-1.5804</v>
      </c>
      <c r="L40" s="12">
        <f>VLOOKUP(Tableau2[[#This Row],[essence]],Tableau5[],3,FALSE)</f>
        <v>0.70079999999999998</v>
      </c>
      <c r="M40" s="12">
        <f>IF(Tableau2[[#This Row],[priorecol]]="C",1,0)</f>
        <v>0</v>
      </c>
      <c r="N40" s="12">
        <f>VLOOKUP(Tableau2[[#This Row],[essence]],Tableau5[],4,FALSE)</f>
        <v>0.1178</v>
      </c>
      <c r="O40" s="12">
        <f>IF(Tableau2[[#This Row],[priorecol]]="R",1,0)</f>
        <v>0</v>
      </c>
      <c r="P40" s="12">
        <f>VLOOKUP(Tableau2[[#This Row],[essence]],Tableau5[],5,FALSE)</f>
        <v>0.88300000000000001</v>
      </c>
      <c r="Q40" s="12">
        <f>IF(Tableau2[[#This Row],[priorecol]]="S",1,0)</f>
        <v>1</v>
      </c>
      <c r="R40" s="12">
        <f>VLOOKUP(Tableau2[[#This Row],[essence]],Tableau5[],6,FALSE)</f>
        <v>4.8599999999999997E-2</v>
      </c>
      <c r="S40" s="12">
        <f>VLOOKUP(Tableau2[[#This Row],[essence]],Tableau5[],15,FALSE)</f>
        <v>0</v>
      </c>
      <c r="T40" s="12">
        <f>VLOOKUP(Tableau2[[#This Row],[essence]],Tableau5[],7,FALSE)</f>
        <v>1.111</v>
      </c>
      <c r="U40" s="12">
        <f>IF(Tableau2[[#This Row],[sdom]]=1,1,0)</f>
        <v>0</v>
      </c>
      <c r="V40" s="12">
        <f>VLOOKUP(Tableau2[[#This Row],[essence]],Tableau5[],8,FALSE)</f>
        <v>0.68489999999999995</v>
      </c>
      <c r="W40" s="12">
        <f>IF(Tableau2[[#This Row],[sdom]]="2EST",1,0)</f>
        <v>1</v>
      </c>
      <c r="X40" s="12">
        <f>VLOOKUP(Tableau2[[#This Row],[essence]],Tableau5[],9,FALSE)</f>
        <v>0.72130000000000005</v>
      </c>
      <c r="Y40" s="12">
        <f>IF(Tableau2[[#This Row],[sdom]]="2OUEST",1,0)</f>
        <v>0</v>
      </c>
      <c r="Z40" s="12">
        <f>VLOOKUP(Tableau2[[#This Row],[essence]],Tableau5[],10,FALSE)</f>
        <v>0.83930000000000005</v>
      </c>
      <c r="AA40" s="12">
        <f>IF(Tableau2[[#This Row],[sdom]]="3EST",1,0)</f>
        <v>0</v>
      </c>
      <c r="AB40" s="12">
        <f>VLOOKUP(Tableau2[[#This Row],[essence]],Tableau5[],11,FALSE)</f>
        <v>0.6865</v>
      </c>
      <c r="AC40" s="12">
        <f>IF(Tableau2[[#This Row],[sdom]]="3OUEST",1,0)</f>
        <v>0</v>
      </c>
      <c r="AD40" s="12">
        <f>VLOOKUP(Tableau2[[#This Row],[essence]],Tableau5[],12,FALSE)</f>
        <v>0.79569999999999996</v>
      </c>
      <c r="AE40" s="12">
        <f>IF(Tableau2[[#This Row],[sdom]]="4EST",1,0)</f>
        <v>0</v>
      </c>
      <c r="AF40" s="12">
        <f>VLOOKUP(Tableau2[[#This Row],[essence]],Tableau5[],13,FALSE)</f>
        <v>0.54700000000000004</v>
      </c>
      <c r="AG40" s="12">
        <f>IF(Tableau2[[#This Row],[sdom]]="4OUEST",1,0)</f>
        <v>0</v>
      </c>
      <c r="AH40" s="12">
        <f>VLOOKUP(Tableau2[[#This Row],[essence]],Tableau5[],14,FALSE)</f>
        <v>0</v>
      </c>
      <c r="AI40" s="12">
        <f>IF(Tableau2[[#This Row],[sdom]]="5EST",1,0)</f>
        <v>0</v>
      </c>
      <c r="AJ40" s="12">
        <f>VLOOKUP(Tableau2[[#This Row],[essence]],Tableau5[],16,FALSE)</f>
        <v>0</v>
      </c>
      <c r="AK40" s="12">
        <f>IF(Tableau2[[#This Row],[sdom]]="5OUEST",1,0)</f>
        <v>0</v>
      </c>
      <c r="AL40" s="12">
        <f>VLOOKUP(Tableau2[[#This Row],[essence]],Tableau5[],17,FALSE)</f>
        <v>0</v>
      </c>
      <c r="AM40" s="12">
        <f>IF(Tableau2[[#This Row],[sdom]]="6EST",1,0)</f>
        <v>0</v>
      </c>
      <c r="AN40" s="12">
        <f>VLOOKUP(Tableau2[[#This Row],[essence]],Tableau5[],19,FALSE)</f>
        <v>4.2000000000000003E-2</v>
      </c>
      <c r="AO40" s="12">
        <f>IF(Tableau2[[#This Row],[priorecol]]="C",1,0)</f>
        <v>0</v>
      </c>
      <c r="AP40" s="12">
        <f>VLOOKUP(Tableau2[[#This Row],[essence]],Tableau5[],20,FALSE)</f>
        <v>0.111</v>
      </c>
      <c r="AQ40" s="12">
        <f>IF(Tableau2[[#This Row],[priorecol]]="R",1,0)</f>
        <v>0</v>
      </c>
      <c r="AR40" s="12">
        <f>VLOOKUP(Tableau2[[#This Row],[essence]],Tableau5[],21,FALSE)</f>
        <v>4.3600000000000002E-3</v>
      </c>
      <c r="AS40" s="12">
        <f>IF(Tableau2[[#This Row],[priorecol]]="S",1,0)</f>
        <v>1</v>
      </c>
      <c r="AT40" s="12">
        <f>VLOOKUP(Tableau2[[#This Row],[essence]],Tableau5[],22,FALSE)</f>
        <v>0</v>
      </c>
      <c r="AU40" s="12">
        <f>VLOOKUP(Tableau2[[#This Row],[essence]],Tableau5[],23,FALSE)</f>
        <v>0</v>
      </c>
      <c r="AV40" s="12">
        <f>VLOOKUP(Tableau2[[#This Row],[essence]],Tableau5[],18,FALSE)</f>
        <v>0</v>
      </c>
      <c r="AW4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1.68222</v>
      </c>
      <c r="AX40" s="12">
        <f>1/(1+EXP(-Tableau2[[#This Row],[xb_c]]))</f>
        <v>0.84319827197548891</v>
      </c>
      <c r="AY40" s="12" t="str">
        <f t="shared" si="0"/>
        <v>NA</v>
      </c>
      <c r="AZ40" s="12" t="str">
        <f t="shared" si="1"/>
        <v>NA</v>
      </c>
      <c r="BA40" s="12">
        <f>Tableau2[[#This Row],[prob_c]]</f>
        <v>0.84319827197548891</v>
      </c>
      <c r="BB40" s="12">
        <f>1-Tableau2[[#This Row],[prob_c]]</f>
        <v>0.15680172802451109</v>
      </c>
    </row>
    <row r="41" spans="1:54" x14ac:dyDescent="0.25">
      <c r="A41" s="12">
        <v>2</v>
      </c>
      <c r="B41" s="12" t="s">
        <v>10</v>
      </c>
      <c r="C41" s="12">
        <v>2.1</v>
      </c>
      <c r="D41" s="12">
        <v>828</v>
      </c>
      <c r="E41" s="12">
        <v>29</v>
      </c>
      <c r="F41" s="12">
        <v>0</v>
      </c>
      <c r="G41" s="12">
        <v>16</v>
      </c>
      <c r="H41" s="12">
        <v>33</v>
      </c>
      <c r="I41" s="12" t="s">
        <v>24</v>
      </c>
      <c r="J41" s="12" t="s">
        <v>27</v>
      </c>
      <c r="K41" s="12">
        <f>VLOOKUP(Tableau2[[#This Row],[essence]],Tableau5[],2,FALSE)</f>
        <v>1.9585999999999999</v>
      </c>
      <c r="L41" s="12">
        <f>VLOOKUP(Tableau2[[#This Row],[essence]],Tableau5[],3,FALSE)</f>
        <v>6.6000000000000003E-2</v>
      </c>
      <c r="M41" s="12">
        <f>IF(Tableau2[[#This Row],[priorecol]]="C",1,0)</f>
        <v>1</v>
      </c>
      <c r="N41" s="12">
        <f>VLOOKUP(Tableau2[[#This Row],[essence]],Tableau5[],4,FALSE)</f>
        <v>-1.9339999999999999</v>
      </c>
      <c r="O41" s="12">
        <f>IF(Tableau2[[#This Row],[priorecol]]="R",1,0)</f>
        <v>0</v>
      </c>
      <c r="P41" s="12">
        <f>VLOOKUP(Tableau2[[#This Row],[essence]],Tableau5[],5,FALSE)</f>
        <v>-4.4771999999999998</v>
      </c>
      <c r="Q41" s="12">
        <f>IF(Tableau2[[#This Row],[priorecol]]="S",1,0)</f>
        <v>0</v>
      </c>
      <c r="R41" s="12">
        <f>VLOOKUP(Tableau2[[#This Row],[essence]],Tableau5[],6,FALSE)</f>
        <v>-2.5499999999999998E-2</v>
      </c>
      <c r="S41" s="12">
        <f>VLOOKUP(Tableau2[[#This Row],[essence]],Tableau5[],15,FALSE)</f>
        <v>0</v>
      </c>
      <c r="T41" s="12">
        <f>VLOOKUP(Tableau2[[#This Row],[essence]],Tableau5[],7,FALSE)</f>
        <v>0</v>
      </c>
      <c r="U41" s="12">
        <f>IF(Tableau2[[#This Row],[sdom]]=1,1,0)</f>
        <v>0</v>
      </c>
      <c r="V41" s="12">
        <f>VLOOKUP(Tableau2[[#This Row],[essence]],Tableau5[],8,FALSE)</f>
        <v>0</v>
      </c>
      <c r="W41" s="12">
        <f>IF(Tableau2[[#This Row],[sdom]]="2EST",1,0)</f>
        <v>1</v>
      </c>
      <c r="X41" s="12">
        <f>VLOOKUP(Tableau2[[#This Row],[essence]],Tableau5[],9,FALSE)</f>
        <v>0</v>
      </c>
      <c r="Y41" s="12">
        <f>IF(Tableau2[[#This Row],[sdom]]="2OUEST",1,0)</f>
        <v>0</v>
      </c>
      <c r="Z41" s="12">
        <f>VLOOKUP(Tableau2[[#This Row],[essence]],Tableau5[],10,FALSE)</f>
        <v>0</v>
      </c>
      <c r="AA41" s="12">
        <f>IF(Tableau2[[#This Row],[sdom]]="3EST",1,0)</f>
        <v>0</v>
      </c>
      <c r="AB41" s="12">
        <f>VLOOKUP(Tableau2[[#This Row],[essence]],Tableau5[],11,FALSE)</f>
        <v>0</v>
      </c>
      <c r="AC41" s="12">
        <f>IF(Tableau2[[#This Row],[sdom]]="3OUEST",1,0)</f>
        <v>0</v>
      </c>
      <c r="AD41" s="12">
        <f>VLOOKUP(Tableau2[[#This Row],[essence]],Tableau5[],12,FALSE)</f>
        <v>0</v>
      </c>
      <c r="AE41" s="12">
        <f>IF(Tableau2[[#This Row],[sdom]]="4EST",1,0)</f>
        <v>0</v>
      </c>
      <c r="AF41" s="12">
        <f>VLOOKUP(Tableau2[[#This Row],[essence]],Tableau5[],13,FALSE)</f>
        <v>0</v>
      </c>
      <c r="AG41" s="12">
        <f>IF(Tableau2[[#This Row],[sdom]]="4OUEST",1,0)</f>
        <v>0</v>
      </c>
      <c r="AH41" s="12">
        <f>VLOOKUP(Tableau2[[#This Row],[essence]],Tableau5[],14,FALSE)</f>
        <v>0</v>
      </c>
      <c r="AI41" s="12">
        <f>IF(Tableau2[[#This Row],[sdom]]="5EST",1,0)</f>
        <v>0</v>
      </c>
      <c r="AJ41" s="12">
        <f>VLOOKUP(Tableau2[[#This Row],[essence]],Tableau5[],16,FALSE)</f>
        <v>0</v>
      </c>
      <c r="AK41" s="12">
        <f>IF(Tableau2[[#This Row],[sdom]]="5OUEST",1,0)</f>
        <v>0</v>
      </c>
      <c r="AL41" s="12">
        <f>VLOOKUP(Tableau2[[#This Row],[essence]],Tableau5[],17,FALSE)</f>
        <v>0</v>
      </c>
      <c r="AM41" s="12">
        <f>IF(Tableau2[[#This Row],[sdom]]="6EST",1,0)</f>
        <v>0</v>
      </c>
      <c r="AN41" s="12">
        <f>VLOOKUP(Tableau2[[#This Row],[essence]],Tableau5[],19,FALSE)</f>
        <v>4.2599999999999999E-2</v>
      </c>
      <c r="AO41" s="12">
        <f>IF(Tableau2[[#This Row],[priorecol]]="C",1,0)</f>
        <v>1</v>
      </c>
      <c r="AP41" s="12">
        <f>VLOOKUP(Tableau2[[#This Row],[essence]],Tableau5[],20,FALSE)</f>
        <v>0.17699999999999999</v>
      </c>
      <c r="AQ41" s="12">
        <f>IF(Tableau2[[#This Row],[priorecol]]="R",1,0)</f>
        <v>0</v>
      </c>
      <c r="AR41" s="12">
        <f>VLOOKUP(Tableau2[[#This Row],[essence]],Tableau5[],21,FALSE)</f>
        <v>0.19650000000000001</v>
      </c>
      <c r="AS41" s="12">
        <f>IF(Tableau2[[#This Row],[priorecol]]="S",1,0)</f>
        <v>0</v>
      </c>
      <c r="AT41" s="12">
        <f>VLOOKUP(Tableau2[[#This Row],[essence]],Tableau5[],22,FALSE)</f>
        <v>0</v>
      </c>
      <c r="AU41" s="12">
        <f>VLOOKUP(Tableau2[[#This Row],[essence]],Tableau5[],23,FALSE)</f>
        <v>0</v>
      </c>
      <c r="AV41" s="12">
        <f>VLOOKUP(Tableau2[[#This Row],[essence]],Tableau5[],18,FALSE)</f>
        <v>0</v>
      </c>
      <c r="AW4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2.5888999999999998</v>
      </c>
      <c r="AX41" s="12">
        <f>1/(1+EXP(-Tableau2[[#This Row],[xb_c]]))</f>
        <v>0.93014377696886674</v>
      </c>
      <c r="AY41" s="12" t="str">
        <f t="shared" si="0"/>
        <v>NA</v>
      </c>
      <c r="AZ41" s="12" t="str">
        <f t="shared" si="1"/>
        <v>NA</v>
      </c>
      <c r="BA41" s="12">
        <f>Tableau2[[#This Row],[prob_c]]</f>
        <v>0.93014377696886674</v>
      </c>
      <c r="BB41" s="12">
        <f>1-Tableau2[[#This Row],[prob_c]]</f>
        <v>6.9856223031133258E-2</v>
      </c>
    </row>
    <row r="42" spans="1:54" x14ac:dyDescent="0.25">
      <c r="A42" s="12">
        <v>2</v>
      </c>
      <c r="B42" s="12" t="s">
        <v>10</v>
      </c>
      <c r="C42" s="12">
        <v>2.1</v>
      </c>
      <c r="D42" s="12">
        <v>828</v>
      </c>
      <c r="E42" s="12">
        <v>29</v>
      </c>
      <c r="F42" s="12">
        <v>0</v>
      </c>
      <c r="G42" s="12">
        <v>17</v>
      </c>
      <c r="H42" s="12">
        <v>24</v>
      </c>
      <c r="I42" s="12" t="s">
        <v>24</v>
      </c>
      <c r="J42" s="12" t="s">
        <v>28</v>
      </c>
      <c r="K42" s="12">
        <f>VLOOKUP(Tableau2[[#This Row],[essence]],Tableau5[],2,FALSE)</f>
        <v>1.9585999999999999</v>
      </c>
      <c r="L42" s="12">
        <f>VLOOKUP(Tableau2[[#This Row],[essence]],Tableau5[],3,FALSE)</f>
        <v>6.6000000000000003E-2</v>
      </c>
      <c r="M42" s="12">
        <f>IF(Tableau2[[#This Row],[priorecol]]="C",1,0)</f>
        <v>0</v>
      </c>
      <c r="N42" s="12">
        <f>VLOOKUP(Tableau2[[#This Row],[essence]],Tableau5[],4,FALSE)</f>
        <v>-1.9339999999999999</v>
      </c>
      <c r="O42" s="12">
        <f>IF(Tableau2[[#This Row],[priorecol]]="R",1,0)</f>
        <v>1</v>
      </c>
      <c r="P42" s="12">
        <f>VLOOKUP(Tableau2[[#This Row],[essence]],Tableau5[],5,FALSE)</f>
        <v>-4.4771999999999998</v>
      </c>
      <c r="Q42" s="12">
        <f>IF(Tableau2[[#This Row],[priorecol]]="S",1,0)</f>
        <v>0</v>
      </c>
      <c r="R42" s="12">
        <f>VLOOKUP(Tableau2[[#This Row],[essence]],Tableau5[],6,FALSE)</f>
        <v>-2.5499999999999998E-2</v>
      </c>
      <c r="S42" s="12">
        <f>VLOOKUP(Tableau2[[#This Row],[essence]],Tableau5[],15,FALSE)</f>
        <v>0</v>
      </c>
      <c r="T42" s="12">
        <f>VLOOKUP(Tableau2[[#This Row],[essence]],Tableau5[],7,FALSE)</f>
        <v>0</v>
      </c>
      <c r="U42" s="12">
        <f>IF(Tableau2[[#This Row],[sdom]]=1,1,0)</f>
        <v>0</v>
      </c>
      <c r="V42" s="12">
        <f>VLOOKUP(Tableau2[[#This Row],[essence]],Tableau5[],8,FALSE)</f>
        <v>0</v>
      </c>
      <c r="W42" s="12">
        <f>IF(Tableau2[[#This Row],[sdom]]="2EST",1,0)</f>
        <v>1</v>
      </c>
      <c r="X42" s="12">
        <f>VLOOKUP(Tableau2[[#This Row],[essence]],Tableau5[],9,FALSE)</f>
        <v>0</v>
      </c>
      <c r="Y42" s="12">
        <f>IF(Tableau2[[#This Row],[sdom]]="2OUEST",1,0)</f>
        <v>0</v>
      </c>
      <c r="Z42" s="12">
        <f>VLOOKUP(Tableau2[[#This Row],[essence]],Tableau5[],10,FALSE)</f>
        <v>0</v>
      </c>
      <c r="AA42" s="12">
        <f>IF(Tableau2[[#This Row],[sdom]]="3EST",1,0)</f>
        <v>0</v>
      </c>
      <c r="AB42" s="12">
        <f>VLOOKUP(Tableau2[[#This Row],[essence]],Tableau5[],11,FALSE)</f>
        <v>0</v>
      </c>
      <c r="AC42" s="12">
        <f>IF(Tableau2[[#This Row],[sdom]]="3OUEST",1,0)</f>
        <v>0</v>
      </c>
      <c r="AD42" s="12">
        <f>VLOOKUP(Tableau2[[#This Row],[essence]],Tableau5[],12,FALSE)</f>
        <v>0</v>
      </c>
      <c r="AE42" s="12">
        <f>IF(Tableau2[[#This Row],[sdom]]="4EST",1,0)</f>
        <v>0</v>
      </c>
      <c r="AF42" s="12">
        <f>VLOOKUP(Tableau2[[#This Row],[essence]],Tableau5[],13,FALSE)</f>
        <v>0</v>
      </c>
      <c r="AG42" s="12">
        <f>IF(Tableau2[[#This Row],[sdom]]="4OUEST",1,0)</f>
        <v>0</v>
      </c>
      <c r="AH42" s="12">
        <f>VLOOKUP(Tableau2[[#This Row],[essence]],Tableau5[],14,FALSE)</f>
        <v>0</v>
      </c>
      <c r="AI42" s="12">
        <f>IF(Tableau2[[#This Row],[sdom]]="5EST",1,0)</f>
        <v>0</v>
      </c>
      <c r="AJ42" s="12">
        <f>VLOOKUP(Tableau2[[#This Row],[essence]],Tableau5[],16,FALSE)</f>
        <v>0</v>
      </c>
      <c r="AK42" s="12">
        <f>IF(Tableau2[[#This Row],[sdom]]="5OUEST",1,0)</f>
        <v>0</v>
      </c>
      <c r="AL42" s="12">
        <f>VLOOKUP(Tableau2[[#This Row],[essence]],Tableau5[],17,FALSE)</f>
        <v>0</v>
      </c>
      <c r="AM42" s="12">
        <f>IF(Tableau2[[#This Row],[sdom]]="6EST",1,0)</f>
        <v>0</v>
      </c>
      <c r="AN42" s="12">
        <f>VLOOKUP(Tableau2[[#This Row],[essence]],Tableau5[],19,FALSE)</f>
        <v>4.2599999999999999E-2</v>
      </c>
      <c r="AO42" s="12">
        <f>IF(Tableau2[[#This Row],[priorecol]]="C",1,0)</f>
        <v>0</v>
      </c>
      <c r="AP42" s="12">
        <f>VLOOKUP(Tableau2[[#This Row],[essence]],Tableau5[],20,FALSE)</f>
        <v>0.17699999999999999</v>
      </c>
      <c r="AQ42" s="12">
        <f>IF(Tableau2[[#This Row],[priorecol]]="R",1,0)</f>
        <v>1</v>
      </c>
      <c r="AR42" s="12">
        <f>VLOOKUP(Tableau2[[#This Row],[essence]],Tableau5[],21,FALSE)</f>
        <v>0.19650000000000001</v>
      </c>
      <c r="AS42" s="12">
        <f>IF(Tableau2[[#This Row],[priorecol]]="S",1,0)</f>
        <v>0</v>
      </c>
      <c r="AT42" s="12">
        <f>VLOOKUP(Tableau2[[#This Row],[essence]],Tableau5[],22,FALSE)</f>
        <v>0</v>
      </c>
      <c r="AU42" s="12">
        <f>VLOOKUP(Tableau2[[#This Row],[essence]],Tableau5[],23,FALSE)</f>
        <v>0</v>
      </c>
      <c r="AV42" s="12">
        <f>VLOOKUP(Tableau2[[#This Row],[essence]],Tableau5[],18,FALSE)</f>
        <v>0</v>
      </c>
      <c r="AW4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3.6605999999999992</v>
      </c>
      <c r="AX42" s="12">
        <f>1/(1+EXP(-Tableau2[[#This Row],[xb_c]]))</f>
        <v>0.97492770822967634</v>
      </c>
      <c r="AY42" s="12" t="str">
        <f t="shared" si="0"/>
        <v>NA</v>
      </c>
      <c r="AZ42" s="12" t="str">
        <f t="shared" si="1"/>
        <v>NA</v>
      </c>
      <c r="BA42" s="12">
        <f>Tableau2[[#This Row],[prob_c]]</f>
        <v>0.97492770822967634</v>
      </c>
      <c r="BB42" s="12">
        <f>1-Tableau2[[#This Row],[prob_c]]</f>
        <v>2.5072291770323663E-2</v>
      </c>
    </row>
    <row r="43" spans="1:54" x14ac:dyDescent="0.25">
      <c r="A43" s="12">
        <v>2</v>
      </c>
      <c r="B43" s="12" t="s">
        <v>10</v>
      </c>
      <c r="C43" s="12">
        <v>2.1</v>
      </c>
      <c r="D43" s="12">
        <v>828</v>
      </c>
      <c r="E43" s="12">
        <v>29</v>
      </c>
      <c r="F43" s="12">
        <v>0</v>
      </c>
      <c r="G43" s="12">
        <v>18</v>
      </c>
      <c r="H43" s="12">
        <v>25</v>
      </c>
      <c r="I43" s="12" t="s">
        <v>24</v>
      </c>
      <c r="J43" s="12" t="s">
        <v>29</v>
      </c>
      <c r="K43" s="12">
        <f>VLOOKUP(Tableau2[[#This Row],[essence]],Tableau5[],2,FALSE)</f>
        <v>1.9585999999999999</v>
      </c>
      <c r="L43" s="12">
        <f>VLOOKUP(Tableau2[[#This Row],[essence]],Tableau5[],3,FALSE)</f>
        <v>6.6000000000000003E-2</v>
      </c>
      <c r="M43" s="12">
        <f>IF(Tableau2[[#This Row],[priorecol]]="C",1,0)</f>
        <v>0</v>
      </c>
      <c r="N43" s="12">
        <f>VLOOKUP(Tableau2[[#This Row],[essence]],Tableau5[],4,FALSE)</f>
        <v>-1.9339999999999999</v>
      </c>
      <c r="O43" s="12">
        <f>IF(Tableau2[[#This Row],[priorecol]]="R",1,0)</f>
        <v>0</v>
      </c>
      <c r="P43" s="12">
        <f>VLOOKUP(Tableau2[[#This Row],[essence]],Tableau5[],5,FALSE)</f>
        <v>-4.4771999999999998</v>
      </c>
      <c r="Q43" s="12">
        <f>IF(Tableau2[[#This Row],[priorecol]]="S",1,0)</f>
        <v>1</v>
      </c>
      <c r="R43" s="12">
        <f>VLOOKUP(Tableau2[[#This Row],[essence]],Tableau5[],6,FALSE)</f>
        <v>-2.5499999999999998E-2</v>
      </c>
      <c r="S43" s="12">
        <f>VLOOKUP(Tableau2[[#This Row],[essence]],Tableau5[],15,FALSE)</f>
        <v>0</v>
      </c>
      <c r="T43" s="12">
        <f>VLOOKUP(Tableau2[[#This Row],[essence]],Tableau5[],7,FALSE)</f>
        <v>0</v>
      </c>
      <c r="U43" s="12">
        <f>IF(Tableau2[[#This Row],[sdom]]=1,1,0)</f>
        <v>0</v>
      </c>
      <c r="V43" s="12">
        <f>VLOOKUP(Tableau2[[#This Row],[essence]],Tableau5[],8,FALSE)</f>
        <v>0</v>
      </c>
      <c r="W43" s="12">
        <f>IF(Tableau2[[#This Row],[sdom]]="2EST",1,0)</f>
        <v>1</v>
      </c>
      <c r="X43" s="12">
        <f>VLOOKUP(Tableau2[[#This Row],[essence]],Tableau5[],9,FALSE)</f>
        <v>0</v>
      </c>
      <c r="Y43" s="12">
        <f>IF(Tableau2[[#This Row],[sdom]]="2OUEST",1,0)</f>
        <v>0</v>
      </c>
      <c r="Z43" s="12">
        <f>VLOOKUP(Tableau2[[#This Row],[essence]],Tableau5[],10,FALSE)</f>
        <v>0</v>
      </c>
      <c r="AA43" s="12">
        <f>IF(Tableau2[[#This Row],[sdom]]="3EST",1,0)</f>
        <v>0</v>
      </c>
      <c r="AB43" s="12">
        <f>VLOOKUP(Tableau2[[#This Row],[essence]],Tableau5[],11,FALSE)</f>
        <v>0</v>
      </c>
      <c r="AC43" s="12">
        <f>IF(Tableau2[[#This Row],[sdom]]="3OUEST",1,0)</f>
        <v>0</v>
      </c>
      <c r="AD43" s="12">
        <f>VLOOKUP(Tableau2[[#This Row],[essence]],Tableau5[],12,FALSE)</f>
        <v>0</v>
      </c>
      <c r="AE43" s="12">
        <f>IF(Tableau2[[#This Row],[sdom]]="4EST",1,0)</f>
        <v>0</v>
      </c>
      <c r="AF43" s="12">
        <f>VLOOKUP(Tableau2[[#This Row],[essence]],Tableau5[],13,FALSE)</f>
        <v>0</v>
      </c>
      <c r="AG43" s="12">
        <f>IF(Tableau2[[#This Row],[sdom]]="4OUEST",1,0)</f>
        <v>0</v>
      </c>
      <c r="AH43" s="12">
        <f>VLOOKUP(Tableau2[[#This Row],[essence]],Tableau5[],14,FALSE)</f>
        <v>0</v>
      </c>
      <c r="AI43" s="12">
        <f>IF(Tableau2[[#This Row],[sdom]]="5EST",1,0)</f>
        <v>0</v>
      </c>
      <c r="AJ43" s="12">
        <f>VLOOKUP(Tableau2[[#This Row],[essence]],Tableau5[],16,FALSE)</f>
        <v>0</v>
      </c>
      <c r="AK43" s="12">
        <f>IF(Tableau2[[#This Row],[sdom]]="5OUEST",1,0)</f>
        <v>0</v>
      </c>
      <c r="AL43" s="12">
        <f>VLOOKUP(Tableau2[[#This Row],[essence]],Tableau5[],17,FALSE)</f>
        <v>0</v>
      </c>
      <c r="AM43" s="12">
        <f>IF(Tableau2[[#This Row],[sdom]]="6EST",1,0)</f>
        <v>0</v>
      </c>
      <c r="AN43" s="12">
        <f>VLOOKUP(Tableau2[[#This Row],[essence]],Tableau5[],19,FALSE)</f>
        <v>4.2599999999999999E-2</v>
      </c>
      <c r="AO43" s="12">
        <f>IF(Tableau2[[#This Row],[priorecol]]="C",1,0)</f>
        <v>0</v>
      </c>
      <c r="AP43" s="12">
        <f>VLOOKUP(Tableau2[[#This Row],[essence]],Tableau5[],20,FALSE)</f>
        <v>0.17699999999999999</v>
      </c>
      <c r="AQ43" s="12">
        <f>IF(Tableau2[[#This Row],[priorecol]]="R",1,0)</f>
        <v>0</v>
      </c>
      <c r="AR43" s="12">
        <f>VLOOKUP(Tableau2[[#This Row],[essence]],Tableau5[],21,FALSE)</f>
        <v>0.19650000000000001</v>
      </c>
      <c r="AS43" s="12">
        <f>IF(Tableau2[[#This Row],[priorecol]]="S",1,0)</f>
        <v>1</v>
      </c>
      <c r="AT43" s="12">
        <f>VLOOKUP(Tableau2[[#This Row],[essence]],Tableau5[],22,FALSE)</f>
        <v>0</v>
      </c>
      <c r="AU43" s="12">
        <f>VLOOKUP(Tableau2[[#This Row],[essence]],Tableau5[],23,FALSE)</f>
        <v>0</v>
      </c>
      <c r="AV43" s="12">
        <f>VLOOKUP(Tableau2[[#This Row],[essence]],Tableau5[],18,FALSE)</f>
        <v>0</v>
      </c>
      <c r="AW4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1.7564000000000002</v>
      </c>
      <c r="AX43" s="12">
        <f>1/(1+EXP(-Tableau2[[#This Row],[xb_c]]))</f>
        <v>0.85275821207577196</v>
      </c>
      <c r="AY43" s="12" t="str">
        <f t="shared" si="0"/>
        <v>NA</v>
      </c>
      <c r="AZ43" s="12" t="str">
        <f t="shared" si="1"/>
        <v>NA</v>
      </c>
      <c r="BA43" s="12">
        <f>Tableau2[[#This Row],[prob_c]]</f>
        <v>0.85275821207577196</v>
      </c>
      <c r="BB43" s="12">
        <f>1-Tableau2[[#This Row],[prob_c]]</f>
        <v>0.14724178792422804</v>
      </c>
    </row>
    <row r="44" spans="1:54" x14ac:dyDescent="0.25">
      <c r="A44" s="12">
        <v>2</v>
      </c>
      <c r="B44" s="12" t="s">
        <v>10</v>
      </c>
      <c r="C44" s="12">
        <v>2.1</v>
      </c>
      <c r="D44" s="12">
        <v>828</v>
      </c>
      <c r="E44" s="12">
        <v>29</v>
      </c>
      <c r="F44" s="12">
        <v>0</v>
      </c>
      <c r="G44" s="12">
        <v>19</v>
      </c>
      <c r="H44" s="12">
        <v>26</v>
      </c>
      <c r="I44" s="12" t="s">
        <v>25</v>
      </c>
      <c r="J44" s="12" t="s">
        <v>27</v>
      </c>
      <c r="K44" s="12">
        <f>VLOOKUP(Tableau2[[#This Row],[essence]],Tableau5[],2,FALSE)</f>
        <v>-2.4066000000000001</v>
      </c>
      <c r="L44" s="12">
        <f>VLOOKUP(Tableau2[[#This Row],[essence]],Tableau5[],3,FALSE)</f>
        <v>1.0301</v>
      </c>
      <c r="M44" s="12">
        <f>IF(Tableau2[[#This Row],[priorecol]]="C",1,0)</f>
        <v>1</v>
      </c>
      <c r="N44" s="12">
        <f>VLOOKUP(Tableau2[[#This Row],[essence]],Tableau5[],4,FALSE)</f>
        <v>1.9907999999999999</v>
      </c>
      <c r="O44" s="12">
        <f>IF(Tableau2[[#This Row],[priorecol]]="R",1,0)</f>
        <v>0</v>
      </c>
      <c r="P44" s="12">
        <f>VLOOKUP(Tableau2[[#This Row],[essence]],Tableau5[],5,FALSE)</f>
        <v>1.1955</v>
      </c>
      <c r="Q44" s="12">
        <f>IF(Tableau2[[#This Row],[priorecol]]="S",1,0)</f>
        <v>0</v>
      </c>
      <c r="R44" s="12">
        <f>VLOOKUP(Tableau2[[#This Row],[essence]],Tableau5[],6,FALSE)</f>
        <v>4.2599999999999999E-2</v>
      </c>
      <c r="S44" s="12">
        <f>VLOOKUP(Tableau2[[#This Row],[essence]],Tableau5[],15,FALSE)</f>
        <v>1.3299999999999999E-2</v>
      </c>
      <c r="T44" s="12">
        <f>VLOOKUP(Tableau2[[#This Row],[essence]],Tableau5[],7,FALSE)</f>
        <v>0</v>
      </c>
      <c r="U44" s="12">
        <f>IF(Tableau2[[#This Row],[sdom]]=1,1,0)</f>
        <v>0</v>
      </c>
      <c r="V44" s="12">
        <f>VLOOKUP(Tableau2[[#This Row],[essence]],Tableau5[],8,FALSE)</f>
        <v>0.72299999999999998</v>
      </c>
      <c r="W44" s="12">
        <f>IF(Tableau2[[#This Row],[sdom]]="2EST",1,0)</f>
        <v>1</v>
      </c>
      <c r="X44" s="12">
        <f>VLOOKUP(Tableau2[[#This Row],[essence]],Tableau5[],9,FALSE)</f>
        <v>0.28749999999999998</v>
      </c>
      <c r="Y44" s="12">
        <f>IF(Tableau2[[#This Row],[sdom]]="2OUEST",1,0)</f>
        <v>0</v>
      </c>
      <c r="Z44" s="12">
        <f>VLOOKUP(Tableau2[[#This Row],[essence]],Tableau5[],10,FALSE)</f>
        <v>0.5746</v>
      </c>
      <c r="AA44" s="12">
        <f>IF(Tableau2[[#This Row],[sdom]]="3EST",1,0)</f>
        <v>0</v>
      </c>
      <c r="AB44" s="12">
        <f>VLOOKUP(Tableau2[[#This Row],[essence]],Tableau5[],11,FALSE)</f>
        <v>0.40360000000000001</v>
      </c>
      <c r="AC44" s="12">
        <f>IF(Tableau2[[#This Row],[sdom]]="3OUEST",1,0)</f>
        <v>0</v>
      </c>
      <c r="AD44" s="12">
        <f>VLOOKUP(Tableau2[[#This Row],[essence]],Tableau5[],12,FALSE)</f>
        <v>0</v>
      </c>
      <c r="AE44" s="12">
        <f>IF(Tableau2[[#This Row],[sdom]]="4EST",1,0)</f>
        <v>0</v>
      </c>
      <c r="AF44" s="12">
        <f>VLOOKUP(Tableau2[[#This Row],[essence]],Tableau5[],13,FALSE)</f>
        <v>0</v>
      </c>
      <c r="AG44" s="12">
        <f>IF(Tableau2[[#This Row],[sdom]]="4OUEST",1,0)</f>
        <v>0</v>
      </c>
      <c r="AH44" s="12">
        <f>VLOOKUP(Tableau2[[#This Row],[essence]],Tableau5[],14,FALSE)</f>
        <v>0</v>
      </c>
      <c r="AI44" s="12">
        <f>IF(Tableau2[[#This Row],[sdom]]="5EST",1,0)</f>
        <v>0</v>
      </c>
      <c r="AJ44" s="12">
        <f>VLOOKUP(Tableau2[[#This Row],[essence]],Tableau5[],16,FALSE)</f>
        <v>0</v>
      </c>
      <c r="AK44" s="12">
        <f>IF(Tableau2[[#This Row],[sdom]]="5OUEST",1,0)</f>
        <v>0</v>
      </c>
      <c r="AL44" s="12">
        <f>VLOOKUP(Tableau2[[#This Row],[essence]],Tableau5[],17,FALSE)</f>
        <v>0</v>
      </c>
      <c r="AM44" s="12">
        <f>IF(Tableau2[[#This Row],[sdom]]="6EST",1,0)</f>
        <v>0</v>
      </c>
      <c r="AN44" s="12">
        <f>VLOOKUP(Tableau2[[#This Row],[essence]],Tableau5[],19,FALSE)</f>
        <v>0</v>
      </c>
      <c r="AO44" s="12">
        <f>IF(Tableau2[[#This Row],[priorecol]]="C",1,0)</f>
        <v>1</v>
      </c>
      <c r="AP44" s="12">
        <f>VLOOKUP(Tableau2[[#This Row],[essence]],Tableau5[],20,FALSE)</f>
        <v>0</v>
      </c>
      <c r="AQ44" s="12">
        <f>IF(Tableau2[[#This Row],[priorecol]]="R",1,0)</f>
        <v>0</v>
      </c>
      <c r="AR44" s="12">
        <f>VLOOKUP(Tableau2[[#This Row],[essence]],Tableau5[],21,FALSE)</f>
        <v>0</v>
      </c>
      <c r="AS44" s="12">
        <f>IF(Tableau2[[#This Row],[priorecol]]="S",1,0)</f>
        <v>0</v>
      </c>
      <c r="AT44" s="12">
        <f>VLOOKUP(Tableau2[[#This Row],[essence]],Tableau5[],22,FALSE)</f>
        <v>0.36130000000000001</v>
      </c>
      <c r="AU44" s="12">
        <f>VLOOKUP(Tableau2[[#This Row],[essence]],Tableau5[],23,FALSE)</f>
        <v>0</v>
      </c>
      <c r="AV44" s="12">
        <f>VLOOKUP(Tableau2[[#This Row],[essence]],Tableau5[],18,FALSE)</f>
        <v>0</v>
      </c>
      <c r="AW4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0.83979999999999988</v>
      </c>
      <c r="AX44" s="12">
        <f>1/(1+EXP(-Tableau2[[#This Row],[xb_c]]))</f>
        <v>0.69842309201904273</v>
      </c>
      <c r="AY44" s="12" t="str">
        <f t="shared" si="0"/>
        <v>NA</v>
      </c>
      <c r="AZ44" s="12" t="str">
        <f t="shared" si="1"/>
        <v>NA</v>
      </c>
      <c r="BA44" s="12">
        <f>Tableau2[[#This Row],[prob_c]]</f>
        <v>0.69842309201904273</v>
      </c>
      <c r="BB44" s="12">
        <f>1-Tableau2[[#This Row],[prob_c]]</f>
        <v>0.30157690798095727</v>
      </c>
    </row>
    <row r="45" spans="1:54" x14ac:dyDescent="0.25">
      <c r="A45" s="12">
        <v>2</v>
      </c>
      <c r="B45" s="12" t="s">
        <v>10</v>
      </c>
      <c r="C45" s="12">
        <v>2.1</v>
      </c>
      <c r="D45" s="12">
        <v>828</v>
      </c>
      <c r="E45" s="12">
        <v>29</v>
      </c>
      <c r="F45" s="12">
        <v>0</v>
      </c>
      <c r="G45" s="12">
        <v>20</v>
      </c>
      <c r="H45" s="12">
        <v>27</v>
      </c>
      <c r="I45" s="12" t="s">
        <v>25</v>
      </c>
      <c r="J45" s="12" t="s">
        <v>28</v>
      </c>
      <c r="K45" s="12">
        <f>VLOOKUP(Tableau2[[#This Row],[essence]],Tableau5[],2,FALSE)</f>
        <v>-2.4066000000000001</v>
      </c>
      <c r="L45" s="12">
        <f>VLOOKUP(Tableau2[[#This Row],[essence]],Tableau5[],3,FALSE)</f>
        <v>1.0301</v>
      </c>
      <c r="M45" s="12">
        <f>IF(Tableau2[[#This Row],[priorecol]]="C",1,0)</f>
        <v>0</v>
      </c>
      <c r="N45" s="12">
        <f>VLOOKUP(Tableau2[[#This Row],[essence]],Tableau5[],4,FALSE)</f>
        <v>1.9907999999999999</v>
      </c>
      <c r="O45" s="12">
        <f>IF(Tableau2[[#This Row],[priorecol]]="R",1,0)</f>
        <v>1</v>
      </c>
      <c r="P45" s="12">
        <f>VLOOKUP(Tableau2[[#This Row],[essence]],Tableau5[],5,FALSE)</f>
        <v>1.1955</v>
      </c>
      <c r="Q45" s="12">
        <f>IF(Tableau2[[#This Row],[priorecol]]="S",1,0)</f>
        <v>0</v>
      </c>
      <c r="R45" s="12">
        <f>VLOOKUP(Tableau2[[#This Row],[essence]],Tableau5[],6,FALSE)</f>
        <v>4.2599999999999999E-2</v>
      </c>
      <c r="S45" s="12">
        <f>VLOOKUP(Tableau2[[#This Row],[essence]],Tableau5[],15,FALSE)</f>
        <v>1.3299999999999999E-2</v>
      </c>
      <c r="T45" s="12">
        <f>VLOOKUP(Tableau2[[#This Row],[essence]],Tableau5[],7,FALSE)</f>
        <v>0</v>
      </c>
      <c r="U45" s="12">
        <f>IF(Tableau2[[#This Row],[sdom]]=1,1,0)</f>
        <v>0</v>
      </c>
      <c r="V45" s="12">
        <f>VLOOKUP(Tableau2[[#This Row],[essence]],Tableau5[],8,FALSE)</f>
        <v>0.72299999999999998</v>
      </c>
      <c r="W45" s="12">
        <f>IF(Tableau2[[#This Row],[sdom]]="2EST",1,0)</f>
        <v>1</v>
      </c>
      <c r="X45" s="12">
        <f>VLOOKUP(Tableau2[[#This Row],[essence]],Tableau5[],9,FALSE)</f>
        <v>0.28749999999999998</v>
      </c>
      <c r="Y45" s="12">
        <f>IF(Tableau2[[#This Row],[sdom]]="2OUEST",1,0)</f>
        <v>0</v>
      </c>
      <c r="Z45" s="12">
        <f>VLOOKUP(Tableau2[[#This Row],[essence]],Tableau5[],10,FALSE)</f>
        <v>0.5746</v>
      </c>
      <c r="AA45" s="12">
        <f>IF(Tableau2[[#This Row],[sdom]]="3EST",1,0)</f>
        <v>0</v>
      </c>
      <c r="AB45" s="12">
        <f>VLOOKUP(Tableau2[[#This Row],[essence]],Tableau5[],11,FALSE)</f>
        <v>0.40360000000000001</v>
      </c>
      <c r="AC45" s="12">
        <f>IF(Tableau2[[#This Row],[sdom]]="3OUEST",1,0)</f>
        <v>0</v>
      </c>
      <c r="AD45" s="12">
        <f>VLOOKUP(Tableau2[[#This Row],[essence]],Tableau5[],12,FALSE)</f>
        <v>0</v>
      </c>
      <c r="AE45" s="12">
        <f>IF(Tableau2[[#This Row],[sdom]]="4EST",1,0)</f>
        <v>0</v>
      </c>
      <c r="AF45" s="12">
        <f>VLOOKUP(Tableau2[[#This Row],[essence]],Tableau5[],13,FALSE)</f>
        <v>0</v>
      </c>
      <c r="AG45" s="12">
        <f>IF(Tableau2[[#This Row],[sdom]]="4OUEST",1,0)</f>
        <v>0</v>
      </c>
      <c r="AH45" s="12">
        <f>VLOOKUP(Tableau2[[#This Row],[essence]],Tableau5[],14,FALSE)</f>
        <v>0</v>
      </c>
      <c r="AI45" s="12">
        <f>IF(Tableau2[[#This Row],[sdom]]="5EST",1,0)</f>
        <v>0</v>
      </c>
      <c r="AJ45" s="12">
        <f>VLOOKUP(Tableau2[[#This Row],[essence]],Tableau5[],16,FALSE)</f>
        <v>0</v>
      </c>
      <c r="AK45" s="12">
        <f>IF(Tableau2[[#This Row],[sdom]]="5OUEST",1,0)</f>
        <v>0</v>
      </c>
      <c r="AL45" s="12">
        <f>VLOOKUP(Tableau2[[#This Row],[essence]],Tableau5[],17,FALSE)</f>
        <v>0</v>
      </c>
      <c r="AM45" s="12">
        <f>IF(Tableau2[[#This Row],[sdom]]="6EST",1,0)</f>
        <v>0</v>
      </c>
      <c r="AN45" s="12">
        <f>VLOOKUP(Tableau2[[#This Row],[essence]],Tableau5[],19,FALSE)</f>
        <v>0</v>
      </c>
      <c r="AO45" s="12">
        <f>IF(Tableau2[[#This Row],[priorecol]]="C",1,0)</f>
        <v>0</v>
      </c>
      <c r="AP45" s="12">
        <f>VLOOKUP(Tableau2[[#This Row],[essence]],Tableau5[],20,FALSE)</f>
        <v>0</v>
      </c>
      <c r="AQ45" s="12">
        <f>IF(Tableau2[[#This Row],[priorecol]]="R",1,0)</f>
        <v>1</v>
      </c>
      <c r="AR45" s="12">
        <f>VLOOKUP(Tableau2[[#This Row],[essence]],Tableau5[],21,FALSE)</f>
        <v>0</v>
      </c>
      <c r="AS45" s="12">
        <f>IF(Tableau2[[#This Row],[priorecol]]="S",1,0)</f>
        <v>0</v>
      </c>
      <c r="AT45" s="12">
        <f>VLOOKUP(Tableau2[[#This Row],[essence]],Tableau5[],22,FALSE)</f>
        <v>0.36130000000000001</v>
      </c>
      <c r="AU45" s="12">
        <f>VLOOKUP(Tableau2[[#This Row],[essence]],Tableau5[],23,FALSE)</f>
        <v>0</v>
      </c>
      <c r="AV45" s="12">
        <f>VLOOKUP(Tableau2[[#This Row],[essence]],Tableau5[],18,FALSE)</f>
        <v>0</v>
      </c>
      <c r="AW4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1.8430999999999997</v>
      </c>
      <c r="AX45" s="12">
        <f>1/(1+EXP(-Tableau2[[#This Row],[xb_c]]))</f>
        <v>0.86331492661395182</v>
      </c>
      <c r="AY45" s="12" t="str">
        <f t="shared" si="0"/>
        <v>NA</v>
      </c>
      <c r="AZ45" s="12" t="str">
        <f t="shared" si="1"/>
        <v>NA</v>
      </c>
      <c r="BA45" s="12">
        <f>Tableau2[[#This Row],[prob_c]]</f>
        <v>0.86331492661395182</v>
      </c>
      <c r="BB45" s="12">
        <f>1-Tableau2[[#This Row],[prob_c]]</f>
        <v>0.13668507338604818</v>
      </c>
    </row>
    <row r="46" spans="1:54" x14ac:dyDescent="0.25">
      <c r="A46" s="12">
        <v>2</v>
      </c>
      <c r="B46" s="12" t="s">
        <v>10</v>
      </c>
      <c r="C46" s="12">
        <v>2.1</v>
      </c>
      <c r="D46" s="12">
        <v>828</v>
      </c>
      <c r="E46" s="12">
        <v>29</v>
      </c>
      <c r="F46" s="12">
        <v>0</v>
      </c>
      <c r="G46" s="12">
        <v>21</v>
      </c>
      <c r="H46" s="12">
        <v>28</v>
      </c>
      <c r="I46" s="12" t="s">
        <v>25</v>
      </c>
      <c r="J46" s="12" t="s">
        <v>29</v>
      </c>
      <c r="K46" s="12">
        <f>VLOOKUP(Tableau2[[#This Row],[essence]],Tableau5[],2,FALSE)</f>
        <v>-2.4066000000000001</v>
      </c>
      <c r="L46" s="12">
        <f>VLOOKUP(Tableau2[[#This Row],[essence]],Tableau5[],3,FALSE)</f>
        <v>1.0301</v>
      </c>
      <c r="M46" s="12">
        <f>IF(Tableau2[[#This Row],[priorecol]]="C",1,0)</f>
        <v>0</v>
      </c>
      <c r="N46" s="12">
        <f>VLOOKUP(Tableau2[[#This Row],[essence]],Tableau5[],4,FALSE)</f>
        <v>1.9907999999999999</v>
      </c>
      <c r="O46" s="12">
        <f>IF(Tableau2[[#This Row],[priorecol]]="R",1,0)</f>
        <v>0</v>
      </c>
      <c r="P46" s="12">
        <f>VLOOKUP(Tableau2[[#This Row],[essence]],Tableau5[],5,FALSE)</f>
        <v>1.1955</v>
      </c>
      <c r="Q46" s="12">
        <f>IF(Tableau2[[#This Row],[priorecol]]="S",1,0)</f>
        <v>1</v>
      </c>
      <c r="R46" s="12">
        <f>VLOOKUP(Tableau2[[#This Row],[essence]],Tableau5[],6,FALSE)</f>
        <v>4.2599999999999999E-2</v>
      </c>
      <c r="S46" s="12">
        <f>VLOOKUP(Tableau2[[#This Row],[essence]],Tableau5[],15,FALSE)</f>
        <v>1.3299999999999999E-2</v>
      </c>
      <c r="T46" s="12">
        <f>VLOOKUP(Tableau2[[#This Row],[essence]],Tableau5[],7,FALSE)</f>
        <v>0</v>
      </c>
      <c r="U46" s="12">
        <f>IF(Tableau2[[#This Row],[sdom]]=1,1,0)</f>
        <v>0</v>
      </c>
      <c r="V46" s="12">
        <f>VLOOKUP(Tableau2[[#This Row],[essence]],Tableau5[],8,FALSE)</f>
        <v>0.72299999999999998</v>
      </c>
      <c r="W46" s="12">
        <f>IF(Tableau2[[#This Row],[sdom]]="2EST",1,0)</f>
        <v>1</v>
      </c>
      <c r="X46" s="12">
        <f>VLOOKUP(Tableau2[[#This Row],[essence]],Tableau5[],9,FALSE)</f>
        <v>0.28749999999999998</v>
      </c>
      <c r="Y46" s="12">
        <f>IF(Tableau2[[#This Row],[sdom]]="2OUEST",1,0)</f>
        <v>0</v>
      </c>
      <c r="Z46" s="12">
        <f>VLOOKUP(Tableau2[[#This Row],[essence]],Tableau5[],10,FALSE)</f>
        <v>0.5746</v>
      </c>
      <c r="AA46" s="12">
        <f>IF(Tableau2[[#This Row],[sdom]]="3EST",1,0)</f>
        <v>0</v>
      </c>
      <c r="AB46" s="12">
        <f>VLOOKUP(Tableau2[[#This Row],[essence]],Tableau5[],11,FALSE)</f>
        <v>0.40360000000000001</v>
      </c>
      <c r="AC46" s="12">
        <f>IF(Tableau2[[#This Row],[sdom]]="3OUEST",1,0)</f>
        <v>0</v>
      </c>
      <c r="AD46" s="12">
        <f>VLOOKUP(Tableau2[[#This Row],[essence]],Tableau5[],12,FALSE)</f>
        <v>0</v>
      </c>
      <c r="AE46" s="12">
        <f>IF(Tableau2[[#This Row],[sdom]]="4EST",1,0)</f>
        <v>0</v>
      </c>
      <c r="AF46" s="12">
        <f>VLOOKUP(Tableau2[[#This Row],[essence]],Tableau5[],13,FALSE)</f>
        <v>0</v>
      </c>
      <c r="AG46" s="12">
        <f>IF(Tableau2[[#This Row],[sdom]]="4OUEST",1,0)</f>
        <v>0</v>
      </c>
      <c r="AH46" s="12">
        <f>VLOOKUP(Tableau2[[#This Row],[essence]],Tableau5[],14,FALSE)</f>
        <v>0</v>
      </c>
      <c r="AI46" s="12">
        <f>IF(Tableau2[[#This Row],[sdom]]="5EST",1,0)</f>
        <v>0</v>
      </c>
      <c r="AJ46" s="12">
        <f>VLOOKUP(Tableau2[[#This Row],[essence]],Tableau5[],16,FALSE)</f>
        <v>0</v>
      </c>
      <c r="AK46" s="12">
        <f>IF(Tableau2[[#This Row],[sdom]]="5OUEST",1,0)</f>
        <v>0</v>
      </c>
      <c r="AL46" s="12">
        <f>VLOOKUP(Tableau2[[#This Row],[essence]],Tableau5[],17,FALSE)</f>
        <v>0</v>
      </c>
      <c r="AM46" s="12">
        <f>IF(Tableau2[[#This Row],[sdom]]="6EST",1,0)</f>
        <v>0</v>
      </c>
      <c r="AN46" s="12">
        <f>VLOOKUP(Tableau2[[#This Row],[essence]],Tableau5[],19,FALSE)</f>
        <v>0</v>
      </c>
      <c r="AO46" s="12">
        <f>IF(Tableau2[[#This Row],[priorecol]]="C",1,0)</f>
        <v>0</v>
      </c>
      <c r="AP46" s="12">
        <f>VLOOKUP(Tableau2[[#This Row],[essence]],Tableau5[],20,FALSE)</f>
        <v>0</v>
      </c>
      <c r="AQ46" s="12">
        <f>IF(Tableau2[[#This Row],[priorecol]]="R",1,0)</f>
        <v>0</v>
      </c>
      <c r="AR46" s="12">
        <f>VLOOKUP(Tableau2[[#This Row],[essence]],Tableau5[],21,FALSE)</f>
        <v>0</v>
      </c>
      <c r="AS46" s="12">
        <f>IF(Tableau2[[#This Row],[priorecol]]="S",1,0)</f>
        <v>1</v>
      </c>
      <c r="AT46" s="12">
        <f>VLOOKUP(Tableau2[[#This Row],[essence]],Tableau5[],22,FALSE)</f>
        <v>0.36130000000000001</v>
      </c>
      <c r="AU46" s="12">
        <f>VLOOKUP(Tableau2[[#This Row],[essence]],Tableau5[],23,FALSE)</f>
        <v>0</v>
      </c>
      <c r="AV46" s="12">
        <f>VLOOKUP(Tableau2[[#This Row],[essence]],Tableau5[],18,FALSE)</f>
        <v>0</v>
      </c>
      <c r="AW4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1.0904</v>
      </c>
      <c r="AX46" s="12">
        <f>1/(1+EXP(-Tableau2[[#This Row],[xb_c]]))</f>
        <v>0.74845703673144848</v>
      </c>
      <c r="AY46" s="12" t="str">
        <f t="shared" si="0"/>
        <v>NA</v>
      </c>
      <c r="AZ46" s="12" t="str">
        <f t="shared" si="1"/>
        <v>NA</v>
      </c>
      <c r="BA46" s="12">
        <f>Tableau2[[#This Row],[prob_c]]</f>
        <v>0.74845703673144848</v>
      </c>
      <c r="BB46" s="12">
        <f>1-Tableau2[[#This Row],[prob_c]]</f>
        <v>0.25154296326855152</v>
      </c>
    </row>
    <row r="47" spans="1:54" x14ac:dyDescent="0.25">
      <c r="A47" s="12">
        <v>2</v>
      </c>
      <c r="B47" s="12" t="s">
        <v>10</v>
      </c>
      <c r="C47" s="12">
        <v>2.1</v>
      </c>
      <c r="D47" s="12">
        <v>828</v>
      </c>
      <c r="E47" s="12">
        <v>29</v>
      </c>
      <c r="F47" s="12">
        <v>0</v>
      </c>
      <c r="G47" s="12">
        <v>22</v>
      </c>
      <c r="H47" s="12">
        <v>29</v>
      </c>
      <c r="I47" s="12" t="s">
        <v>26</v>
      </c>
      <c r="J47" s="12" t="s">
        <v>27</v>
      </c>
      <c r="K47" s="12">
        <f>VLOOKUP(Tableau2[[#This Row],[essence]],Tableau5[],2,FALSE)</f>
        <v>-9.0399999999999994E-2</v>
      </c>
      <c r="L47" s="12">
        <f>VLOOKUP(Tableau2[[#This Row],[essence]],Tableau5[],3,FALSE)</f>
        <v>1.0844</v>
      </c>
      <c r="M47" s="12">
        <f>IF(Tableau2[[#This Row],[priorecol]]="C",1,0)</f>
        <v>1</v>
      </c>
      <c r="N47" s="12">
        <f>VLOOKUP(Tableau2[[#This Row],[essence]],Tableau5[],4,FALSE)</f>
        <v>-1.3041</v>
      </c>
      <c r="O47" s="12">
        <f>IF(Tableau2[[#This Row],[priorecol]]="R",1,0)</f>
        <v>0</v>
      </c>
      <c r="P47" s="12">
        <f>VLOOKUP(Tableau2[[#This Row],[essence]],Tableau5[],5,FALSE)</f>
        <v>-0.79790000000000005</v>
      </c>
      <c r="Q47" s="12">
        <f>IF(Tableau2[[#This Row],[priorecol]]="S",1,0)</f>
        <v>0</v>
      </c>
      <c r="R47" s="12">
        <f>VLOOKUP(Tableau2[[#This Row],[essence]],Tableau5[],6,FALSE)</f>
        <v>-5.3E-3</v>
      </c>
      <c r="S47" s="12">
        <f>VLOOKUP(Tableau2[[#This Row],[essence]],Tableau5[],15,FALSE)</f>
        <v>1.2500000000000001E-2</v>
      </c>
      <c r="T47" s="12">
        <f>VLOOKUP(Tableau2[[#This Row],[essence]],Tableau5[],7,FALSE)</f>
        <v>0</v>
      </c>
      <c r="U47" s="12">
        <f>IF(Tableau2[[#This Row],[sdom]]=1,1,0)</f>
        <v>0</v>
      </c>
      <c r="V47" s="12">
        <f>VLOOKUP(Tableau2[[#This Row],[essence]],Tableau5[],8,FALSE)</f>
        <v>0.1497</v>
      </c>
      <c r="W47" s="12">
        <f>IF(Tableau2[[#This Row],[sdom]]="2EST",1,0)</f>
        <v>1</v>
      </c>
      <c r="X47" s="12">
        <f>VLOOKUP(Tableau2[[#This Row],[essence]],Tableau5[],9,FALSE)</f>
        <v>0.4839</v>
      </c>
      <c r="Y47" s="12">
        <f>IF(Tableau2[[#This Row],[sdom]]="2OUEST",1,0)</f>
        <v>0</v>
      </c>
      <c r="Z47" s="12">
        <f>VLOOKUP(Tableau2[[#This Row],[essence]],Tableau5[],10,FALSE)</f>
        <v>-0.14019999999999999</v>
      </c>
      <c r="AA47" s="12">
        <f>IF(Tableau2[[#This Row],[sdom]]="3EST",1,0)</f>
        <v>0</v>
      </c>
      <c r="AB47" s="12">
        <f>VLOOKUP(Tableau2[[#This Row],[essence]],Tableau5[],11,FALSE)</f>
        <v>0.65649999999999997</v>
      </c>
      <c r="AC47" s="12">
        <f>IF(Tableau2[[#This Row],[sdom]]="3OUEST",1,0)</f>
        <v>0</v>
      </c>
      <c r="AD47" s="12">
        <f>VLOOKUP(Tableau2[[#This Row],[essence]],Tableau5[],12,FALSE)</f>
        <v>-1.21E-2</v>
      </c>
      <c r="AE47" s="12">
        <f>IF(Tableau2[[#This Row],[sdom]]="4EST",1,0)</f>
        <v>0</v>
      </c>
      <c r="AF47" s="12">
        <f>VLOOKUP(Tableau2[[#This Row],[essence]],Tableau5[],13,FALSE)</f>
        <v>0.52600000000000002</v>
      </c>
      <c r="AG47" s="12">
        <f>IF(Tableau2[[#This Row],[sdom]]="4OUEST",1,0)</f>
        <v>0</v>
      </c>
      <c r="AH47" s="12">
        <f>VLOOKUP(Tableau2[[#This Row],[essence]],Tableau5[],14,FALSE)</f>
        <v>-0.753</v>
      </c>
      <c r="AI47" s="12">
        <f>IF(Tableau2[[#This Row],[sdom]]="5EST",1,0)</f>
        <v>0</v>
      </c>
      <c r="AJ47" s="12">
        <f>VLOOKUP(Tableau2[[#This Row],[essence]],Tableau5[],16,FALSE)</f>
        <v>0</v>
      </c>
      <c r="AK47" s="12">
        <f>IF(Tableau2[[#This Row],[sdom]]="5OUEST",1,0)</f>
        <v>0</v>
      </c>
      <c r="AL47" s="12">
        <f>VLOOKUP(Tableau2[[#This Row],[essence]],Tableau5[],17,FALSE)</f>
        <v>0</v>
      </c>
      <c r="AM47" s="12">
        <f>IF(Tableau2[[#This Row],[sdom]]="6EST",1,0)</f>
        <v>0</v>
      </c>
      <c r="AN47" s="12">
        <f>VLOOKUP(Tableau2[[#This Row],[essence]],Tableau5[],19,FALSE)</f>
        <v>3.04E-2</v>
      </c>
      <c r="AO47" s="12">
        <f>IF(Tableau2[[#This Row],[priorecol]]="C",1,0)</f>
        <v>1</v>
      </c>
      <c r="AP47" s="12">
        <f>VLOOKUP(Tableau2[[#This Row],[essence]],Tableau5[],20,FALSE)</f>
        <v>0.14549999999999999</v>
      </c>
      <c r="AQ47" s="12">
        <f>IF(Tableau2[[#This Row],[priorecol]]="R",1,0)</f>
        <v>0</v>
      </c>
      <c r="AR47" s="12">
        <f>VLOOKUP(Tableau2[[#This Row],[essence]],Tableau5[],21,FALSE)</f>
        <v>7.8700000000000006E-2</v>
      </c>
      <c r="AS47" s="12">
        <f>IF(Tableau2[[#This Row],[priorecol]]="S",1,0)</f>
        <v>0</v>
      </c>
      <c r="AT47" s="12">
        <f>VLOOKUP(Tableau2[[#This Row],[essence]],Tableau5[],22,FALSE)</f>
        <v>0</v>
      </c>
      <c r="AU47" s="12">
        <f>VLOOKUP(Tableau2[[#This Row],[essence]],Tableau5[],23,FALSE)</f>
        <v>0</v>
      </c>
      <c r="AV47" s="12">
        <f>VLOOKUP(Tableau2[[#This Row],[essence]],Tableau5[],18,FALSE)</f>
        <v>0</v>
      </c>
      <c r="AW4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2.2341000000000002</v>
      </c>
      <c r="AX47" s="12">
        <f>1/(1+EXP(-Tableau2[[#This Row],[xb_c]]))</f>
        <v>0.90327018174923979</v>
      </c>
      <c r="AY47" s="12" t="str">
        <f t="shared" si="0"/>
        <v>NA</v>
      </c>
      <c r="AZ47" s="12" t="str">
        <f t="shared" si="1"/>
        <v>NA</v>
      </c>
      <c r="BA47" s="12">
        <f>Tableau2[[#This Row],[prob_c]]</f>
        <v>0.90327018174923979</v>
      </c>
      <c r="BB47" s="12">
        <f>1-Tableau2[[#This Row],[prob_c]]</f>
        <v>9.6729818250760213E-2</v>
      </c>
    </row>
    <row r="48" spans="1:54" x14ac:dyDescent="0.25">
      <c r="A48" s="12">
        <v>2</v>
      </c>
      <c r="B48" s="12" t="s">
        <v>10</v>
      </c>
      <c r="C48" s="12">
        <v>2.1</v>
      </c>
      <c r="D48" s="12">
        <v>828</v>
      </c>
      <c r="E48" s="12">
        <v>29</v>
      </c>
      <c r="F48" s="12">
        <v>0</v>
      </c>
      <c r="G48" s="12">
        <v>23</v>
      </c>
      <c r="H48" s="12">
        <v>30</v>
      </c>
      <c r="I48" s="12" t="s">
        <v>26</v>
      </c>
      <c r="J48" s="12" t="s">
        <v>28</v>
      </c>
      <c r="K48" s="12">
        <f>VLOOKUP(Tableau2[[#This Row],[essence]],Tableau5[],2,FALSE)</f>
        <v>-9.0399999999999994E-2</v>
      </c>
      <c r="L48" s="12">
        <f>VLOOKUP(Tableau2[[#This Row],[essence]],Tableau5[],3,FALSE)</f>
        <v>1.0844</v>
      </c>
      <c r="M48" s="12">
        <f>IF(Tableau2[[#This Row],[priorecol]]="C",1,0)</f>
        <v>0</v>
      </c>
      <c r="N48" s="12">
        <f>VLOOKUP(Tableau2[[#This Row],[essence]],Tableau5[],4,FALSE)</f>
        <v>-1.3041</v>
      </c>
      <c r="O48" s="12">
        <f>IF(Tableau2[[#This Row],[priorecol]]="R",1,0)</f>
        <v>1</v>
      </c>
      <c r="P48" s="12">
        <f>VLOOKUP(Tableau2[[#This Row],[essence]],Tableau5[],5,FALSE)</f>
        <v>-0.79790000000000005</v>
      </c>
      <c r="Q48" s="12">
        <f>IF(Tableau2[[#This Row],[priorecol]]="S",1,0)</f>
        <v>0</v>
      </c>
      <c r="R48" s="12">
        <f>VLOOKUP(Tableau2[[#This Row],[essence]],Tableau5[],6,FALSE)</f>
        <v>-5.3E-3</v>
      </c>
      <c r="S48" s="12">
        <f>VLOOKUP(Tableau2[[#This Row],[essence]],Tableau5[],15,FALSE)</f>
        <v>1.2500000000000001E-2</v>
      </c>
      <c r="T48" s="12">
        <f>VLOOKUP(Tableau2[[#This Row],[essence]],Tableau5[],7,FALSE)</f>
        <v>0</v>
      </c>
      <c r="U48" s="12">
        <f>IF(Tableau2[[#This Row],[sdom]]=1,1,0)</f>
        <v>0</v>
      </c>
      <c r="V48" s="12">
        <f>VLOOKUP(Tableau2[[#This Row],[essence]],Tableau5[],8,FALSE)</f>
        <v>0.1497</v>
      </c>
      <c r="W48" s="12">
        <f>IF(Tableau2[[#This Row],[sdom]]="2EST",1,0)</f>
        <v>1</v>
      </c>
      <c r="X48" s="12">
        <f>VLOOKUP(Tableau2[[#This Row],[essence]],Tableau5[],9,FALSE)</f>
        <v>0.4839</v>
      </c>
      <c r="Y48" s="12">
        <f>IF(Tableau2[[#This Row],[sdom]]="2OUEST",1,0)</f>
        <v>0</v>
      </c>
      <c r="Z48" s="12">
        <f>VLOOKUP(Tableau2[[#This Row],[essence]],Tableau5[],10,FALSE)</f>
        <v>-0.14019999999999999</v>
      </c>
      <c r="AA48" s="12">
        <f>IF(Tableau2[[#This Row],[sdom]]="3EST",1,0)</f>
        <v>0</v>
      </c>
      <c r="AB48" s="12">
        <f>VLOOKUP(Tableau2[[#This Row],[essence]],Tableau5[],11,FALSE)</f>
        <v>0.65649999999999997</v>
      </c>
      <c r="AC48" s="12">
        <f>IF(Tableau2[[#This Row],[sdom]]="3OUEST",1,0)</f>
        <v>0</v>
      </c>
      <c r="AD48" s="12">
        <f>VLOOKUP(Tableau2[[#This Row],[essence]],Tableau5[],12,FALSE)</f>
        <v>-1.21E-2</v>
      </c>
      <c r="AE48" s="12">
        <f>IF(Tableau2[[#This Row],[sdom]]="4EST",1,0)</f>
        <v>0</v>
      </c>
      <c r="AF48" s="12">
        <f>VLOOKUP(Tableau2[[#This Row],[essence]],Tableau5[],13,FALSE)</f>
        <v>0.52600000000000002</v>
      </c>
      <c r="AG48" s="12">
        <f>IF(Tableau2[[#This Row],[sdom]]="4OUEST",1,0)</f>
        <v>0</v>
      </c>
      <c r="AH48" s="12">
        <f>VLOOKUP(Tableau2[[#This Row],[essence]],Tableau5[],14,FALSE)</f>
        <v>-0.753</v>
      </c>
      <c r="AI48" s="12">
        <f>IF(Tableau2[[#This Row],[sdom]]="5EST",1,0)</f>
        <v>0</v>
      </c>
      <c r="AJ48" s="12">
        <f>VLOOKUP(Tableau2[[#This Row],[essence]],Tableau5[],16,FALSE)</f>
        <v>0</v>
      </c>
      <c r="AK48" s="12">
        <f>IF(Tableau2[[#This Row],[sdom]]="5OUEST",1,0)</f>
        <v>0</v>
      </c>
      <c r="AL48" s="12">
        <f>VLOOKUP(Tableau2[[#This Row],[essence]],Tableau5[],17,FALSE)</f>
        <v>0</v>
      </c>
      <c r="AM48" s="12">
        <f>IF(Tableau2[[#This Row],[sdom]]="6EST",1,0)</f>
        <v>0</v>
      </c>
      <c r="AN48" s="12">
        <f>VLOOKUP(Tableau2[[#This Row],[essence]],Tableau5[],19,FALSE)</f>
        <v>3.04E-2</v>
      </c>
      <c r="AO48" s="12">
        <f>IF(Tableau2[[#This Row],[priorecol]]="C",1,0)</f>
        <v>0</v>
      </c>
      <c r="AP48" s="12">
        <f>VLOOKUP(Tableau2[[#This Row],[essence]],Tableau5[],20,FALSE)</f>
        <v>0.14549999999999999</v>
      </c>
      <c r="AQ48" s="12">
        <f>IF(Tableau2[[#This Row],[priorecol]]="R",1,0)</f>
        <v>1</v>
      </c>
      <c r="AR48" s="12">
        <f>VLOOKUP(Tableau2[[#This Row],[essence]],Tableau5[],21,FALSE)</f>
        <v>7.8700000000000006E-2</v>
      </c>
      <c r="AS48" s="12">
        <f>IF(Tableau2[[#This Row],[priorecol]]="S",1,0)</f>
        <v>0</v>
      </c>
      <c r="AT48" s="12">
        <f>VLOOKUP(Tableau2[[#This Row],[essence]],Tableau5[],22,FALSE)</f>
        <v>0</v>
      </c>
      <c r="AU48" s="12">
        <f>VLOOKUP(Tableau2[[#This Row],[essence]],Tableau5[],23,FALSE)</f>
        <v>0</v>
      </c>
      <c r="AV48" s="12">
        <f>VLOOKUP(Tableau2[[#This Row],[essence]],Tableau5[],18,FALSE)</f>
        <v>0</v>
      </c>
      <c r="AW4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3.3236999999999992</v>
      </c>
      <c r="AX48" s="12">
        <f>1/(1+EXP(-Tableau2[[#This Row],[xb_c]]))</f>
        <v>0.96523297107440698</v>
      </c>
      <c r="AY48" s="12" t="str">
        <f t="shared" si="0"/>
        <v>NA</v>
      </c>
      <c r="AZ48" s="12" t="str">
        <f t="shared" si="1"/>
        <v>NA</v>
      </c>
      <c r="BA48" s="12">
        <f>Tableau2[[#This Row],[prob_c]]</f>
        <v>0.96523297107440698</v>
      </c>
      <c r="BB48" s="12">
        <f>1-Tableau2[[#This Row],[prob_c]]</f>
        <v>3.4767028925593024E-2</v>
      </c>
    </row>
    <row r="49" spans="1:54" x14ac:dyDescent="0.25">
      <c r="A49" s="12">
        <v>2</v>
      </c>
      <c r="B49" s="12" t="s">
        <v>10</v>
      </c>
      <c r="C49" s="12">
        <v>2.1</v>
      </c>
      <c r="D49" s="12">
        <v>828</v>
      </c>
      <c r="E49" s="12">
        <v>29</v>
      </c>
      <c r="F49" s="12">
        <v>0</v>
      </c>
      <c r="G49" s="12">
        <v>24</v>
      </c>
      <c r="H49" s="12">
        <v>31</v>
      </c>
      <c r="I49" s="12" t="s">
        <v>26</v>
      </c>
      <c r="J49" s="12" t="s">
        <v>29</v>
      </c>
      <c r="K49" s="12">
        <f>VLOOKUP(Tableau2[[#This Row],[essence]],Tableau5[],2,FALSE)</f>
        <v>-9.0399999999999994E-2</v>
      </c>
      <c r="L49" s="12">
        <f>VLOOKUP(Tableau2[[#This Row],[essence]],Tableau5[],3,FALSE)</f>
        <v>1.0844</v>
      </c>
      <c r="M49" s="12">
        <f>IF(Tableau2[[#This Row],[priorecol]]="C",1,0)</f>
        <v>0</v>
      </c>
      <c r="N49" s="12">
        <f>VLOOKUP(Tableau2[[#This Row],[essence]],Tableau5[],4,FALSE)</f>
        <v>-1.3041</v>
      </c>
      <c r="O49" s="12">
        <f>IF(Tableau2[[#This Row],[priorecol]]="R",1,0)</f>
        <v>0</v>
      </c>
      <c r="P49" s="12">
        <f>VLOOKUP(Tableau2[[#This Row],[essence]],Tableau5[],5,FALSE)</f>
        <v>-0.79790000000000005</v>
      </c>
      <c r="Q49" s="12">
        <f>IF(Tableau2[[#This Row],[priorecol]]="S",1,0)</f>
        <v>1</v>
      </c>
      <c r="R49" s="12">
        <f>VLOOKUP(Tableau2[[#This Row],[essence]],Tableau5[],6,FALSE)</f>
        <v>-5.3E-3</v>
      </c>
      <c r="S49" s="12">
        <f>VLOOKUP(Tableau2[[#This Row],[essence]],Tableau5[],15,FALSE)</f>
        <v>1.2500000000000001E-2</v>
      </c>
      <c r="T49" s="12">
        <f>VLOOKUP(Tableau2[[#This Row],[essence]],Tableau5[],7,FALSE)</f>
        <v>0</v>
      </c>
      <c r="U49" s="12">
        <f>IF(Tableau2[[#This Row],[sdom]]=1,1,0)</f>
        <v>0</v>
      </c>
      <c r="V49" s="12">
        <f>VLOOKUP(Tableau2[[#This Row],[essence]],Tableau5[],8,FALSE)</f>
        <v>0.1497</v>
      </c>
      <c r="W49" s="12">
        <f>IF(Tableau2[[#This Row],[sdom]]="2EST",1,0)</f>
        <v>1</v>
      </c>
      <c r="X49" s="12">
        <f>VLOOKUP(Tableau2[[#This Row],[essence]],Tableau5[],9,FALSE)</f>
        <v>0.4839</v>
      </c>
      <c r="Y49" s="12">
        <f>IF(Tableau2[[#This Row],[sdom]]="2OUEST",1,0)</f>
        <v>0</v>
      </c>
      <c r="Z49" s="12">
        <f>VLOOKUP(Tableau2[[#This Row],[essence]],Tableau5[],10,FALSE)</f>
        <v>-0.14019999999999999</v>
      </c>
      <c r="AA49" s="12">
        <f>IF(Tableau2[[#This Row],[sdom]]="3EST",1,0)</f>
        <v>0</v>
      </c>
      <c r="AB49" s="12">
        <f>VLOOKUP(Tableau2[[#This Row],[essence]],Tableau5[],11,FALSE)</f>
        <v>0.65649999999999997</v>
      </c>
      <c r="AC49" s="12">
        <f>IF(Tableau2[[#This Row],[sdom]]="3OUEST",1,0)</f>
        <v>0</v>
      </c>
      <c r="AD49" s="12">
        <f>VLOOKUP(Tableau2[[#This Row],[essence]],Tableau5[],12,FALSE)</f>
        <v>-1.21E-2</v>
      </c>
      <c r="AE49" s="12">
        <f>IF(Tableau2[[#This Row],[sdom]]="4EST",1,0)</f>
        <v>0</v>
      </c>
      <c r="AF49" s="12">
        <f>VLOOKUP(Tableau2[[#This Row],[essence]],Tableau5[],13,FALSE)</f>
        <v>0.52600000000000002</v>
      </c>
      <c r="AG49" s="12">
        <f>IF(Tableau2[[#This Row],[sdom]]="4OUEST",1,0)</f>
        <v>0</v>
      </c>
      <c r="AH49" s="12">
        <f>VLOOKUP(Tableau2[[#This Row],[essence]],Tableau5[],14,FALSE)</f>
        <v>-0.753</v>
      </c>
      <c r="AI49" s="12">
        <f>IF(Tableau2[[#This Row],[sdom]]="5EST",1,0)</f>
        <v>0</v>
      </c>
      <c r="AJ49" s="12">
        <f>VLOOKUP(Tableau2[[#This Row],[essence]],Tableau5[],16,FALSE)</f>
        <v>0</v>
      </c>
      <c r="AK49" s="12">
        <f>IF(Tableau2[[#This Row],[sdom]]="5OUEST",1,0)</f>
        <v>0</v>
      </c>
      <c r="AL49" s="12">
        <f>VLOOKUP(Tableau2[[#This Row],[essence]],Tableau5[],17,FALSE)</f>
        <v>0</v>
      </c>
      <c r="AM49" s="12">
        <f>IF(Tableau2[[#This Row],[sdom]]="6EST",1,0)</f>
        <v>0</v>
      </c>
      <c r="AN49" s="12">
        <f>VLOOKUP(Tableau2[[#This Row],[essence]],Tableau5[],19,FALSE)</f>
        <v>3.04E-2</v>
      </c>
      <c r="AO49" s="12">
        <f>IF(Tableau2[[#This Row],[priorecol]]="C",1,0)</f>
        <v>0</v>
      </c>
      <c r="AP49" s="12">
        <f>VLOOKUP(Tableau2[[#This Row],[essence]],Tableau5[],20,FALSE)</f>
        <v>0.14549999999999999</v>
      </c>
      <c r="AQ49" s="12">
        <f>IF(Tableau2[[#This Row],[priorecol]]="R",1,0)</f>
        <v>0</v>
      </c>
      <c r="AR49" s="12">
        <f>VLOOKUP(Tableau2[[#This Row],[essence]],Tableau5[],21,FALSE)</f>
        <v>7.8700000000000006E-2</v>
      </c>
      <c r="AS49" s="12">
        <f>IF(Tableau2[[#This Row],[priorecol]]="S",1,0)</f>
        <v>1</v>
      </c>
      <c r="AT49" s="12">
        <f>VLOOKUP(Tableau2[[#This Row],[essence]],Tableau5[],22,FALSE)</f>
        <v>0</v>
      </c>
      <c r="AU49" s="12">
        <f>VLOOKUP(Tableau2[[#This Row],[essence]],Tableau5[],23,FALSE)</f>
        <v>0</v>
      </c>
      <c r="AV49" s="12">
        <f>VLOOKUP(Tableau2[[#This Row],[essence]],Tableau5[],18,FALSE)</f>
        <v>0</v>
      </c>
      <c r="AW4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1.8993000000000002</v>
      </c>
      <c r="AX49" s="12">
        <f>1/(1+EXP(-Tableau2[[#This Row],[xb_c]]))</f>
        <v>0.86981227893987745</v>
      </c>
      <c r="AY49" s="12" t="str">
        <f t="shared" si="0"/>
        <v>NA</v>
      </c>
      <c r="AZ49" s="12" t="str">
        <f t="shared" si="1"/>
        <v>NA</v>
      </c>
      <c r="BA49" s="12">
        <f>Tableau2[[#This Row],[prob_c]]</f>
        <v>0.86981227893987745</v>
      </c>
      <c r="BB49" s="12">
        <f>1-Tableau2[[#This Row],[prob_c]]</f>
        <v>0.13018772106012255</v>
      </c>
    </row>
    <row r="50" spans="1:54" x14ac:dyDescent="0.25">
      <c r="A50" s="12">
        <v>3</v>
      </c>
      <c r="B50" s="12" t="s">
        <v>11</v>
      </c>
      <c r="C50" s="12">
        <v>2.1</v>
      </c>
      <c r="D50" s="12">
        <v>700</v>
      </c>
      <c r="E50" s="12">
        <v>20</v>
      </c>
      <c r="F50" s="12">
        <v>1</v>
      </c>
      <c r="G50" s="12">
        <v>1</v>
      </c>
      <c r="H50" s="12">
        <v>32</v>
      </c>
      <c r="I50" s="12" t="s">
        <v>19</v>
      </c>
      <c r="J50" s="12" t="s">
        <v>27</v>
      </c>
      <c r="K50" s="12">
        <f>VLOOKUP(Tableau2[[#This Row],[essence]],Tableau5[],2,FALSE)</f>
        <v>-1.806</v>
      </c>
      <c r="L50" s="12">
        <f>VLOOKUP(Tableau2[[#This Row],[essence]],Tableau5[],3,FALSE)</f>
        <v>1.2398</v>
      </c>
      <c r="M50" s="12">
        <f>IF(Tableau2[[#This Row],[priorecol]]="C",1,0)</f>
        <v>1</v>
      </c>
      <c r="N50" s="12">
        <f>VLOOKUP(Tableau2[[#This Row],[essence]],Tableau5[],4,FALSE)</f>
        <v>2.6488</v>
      </c>
      <c r="O50" s="12">
        <f>IF(Tableau2[[#This Row],[priorecol]]="R",1,0)</f>
        <v>0</v>
      </c>
      <c r="P50" s="12">
        <f>VLOOKUP(Tableau2[[#This Row],[essence]],Tableau5[],5,FALSE)</f>
        <v>0.61070000000000002</v>
      </c>
      <c r="Q50" s="12">
        <f>IF(Tableau2[[#This Row],[priorecol]]="S",1,0)</f>
        <v>0</v>
      </c>
      <c r="R50" s="12">
        <f>VLOOKUP(Tableau2[[#This Row],[essence]],Tableau5[],6,FALSE)</f>
        <v>5.67E-2</v>
      </c>
      <c r="S50" s="12">
        <f>VLOOKUP(Tableau2[[#This Row],[essence]],Tableau5[],15,FALSE)</f>
        <v>1.35E-2</v>
      </c>
      <c r="T50" s="12">
        <f>VLOOKUP(Tableau2[[#This Row],[essence]],Tableau5[],7,FALSE)</f>
        <v>0.95779999999999998</v>
      </c>
      <c r="U50" s="12">
        <f>IF(Tableau2[[#This Row],[sdom]]=1,1,0)</f>
        <v>0</v>
      </c>
      <c r="V50" s="12">
        <f>VLOOKUP(Tableau2[[#This Row],[essence]],Tableau5[],8,FALSE)</f>
        <v>0.66500000000000004</v>
      </c>
      <c r="W50" s="12">
        <f>IF(Tableau2[[#This Row],[sdom]]="2EST",1,0)</f>
        <v>0</v>
      </c>
      <c r="X50" s="12">
        <f>VLOOKUP(Tableau2[[#This Row],[essence]],Tableau5[],9,FALSE)</f>
        <v>0.32479999999999998</v>
      </c>
      <c r="Y50" s="12">
        <f>IF(Tableau2[[#This Row],[sdom]]="2OUEST",1,0)</f>
        <v>1</v>
      </c>
      <c r="Z50" s="12">
        <f>VLOOKUP(Tableau2[[#This Row],[essence]],Tableau5[],10,FALSE)</f>
        <v>0.62949999999999995</v>
      </c>
      <c r="AA50" s="12">
        <f>IF(Tableau2[[#This Row],[sdom]]="3EST",1,0)</f>
        <v>0</v>
      </c>
      <c r="AB50" s="12">
        <f>VLOOKUP(Tableau2[[#This Row],[essence]],Tableau5[],11,FALSE)</f>
        <v>0.56679999999999997</v>
      </c>
      <c r="AC50" s="12">
        <f>IF(Tableau2[[#This Row],[sdom]]="3OUEST",1,0)</f>
        <v>0</v>
      </c>
      <c r="AD50" s="12">
        <f>VLOOKUP(Tableau2[[#This Row],[essence]],Tableau5[],12,FALSE)</f>
        <v>0.21729999999999999</v>
      </c>
      <c r="AE50" s="12">
        <f>IF(Tableau2[[#This Row],[sdom]]="4EST",1,0)</f>
        <v>0</v>
      </c>
      <c r="AF50" s="12">
        <f>VLOOKUP(Tableau2[[#This Row],[essence]],Tableau5[],13,FALSE)</f>
        <v>0.39939999999999998</v>
      </c>
      <c r="AG50" s="12">
        <f>IF(Tableau2[[#This Row],[sdom]]="4OUEST",1,0)</f>
        <v>0</v>
      </c>
      <c r="AH50" s="12">
        <f>VLOOKUP(Tableau2[[#This Row],[essence]],Tableau5[],14,FALSE)</f>
        <v>6.5299999999999997E-2</v>
      </c>
      <c r="AI50" s="12">
        <f>IF(Tableau2[[#This Row],[sdom]]="5EST",1,0)</f>
        <v>0</v>
      </c>
      <c r="AJ50" s="12">
        <f>VLOOKUP(Tableau2[[#This Row],[essence]],Tableau5[],16,FALSE)</f>
        <v>0</v>
      </c>
      <c r="AK50" s="12">
        <f>IF(Tableau2[[#This Row],[sdom]]="5OUEST",1,0)</f>
        <v>0</v>
      </c>
      <c r="AL50" s="12">
        <f>VLOOKUP(Tableau2[[#This Row],[essence]],Tableau5[],17,FALSE)</f>
        <v>0</v>
      </c>
      <c r="AM50" s="12">
        <f>IF(Tableau2[[#This Row],[sdom]]="6EST",1,0)</f>
        <v>0</v>
      </c>
      <c r="AN50" s="12">
        <f>VLOOKUP(Tableau2[[#This Row],[essence]],Tableau5[],19,FALSE)</f>
        <v>0</v>
      </c>
      <c r="AO50" s="12">
        <f>IF(Tableau2[[#This Row],[priorecol]]="C",1,0)</f>
        <v>1</v>
      </c>
      <c r="AP50" s="12">
        <f>VLOOKUP(Tableau2[[#This Row],[essence]],Tableau5[],20,FALSE)</f>
        <v>0</v>
      </c>
      <c r="AQ50" s="12">
        <f>IF(Tableau2[[#This Row],[priorecol]]="R",1,0)</f>
        <v>0</v>
      </c>
      <c r="AR50" s="12">
        <f>VLOOKUP(Tableau2[[#This Row],[essence]],Tableau5[],21,FALSE)</f>
        <v>0</v>
      </c>
      <c r="AS50" s="12">
        <f>IF(Tableau2[[#This Row],[priorecol]]="S",1,0)</f>
        <v>0</v>
      </c>
      <c r="AT50" s="12">
        <f>VLOOKUP(Tableau2[[#This Row],[essence]],Tableau5[],22,FALSE)</f>
        <v>0</v>
      </c>
      <c r="AU50" s="12">
        <f>VLOOKUP(Tableau2[[#This Row],[essence]],Tableau5[],23,FALSE)</f>
        <v>0</v>
      </c>
      <c r="AV50" s="12">
        <f>VLOOKUP(Tableau2[[#This Row],[essence]],Tableau5[],18,FALSE)</f>
        <v>0</v>
      </c>
      <c r="AW5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1.843</v>
      </c>
      <c r="AX50" s="12">
        <f>1/(1+EXP(-Tableau2[[#This Row],[xb_c]]))</f>
        <v>0.86330312595881631</v>
      </c>
      <c r="AY50" s="12" t="str">
        <f t="shared" si="0"/>
        <v>NA</v>
      </c>
      <c r="AZ50" s="12" t="str">
        <f t="shared" si="1"/>
        <v>NA</v>
      </c>
      <c r="BA50" s="12">
        <f>Tableau2[[#This Row],[prob_c]]</f>
        <v>0.86330312595881631</v>
      </c>
      <c r="BB50" s="12">
        <f>1-Tableau2[[#This Row],[prob_c]]</f>
        <v>0.13669687404118369</v>
      </c>
    </row>
    <row r="51" spans="1:54" x14ac:dyDescent="0.25">
      <c r="A51" s="12">
        <v>3</v>
      </c>
      <c r="B51" s="12" t="s">
        <v>11</v>
      </c>
      <c r="C51" s="12">
        <v>2.1</v>
      </c>
      <c r="D51" s="12">
        <v>700</v>
      </c>
      <c r="E51" s="12">
        <v>20</v>
      </c>
      <c r="F51" s="12">
        <v>1</v>
      </c>
      <c r="G51" s="12">
        <v>2</v>
      </c>
      <c r="H51" s="12">
        <v>33</v>
      </c>
      <c r="I51" s="12" t="s">
        <v>19</v>
      </c>
      <c r="J51" s="12" t="s">
        <v>28</v>
      </c>
      <c r="K51" s="12">
        <f>VLOOKUP(Tableau2[[#This Row],[essence]],Tableau5[],2,FALSE)</f>
        <v>-1.806</v>
      </c>
      <c r="L51" s="12">
        <f>VLOOKUP(Tableau2[[#This Row],[essence]],Tableau5[],3,FALSE)</f>
        <v>1.2398</v>
      </c>
      <c r="M51" s="12">
        <f>IF(Tableau2[[#This Row],[priorecol]]="C",1,0)</f>
        <v>0</v>
      </c>
      <c r="N51" s="12">
        <f>VLOOKUP(Tableau2[[#This Row],[essence]],Tableau5[],4,FALSE)</f>
        <v>2.6488</v>
      </c>
      <c r="O51" s="12">
        <f>IF(Tableau2[[#This Row],[priorecol]]="R",1,0)</f>
        <v>1</v>
      </c>
      <c r="P51" s="12">
        <f>VLOOKUP(Tableau2[[#This Row],[essence]],Tableau5[],5,FALSE)</f>
        <v>0.61070000000000002</v>
      </c>
      <c r="Q51" s="12">
        <f>IF(Tableau2[[#This Row],[priorecol]]="S",1,0)</f>
        <v>0</v>
      </c>
      <c r="R51" s="12">
        <f>VLOOKUP(Tableau2[[#This Row],[essence]],Tableau5[],6,FALSE)</f>
        <v>5.67E-2</v>
      </c>
      <c r="S51" s="12">
        <f>VLOOKUP(Tableau2[[#This Row],[essence]],Tableau5[],15,FALSE)</f>
        <v>1.35E-2</v>
      </c>
      <c r="T51" s="12">
        <f>VLOOKUP(Tableau2[[#This Row],[essence]],Tableau5[],7,FALSE)</f>
        <v>0.95779999999999998</v>
      </c>
      <c r="U51" s="12">
        <f>IF(Tableau2[[#This Row],[sdom]]=1,1,0)</f>
        <v>0</v>
      </c>
      <c r="V51" s="12">
        <f>VLOOKUP(Tableau2[[#This Row],[essence]],Tableau5[],8,FALSE)</f>
        <v>0.66500000000000004</v>
      </c>
      <c r="W51" s="12">
        <f>IF(Tableau2[[#This Row],[sdom]]="2EST",1,0)</f>
        <v>0</v>
      </c>
      <c r="X51" s="12">
        <f>VLOOKUP(Tableau2[[#This Row],[essence]],Tableau5[],9,FALSE)</f>
        <v>0.32479999999999998</v>
      </c>
      <c r="Y51" s="12">
        <f>IF(Tableau2[[#This Row],[sdom]]="2OUEST",1,0)</f>
        <v>1</v>
      </c>
      <c r="Z51" s="12">
        <f>VLOOKUP(Tableau2[[#This Row],[essence]],Tableau5[],10,FALSE)</f>
        <v>0.62949999999999995</v>
      </c>
      <c r="AA51" s="12">
        <f>IF(Tableau2[[#This Row],[sdom]]="3EST",1,0)</f>
        <v>0</v>
      </c>
      <c r="AB51" s="12">
        <f>VLOOKUP(Tableau2[[#This Row],[essence]],Tableau5[],11,FALSE)</f>
        <v>0.56679999999999997</v>
      </c>
      <c r="AC51" s="12">
        <f>IF(Tableau2[[#This Row],[sdom]]="3OUEST",1,0)</f>
        <v>0</v>
      </c>
      <c r="AD51" s="12">
        <f>VLOOKUP(Tableau2[[#This Row],[essence]],Tableau5[],12,FALSE)</f>
        <v>0.21729999999999999</v>
      </c>
      <c r="AE51" s="12">
        <f>IF(Tableau2[[#This Row],[sdom]]="4EST",1,0)</f>
        <v>0</v>
      </c>
      <c r="AF51" s="12">
        <f>VLOOKUP(Tableau2[[#This Row],[essence]],Tableau5[],13,FALSE)</f>
        <v>0.39939999999999998</v>
      </c>
      <c r="AG51" s="12">
        <f>IF(Tableau2[[#This Row],[sdom]]="4OUEST",1,0)</f>
        <v>0</v>
      </c>
      <c r="AH51" s="12">
        <f>VLOOKUP(Tableau2[[#This Row],[essence]],Tableau5[],14,FALSE)</f>
        <v>6.5299999999999997E-2</v>
      </c>
      <c r="AI51" s="12">
        <f>IF(Tableau2[[#This Row],[sdom]]="5EST",1,0)</f>
        <v>0</v>
      </c>
      <c r="AJ51" s="12">
        <f>VLOOKUP(Tableau2[[#This Row],[essence]],Tableau5[],16,FALSE)</f>
        <v>0</v>
      </c>
      <c r="AK51" s="12">
        <f>IF(Tableau2[[#This Row],[sdom]]="5OUEST",1,0)</f>
        <v>0</v>
      </c>
      <c r="AL51" s="12">
        <f>VLOOKUP(Tableau2[[#This Row],[essence]],Tableau5[],17,FALSE)</f>
        <v>0</v>
      </c>
      <c r="AM51" s="12">
        <f>IF(Tableau2[[#This Row],[sdom]]="6EST",1,0)</f>
        <v>0</v>
      </c>
      <c r="AN51" s="12">
        <f>VLOOKUP(Tableau2[[#This Row],[essence]],Tableau5[],19,FALSE)</f>
        <v>0</v>
      </c>
      <c r="AO51" s="12">
        <f>IF(Tableau2[[#This Row],[priorecol]]="C",1,0)</f>
        <v>0</v>
      </c>
      <c r="AP51" s="12">
        <f>VLOOKUP(Tableau2[[#This Row],[essence]],Tableau5[],20,FALSE)</f>
        <v>0</v>
      </c>
      <c r="AQ51" s="12">
        <f>IF(Tableau2[[#This Row],[priorecol]]="R",1,0)</f>
        <v>1</v>
      </c>
      <c r="AR51" s="12">
        <f>VLOOKUP(Tableau2[[#This Row],[essence]],Tableau5[],21,FALSE)</f>
        <v>0</v>
      </c>
      <c r="AS51" s="12">
        <f>IF(Tableau2[[#This Row],[priorecol]]="S",1,0)</f>
        <v>0</v>
      </c>
      <c r="AT51" s="12">
        <f>VLOOKUP(Tableau2[[#This Row],[essence]],Tableau5[],22,FALSE)</f>
        <v>0</v>
      </c>
      <c r="AU51" s="12">
        <f>VLOOKUP(Tableau2[[#This Row],[essence]],Tableau5[],23,FALSE)</f>
        <v>0</v>
      </c>
      <c r="AV51" s="12">
        <f>VLOOKUP(Tableau2[[#This Row],[essence]],Tableau5[],18,FALSE)</f>
        <v>0</v>
      </c>
      <c r="AW5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3.3087</v>
      </c>
      <c r="AX51" s="12">
        <f>1/(1+EXP(-Tableau2[[#This Row],[xb_c]]))</f>
        <v>0.96472606892551582</v>
      </c>
      <c r="AY51" s="12" t="str">
        <f t="shared" si="0"/>
        <v>NA</v>
      </c>
      <c r="AZ51" s="12" t="str">
        <f t="shared" si="1"/>
        <v>NA</v>
      </c>
      <c r="BA51" s="12">
        <f>Tableau2[[#This Row],[prob_c]]</f>
        <v>0.96472606892551582</v>
      </c>
      <c r="BB51" s="12">
        <f>1-Tableau2[[#This Row],[prob_c]]</f>
        <v>3.5273931074484177E-2</v>
      </c>
    </row>
    <row r="52" spans="1:54" x14ac:dyDescent="0.25">
      <c r="A52" s="12">
        <v>3</v>
      </c>
      <c r="B52" s="12" t="s">
        <v>11</v>
      </c>
      <c r="C52" s="12">
        <v>2.1</v>
      </c>
      <c r="D52" s="12">
        <v>700</v>
      </c>
      <c r="E52" s="12">
        <v>20</v>
      </c>
      <c r="F52" s="12">
        <v>1</v>
      </c>
      <c r="G52" s="12">
        <v>3</v>
      </c>
      <c r="H52" s="12">
        <v>24</v>
      </c>
      <c r="I52" s="12" t="s">
        <v>19</v>
      </c>
      <c r="J52" s="12" t="s">
        <v>29</v>
      </c>
      <c r="K52" s="12">
        <f>VLOOKUP(Tableau2[[#This Row],[essence]],Tableau5[],2,FALSE)</f>
        <v>-1.806</v>
      </c>
      <c r="L52" s="12">
        <f>VLOOKUP(Tableau2[[#This Row],[essence]],Tableau5[],3,FALSE)</f>
        <v>1.2398</v>
      </c>
      <c r="M52" s="12">
        <f>IF(Tableau2[[#This Row],[priorecol]]="C",1,0)</f>
        <v>0</v>
      </c>
      <c r="N52" s="12">
        <f>VLOOKUP(Tableau2[[#This Row],[essence]],Tableau5[],4,FALSE)</f>
        <v>2.6488</v>
      </c>
      <c r="O52" s="12">
        <f>IF(Tableau2[[#This Row],[priorecol]]="R",1,0)</f>
        <v>0</v>
      </c>
      <c r="P52" s="12">
        <f>VLOOKUP(Tableau2[[#This Row],[essence]],Tableau5[],5,FALSE)</f>
        <v>0.61070000000000002</v>
      </c>
      <c r="Q52" s="12">
        <f>IF(Tableau2[[#This Row],[priorecol]]="S",1,0)</f>
        <v>1</v>
      </c>
      <c r="R52" s="12">
        <f>VLOOKUP(Tableau2[[#This Row],[essence]],Tableau5[],6,FALSE)</f>
        <v>5.67E-2</v>
      </c>
      <c r="S52" s="12">
        <f>VLOOKUP(Tableau2[[#This Row],[essence]],Tableau5[],15,FALSE)</f>
        <v>1.35E-2</v>
      </c>
      <c r="T52" s="12">
        <f>VLOOKUP(Tableau2[[#This Row],[essence]],Tableau5[],7,FALSE)</f>
        <v>0.95779999999999998</v>
      </c>
      <c r="U52" s="12">
        <f>IF(Tableau2[[#This Row],[sdom]]=1,1,0)</f>
        <v>0</v>
      </c>
      <c r="V52" s="12">
        <f>VLOOKUP(Tableau2[[#This Row],[essence]],Tableau5[],8,FALSE)</f>
        <v>0.66500000000000004</v>
      </c>
      <c r="W52" s="12">
        <f>IF(Tableau2[[#This Row],[sdom]]="2EST",1,0)</f>
        <v>0</v>
      </c>
      <c r="X52" s="12">
        <f>VLOOKUP(Tableau2[[#This Row],[essence]],Tableau5[],9,FALSE)</f>
        <v>0.32479999999999998</v>
      </c>
      <c r="Y52" s="12">
        <f>IF(Tableau2[[#This Row],[sdom]]="2OUEST",1,0)</f>
        <v>1</v>
      </c>
      <c r="Z52" s="12">
        <f>VLOOKUP(Tableau2[[#This Row],[essence]],Tableau5[],10,FALSE)</f>
        <v>0.62949999999999995</v>
      </c>
      <c r="AA52" s="12">
        <f>IF(Tableau2[[#This Row],[sdom]]="3EST",1,0)</f>
        <v>0</v>
      </c>
      <c r="AB52" s="12">
        <f>VLOOKUP(Tableau2[[#This Row],[essence]],Tableau5[],11,FALSE)</f>
        <v>0.56679999999999997</v>
      </c>
      <c r="AC52" s="12">
        <f>IF(Tableau2[[#This Row],[sdom]]="3OUEST",1,0)</f>
        <v>0</v>
      </c>
      <c r="AD52" s="12">
        <f>VLOOKUP(Tableau2[[#This Row],[essence]],Tableau5[],12,FALSE)</f>
        <v>0.21729999999999999</v>
      </c>
      <c r="AE52" s="12">
        <f>IF(Tableau2[[#This Row],[sdom]]="4EST",1,0)</f>
        <v>0</v>
      </c>
      <c r="AF52" s="12">
        <f>VLOOKUP(Tableau2[[#This Row],[essence]],Tableau5[],13,FALSE)</f>
        <v>0.39939999999999998</v>
      </c>
      <c r="AG52" s="12">
        <f>IF(Tableau2[[#This Row],[sdom]]="4OUEST",1,0)</f>
        <v>0</v>
      </c>
      <c r="AH52" s="12">
        <f>VLOOKUP(Tableau2[[#This Row],[essence]],Tableau5[],14,FALSE)</f>
        <v>6.5299999999999997E-2</v>
      </c>
      <c r="AI52" s="12">
        <f>IF(Tableau2[[#This Row],[sdom]]="5EST",1,0)</f>
        <v>0</v>
      </c>
      <c r="AJ52" s="12">
        <f>VLOOKUP(Tableau2[[#This Row],[essence]],Tableau5[],16,FALSE)</f>
        <v>0</v>
      </c>
      <c r="AK52" s="12">
        <f>IF(Tableau2[[#This Row],[sdom]]="5OUEST",1,0)</f>
        <v>0</v>
      </c>
      <c r="AL52" s="12">
        <f>VLOOKUP(Tableau2[[#This Row],[essence]],Tableau5[],17,FALSE)</f>
        <v>0</v>
      </c>
      <c r="AM52" s="12">
        <f>IF(Tableau2[[#This Row],[sdom]]="6EST",1,0)</f>
        <v>0</v>
      </c>
      <c r="AN52" s="12">
        <f>VLOOKUP(Tableau2[[#This Row],[essence]],Tableau5[],19,FALSE)</f>
        <v>0</v>
      </c>
      <c r="AO52" s="12">
        <f>IF(Tableau2[[#This Row],[priorecol]]="C",1,0)</f>
        <v>0</v>
      </c>
      <c r="AP52" s="12">
        <f>VLOOKUP(Tableau2[[#This Row],[essence]],Tableau5[],20,FALSE)</f>
        <v>0</v>
      </c>
      <c r="AQ52" s="12">
        <f>IF(Tableau2[[#This Row],[priorecol]]="R",1,0)</f>
        <v>0</v>
      </c>
      <c r="AR52" s="12">
        <f>VLOOKUP(Tableau2[[#This Row],[essence]],Tableau5[],21,FALSE)</f>
        <v>0</v>
      </c>
      <c r="AS52" s="12">
        <f>IF(Tableau2[[#This Row],[priorecol]]="S",1,0)</f>
        <v>1</v>
      </c>
      <c r="AT52" s="12">
        <f>VLOOKUP(Tableau2[[#This Row],[essence]],Tableau5[],22,FALSE)</f>
        <v>0</v>
      </c>
      <c r="AU52" s="12">
        <f>VLOOKUP(Tableau2[[#This Row],[essence]],Tableau5[],23,FALSE)</f>
        <v>0</v>
      </c>
      <c r="AV52" s="12">
        <f>VLOOKUP(Tableau2[[#This Row],[essence]],Tableau5[],18,FALSE)</f>
        <v>0</v>
      </c>
      <c r="AW5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0.76029999999999998</v>
      </c>
      <c r="AX52" s="12">
        <f>1/(1+EXP(-Tableau2[[#This Row],[xb_c]]))</f>
        <v>0.68141886349205494</v>
      </c>
      <c r="AY52" s="12" t="str">
        <f t="shared" si="0"/>
        <v>NA</v>
      </c>
      <c r="AZ52" s="12" t="str">
        <f t="shared" si="1"/>
        <v>NA</v>
      </c>
      <c r="BA52" s="12">
        <f>Tableau2[[#This Row],[prob_c]]</f>
        <v>0.68141886349205494</v>
      </c>
      <c r="BB52" s="12">
        <f>1-Tableau2[[#This Row],[prob_c]]</f>
        <v>0.31858113650794506</v>
      </c>
    </row>
    <row r="53" spans="1:54" x14ac:dyDescent="0.25">
      <c r="A53" s="12">
        <v>3</v>
      </c>
      <c r="B53" s="12" t="s">
        <v>11</v>
      </c>
      <c r="C53" s="12">
        <v>2.1</v>
      </c>
      <c r="D53" s="12">
        <v>700</v>
      </c>
      <c r="E53" s="12">
        <v>20</v>
      </c>
      <c r="F53" s="12">
        <v>1</v>
      </c>
      <c r="G53" s="12">
        <v>4</v>
      </c>
      <c r="H53" s="12">
        <v>25</v>
      </c>
      <c r="I53" s="12" t="s">
        <v>20</v>
      </c>
      <c r="J53" s="12" t="s">
        <v>27</v>
      </c>
      <c r="K53" s="12">
        <f>VLOOKUP(Tableau2[[#This Row],[essence]],Tableau5[],2,FALSE)</f>
        <v>0.69510000000000005</v>
      </c>
      <c r="L53" s="12">
        <f>VLOOKUP(Tableau2[[#This Row],[essence]],Tableau5[],3,FALSE)</f>
        <v>-0.51849999999999996</v>
      </c>
      <c r="M53" s="12">
        <f>IF(Tableau2[[#This Row],[priorecol]]="C",1,0)</f>
        <v>1</v>
      </c>
      <c r="N53" s="12">
        <f>VLOOKUP(Tableau2[[#This Row],[essence]],Tableau5[],4,FALSE)</f>
        <v>0.52129999999999999</v>
      </c>
      <c r="O53" s="12">
        <f>IF(Tableau2[[#This Row],[priorecol]]="R",1,0)</f>
        <v>0</v>
      </c>
      <c r="P53" s="12">
        <f>VLOOKUP(Tableau2[[#This Row],[essence]],Tableau5[],5,FALSE)</f>
        <v>-0.37890000000000001</v>
      </c>
      <c r="Q53" s="12">
        <f>IF(Tableau2[[#This Row],[priorecol]]="S",1,0)</f>
        <v>0</v>
      </c>
      <c r="R53" s="12">
        <f>VLOOKUP(Tableau2[[#This Row],[essence]],Tableau5[],6,FALSE)</f>
        <v>-5.5999999999999995E-4</v>
      </c>
      <c r="S53" s="12">
        <f>VLOOKUP(Tableau2[[#This Row],[essence]],Tableau5[],15,FALSE)</f>
        <v>1.52E-2</v>
      </c>
      <c r="T53" s="12">
        <f>VLOOKUP(Tableau2[[#This Row],[essence]],Tableau5[],7,FALSE)</f>
        <v>0</v>
      </c>
      <c r="U53" s="12">
        <f>IF(Tableau2[[#This Row],[sdom]]=1,1,0)</f>
        <v>0</v>
      </c>
      <c r="V53" s="12">
        <f>VLOOKUP(Tableau2[[#This Row],[essence]],Tableau5[],8,FALSE)</f>
        <v>-8.7900000000000006E-2</v>
      </c>
      <c r="W53" s="12">
        <f>IF(Tableau2[[#This Row],[sdom]]="2EST",1,0)</f>
        <v>0</v>
      </c>
      <c r="X53" s="12">
        <f>VLOOKUP(Tableau2[[#This Row],[essence]],Tableau5[],9,FALSE)</f>
        <v>0.42620000000000002</v>
      </c>
      <c r="Y53" s="12">
        <f>IF(Tableau2[[#This Row],[sdom]]="2OUEST",1,0)</f>
        <v>1</v>
      </c>
      <c r="Z53" s="12">
        <f>VLOOKUP(Tableau2[[#This Row],[essence]],Tableau5[],10,FALSE)</f>
        <v>0.54149999999999998</v>
      </c>
      <c r="AA53" s="12">
        <f>IF(Tableau2[[#This Row],[sdom]]="3EST",1,0)</f>
        <v>0</v>
      </c>
      <c r="AB53" s="12">
        <f>VLOOKUP(Tableau2[[#This Row],[essence]],Tableau5[],11,FALSE)</f>
        <v>0.50339999999999996</v>
      </c>
      <c r="AC53" s="12">
        <f>IF(Tableau2[[#This Row],[sdom]]="3OUEST",1,0)</f>
        <v>0</v>
      </c>
      <c r="AD53" s="12">
        <f>VLOOKUP(Tableau2[[#This Row],[essence]],Tableau5[],12,FALSE)</f>
        <v>-3.0599999999999999E-2</v>
      </c>
      <c r="AE53" s="12">
        <f>IF(Tableau2[[#This Row],[sdom]]="4EST",1,0)</f>
        <v>0</v>
      </c>
      <c r="AF53" s="12">
        <f>VLOOKUP(Tableau2[[#This Row],[essence]],Tableau5[],13,FALSE)</f>
        <v>0.1583</v>
      </c>
      <c r="AG53" s="12">
        <f>IF(Tableau2[[#This Row],[sdom]]="4OUEST",1,0)</f>
        <v>0</v>
      </c>
      <c r="AH53" s="12">
        <f>VLOOKUP(Tableau2[[#This Row],[essence]],Tableau5[],14,FALSE)</f>
        <v>3.9800000000000002E-2</v>
      </c>
      <c r="AI53" s="12">
        <f>IF(Tableau2[[#This Row],[sdom]]="5EST",1,0)</f>
        <v>0</v>
      </c>
      <c r="AJ53" s="12">
        <f>VLOOKUP(Tableau2[[#This Row],[essence]],Tableau5[],16,FALSE)</f>
        <v>0.13650000000000001</v>
      </c>
      <c r="AK53" s="12">
        <f>IF(Tableau2[[#This Row],[sdom]]="5OUEST",1,0)</f>
        <v>0</v>
      </c>
      <c r="AL53" s="12">
        <f>VLOOKUP(Tableau2[[#This Row],[essence]],Tableau5[],17,FALSE)</f>
        <v>-0.39140000000000003</v>
      </c>
      <c r="AM53" s="12">
        <f>IF(Tableau2[[#This Row],[sdom]]="6EST",1,0)</f>
        <v>0</v>
      </c>
      <c r="AN53" s="12">
        <f>VLOOKUP(Tableau2[[#This Row],[essence]],Tableau5[],19,FALSE)</f>
        <v>5.8000000000000003E-2</v>
      </c>
      <c r="AO53" s="12">
        <f>IF(Tableau2[[#This Row],[priorecol]]="C",1,0)</f>
        <v>1</v>
      </c>
      <c r="AP53" s="12">
        <f>VLOOKUP(Tableau2[[#This Row],[essence]],Tableau5[],20,FALSE)</f>
        <v>4.7500000000000001E-2</v>
      </c>
      <c r="AQ53" s="12">
        <f>IF(Tableau2[[#This Row],[priorecol]]="R",1,0)</f>
        <v>0</v>
      </c>
      <c r="AR53" s="12">
        <f>VLOOKUP(Tableau2[[#This Row],[essence]],Tableau5[],21,FALSE)</f>
        <v>4.87E-2</v>
      </c>
      <c r="AS53" s="12">
        <f>IF(Tableau2[[#This Row],[priorecol]]="S",1,0)</f>
        <v>0</v>
      </c>
      <c r="AT53" s="12">
        <f>VLOOKUP(Tableau2[[#This Row],[essence]],Tableau5[],22,FALSE)</f>
        <v>0</v>
      </c>
      <c r="AU53" s="12">
        <f>VLOOKUP(Tableau2[[#This Row],[essence]],Tableau5[],23,FALSE)</f>
        <v>0</v>
      </c>
      <c r="AV53" s="12">
        <f>VLOOKUP(Tableau2[[#This Row],[essence]],Tableau5[],18,FALSE)</f>
        <v>-0.112</v>
      </c>
      <c r="AW5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2.1076000000000006</v>
      </c>
      <c r="AX53" s="12">
        <f>1/(1+EXP(-Tableau2[[#This Row],[xb_c]]))</f>
        <v>0.89163966700950004</v>
      </c>
      <c r="AY53" s="12" t="str">
        <f t="shared" si="0"/>
        <v>NA</v>
      </c>
      <c r="AZ53" s="12" t="str">
        <f t="shared" si="1"/>
        <v>NA</v>
      </c>
      <c r="BA53" s="12">
        <f>Tableau2[[#This Row],[prob_c]]</f>
        <v>0.89163966700950004</v>
      </c>
      <c r="BB53" s="12">
        <f>1-Tableau2[[#This Row],[prob_c]]</f>
        <v>0.10836033299049996</v>
      </c>
    </row>
    <row r="54" spans="1:54" x14ac:dyDescent="0.25">
      <c r="A54" s="12">
        <v>3</v>
      </c>
      <c r="B54" s="12" t="s">
        <v>11</v>
      </c>
      <c r="C54" s="12">
        <v>2.1</v>
      </c>
      <c r="D54" s="12">
        <v>700</v>
      </c>
      <c r="E54" s="12">
        <v>20</v>
      </c>
      <c r="F54" s="12">
        <v>1</v>
      </c>
      <c r="G54" s="12">
        <v>5</v>
      </c>
      <c r="H54" s="12">
        <v>26</v>
      </c>
      <c r="I54" s="12" t="s">
        <v>20</v>
      </c>
      <c r="J54" s="12" t="s">
        <v>28</v>
      </c>
      <c r="K54" s="12">
        <f>VLOOKUP(Tableau2[[#This Row],[essence]],Tableau5[],2,FALSE)</f>
        <v>0.69510000000000005</v>
      </c>
      <c r="L54" s="12">
        <f>VLOOKUP(Tableau2[[#This Row],[essence]],Tableau5[],3,FALSE)</f>
        <v>-0.51849999999999996</v>
      </c>
      <c r="M54" s="12">
        <f>IF(Tableau2[[#This Row],[priorecol]]="C",1,0)</f>
        <v>0</v>
      </c>
      <c r="N54" s="12">
        <f>VLOOKUP(Tableau2[[#This Row],[essence]],Tableau5[],4,FALSE)</f>
        <v>0.52129999999999999</v>
      </c>
      <c r="O54" s="12">
        <f>IF(Tableau2[[#This Row],[priorecol]]="R",1,0)</f>
        <v>1</v>
      </c>
      <c r="P54" s="12">
        <f>VLOOKUP(Tableau2[[#This Row],[essence]],Tableau5[],5,FALSE)</f>
        <v>-0.37890000000000001</v>
      </c>
      <c r="Q54" s="12">
        <f>IF(Tableau2[[#This Row],[priorecol]]="S",1,0)</f>
        <v>0</v>
      </c>
      <c r="R54" s="12">
        <f>VLOOKUP(Tableau2[[#This Row],[essence]],Tableau5[],6,FALSE)</f>
        <v>-5.5999999999999995E-4</v>
      </c>
      <c r="S54" s="12">
        <f>VLOOKUP(Tableau2[[#This Row],[essence]],Tableau5[],15,FALSE)</f>
        <v>1.52E-2</v>
      </c>
      <c r="T54" s="12">
        <f>VLOOKUP(Tableau2[[#This Row],[essence]],Tableau5[],7,FALSE)</f>
        <v>0</v>
      </c>
      <c r="U54" s="12">
        <f>IF(Tableau2[[#This Row],[sdom]]=1,1,0)</f>
        <v>0</v>
      </c>
      <c r="V54" s="12">
        <f>VLOOKUP(Tableau2[[#This Row],[essence]],Tableau5[],8,FALSE)</f>
        <v>-8.7900000000000006E-2</v>
      </c>
      <c r="W54" s="12">
        <f>IF(Tableau2[[#This Row],[sdom]]="2EST",1,0)</f>
        <v>0</v>
      </c>
      <c r="X54" s="12">
        <f>VLOOKUP(Tableau2[[#This Row],[essence]],Tableau5[],9,FALSE)</f>
        <v>0.42620000000000002</v>
      </c>
      <c r="Y54" s="12">
        <f>IF(Tableau2[[#This Row],[sdom]]="2OUEST",1,0)</f>
        <v>1</v>
      </c>
      <c r="Z54" s="12">
        <f>VLOOKUP(Tableau2[[#This Row],[essence]],Tableau5[],10,FALSE)</f>
        <v>0.54149999999999998</v>
      </c>
      <c r="AA54" s="12">
        <f>IF(Tableau2[[#This Row],[sdom]]="3EST",1,0)</f>
        <v>0</v>
      </c>
      <c r="AB54" s="12">
        <f>VLOOKUP(Tableau2[[#This Row],[essence]],Tableau5[],11,FALSE)</f>
        <v>0.50339999999999996</v>
      </c>
      <c r="AC54" s="12">
        <f>IF(Tableau2[[#This Row],[sdom]]="3OUEST",1,0)</f>
        <v>0</v>
      </c>
      <c r="AD54" s="12">
        <f>VLOOKUP(Tableau2[[#This Row],[essence]],Tableau5[],12,FALSE)</f>
        <v>-3.0599999999999999E-2</v>
      </c>
      <c r="AE54" s="12">
        <f>IF(Tableau2[[#This Row],[sdom]]="4EST",1,0)</f>
        <v>0</v>
      </c>
      <c r="AF54" s="12">
        <f>VLOOKUP(Tableau2[[#This Row],[essence]],Tableau5[],13,FALSE)</f>
        <v>0.1583</v>
      </c>
      <c r="AG54" s="12">
        <f>IF(Tableau2[[#This Row],[sdom]]="4OUEST",1,0)</f>
        <v>0</v>
      </c>
      <c r="AH54" s="12">
        <f>VLOOKUP(Tableau2[[#This Row],[essence]],Tableau5[],14,FALSE)</f>
        <v>3.9800000000000002E-2</v>
      </c>
      <c r="AI54" s="12">
        <f>IF(Tableau2[[#This Row],[sdom]]="5EST",1,0)</f>
        <v>0</v>
      </c>
      <c r="AJ54" s="12">
        <f>VLOOKUP(Tableau2[[#This Row],[essence]],Tableau5[],16,FALSE)</f>
        <v>0.13650000000000001</v>
      </c>
      <c r="AK54" s="12">
        <f>IF(Tableau2[[#This Row],[sdom]]="5OUEST",1,0)</f>
        <v>0</v>
      </c>
      <c r="AL54" s="12">
        <f>VLOOKUP(Tableau2[[#This Row],[essence]],Tableau5[],17,FALSE)</f>
        <v>-0.39140000000000003</v>
      </c>
      <c r="AM54" s="12">
        <f>IF(Tableau2[[#This Row],[sdom]]="6EST",1,0)</f>
        <v>0</v>
      </c>
      <c r="AN54" s="12">
        <f>VLOOKUP(Tableau2[[#This Row],[essence]],Tableau5[],19,FALSE)</f>
        <v>5.8000000000000003E-2</v>
      </c>
      <c r="AO54" s="12">
        <f>IF(Tableau2[[#This Row],[priorecol]]="C",1,0)</f>
        <v>0</v>
      </c>
      <c r="AP54" s="12">
        <f>VLOOKUP(Tableau2[[#This Row],[essence]],Tableau5[],20,FALSE)</f>
        <v>4.7500000000000001E-2</v>
      </c>
      <c r="AQ54" s="12">
        <f>IF(Tableau2[[#This Row],[priorecol]]="R",1,0)</f>
        <v>1</v>
      </c>
      <c r="AR54" s="12">
        <f>VLOOKUP(Tableau2[[#This Row],[essence]],Tableau5[],21,FALSE)</f>
        <v>4.87E-2</v>
      </c>
      <c r="AS54" s="12">
        <f>IF(Tableau2[[#This Row],[priorecol]]="S",1,0)</f>
        <v>0</v>
      </c>
      <c r="AT54" s="12">
        <f>VLOOKUP(Tableau2[[#This Row],[essence]],Tableau5[],22,FALSE)</f>
        <v>0</v>
      </c>
      <c r="AU54" s="12">
        <f>VLOOKUP(Tableau2[[#This Row],[essence]],Tableau5[],23,FALSE)</f>
        <v>0</v>
      </c>
      <c r="AV54" s="12">
        <f>VLOOKUP(Tableau2[[#This Row],[essence]],Tableau5[],18,FALSE)</f>
        <v>-0.112</v>
      </c>
      <c r="AW5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2.9318400000000002</v>
      </c>
      <c r="AX54" s="12">
        <f>1/(1+EXP(-Tableau2[[#This Row],[xb_c]]))</f>
        <v>0.94939814420495472</v>
      </c>
      <c r="AY54" s="12" t="str">
        <f t="shared" si="0"/>
        <v>NA</v>
      </c>
      <c r="AZ54" s="12" t="str">
        <f t="shared" si="1"/>
        <v>NA</v>
      </c>
      <c r="BA54" s="12">
        <f>Tableau2[[#This Row],[prob_c]]</f>
        <v>0.94939814420495472</v>
      </c>
      <c r="BB54" s="12">
        <f>1-Tableau2[[#This Row],[prob_c]]</f>
        <v>5.0601855795045281E-2</v>
      </c>
    </row>
    <row r="55" spans="1:54" x14ac:dyDescent="0.25">
      <c r="A55" s="12">
        <v>3</v>
      </c>
      <c r="B55" s="12" t="s">
        <v>11</v>
      </c>
      <c r="C55" s="12">
        <v>2.1</v>
      </c>
      <c r="D55" s="12">
        <v>700</v>
      </c>
      <c r="E55" s="12">
        <v>20</v>
      </c>
      <c r="F55" s="12">
        <v>1</v>
      </c>
      <c r="G55" s="12">
        <v>6</v>
      </c>
      <c r="H55" s="12">
        <v>27</v>
      </c>
      <c r="I55" s="12" t="s">
        <v>20</v>
      </c>
      <c r="J55" s="12" t="s">
        <v>29</v>
      </c>
      <c r="K55" s="12">
        <f>VLOOKUP(Tableau2[[#This Row],[essence]],Tableau5[],2,FALSE)</f>
        <v>0.69510000000000005</v>
      </c>
      <c r="L55" s="12">
        <f>VLOOKUP(Tableau2[[#This Row],[essence]],Tableau5[],3,FALSE)</f>
        <v>-0.51849999999999996</v>
      </c>
      <c r="M55" s="12">
        <f>IF(Tableau2[[#This Row],[priorecol]]="C",1,0)</f>
        <v>0</v>
      </c>
      <c r="N55" s="12">
        <f>VLOOKUP(Tableau2[[#This Row],[essence]],Tableau5[],4,FALSE)</f>
        <v>0.52129999999999999</v>
      </c>
      <c r="O55" s="12">
        <f>IF(Tableau2[[#This Row],[priorecol]]="R",1,0)</f>
        <v>0</v>
      </c>
      <c r="P55" s="12">
        <f>VLOOKUP(Tableau2[[#This Row],[essence]],Tableau5[],5,FALSE)</f>
        <v>-0.37890000000000001</v>
      </c>
      <c r="Q55" s="12">
        <f>IF(Tableau2[[#This Row],[priorecol]]="S",1,0)</f>
        <v>1</v>
      </c>
      <c r="R55" s="12">
        <f>VLOOKUP(Tableau2[[#This Row],[essence]],Tableau5[],6,FALSE)</f>
        <v>-5.5999999999999995E-4</v>
      </c>
      <c r="S55" s="12">
        <f>VLOOKUP(Tableau2[[#This Row],[essence]],Tableau5[],15,FALSE)</f>
        <v>1.52E-2</v>
      </c>
      <c r="T55" s="12">
        <f>VLOOKUP(Tableau2[[#This Row],[essence]],Tableau5[],7,FALSE)</f>
        <v>0</v>
      </c>
      <c r="U55" s="12">
        <f>IF(Tableau2[[#This Row],[sdom]]=1,1,0)</f>
        <v>0</v>
      </c>
      <c r="V55" s="12">
        <f>VLOOKUP(Tableau2[[#This Row],[essence]],Tableau5[],8,FALSE)</f>
        <v>-8.7900000000000006E-2</v>
      </c>
      <c r="W55" s="12">
        <f>IF(Tableau2[[#This Row],[sdom]]="2EST",1,0)</f>
        <v>0</v>
      </c>
      <c r="X55" s="12">
        <f>VLOOKUP(Tableau2[[#This Row],[essence]],Tableau5[],9,FALSE)</f>
        <v>0.42620000000000002</v>
      </c>
      <c r="Y55" s="12">
        <f>IF(Tableau2[[#This Row],[sdom]]="2OUEST",1,0)</f>
        <v>1</v>
      </c>
      <c r="Z55" s="12">
        <f>VLOOKUP(Tableau2[[#This Row],[essence]],Tableau5[],10,FALSE)</f>
        <v>0.54149999999999998</v>
      </c>
      <c r="AA55" s="12">
        <f>IF(Tableau2[[#This Row],[sdom]]="3EST",1,0)</f>
        <v>0</v>
      </c>
      <c r="AB55" s="12">
        <f>VLOOKUP(Tableau2[[#This Row],[essence]],Tableau5[],11,FALSE)</f>
        <v>0.50339999999999996</v>
      </c>
      <c r="AC55" s="12">
        <f>IF(Tableau2[[#This Row],[sdom]]="3OUEST",1,0)</f>
        <v>0</v>
      </c>
      <c r="AD55" s="12">
        <f>VLOOKUP(Tableau2[[#This Row],[essence]],Tableau5[],12,FALSE)</f>
        <v>-3.0599999999999999E-2</v>
      </c>
      <c r="AE55" s="12">
        <f>IF(Tableau2[[#This Row],[sdom]]="4EST",1,0)</f>
        <v>0</v>
      </c>
      <c r="AF55" s="12">
        <f>VLOOKUP(Tableau2[[#This Row],[essence]],Tableau5[],13,FALSE)</f>
        <v>0.1583</v>
      </c>
      <c r="AG55" s="12">
        <f>IF(Tableau2[[#This Row],[sdom]]="4OUEST",1,0)</f>
        <v>0</v>
      </c>
      <c r="AH55" s="12">
        <f>VLOOKUP(Tableau2[[#This Row],[essence]],Tableau5[],14,FALSE)</f>
        <v>3.9800000000000002E-2</v>
      </c>
      <c r="AI55" s="12">
        <f>IF(Tableau2[[#This Row],[sdom]]="5EST",1,0)</f>
        <v>0</v>
      </c>
      <c r="AJ55" s="12">
        <f>VLOOKUP(Tableau2[[#This Row],[essence]],Tableau5[],16,FALSE)</f>
        <v>0.13650000000000001</v>
      </c>
      <c r="AK55" s="12">
        <f>IF(Tableau2[[#This Row],[sdom]]="5OUEST",1,0)</f>
        <v>0</v>
      </c>
      <c r="AL55" s="12">
        <f>VLOOKUP(Tableau2[[#This Row],[essence]],Tableau5[],17,FALSE)</f>
        <v>-0.39140000000000003</v>
      </c>
      <c r="AM55" s="12">
        <f>IF(Tableau2[[#This Row],[sdom]]="6EST",1,0)</f>
        <v>0</v>
      </c>
      <c r="AN55" s="12">
        <f>VLOOKUP(Tableau2[[#This Row],[essence]],Tableau5[],19,FALSE)</f>
        <v>5.8000000000000003E-2</v>
      </c>
      <c r="AO55" s="12">
        <f>IF(Tableau2[[#This Row],[priorecol]]="C",1,0)</f>
        <v>0</v>
      </c>
      <c r="AP55" s="12">
        <f>VLOOKUP(Tableau2[[#This Row],[essence]],Tableau5[],20,FALSE)</f>
        <v>4.7500000000000001E-2</v>
      </c>
      <c r="AQ55" s="12">
        <f>IF(Tableau2[[#This Row],[priorecol]]="R",1,0)</f>
        <v>0</v>
      </c>
      <c r="AR55" s="12">
        <f>VLOOKUP(Tableau2[[#This Row],[essence]],Tableau5[],21,FALSE)</f>
        <v>4.87E-2</v>
      </c>
      <c r="AS55" s="12">
        <f>IF(Tableau2[[#This Row],[priorecol]]="S",1,0)</f>
        <v>1</v>
      </c>
      <c r="AT55" s="12">
        <f>VLOOKUP(Tableau2[[#This Row],[essence]],Tableau5[],22,FALSE)</f>
        <v>0</v>
      </c>
      <c r="AU55" s="12">
        <f>VLOOKUP(Tableau2[[#This Row],[essence]],Tableau5[],23,FALSE)</f>
        <v>0</v>
      </c>
      <c r="AV55" s="12">
        <f>VLOOKUP(Tableau2[[#This Row],[essence]],Tableau5[],18,FALSE)</f>
        <v>-0.112</v>
      </c>
      <c r="AW5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2.1109800000000005</v>
      </c>
      <c r="AX55" s="12">
        <f>1/(1+EXP(-Tableau2[[#This Row],[xb_c]]))</f>
        <v>0.89196580507107115</v>
      </c>
      <c r="AY55" s="12" t="str">
        <f t="shared" si="0"/>
        <v>NA</v>
      </c>
      <c r="AZ55" s="12" t="str">
        <f t="shared" si="1"/>
        <v>NA</v>
      </c>
      <c r="BA55" s="12">
        <f>Tableau2[[#This Row],[prob_c]]</f>
        <v>0.89196580507107115</v>
      </c>
      <c r="BB55" s="12">
        <f>1-Tableau2[[#This Row],[prob_c]]</f>
        <v>0.10803419492892885</v>
      </c>
    </row>
    <row r="56" spans="1:54" x14ac:dyDescent="0.25">
      <c r="A56" s="12">
        <v>3</v>
      </c>
      <c r="B56" s="12" t="s">
        <v>11</v>
      </c>
      <c r="C56" s="12">
        <v>2.1</v>
      </c>
      <c r="D56" s="12">
        <v>700</v>
      </c>
      <c r="E56" s="12">
        <v>20</v>
      </c>
      <c r="F56" s="12">
        <v>1</v>
      </c>
      <c r="G56" s="12">
        <v>7</v>
      </c>
      <c r="H56" s="12">
        <v>28</v>
      </c>
      <c r="I56" s="12" t="s">
        <v>21</v>
      </c>
      <c r="J56" s="12" t="s">
        <v>27</v>
      </c>
      <c r="K56" s="12">
        <f>VLOOKUP(Tableau2[[#This Row],[essence]],Tableau5[],2,FALSE)</f>
        <v>5.0801999999999996</v>
      </c>
      <c r="L56" s="12">
        <f>VLOOKUP(Tableau2[[#This Row],[essence]],Tableau5[],3,FALSE)</f>
        <v>1.7765</v>
      </c>
      <c r="M56" s="12">
        <f>IF(Tableau2[[#This Row],[priorecol]]="C",1,0)</f>
        <v>1</v>
      </c>
      <c r="N56" s="12">
        <f>VLOOKUP(Tableau2[[#This Row],[essence]],Tableau5[],4,FALSE)</f>
        <v>3.3664000000000001</v>
      </c>
      <c r="O56" s="12">
        <f>IF(Tableau2[[#This Row],[priorecol]]="R",1,0)</f>
        <v>0</v>
      </c>
      <c r="P56" s="12">
        <f>VLOOKUP(Tableau2[[#This Row],[essence]],Tableau5[],5,FALSE)</f>
        <v>0.57940000000000003</v>
      </c>
      <c r="Q56" s="12">
        <f>IF(Tableau2[[#This Row],[priorecol]]="S",1,0)</f>
        <v>0</v>
      </c>
      <c r="R56" s="12">
        <f>VLOOKUP(Tableau2[[#This Row],[essence]],Tableau5[],6,FALSE)</f>
        <v>-0.2109</v>
      </c>
      <c r="S56" s="12">
        <f>VLOOKUP(Tableau2[[#This Row],[essence]],Tableau5[],15,FALSE)</f>
        <v>-0.2429</v>
      </c>
      <c r="T56" s="12">
        <f>VLOOKUP(Tableau2[[#This Row],[essence]],Tableau5[],7,FALSE)</f>
        <v>0</v>
      </c>
      <c r="U56" s="12">
        <f>IF(Tableau2[[#This Row],[sdom]]=1,1,0)</f>
        <v>0</v>
      </c>
      <c r="V56" s="12">
        <f>VLOOKUP(Tableau2[[#This Row],[essence]],Tableau5[],8,FALSE)</f>
        <v>0</v>
      </c>
      <c r="W56" s="12">
        <f>IF(Tableau2[[#This Row],[sdom]]="2EST",1,0)</f>
        <v>0</v>
      </c>
      <c r="X56" s="12">
        <f>VLOOKUP(Tableau2[[#This Row],[essence]],Tableau5[],9,FALSE)</f>
        <v>0</v>
      </c>
      <c r="Y56" s="12">
        <f>IF(Tableau2[[#This Row],[sdom]]="2OUEST",1,0)</f>
        <v>1</v>
      </c>
      <c r="Z56" s="12">
        <f>VLOOKUP(Tableau2[[#This Row],[essence]],Tableau5[],10,FALSE)</f>
        <v>0</v>
      </c>
      <c r="AA56" s="12">
        <f>IF(Tableau2[[#This Row],[sdom]]="3EST",1,0)</f>
        <v>0</v>
      </c>
      <c r="AB56" s="12">
        <f>VLOOKUP(Tableau2[[#This Row],[essence]],Tableau5[],11,FALSE)</f>
        <v>0</v>
      </c>
      <c r="AC56" s="12">
        <f>IF(Tableau2[[#This Row],[sdom]]="3OUEST",1,0)</f>
        <v>0</v>
      </c>
      <c r="AD56" s="12">
        <f>VLOOKUP(Tableau2[[#This Row],[essence]],Tableau5[],12,FALSE)</f>
        <v>0</v>
      </c>
      <c r="AE56" s="12">
        <f>IF(Tableau2[[#This Row],[sdom]]="4EST",1,0)</f>
        <v>0</v>
      </c>
      <c r="AF56" s="12">
        <f>VLOOKUP(Tableau2[[#This Row],[essence]],Tableau5[],13,FALSE)</f>
        <v>0</v>
      </c>
      <c r="AG56" s="12">
        <f>IF(Tableau2[[#This Row],[sdom]]="4OUEST",1,0)</f>
        <v>0</v>
      </c>
      <c r="AH56" s="12">
        <f>VLOOKUP(Tableau2[[#This Row],[essence]],Tableau5[],14,FALSE)</f>
        <v>0</v>
      </c>
      <c r="AI56" s="12">
        <f>IF(Tableau2[[#This Row],[sdom]]="5EST",1,0)</f>
        <v>0</v>
      </c>
      <c r="AJ56" s="12">
        <f>VLOOKUP(Tableau2[[#This Row],[essence]],Tableau5[],16,FALSE)</f>
        <v>0</v>
      </c>
      <c r="AK56" s="12">
        <f>IF(Tableau2[[#This Row],[sdom]]="5OUEST",1,0)</f>
        <v>0</v>
      </c>
      <c r="AL56" s="12">
        <f>VLOOKUP(Tableau2[[#This Row],[essence]],Tableau5[],17,FALSE)</f>
        <v>0</v>
      </c>
      <c r="AM56" s="12">
        <f>IF(Tableau2[[#This Row],[sdom]]="6EST",1,0)</f>
        <v>0</v>
      </c>
      <c r="AN56" s="12">
        <f>VLOOKUP(Tableau2[[#This Row],[essence]],Tableau5[],19,FALSE)</f>
        <v>0</v>
      </c>
      <c r="AO56" s="12">
        <f>IF(Tableau2[[#This Row],[priorecol]]="C",1,0)</f>
        <v>1</v>
      </c>
      <c r="AP56" s="12">
        <f>VLOOKUP(Tableau2[[#This Row],[essence]],Tableau5[],20,FALSE)</f>
        <v>0</v>
      </c>
      <c r="AQ56" s="12">
        <f>IF(Tableau2[[#This Row],[priorecol]]="R",1,0)</f>
        <v>0</v>
      </c>
      <c r="AR56" s="12">
        <f>VLOOKUP(Tableau2[[#This Row],[essence]],Tableau5[],21,FALSE)</f>
        <v>0</v>
      </c>
      <c r="AS56" s="12">
        <f>IF(Tableau2[[#This Row],[priorecol]]="S",1,0)</f>
        <v>0</v>
      </c>
      <c r="AT56" s="12">
        <f>VLOOKUP(Tableau2[[#This Row],[essence]],Tableau5[],22,FALSE)</f>
        <v>1.1384000000000001</v>
      </c>
      <c r="AU56" s="12">
        <f>VLOOKUP(Tableau2[[#This Row],[essence]],Tableau5[],23,FALSE)</f>
        <v>1.0699999999999999E-2</v>
      </c>
      <c r="AV56" s="12">
        <f>VLOOKUP(Tableau2[[#This Row],[essence]],Tableau5[],18,FALSE)</f>
        <v>0</v>
      </c>
      <c r="AW5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3.2238999999999995</v>
      </c>
      <c r="AX56" s="12">
        <f>1/(1+EXP(-Tableau2[[#This Row],[xb_c]]))</f>
        <v>0.96172383658491811</v>
      </c>
      <c r="AY56" s="12" t="str">
        <f t="shared" si="0"/>
        <v>NA</v>
      </c>
      <c r="AZ56" s="12" t="str">
        <f t="shared" si="1"/>
        <v>NA</v>
      </c>
      <c r="BA56" s="12">
        <f>Tableau2[[#This Row],[prob_c]]</f>
        <v>0.96172383658491811</v>
      </c>
      <c r="BB56" s="12">
        <f>1-Tableau2[[#This Row],[prob_c]]</f>
        <v>3.8276163415081887E-2</v>
      </c>
    </row>
    <row r="57" spans="1:54" x14ac:dyDescent="0.25">
      <c r="A57" s="12">
        <v>3</v>
      </c>
      <c r="B57" s="12" t="s">
        <v>11</v>
      </c>
      <c r="C57" s="12">
        <v>2.1</v>
      </c>
      <c r="D57" s="12">
        <v>700</v>
      </c>
      <c r="E57" s="12">
        <v>20</v>
      </c>
      <c r="F57" s="12">
        <v>1</v>
      </c>
      <c r="G57" s="12">
        <v>8</v>
      </c>
      <c r="H57" s="12">
        <v>29</v>
      </c>
      <c r="I57" s="12" t="s">
        <v>21</v>
      </c>
      <c r="J57" s="12" t="s">
        <v>28</v>
      </c>
      <c r="K57" s="12">
        <f>VLOOKUP(Tableau2[[#This Row],[essence]],Tableau5[],2,FALSE)</f>
        <v>5.0801999999999996</v>
      </c>
      <c r="L57" s="12">
        <f>VLOOKUP(Tableau2[[#This Row],[essence]],Tableau5[],3,FALSE)</f>
        <v>1.7765</v>
      </c>
      <c r="M57" s="12">
        <f>IF(Tableau2[[#This Row],[priorecol]]="C",1,0)</f>
        <v>0</v>
      </c>
      <c r="N57" s="12">
        <f>VLOOKUP(Tableau2[[#This Row],[essence]],Tableau5[],4,FALSE)</f>
        <v>3.3664000000000001</v>
      </c>
      <c r="O57" s="12">
        <f>IF(Tableau2[[#This Row],[priorecol]]="R",1,0)</f>
        <v>1</v>
      </c>
      <c r="P57" s="12">
        <f>VLOOKUP(Tableau2[[#This Row],[essence]],Tableau5[],5,FALSE)</f>
        <v>0.57940000000000003</v>
      </c>
      <c r="Q57" s="12">
        <f>IF(Tableau2[[#This Row],[priorecol]]="S",1,0)</f>
        <v>0</v>
      </c>
      <c r="R57" s="12">
        <f>VLOOKUP(Tableau2[[#This Row],[essence]],Tableau5[],6,FALSE)</f>
        <v>-0.2109</v>
      </c>
      <c r="S57" s="12">
        <f>VLOOKUP(Tableau2[[#This Row],[essence]],Tableau5[],15,FALSE)</f>
        <v>-0.2429</v>
      </c>
      <c r="T57" s="12">
        <f>VLOOKUP(Tableau2[[#This Row],[essence]],Tableau5[],7,FALSE)</f>
        <v>0</v>
      </c>
      <c r="U57" s="12">
        <f>IF(Tableau2[[#This Row],[sdom]]=1,1,0)</f>
        <v>0</v>
      </c>
      <c r="V57" s="12">
        <f>VLOOKUP(Tableau2[[#This Row],[essence]],Tableau5[],8,FALSE)</f>
        <v>0</v>
      </c>
      <c r="W57" s="12">
        <f>IF(Tableau2[[#This Row],[sdom]]="2EST",1,0)</f>
        <v>0</v>
      </c>
      <c r="X57" s="12">
        <f>VLOOKUP(Tableau2[[#This Row],[essence]],Tableau5[],9,FALSE)</f>
        <v>0</v>
      </c>
      <c r="Y57" s="12">
        <f>IF(Tableau2[[#This Row],[sdom]]="2OUEST",1,0)</f>
        <v>1</v>
      </c>
      <c r="Z57" s="12">
        <f>VLOOKUP(Tableau2[[#This Row],[essence]],Tableau5[],10,FALSE)</f>
        <v>0</v>
      </c>
      <c r="AA57" s="12">
        <f>IF(Tableau2[[#This Row],[sdom]]="3EST",1,0)</f>
        <v>0</v>
      </c>
      <c r="AB57" s="12">
        <f>VLOOKUP(Tableau2[[#This Row],[essence]],Tableau5[],11,FALSE)</f>
        <v>0</v>
      </c>
      <c r="AC57" s="12">
        <f>IF(Tableau2[[#This Row],[sdom]]="3OUEST",1,0)</f>
        <v>0</v>
      </c>
      <c r="AD57" s="12">
        <f>VLOOKUP(Tableau2[[#This Row],[essence]],Tableau5[],12,FALSE)</f>
        <v>0</v>
      </c>
      <c r="AE57" s="12">
        <f>IF(Tableau2[[#This Row],[sdom]]="4EST",1,0)</f>
        <v>0</v>
      </c>
      <c r="AF57" s="12">
        <f>VLOOKUP(Tableau2[[#This Row],[essence]],Tableau5[],13,FALSE)</f>
        <v>0</v>
      </c>
      <c r="AG57" s="12">
        <f>IF(Tableau2[[#This Row],[sdom]]="4OUEST",1,0)</f>
        <v>0</v>
      </c>
      <c r="AH57" s="12">
        <f>VLOOKUP(Tableau2[[#This Row],[essence]],Tableau5[],14,FALSE)</f>
        <v>0</v>
      </c>
      <c r="AI57" s="12">
        <f>IF(Tableau2[[#This Row],[sdom]]="5EST",1,0)</f>
        <v>0</v>
      </c>
      <c r="AJ57" s="12">
        <f>VLOOKUP(Tableau2[[#This Row],[essence]],Tableau5[],16,FALSE)</f>
        <v>0</v>
      </c>
      <c r="AK57" s="12">
        <f>IF(Tableau2[[#This Row],[sdom]]="5OUEST",1,0)</f>
        <v>0</v>
      </c>
      <c r="AL57" s="12">
        <f>VLOOKUP(Tableau2[[#This Row],[essence]],Tableau5[],17,FALSE)</f>
        <v>0</v>
      </c>
      <c r="AM57" s="12">
        <f>IF(Tableau2[[#This Row],[sdom]]="6EST",1,0)</f>
        <v>0</v>
      </c>
      <c r="AN57" s="12">
        <f>VLOOKUP(Tableau2[[#This Row],[essence]],Tableau5[],19,FALSE)</f>
        <v>0</v>
      </c>
      <c r="AO57" s="12">
        <f>IF(Tableau2[[#This Row],[priorecol]]="C",1,0)</f>
        <v>0</v>
      </c>
      <c r="AP57" s="12">
        <f>VLOOKUP(Tableau2[[#This Row],[essence]],Tableau5[],20,FALSE)</f>
        <v>0</v>
      </c>
      <c r="AQ57" s="12">
        <f>IF(Tableau2[[#This Row],[priorecol]]="R",1,0)</f>
        <v>1</v>
      </c>
      <c r="AR57" s="12">
        <f>VLOOKUP(Tableau2[[#This Row],[essence]],Tableau5[],21,FALSE)</f>
        <v>0</v>
      </c>
      <c r="AS57" s="12">
        <f>IF(Tableau2[[#This Row],[priorecol]]="S",1,0)</f>
        <v>0</v>
      </c>
      <c r="AT57" s="12">
        <f>VLOOKUP(Tableau2[[#This Row],[essence]],Tableau5[],22,FALSE)</f>
        <v>1.1384000000000001</v>
      </c>
      <c r="AU57" s="12">
        <f>VLOOKUP(Tableau2[[#This Row],[essence]],Tableau5[],23,FALSE)</f>
        <v>1.0699999999999999E-2</v>
      </c>
      <c r="AV57" s="12">
        <f>VLOOKUP(Tableau2[[#This Row],[essence]],Tableau5[],18,FALSE)</f>
        <v>0</v>
      </c>
      <c r="AW5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4.8168999999999986</v>
      </c>
      <c r="AX57" s="12">
        <f>1/(1+EXP(-Tableau2[[#This Row],[xb_c]]))</f>
        <v>0.99197311919857023</v>
      </c>
      <c r="AY57" s="12" t="str">
        <f t="shared" si="0"/>
        <v>NA</v>
      </c>
      <c r="AZ57" s="12" t="str">
        <f t="shared" si="1"/>
        <v>NA</v>
      </c>
      <c r="BA57" s="12">
        <f>Tableau2[[#This Row],[prob_c]]</f>
        <v>0.99197311919857023</v>
      </c>
      <c r="BB57" s="12">
        <f>1-Tableau2[[#This Row],[prob_c]]</f>
        <v>8.0268808014297699E-3</v>
      </c>
    </row>
    <row r="58" spans="1:54" x14ac:dyDescent="0.25">
      <c r="A58" s="12">
        <v>3</v>
      </c>
      <c r="B58" s="12" t="s">
        <v>11</v>
      </c>
      <c r="C58" s="12">
        <v>2.1</v>
      </c>
      <c r="D58" s="12">
        <v>700</v>
      </c>
      <c r="E58" s="12">
        <v>20</v>
      </c>
      <c r="F58" s="12">
        <v>1</v>
      </c>
      <c r="G58" s="12">
        <v>9</v>
      </c>
      <c r="H58" s="12">
        <v>30</v>
      </c>
      <c r="I58" s="12" t="s">
        <v>21</v>
      </c>
      <c r="J58" s="12" t="s">
        <v>29</v>
      </c>
      <c r="K58" s="12">
        <f>VLOOKUP(Tableau2[[#This Row],[essence]],Tableau5[],2,FALSE)</f>
        <v>5.0801999999999996</v>
      </c>
      <c r="L58" s="12">
        <f>VLOOKUP(Tableau2[[#This Row],[essence]],Tableau5[],3,FALSE)</f>
        <v>1.7765</v>
      </c>
      <c r="M58" s="12">
        <f>IF(Tableau2[[#This Row],[priorecol]]="C",1,0)</f>
        <v>0</v>
      </c>
      <c r="N58" s="12">
        <f>VLOOKUP(Tableau2[[#This Row],[essence]],Tableau5[],4,FALSE)</f>
        <v>3.3664000000000001</v>
      </c>
      <c r="O58" s="12">
        <f>IF(Tableau2[[#This Row],[priorecol]]="R",1,0)</f>
        <v>0</v>
      </c>
      <c r="P58" s="12">
        <f>VLOOKUP(Tableau2[[#This Row],[essence]],Tableau5[],5,FALSE)</f>
        <v>0.57940000000000003</v>
      </c>
      <c r="Q58" s="12">
        <f>IF(Tableau2[[#This Row],[priorecol]]="S",1,0)</f>
        <v>1</v>
      </c>
      <c r="R58" s="12">
        <f>VLOOKUP(Tableau2[[#This Row],[essence]],Tableau5[],6,FALSE)</f>
        <v>-0.2109</v>
      </c>
      <c r="S58" s="12">
        <f>VLOOKUP(Tableau2[[#This Row],[essence]],Tableau5[],15,FALSE)</f>
        <v>-0.2429</v>
      </c>
      <c r="T58" s="12">
        <f>VLOOKUP(Tableau2[[#This Row],[essence]],Tableau5[],7,FALSE)</f>
        <v>0</v>
      </c>
      <c r="U58" s="12">
        <f>IF(Tableau2[[#This Row],[sdom]]=1,1,0)</f>
        <v>0</v>
      </c>
      <c r="V58" s="12">
        <f>VLOOKUP(Tableau2[[#This Row],[essence]],Tableau5[],8,FALSE)</f>
        <v>0</v>
      </c>
      <c r="W58" s="12">
        <f>IF(Tableau2[[#This Row],[sdom]]="2EST",1,0)</f>
        <v>0</v>
      </c>
      <c r="X58" s="12">
        <f>VLOOKUP(Tableau2[[#This Row],[essence]],Tableau5[],9,FALSE)</f>
        <v>0</v>
      </c>
      <c r="Y58" s="12">
        <f>IF(Tableau2[[#This Row],[sdom]]="2OUEST",1,0)</f>
        <v>1</v>
      </c>
      <c r="Z58" s="12">
        <f>VLOOKUP(Tableau2[[#This Row],[essence]],Tableau5[],10,FALSE)</f>
        <v>0</v>
      </c>
      <c r="AA58" s="12">
        <f>IF(Tableau2[[#This Row],[sdom]]="3EST",1,0)</f>
        <v>0</v>
      </c>
      <c r="AB58" s="12">
        <f>VLOOKUP(Tableau2[[#This Row],[essence]],Tableau5[],11,FALSE)</f>
        <v>0</v>
      </c>
      <c r="AC58" s="12">
        <f>IF(Tableau2[[#This Row],[sdom]]="3OUEST",1,0)</f>
        <v>0</v>
      </c>
      <c r="AD58" s="12">
        <f>VLOOKUP(Tableau2[[#This Row],[essence]],Tableau5[],12,FALSE)</f>
        <v>0</v>
      </c>
      <c r="AE58" s="12">
        <f>IF(Tableau2[[#This Row],[sdom]]="4EST",1,0)</f>
        <v>0</v>
      </c>
      <c r="AF58" s="12">
        <f>VLOOKUP(Tableau2[[#This Row],[essence]],Tableau5[],13,FALSE)</f>
        <v>0</v>
      </c>
      <c r="AG58" s="12">
        <f>IF(Tableau2[[#This Row],[sdom]]="4OUEST",1,0)</f>
        <v>0</v>
      </c>
      <c r="AH58" s="12">
        <f>VLOOKUP(Tableau2[[#This Row],[essence]],Tableau5[],14,FALSE)</f>
        <v>0</v>
      </c>
      <c r="AI58" s="12">
        <f>IF(Tableau2[[#This Row],[sdom]]="5EST",1,0)</f>
        <v>0</v>
      </c>
      <c r="AJ58" s="12">
        <f>VLOOKUP(Tableau2[[#This Row],[essence]],Tableau5[],16,FALSE)</f>
        <v>0</v>
      </c>
      <c r="AK58" s="12">
        <f>IF(Tableau2[[#This Row],[sdom]]="5OUEST",1,0)</f>
        <v>0</v>
      </c>
      <c r="AL58" s="12">
        <f>VLOOKUP(Tableau2[[#This Row],[essence]],Tableau5[],17,FALSE)</f>
        <v>0</v>
      </c>
      <c r="AM58" s="12">
        <f>IF(Tableau2[[#This Row],[sdom]]="6EST",1,0)</f>
        <v>0</v>
      </c>
      <c r="AN58" s="12">
        <f>VLOOKUP(Tableau2[[#This Row],[essence]],Tableau5[],19,FALSE)</f>
        <v>0</v>
      </c>
      <c r="AO58" s="12">
        <f>IF(Tableau2[[#This Row],[priorecol]]="C",1,0)</f>
        <v>0</v>
      </c>
      <c r="AP58" s="12">
        <f>VLOOKUP(Tableau2[[#This Row],[essence]],Tableau5[],20,FALSE)</f>
        <v>0</v>
      </c>
      <c r="AQ58" s="12">
        <f>IF(Tableau2[[#This Row],[priorecol]]="R",1,0)</f>
        <v>0</v>
      </c>
      <c r="AR58" s="12">
        <f>VLOOKUP(Tableau2[[#This Row],[essence]],Tableau5[],21,FALSE)</f>
        <v>0</v>
      </c>
      <c r="AS58" s="12">
        <f>IF(Tableau2[[#This Row],[priorecol]]="S",1,0)</f>
        <v>1</v>
      </c>
      <c r="AT58" s="12">
        <f>VLOOKUP(Tableau2[[#This Row],[essence]],Tableau5[],22,FALSE)</f>
        <v>1.1384000000000001</v>
      </c>
      <c r="AU58" s="12">
        <f>VLOOKUP(Tableau2[[#This Row],[essence]],Tableau5[],23,FALSE)</f>
        <v>1.0699999999999999E-2</v>
      </c>
      <c r="AV58" s="12">
        <f>VLOOKUP(Tableau2[[#This Row],[essence]],Tableau5[],18,FALSE)</f>
        <v>0</v>
      </c>
      <c r="AW5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2.0329999999999986</v>
      </c>
      <c r="AX58" s="12">
        <f>1/(1+EXP(-Tableau2[[#This Row],[xb_c]]))</f>
        <v>0.88421856041532276</v>
      </c>
      <c r="AY58" s="12" t="str">
        <f t="shared" si="0"/>
        <v>NA</v>
      </c>
      <c r="AZ58" s="12" t="str">
        <f t="shared" si="1"/>
        <v>NA</v>
      </c>
      <c r="BA58" s="12">
        <f>Tableau2[[#This Row],[prob_c]]</f>
        <v>0.88421856041532276</v>
      </c>
      <c r="BB58" s="12">
        <f>1-Tableau2[[#This Row],[prob_c]]</f>
        <v>0.11578143958467724</v>
      </c>
    </row>
    <row r="59" spans="1:54" x14ac:dyDescent="0.25">
      <c r="A59" s="12">
        <v>3</v>
      </c>
      <c r="B59" s="12" t="s">
        <v>11</v>
      </c>
      <c r="C59" s="12">
        <v>2.1</v>
      </c>
      <c r="D59" s="12">
        <v>700</v>
      </c>
      <c r="E59" s="12">
        <v>20</v>
      </c>
      <c r="F59" s="12">
        <v>1</v>
      </c>
      <c r="G59" s="12">
        <v>10</v>
      </c>
      <c r="H59" s="12">
        <v>31</v>
      </c>
      <c r="I59" s="12" t="s">
        <v>22</v>
      </c>
      <c r="J59" s="12" t="s">
        <v>27</v>
      </c>
      <c r="K59" s="12">
        <f>VLOOKUP(Tableau2[[#This Row],[essence]],Tableau5[],2,FALSE)</f>
        <v>-0.54949999999999999</v>
      </c>
      <c r="L59" s="12">
        <f>VLOOKUP(Tableau2[[#This Row],[essence]],Tableau5[],3,FALSE)</f>
        <v>-0.14960000000000001</v>
      </c>
      <c r="M59" s="12">
        <f>IF(Tableau2[[#This Row],[priorecol]]="C",1,0)</f>
        <v>1</v>
      </c>
      <c r="N59" s="12">
        <f>VLOOKUP(Tableau2[[#This Row],[essence]],Tableau5[],4,FALSE)</f>
        <v>1.6746000000000001</v>
      </c>
      <c r="O59" s="12">
        <f>IF(Tableau2[[#This Row],[priorecol]]="R",1,0)</f>
        <v>0</v>
      </c>
      <c r="P59" s="12">
        <f>VLOOKUP(Tableau2[[#This Row],[essence]],Tableau5[],5,FALSE)</f>
        <v>0.65110000000000001</v>
      </c>
      <c r="Q59" s="12">
        <f>IF(Tableau2[[#This Row],[priorecol]]="S",1,0)</f>
        <v>0</v>
      </c>
      <c r="R59" s="12">
        <f>VLOOKUP(Tableau2[[#This Row],[essence]],Tableau5[],6,FALSE)</f>
        <v>-3.0599999999999999E-2</v>
      </c>
      <c r="S59" s="12">
        <f>VLOOKUP(Tableau2[[#This Row],[essence]],Tableau5[],15,FALSE)</f>
        <v>-3.8399999999999997E-2</v>
      </c>
      <c r="T59" s="12">
        <f>VLOOKUP(Tableau2[[#This Row],[essence]],Tableau5[],7,FALSE)</f>
        <v>1.2454000000000001</v>
      </c>
      <c r="U59" s="12">
        <f>IF(Tableau2[[#This Row],[sdom]]=1,1,0)</f>
        <v>0</v>
      </c>
      <c r="V59" s="12">
        <f>VLOOKUP(Tableau2[[#This Row],[essence]],Tableau5[],8,FALSE)</f>
        <v>0.85550000000000004</v>
      </c>
      <c r="W59" s="12">
        <f>IF(Tableau2[[#This Row],[sdom]]="2EST",1,0)</f>
        <v>0</v>
      </c>
      <c r="X59" s="12">
        <f>VLOOKUP(Tableau2[[#This Row],[essence]],Tableau5[],9,FALSE)</f>
        <v>1.2195</v>
      </c>
      <c r="Y59" s="12">
        <f>IF(Tableau2[[#This Row],[sdom]]="2OUEST",1,0)</f>
        <v>1</v>
      </c>
      <c r="Z59" s="12">
        <f>VLOOKUP(Tableau2[[#This Row],[essence]],Tableau5[],10,FALSE)</f>
        <v>0.94630000000000003</v>
      </c>
      <c r="AA59" s="12">
        <f>IF(Tableau2[[#This Row],[sdom]]="3EST",1,0)</f>
        <v>0</v>
      </c>
      <c r="AB59" s="12">
        <f>VLOOKUP(Tableau2[[#This Row],[essence]],Tableau5[],11,FALSE)</f>
        <v>0.64859999999999995</v>
      </c>
      <c r="AC59" s="12">
        <f>IF(Tableau2[[#This Row],[sdom]]="3OUEST",1,0)</f>
        <v>0</v>
      </c>
      <c r="AD59" s="12">
        <f>VLOOKUP(Tableau2[[#This Row],[essence]],Tableau5[],12,FALSE)</f>
        <v>0.91920000000000002</v>
      </c>
      <c r="AE59" s="12">
        <f>IF(Tableau2[[#This Row],[sdom]]="4EST",1,0)</f>
        <v>0</v>
      </c>
      <c r="AF59" s="12">
        <f>VLOOKUP(Tableau2[[#This Row],[essence]],Tableau5[],13,FALSE)</f>
        <v>0.67230000000000001</v>
      </c>
      <c r="AG59" s="12">
        <f>IF(Tableau2[[#This Row],[sdom]]="4OUEST",1,0)</f>
        <v>0</v>
      </c>
      <c r="AH59" s="12">
        <f>VLOOKUP(Tableau2[[#This Row],[essence]],Tableau5[],14,FALSE)</f>
        <v>0.43309999999999998</v>
      </c>
      <c r="AI59" s="12">
        <f>IF(Tableau2[[#This Row],[sdom]]="5EST",1,0)</f>
        <v>0</v>
      </c>
      <c r="AJ59" s="12">
        <f>VLOOKUP(Tableau2[[#This Row],[essence]],Tableau5[],16,FALSE)</f>
        <v>0</v>
      </c>
      <c r="AK59" s="12">
        <f>IF(Tableau2[[#This Row],[sdom]]="5OUEST",1,0)</f>
        <v>0</v>
      </c>
      <c r="AL59" s="12">
        <f>VLOOKUP(Tableau2[[#This Row],[essence]],Tableau5[],17,FALSE)</f>
        <v>0</v>
      </c>
      <c r="AM59" s="12">
        <f>IF(Tableau2[[#This Row],[sdom]]="6EST",1,0)</f>
        <v>0</v>
      </c>
      <c r="AN59" s="12">
        <f>VLOOKUP(Tableau2[[#This Row],[essence]],Tableau5[],19,FALSE)</f>
        <v>6.6900000000000001E-2</v>
      </c>
      <c r="AO59" s="12">
        <f>IF(Tableau2[[#This Row],[priorecol]]="C",1,0)</f>
        <v>1</v>
      </c>
      <c r="AP59" s="12">
        <f>VLOOKUP(Tableau2[[#This Row],[essence]],Tableau5[],20,FALSE)</f>
        <v>4.3799999999999999E-2</v>
      </c>
      <c r="AQ59" s="12">
        <f>IF(Tableau2[[#This Row],[priorecol]]="R",1,0)</f>
        <v>0</v>
      </c>
      <c r="AR59" s="12">
        <f>VLOOKUP(Tableau2[[#This Row],[essence]],Tableau5[],21,FALSE)</f>
        <v>2.7900000000000001E-2</v>
      </c>
      <c r="AS59" s="12">
        <f>IF(Tableau2[[#This Row],[priorecol]]="S",1,0)</f>
        <v>0</v>
      </c>
      <c r="AT59" s="12">
        <f>VLOOKUP(Tableau2[[#This Row],[essence]],Tableau5[],22,FALSE)</f>
        <v>0</v>
      </c>
      <c r="AU59" s="12">
        <f>VLOOKUP(Tableau2[[#This Row],[essence]],Tableau5[],23,FALSE)</f>
        <v>1.73E-3</v>
      </c>
      <c r="AV59" s="12">
        <f>VLOOKUP(Tableau2[[#This Row],[essence]],Tableau5[],18,FALSE)</f>
        <v>0.1295</v>
      </c>
      <c r="AW5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2.2222500000000003</v>
      </c>
      <c r="AX59" s="12">
        <f>1/(1+EXP(-Tableau2[[#This Row],[xb_c]]))</f>
        <v>0.90222985048622761</v>
      </c>
      <c r="AY59" s="12" t="str">
        <f t="shared" si="0"/>
        <v>NA</v>
      </c>
      <c r="AZ59" s="12" t="str">
        <f t="shared" si="1"/>
        <v>NA</v>
      </c>
      <c r="BA59" s="12">
        <f>Tableau2[[#This Row],[prob_c]]</f>
        <v>0.90222985048622761</v>
      </c>
      <c r="BB59" s="12">
        <f>1-Tableau2[[#This Row],[prob_c]]</f>
        <v>9.7770149513772386E-2</v>
      </c>
    </row>
    <row r="60" spans="1:54" x14ac:dyDescent="0.25">
      <c r="A60" s="12">
        <v>3</v>
      </c>
      <c r="B60" s="12" t="s">
        <v>11</v>
      </c>
      <c r="C60" s="12">
        <v>2.1</v>
      </c>
      <c r="D60" s="12">
        <v>700</v>
      </c>
      <c r="E60" s="12">
        <v>20</v>
      </c>
      <c r="F60" s="12">
        <v>1</v>
      </c>
      <c r="G60" s="12">
        <v>11</v>
      </c>
      <c r="H60" s="12">
        <v>32</v>
      </c>
      <c r="I60" s="12" t="s">
        <v>22</v>
      </c>
      <c r="J60" s="12" t="s">
        <v>28</v>
      </c>
      <c r="K60" s="12">
        <f>VLOOKUP(Tableau2[[#This Row],[essence]],Tableau5[],2,FALSE)</f>
        <v>-0.54949999999999999</v>
      </c>
      <c r="L60" s="12">
        <f>VLOOKUP(Tableau2[[#This Row],[essence]],Tableau5[],3,FALSE)</f>
        <v>-0.14960000000000001</v>
      </c>
      <c r="M60" s="12">
        <f>IF(Tableau2[[#This Row],[priorecol]]="C",1,0)</f>
        <v>0</v>
      </c>
      <c r="N60" s="12">
        <f>VLOOKUP(Tableau2[[#This Row],[essence]],Tableau5[],4,FALSE)</f>
        <v>1.6746000000000001</v>
      </c>
      <c r="O60" s="12">
        <f>IF(Tableau2[[#This Row],[priorecol]]="R",1,0)</f>
        <v>1</v>
      </c>
      <c r="P60" s="12">
        <f>VLOOKUP(Tableau2[[#This Row],[essence]],Tableau5[],5,FALSE)</f>
        <v>0.65110000000000001</v>
      </c>
      <c r="Q60" s="12">
        <f>IF(Tableau2[[#This Row],[priorecol]]="S",1,0)</f>
        <v>0</v>
      </c>
      <c r="R60" s="12">
        <f>VLOOKUP(Tableau2[[#This Row],[essence]],Tableau5[],6,FALSE)</f>
        <v>-3.0599999999999999E-2</v>
      </c>
      <c r="S60" s="12">
        <f>VLOOKUP(Tableau2[[#This Row],[essence]],Tableau5[],15,FALSE)</f>
        <v>-3.8399999999999997E-2</v>
      </c>
      <c r="T60" s="12">
        <f>VLOOKUP(Tableau2[[#This Row],[essence]],Tableau5[],7,FALSE)</f>
        <v>1.2454000000000001</v>
      </c>
      <c r="U60" s="12">
        <f>IF(Tableau2[[#This Row],[sdom]]=1,1,0)</f>
        <v>0</v>
      </c>
      <c r="V60" s="12">
        <f>VLOOKUP(Tableau2[[#This Row],[essence]],Tableau5[],8,FALSE)</f>
        <v>0.85550000000000004</v>
      </c>
      <c r="W60" s="12">
        <f>IF(Tableau2[[#This Row],[sdom]]="2EST",1,0)</f>
        <v>0</v>
      </c>
      <c r="X60" s="12">
        <f>VLOOKUP(Tableau2[[#This Row],[essence]],Tableau5[],9,FALSE)</f>
        <v>1.2195</v>
      </c>
      <c r="Y60" s="12">
        <f>IF(Tableau2[[#This Row],[sdom]]="2OUEST",1,0)</f>
        <v>1</v>
      </c>
      <c r="Z60" s="12">
        <f>VLOOKUP(Tableau2[[#This Row],[essence]],Tableau5[],10,FALSE)</f>
        <v>0.94630000000000003</v>
      </c>
      <c r="AA60" s="12">
        <f>IF(Tableau2[[#This Row],[sdom]]="3EST",1,0)</f>
        <v>0</v>
      </c>
      <c r="AB60" s="12">
        <f>VLOOKUP(Tableau2[[#This Row],[essence]],Tableau5[],11,FALSE)</f>
        <v>0.64859999999999995</v>
      </c>
      <c r="AC60" s="12">
        <f>IF(Tableau2[[#This Row],[sdom]]="3OUEST",1,0)</f>
        <v>0</v>
      </c>
      <c r="AD60" s="12">
        <f>VLOOKUP(Tableau2[[#This Row],[essence]],Tableau5[],12,FALSE)</f>
        <v>0.91920000000000002</v>
      </c>
      <c r="AE60" s="12">
        <f>IF(Tableau2[[#This Row],[sdom]]="4EST",1,0)</f>
        <v>0</v>
      </c>
      <c r="AF60" s="12">
        <f>VLOOKUP(Tableau2[[#This Row],[essence]],Tableau5[],13,FALSE)</f>
        <v>0.67230000000000001</v>
      </c>
      <c r="AG60" s="12">
        <f>IF(Tableau2[[#This Row],[sdom]]="4OUEST",1,0)</f>
        <v>0</v>
      </c>
      <c r="AH60" s="12">
        <f>VLOOKUP(Tableau2[[#This Row],[essence]],Tableau5[],14,FALSE)</f>
        <v>0.43309999999999998</v>
      </c>
      <c r="AI60" s="12">
        <f>IF(Tableau2[[#This Row],[sdom]]="5EST",1,0)</f>
        <v>0</v>
      </c>
      <c r="AJ60" s="12">
        <f>VLOOKUP(Tableau2[[#This Row],[essence]],Tableau5[],16,FALSE)</f>
        <v>0</v>
      </c>
      <c r="AK60" s="12">
        <f>IF(Tableau2[[#This Row],[sdom]]="5OUEST",1,0)</f>
        <v>0</v>
      </c>
      <c r="AL60" s="12">
        <f>VLOOKUP(Tableau2[[#This Row],[essence]],Tableau5[],17,FALSE)</f>
        <v>0</v>
      </c>
      <c r="AM60" s="12">
        <f>IF(Tableau2[[#This Row],[sdom]]="6EST",1,0)</f>
        <v>0</v>
      </c>
      <c r="AN60" s="12">
        <f>VLOOKUP(Tableau2[[#This Row],[essence]],Tableau5[],19,FALSE)</f>
        <v>6.6900000000000001E-2</v>
      </c>
      <c r="AO60" s="12">
        <f>IF(Tableau2[[#This Row],[priorecol]]="C",1,0)</f>
        <v>0</v>
      </c>
      <c r="AP60" s="12">
        <f>VLOOKUP(Tableau2[[#This Row],[essence]],Tableau5[],20,FALSE)</f>
        <v>4.3799999999999999E-2</v>
      </c>
      <c r="AQ60" s="12">
        <f>IF(Tableau2[[#This Row],[priorecol]]="R",1,0)</f>
        <v>1</v>
      </c>
      <c r="AR60" s="12">
        <f>VLOOKUP(Tableau2[[#This Row],[essence]],Tableau5[],21,FALSE)</f>
        <v>2.7900000000000001E-2</v>
      </c>
      <c r="AS60" s="12">
        <f>IF(Tableau2[[#This Row],[priorecol]]="S",1,0)</f>
        <v>0</v>
      </c>
      <c r="AT60" s="12">
        <f>VLOOKUP(Tableau2[[#This Row],[essence]],Tableau5[],22,FALSE)</f>
        <v>0</v>
      </c>
      <c r="AU60" s="12">
        <f>VLOOKUP(Tableau2[[#This Row],[essence]],Tableau5[],23,FALSE)</f>
        <v>1.73E-3</v>
      </c>
      <c r="AV60" s="12">
        <f>VLOOKUP(Tableau2[[#This Row],[essence]],Tableau5[],18,FALSE)</f>
        <v>0.1295</v>
      </c>
      <c r="AW6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3.3781500000000002</v>
      </c>
      <c r="AX60" s="12">
        <f>1/(1+EXP(-Tableau2[[#This Row],[xb_c]]))</f>
        <v>0.96701464611539933</v>
      </c>
      <c r="AY60" s="12" t="str">
        <f t="shared" si="0"/>
        <v>NA</v>
      </c>
      <c r="AZ60" s="12" t="str">
        <f t="shared" si="1"/>
        <v>NA</v>
      </c>
      <c r="BA60" s="12">
        <f>Tableau2[[#This Row],[prob_c]]</f>
        <v>0.96701464611539933</v>
      </c>
      <c r="BB60" s="12">
        <f>1-Tableau2[[#This Row],[prob_c]]</f>
        <v>3.2985353884600666E-2</v>
      </c>
    </row>
    <row r="61" spans="1:54" x14ac:dyDescent="0.25">
      <c r="A61" s="12">
        <v>3</v>
      </c>
      <c r="B61" s="12" t="s">
        <v>11</v>
      </c>
      <c r="C61" s="12">
        <v>2.1</v>
      </c>
      <c r="D61" s="12">
        <v>700</v>
      </c>
      <c r="E61" s="12">
        <v>20</v>
      </c>
      <c r="F61" s="12">
        <v>1</v>
      </c>
      <c r="G61" s="12">
        <v>12</v>
      </c>
      <c r="H61" s="12">
        <v>33</v>
      </c>
      <c r="I61" s="12" t="s">
        <v>22</v>
      </c>
      <c r="J61" s="12" t="s">
        <v>29</v>
      </c>
      <c r="K61" s="12">
        <f>VLOOKUP(Tableau2[[#This Row],[essence]],Tableau5[],2,FALSE)</f>
        <v>-0.54949999999999999</v>
      </c>
      <c r="L61" s="12">
        <f>VLOOKUP(Tableau2[[#This Row],[essence]],Tableau5[],3,FALSE)</f>
        <v>-0.14960000000000001</v>
      </c>
      <c r="M61" s="12">
        <f>IF(Tableau2[[#This Row],[priorecol]]="C",1,0)</f>
        <v>0</v>
      </c>
      <c r="N61" s="12">
        <f>VLOOKUP(Tableau2[[#This Row],[essence]],Tableau5[],4,FALSE)</f>
        <v>1.6746000000000001</v>
      </c>
      <c r="O61" s="12">
        <f>IF(Tableau2[[#This Row],[priorecol]]="R",1,0)</f>
        <v>0</v>
      </c>
      <c r="P61" s="12">
        <f>VLOOKUP(Tableau2[[#This Row],[essence]],Tableau5[],5,FALSE)</f>
        <v>0.65110000000000001</v>
      </c>
      <c r="Q61" s="12">
        <f>IF(Tableau2[[#This Row],[priorecol]]="S",1,0)</f>
        <v>1</v>
      </c>
      <c r="R61" s="12">
        <f>VLOOKUP(Tableau2[[#This Row],[essence]],Tableau5[],6,FALSE)</f>
        <v>-3.0599999999999999E-2</v>
      </c>
      <c r="S61" s="12">
        <f>VLOOKUP(Tableau2[[#This Row],[essence]],Tableau5[],15,FALSE)</f>
        <v>-3.8399999999999997E-2</v>
      </c>
      <c r="T61" s="12">
        <f>VLOOKUP(Tableau2[[#This Row],[essence]],Tableau5[],7,FALSE)</f>
        <v>1.2454000000000001</v>
      </c>
      <c r="U61" s="12">
        <f>IF(Tableau2[[#This Row],[sdom]]=1,1,0)</f>
        <v>0</v>
      </c>
      <c r="V61" s="12">
        <f>VLOOKUP(Tableau2[[#This Row],[essence]],Tableau5[],8,FALSE)</f>
        <v>0.85550000000000004</v>
      </c>
      <c r="W61" s="12">
        <f>IF(Tableau2[[#This Row],[sdom]]="2EST",1,0)</f>
        <v>0</v>
      </c>
      <c r="X61" s="12">
        <f>VLOOKUP(Tableau2[[#This Row],[essence]],Tableau5[],9,FALSE)</f>
        <v>1.2195</v>
      </c>
      <c r="Y61" s="12">
        <f>IF(Tableau2[[#This Row],[sdom]]="2OUEST",1,0)</f>
        <v>1</v>
      </c>
      <c r="Z61" s="12">
        <f>VLOOKUP(Tableau2[[#This Row],[essence]],Tableau5[],10,FALSE)</f>
        <v>0.94630000000000003</v>
      </c>
      <c r="AA61" s="12">
        <f>IF(Tableau2[[#This Row],[sdom]]="3EST",1,0)</f>
        <v>0</v>
      </c>
      <c r="AB61" s="12">
        <f>VLOOKUP(Tableau2[[#This Row],[essence]],Tableau5[],11,FALSE)</f>
        <v>0.64859999999999995</v>
      </c>
      <c r="AC61" s="12">
        <f>IF(Tableau2[[#This Row],[sdom]]="3OUEST",1,0)</f>
        <v>0</v>
      </c>
      <c r="AD61" s="12">
        <f>VLOOKUP(Tableau2[[#This Row],[essence]],Tableau5[],12,FALSE)</f>
        <v>0.91920000000000002</v>
      </c>
      <c r="AE61" s="12">
        <f>IF(Tableau2[[#This Row],[sdom]]="4EST",1,0)</f>
        <v>0</v>
      </c>
      <c r="AF61" s="12">
        <f>VLOOKUP(Tableau2[[#This Row],[essence]],Tableau5[],13,FALSE)</f>
        <v>0.67230000000000001</v>
      </c>
      <c r="AG61" s="12">
        <f>IF(Tableau2[[#This Row],[sdom]]="4OUEST",1,0)</f>
        <v>0</v>
      </c>
      <c r="AH61" s="12">
        <f>VLOOKUP(Tableau2[[#This Row],[essence]],Tableau5[],14,FALSE)</f>
        <v>0.43309999999999998</v>
      </c>
      <c r="AI61" s="12">
        <f>IF(Tableau2[[#This Row],[sdom]]="5EST",1,0)</f>
        <v>0</v>
      </c>
      <c r="AJ61" s="12">
        <f>VLOOKUP(Tableau2[[#This Row],[essence]],Tableau5[],16,FALSE)</f>
        <v>0</v>
      </c>
      <c r="AK61" s="12">
        <f>IF(Tableau2[[#This Row],[sdom]]="5OUEST",1,0)</f>
        <v>0</v>
      </c>
      <c r="AL61" s="12">
        <f>VLOOKUP(Tableau2[[#This Row],[essence]],Tableau5[],17,FALSE)</f>
        <v>0</v>
      </c>
      <c r="AM61" s="12">
        <f>IF(Tableau2[[#This Row],[sdom]]="6EST",1,0)</f>
        <v>0</v>
      </c>
      <c r="AN61" s="12">
        <f>VLOOKUP(Tableau2[[#This Row],[essence]],Tableau5[],19,FALSE)</f>
        <v>6.6900000000000001E-2</v>
      </c>
      <c r="AO61" s="12">
        <f>IF(Tableau2[[#This Row],[priorecol]]="C",1,0)</f>
        <v>0</v>
      </c>
      <c r="AP61" s="12">
        <f>VLOOKUP(Tableau2[[#This Row],[essence]],Tableau5[],20,FALSE)</f>
        <v>4.3799999999999999E-2</v>
      </c>
      <c r="AQ61" s="12">
        <f>IF(Tableau2[[#This Row],[priorecol]]="R",1,0)</f>
        <v>0</v>
      </c>
      <c r="AR61" s="12">
        <f>VLOOKUP(Tableau2[[#This Row],[essence]],Tableau5[],21,FALSE)</f>
        <v>2.7900000000000001E-2</v>
      </c>
      <c r="AS61" s="12">
        <f>IF(Tableau2[[#This Row],[priorecol]]="S",1,0)</f>
        <v>1</v>
      </c>
      <c r="AT61" s="12">
        <f>VLOOKUP(Tableau2[[#This Row],[essence]],Tableau5[],22,FALSE)</f>
        <v>0</v>
      </c>
      <c r="AU61" s="12">
        <f>VLOOKUP(Tableau2[[#This Row],[essence]],Tableau5[],23,FALSE)</f>
        <v>1.73E-3</v>
      </c>
      <c r="AV61" s="12">
        <f>VLOOKUP(Tableau2[[#This Row],[essence]],Tableau5[],18,FALSE)</f>
        <v>0.1295</v>
      </c>
      <c r="AW6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1.8777500000000003</v>
      </c>
      <c r="AX61" s="12">
        <f>1/(1+EXP(-Tableau2[[#This Row],[xb_c]]))</f>
        <v>0.86735247299396401</v>
      </c>
      <c r="AY61" s="12" t="str">
        <f t="shared" si="0"/>
        <v>NA</v>
      </c>
      <c r="AZ61" s="12" t="str">
        <f t="shared" si="1"/>
        <v>NA</v>
      </c>
      <c r="BA61" s="12">
        <f>Tableau2[[#This Row],[prob_c]]</f>
        <v>0.86735247299396401</v>
      </c>
      <c r="BB61" s="12">
        <f>1-Tableau2[[#This Row],[prob_c]]</f>
        <v>0.13264752700603599</v>
      </c>
    </row>
    <row r="62" spans="1:54" x14ac:dyDescent="0.25">
      <c r="A62" s="12">
        <v>3</v>
      </c>
      <c r="B62" s="12" t="s">
        <v>11</v>
      </c>
      <c r="C62" s="12">
        <v>2.1</v>
      </c>
      <c r="D62" s="12">
        <v>700</v>
      </c>
      <c r="E62" s="12">
        <v>20</v>
      </c>
      <c r="F62" s="12">
        <v>1</v>
      </c>
      <c r="G62" s="12">
        <v>13</v>
      </c>
      <c r="H62" s="12">
        <v>24</v>
      </c>
      <c r="I62" s="12" t="s">
        <v>23</v>
      </c>
      <c r="J62" s="12" t="s">
        <v>27</v>
      </c>
      <c r="K62" s="12">
        <f>VLOOKUP(Tableau2[[#This Row],[essence]],Tableau5[],2,FALSE)</f>
        <v>-1.5804</v>
      </c>
      <c r="L62" s="12">
        <f>VLOOKUP(Tableau2[[#This Row],[essence]],Tableau5[],3,FALSE)</f>
        <v>0.70079999999999998</v>
      </c>
      <c r="M62" s="12">
        <f>IF(Tableau2[[#This Row],[priorecol]]="C",1,0)</f>
        <v>1</v>
      </c>
      <c r="N62" s="12">
        <f>VLOOKUP(Tableau2[[#This Row],[essence]],Tableau5[],4,FALSE)</f>
        <v>0.1178</v>
      </c>
      <c r="O62" s="12">
        <f>IF(Tableau2[[#This Row],[priorecol]]="R",1,0)</f>
        <v>0</v>
      </c>
      <c r="P62" s="12">
        <f>VLOOKUP(Tableau2[[#This Row],[essence]],Tableau5[],5,FALSE)</f>
        <v>0.88300000000000001</v>
      </c>
      <c r="Q62" s="12">
        <f>IF(Tableau2[[#This Row],[priorecol]]="S",1,0)</f>
        <v>0</v>
      </c>
      <c r="R62" s="12">
        <f>VLOOKUP(Tableau2[[#This Row],[essence]],Tableau5[],6,FALSE)</f>
        <v>4.8599999999999997E-2</v>
      </c>
      <c r="S62" s="12">
        <f>VLOOKUP(Tableau2[[#This Row],[essence]],Tableau5[],15,FALSE)</f>
        <v>0</v>
      </c>
      <c r="T62" s="12">
        <f>VLOOKUP(Tableau2[[#This Row],[essence]],Tableau5[],7,FALSE)</f>
        <v>1.111</v>
      </c>
      <c r="U62" s="12">
        <f>IF(Tableau2[[#This Row],[sdom]]=1,1,0)</f>
        <v>0</v>
      </c>
      <c r="V62" s="12">
        <f>VLOOKUP(Tableau2[[#This Row],[essence]],Tableau5[],8,FALSE)</f>
        <v>0.68489999999999995</v>
      </c>
      <c r="W62" s="12">
        <f>IF(Tableau2[[#This Row],[sdom]]="2EST",1,0)</f>
        <v>0</v>
      </c>
      <c r="X62" s="12">
        <f>VLOOKUP(Tableau2[[#This Row],[essence]],Tableau5[],9,FALSE)</f>
        <v>0.72130000000000005</v>
      </c>
      <c r="Y62" s="12">
        <f>IF(Tableau2[[#This Row],[sdom]]="2OUEST",1,0)</f>
        <v>1</v>
      </c>
      <c r="Z62" s="12">
        <f>VLOOKUP(Tableau2[[#This Row],[essence]],Tableau5[],10,FALSE)</f>
        <v>0.83930000000000005</v>
      </c>
      <c r="AA62" s="12">
        <f>IF(Tableau2[[#This Row],[sdom]]="3EST",1,0)</f>
        <v>0</v>
      </c>
      <c r="AB62" s="12">
        <f>VLOOKUP(Tableau2[[#This Row],[essence]],Tableau5[],11,FALSE)</f>
        <v>0.6865</v>
      </c>
      <c r="AC62" s="12">
        <f>IF(Tableau2[[#This Row],[sdom]]="3OUEST",1,0)</f>
        <v>0</v>
      </c>
      <c r="AD62" s="12">
        <f>VLOOKUP(Tableau2[[#This Row],[essence]],Tableau5[],12,FALSE)</f>
        <v>0.79569999999999996</v>
      </c>
      <c r="AE62" s="12">
        <f>IF(Tableau2[[#This Row],[sdom]]="4EST",1,0)</f>
        <v>0</v>
      </c>
      <c r="AF62" s="12">
        <f>VLOOKUP(Tableau2[[#This Row],[essence]],Tableau5[],13,FALSE)</f>
        <v>0.54700000000000004</v>
      </c>
      <c r="AG62" s="12">
        <f>IF(Tableau2[[#This Row],[sdom]]="4OUEST",1,0)</f>
        <v>0</v>
      </c>
      <c r="AH62" s="12">
        <f>VLOOKUP(Tableau2[[#This Row],[essence]],Tableau5[],14,FALSE)</f>
        <v>0</v>
      </c>
      <c r="AI62" s="12">
        <f>IF(Tableau2[[#This Row],[sdom]]="5EST",1,0)</f>
        <v>0</v>
      </c>
      <c r="AJ62" s="12">
        <f>VLOOKUP(Tableau2[[#This Row],[essence]],Tableau5[],16,FALSE)</f>
        <v>0</v>
      </c>
      <c r="AK62" s="12">
        <f>IF(Tableau2[[#This Row],[sdom]]="5OUEST",1,0)</f>
        <v>0</v>
      </c>
      <c r="AL62" s="12">
        <f>VLOOKUP(Tableau2[[#This Row],[essence]],Tableau5[],17,FALSE)</f>
        <v>0</v>
      </c>
      <c r="AM62" s="12">
        <f>IF(Tableau2[[#This Row],[sdom]]="6EST",1,0)</f>
        <v>0</v>
      </c>
      <c r="AN62" s="12">
        <f>VLOOKUP(Tableau2[[#This Row],[essence]],Tableau5[],19,FALSE)</f>
        <v>4.2000000000000003E-2</v>
      </c>
      <c r="AO62" s="12">
        <f>IF(Tableau2[[#This Row],[priorecol]]="C",1,0)</f>
        <v>1</v>
      </c>
      <c r="AP62" s="12">
        <f>VLOOKUP(Tableau2[[#This Row],[essence]],Tableau5[],20,FALSE)</f>
        <v>0.111</v>
      </c>
      <c r="AQ62" s="12">
        <f>IF(Tableau2[[#This Row],[priorecol]]="R",1,0)</f>
        <v>0</v>
      </c>
      <c r="AR62" s="12">
        <f>VLOOKUP(Tableau2[[#This Row],[essence]],Tableau5[],21,FALSE)</f>
        <v>4.3600000000000002E-3</v>
      </c>
      <c r="AS62" s="12">
        <f>IF(Tableau2[[#This Row],[priorecol]]="S",1,0)</f>
        <v>0</v>
      </c>
      <c r="AT62" s="12">
        <f>VLOOKUP(Tableau2[[#This Row],[essence]],Tableau5[],22,FALSE)</f>
        <v>0</v>
      </c>
      <c r="AU62" s="12">
        <f>VLOOKUP(Tableau2[[#This Row],[essence]],Tableau5[],23,FALSE)</f>
        <v>0</v>
      </c>
      <c r="AV62" s="12">
        <f>VLOOKUP(Tableau2[[#This Row],[essence]],Tableau5[],18,FALSE)</f>
        <v>0</v>
      </c>
      <c r="AW6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2.0160999999999998</v>
      </c>
      <c r="AX62" s="12">
        <f>1/(1+EXP(-Tableau2[[#This Row],[xb_c]]))</f>
        <v>0.88247713824349039</v>
      </c>
      <c r="AY62" s="12" t="str">
        <f t="shared" si="0"/>
        <v>NA</v>
      </c>
      <c r="AZ62" s="12" t="str">
        <f t="shared" si="1"/>
        <v>NA</v>
      </c>
      <c r="BA62" s="12">
        <f>Tableau2[[#This Row],[prob_c]]</f>
        <v>0.88247713824349039</v>
      </c>
      <c r="BB62" s="12">
        <f>1-Tableau2[[#This Row],[prob_c]]</f>
        <v>0.11752286175650961</v>
      </c>
    </row>
    <row r="63" spans="1:54" x14ac:dyDescent="0.25">
      <c r="A63" s="12">
        <v>3</v>
      </c>
      <c r="B63" s="12" t="s">
        <v>11</v>
      </c>
      <c r="C63" s="12">
        <v>2.1</v>
      </c>
      <c r="D63" s="12">
        <v>700</v>
      </c>
      <c r="E63" s="12">
        <v>20</v>
      </c>
      <c r="F63" s="12">
        <v>1</v>
      </c>
      <c r="G63" s="12">
        <v>14</v>
      </c>
      <c r="H63" s="12">
        <v>25</v>
      </c>
      <c r="I63" s="12" t="s">
        <v>23</v>
      </c>
      <c r="J63" s="12" t="s">
        <v>28</v>
      </c>
      <c r="K63" s="12">
        <f>VLOOKUP(Tableau2[[#This Row],[essence]],Tableau5[],2,FALSE)</f>
        <v>-1.5804</v>
      </c>
      <c r="L63" s="12">
        <f>VLOOKUP(Tableau2[[#This Row],[essence]],Tableau5[],3,FALSE)</f>
        <v>0.70079999999999998</v>
      </c>
      <c r="M63" s="12">
        <f>IF(Tableau2[[#This Row],[priorecol]]="C",1,0)</f>
        <v>0</v>
      </c>
      <c r="N63" s="12">
        <f>VLOOKUP(Tableau2[[#This Row],[essence]],Tableau5[],4,FALSE)</f>
        <v>0.1178</v>
      </c>
      <c r="O63" s="12">
        <f>IF(Tableau2[[#This Row],[priorecol]]="R",1,0)</f>
        <v>1</v>
      </c>
      <c r="P63" s="12">
        <f>VLOOKUP(Tableau2[[#This Row],[essence]],Tableau5[],5,FALSE)</f>
        <v>0.88300000000000001</v>
      </c>
      <c r="Q63" s="12">
        <f>IF(Tableau2[[#This Row],[priorecol]]="S",1,0)</f>
        <v>0</v>
      </c>
      <c r="R63" s="12">
        <f>VLOOKUP(Tableau2[[#This Row],[essence]],Tableau5[],6,FALSE)</f>
        <v>4.8599999999999997E-2</v>
      </c>
      <c r="S63" s="12">
        <f>VLOOKUP(Tableau2[[#This Row],[essence]],Tableau5[],15,FALSE)</f>
        <v>0</v>
      </c>
      <c r="T63" s="12">
        <f>VLOOKUP(Tableau2[[#This Row],[essence]],Tableau5[],7,FALSE)</f>
        <v>1.111</v>
      </c>
      <c r="U63" s="12">
        <f>IF(Tableau2[[#This Row],[sdom]]=1,1,0)</f>
        <v>0</v>
      </c>
      <c r="V63" s="12">
        <f>VLOOKUP(Tableau2[[#This Row],[essence]],Tableau5[],8,FALSE)</f>
        <v>0.68489999999999995</v>
      </c>
      <c r="W63" s="12">
        <f>IF(Tableau2[[#This Row],[sdom]]="2EST",1,0)</f>
        <v>0</v>
      </c>
      <c r="X63" s="12">
        <f>VLOOKUP(Tableau2[[#This Row],[essence]],Tableau5[],9,FALSE)</f>
        <v>0.72130000000000005</v>
      </c>
      <c r="Y63" s="12">
        <f>IF(Tableau2[[#This Row],[sdom]]="2OUEST",1,0)</f>
        <v>1</v>
      </c>
      <c r="Z63" s="12">
        <f>VLOOKUP(Tableau2[[#This Row],[essence]],Tableau5[],10,FALSE)</f>
        <v>0.83930000000000005</v>
      </c>
      <c r="AA63" s="12">
        <f>IF(Tableau2[[#This Row],[sdom]]="3EST",1,0)</f>
        <v>0</v>
      </c>
      <c r="AB63" s="12">
        <f>VLOOKUP(Tableau2[[#This Row],[essence]],Tableau5[],11,FALSE)</f>
        <v>0.6865</v>
      </c>
      <c r="AC63" s="12">
        <f>IF(Tableau2[[#This Row],[sdom]]="3OUEST",1,0)</f>
        <v>0</v>
      </c>
      <c r="AD63" s="12">
        <f>VLOOKUP(Tableau2[[#This Row],[essence]],Tableau5[],12,FALSE)</f>
        <v>0.79569999999999996</v>
      </c>
      <c r="AE63" s="12">
        <f>IF(Tableau2[[#This Row],[sdom]]="4EST",1,0)</f>
        <v>0</v>
      </c>
      <c r="AF63" s="12">
        <f>VLOOKUP(Tableau2[[#This Row],[essence]],Tableau5[],13,FALSE)</f>
        <v>0.54700000000000004</v>
      </c>
      <c r="AG63" s="12">
        <f>IF(Tableau2[[#This Row],[sdom]]="4OUEST",1,0)</f>
        <v>0</v>
      </c>
      <c r="AH63" s="12">
        <f>VLOOKUP(Tableau2[[#This Row],[essence]],Tableau5[],14,FALSE)</f>
        <v>0</v>
      </c>
      <c r="AI63" s="12">
        <f>IF(Tableau2[[#This Row],[sdom]]="5EST",1,0)</f>
        <v>0</v>
      </c>
      <c r="AJ63" s="12">
        <f>VLOOKUP(Tableau2[[#This Row],[essence]],Tableau5[],16,FALSE)</f>
        <v>0</v>
      </c>
      <c r="AK63" s="12">
        <f>IF(Tableau2[[#This Row],[sdom]]="5OUEST",1,0)</f>
        <v>0</v>
      </c>
      <c r="AL63" s="12">
        <f>VLOOKUP(Tableau2[[#This Row],[essence]],Tableau5[],17,FALSE)</f>
        <v>0</v>
      </c>
      <c r="AM63" s="12">
        <f>IF(Tableau2[[#This Row],[sdom]]="6EST",1,0)</f>
        <v>0</v>
      </c>
      <c r="AN63" s="12">
        <f>VLOOKUP(Tableau2[[#This Row],[essence]],Tableau5[],19,FALSE)</f>
        <v>4.2000000000000003E-2</v>
      </c>
      <c r="AO63" s="12">
        <f>IF(Tableau2[[#This Row],[priorecol]]="C",1,0)</f>
        <v>0</v>
      </c>
      <c r="AP63" s="12">
        <f>VLOOKUP(Tableau2[[#This Row],[essence]],Tableau5[],20,FALSE)</f>
        <v>0.111</v>
      </c>
      <c r="AQ63" s="12">
        <f>IF(Tableau2[[#This Row],[priorecol]]="R",1,0)</f>
        <v>1</v>
      </c>
      <c r="AR63" s="12">
        <f>VLOOKUP(Tableau2[[#This Row],[essence]],Tableau5[],21,FALSE)</f>
        <v>4.3600000000000002E-3</v>
      </c>
      <c r="AS63" s="12">
        <f>IF(Tableau2[[#This Row],[priorecol]]="S",1,0)</f>
        <v>0</v>
      </c>
      <c r="AT63" s="12">
        <f>VLOOKUP(Tableau2[[#This Row],[essence]],Tableau5[],22,FALSE)</f>
        <v>0</v>
      </c>
      <c r="AU63" s="12">
        <f>VLOOKUP(Tableau2[[#This Row],[essence]],Tableau5[],23,FALSE)</f>
        <v>0</v>
      </c>
      <c r="AV63" s="12">
        <f>VLOOKUP(Tableau2[[#This Row],[essence]],Tableau5[],18,FALSE)</f>
        <v>0</v>
      </c>
      <c r="AW6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3.2486999999999995</v>
      </c>
      <c r="AX63" s="12">
        <f>1/(1+EXP(-Tableau2[[#This Row],[xb_c]]))</f>
        <v>0.96262637088036884</v>
      </c>
      <c r="AY63" s="12" t="str">
        <f t="shared" si="0"/>
        <v>NA</v>
      </c>
      <c r="AZ63" s="12" t="str">
        <f t="shared" si="1"/>
        <v>NA</v>
      </c>
      <c r="BA63" s="12">
        <f>Tableau2[[#This Row],[prob_c]]</f>
        <v>0.96262637088036884</v>
      </c>
      <c r="BB63" s="12">
        <f>1-Tableau2[[#This Row],[prob_c]]</f>
        <v>3.7373629119631158E-2</v>
      </c>
    </row>
    <row r="64" spans="1:54" x14ac:dyDescent="0.25">
      <c r="A64" s="12">
        <v>3</v>
      </c>
      <c r="B64" s="12" t="s">
        <v>11</v>
      </c>
      <c r="C64" s="12">
        <v>2.1</v>
      </c>
      <c r="D64" s="12">
        <v>700</v>
      </c>
      <c r="E64" s="12">
        <v>20</v>
      </c>
      <c r="F64" s="12">
        <v>1</v>
      </c>
      <c r="G64" s="12">
        <v>15</v>
      </c>
      <c r="H64" s="12">
        <v>26</v>
      </c>
      <c r="I64" s="12" t="s">
        <v>23</v>
      </c>
      <c r="J64" s="12" t="s">
        <v>29</v>
      </c>
      <c r="K64" s="12">
        <f>VLOOKUP(Tableau2[[#This Row],[essence]],Tableau5[],2,FALSE)</f>
        <v>-1.5804</v>
      </c>
      <c r="L64" s="12">
        <f>VLOOKUP(Tableau2[[#This Row],[essence]],Tableau5[],3,FALSE)</f>
        <v>0.70079999999999998</v>
      </c>
      <c r="M64" s="12">
        <f>IF(Tableau2[[#This Row],[priorecol]]="C",1,0)</f>
        <v>0</v>
      </c>
      <c r="N64" s="12">
        <f>VLOOKUP(Tableau2[[#This Row],[essence]],Tableau5[],4,FALSE)</f>
        <v>0.1178</v>
      </c>
      <c r="O64" s="12">
        <f>IF(Tableau2[[#This Row],[priorecol]]="R",1,0)</f>
        <v>0</v>
      </c>
      <c r="P64" s="12">
        <f>VLOOKUP(Tableau2[[#This Row],[essence]],Tableau5[],5,FALSE)</f>
        <v>0.88300000000000001</v>
      </c>
      <c r="Q64" s="12">
        <f>IF(Tableau2[[#This Row],[priorecol]]="S",1,0)</f>
        <v>1</v>
      </c>
      <c r="R64" s="12">
        <f>VLOOKUP(Tableau2[[#This Row],[essence]],Tableau5[],6,FALSE)</f>
        <v>4.8599999999999997E-2</v>
      </c>
      <c r="S64" s="12">
        <f>VLOOKUP(Tableau2[[#This Row],[essence]],Tableau5[],15,FALSE)</f>
        <v>0</v>
      </c>
      <c r="T64" s="12">
        <f>VLOOKUP(Tableau2[[#This Row],[essence]],Tableau5[],7,FALSE)</f>
        <v>1.111</v>
      </c>
      <c r="U64" s="12">
        <f>IF(Tableau2[[#This Row],[sdom]]=1,1,0)</f>
        <v>0</v>
      </c>
      <c r="V64" s="12">
        <f>VLOOKUP(Tableau2[[#This Row],[essence]],Tableau5[],8,FALSE)</f>
        <v>0.68489999999999995</v>
      </c>
      <c r="W64" s="12">
        <f>IF(Tableau2[[#This Row],[sdom]]="2EST",1,0)</f>
        <v>0</v>
      </c>
      <c r="X64" s="12">
        <f>VLOOKUP(Tableau2[[#This Row],[essence]],Tableau5[],9,FALSE)</f>
        <v>0.72130000000000005</v>
      </c>
      <c r="Y64" s="12">
        <f>IF(Tableau2[[#This Row],[sdom]]="2OUEST",1,0)</f>
        <v>1</v>
      </c>
      <c r="Z64" s="12">
        <f>VLOOKUP(Tableau2[[#This Row],[essence]],Tableau5[],10,FALSE)</f>
        <v>0.83930000000000005</v>
      </c>
      <c r="AA64" s="12">
        <f>IF(Tableau2[[#This Row],[sdom]]="3EST",1,0)</f>
        <v>0</v>
      </c>
      <c r="AB64" s="12">
        <f>VLOOKUP(Tableau2[[#This Row],[essence]],Tableau5[],11,FALSE)</f>
        <v>0.6865</v>
      </c>
      <c r="AC64" s="12">
        <f>IF(Tableau2[[#This Row],[sdom]]="3OUEST",1,0)</f>
        <v>0</v>
      </c>
      <c r="AD64" s="12">
        <f>VLOOKUP(Tableau2[[#This Row],[essence]],Tableau5[],12,FALSE)</f>
        <v>0.79569999999999996</v>
      </c>
      <c r="AE64" s="12">
        <f>IF(Tableau2[[#This Row],[sdom]]="4EST",1,0)</f>
        <v>0</v>
      </c>
      <c r="AF64" s="12">
        <f>VLOOKUP(Tableau2[[#This Row],[essence]],Tableau5[],13,FALSE)</f>
        <v>0.54700000000000004</v>
      </c>
      <c r="AG64" s="12">
        <f>IF(Tableau2[[#This Row],[sdom]]="4OUEST",1,0)</f>
        <v>0</v>
      </c>
      <c r="AH64" s="12">
        <f>VLOOKUP(Tableau2[[#This Row],[essence]],Tableau5[],14,FALSE)</f>
        <v>0</v>
      </c>
      <c r="AI64" s="12">
        <f>IF(Tableau2[[#This Row],[sdom]]="5EST",1,0)</f>
        <v>0</v>
      </c>
      <c r="AJ64" s="12">
        <f>VLOOKUP(Tableau2[[#This Row],[essence]],Tableau5[],16,FALSE)</f>
        <v>0</v>
      </c>
      <c r="AK64" s="12">
        <f>IF(Tableau2[[#This Row],[sdom]]="5OUEST",1,0)</f>
        <v>0</v>
      </c>
      <c r="AL64" s="12">
        <f>VLOOKUP(Tableau2[[#This Row],[essence]],Tableau5[],17,FALSE)</f>
        <v>0</v>
      </c>
      <c r="AM64" s="12">
        <f>IF(Tableau2[[#This Row],[sdom]]="6EST",1,0)</f>
        <v>0</v>
      </c>
      <c r="AN64" s="12">
        <f>VLOOKUP(Tableau2[[#This Row],[essence]],Tableau5[],19,FALSE)</f>
        <v>4.2000000000000003E-2</v>
      </c>
      <c r="AO64" s="12">
        <f>IF(Tableau2[[#This Row],[priorecol]]="C",1,0)</f>
        <v>0</v>
      </c>
      <c r="AP64" s="12">
        <f>VLOOKUP(Tableau2[[#This Row],[essence]],Tableau5[],20,FALSE)</f>
        <v>0.111</v>
      </c>
      <c r="AQ64" s="12">
        <f>IF(Tableau2[[#This Row],[priorecol]]="R",1,0)</f>
        <v>0</v>
      </c>
      <c r="AR64" s="12">
        <f>VLOOKUP(Tableau2[[#This Row],[essence]],Tableau5[],21,FALSE)</f>
        <v>4.3600000000000002E-3</v>
      </c>
      <c r="AS64" s="12">
        <f>IF(Tableau2[[#This Row],[priorecol]]="S",1,0)</f>
        <v>1</v>
      </c>
      <c r="AT64" s="12">
        <f>VLOOKUP(Tableau2[[#This Row],[essence]],Tableau5[],22,FALSE)</f>
        <v>0</v>
      </c>
      <c r="AU64" s="12">
        <f>VLOOKUP(Tableau2[[#This Row],[essence]],Tableau5[],23,FALSE)</f>
        <v>0</v>
      </c>
      <c r="AV64" s="12">
        <f>VLOOKUP(Tableau2[[#This Row],[essence]],Tableau5[],18,FALSE)</f>
        <v>0</v>
      </c>
      <c r="AW6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1.4008599999999998</v>
      </c>
      <c r="AX64" s="12">
        <f>1/(1+EXP(-Tableau2[[#This Row],[xb_c]]))</f>
        <v>0.80232032210592197</v>
      </c>
      <c r="AY64" s="12" t="str">
        <f t="shared" si="0"/>
        <v>NA</v>
      </c>
      <c r="AZ64" s="12" t="str">
        <f t="shared" si="1"/>
        <v>NA</v>
      </c>
      <c r="BA64" s="12">
        <f>Tableau2[[#This Row],[prob_c]]</f>
        <v>0.80232032210592197</v>
      </c>
      <c r="BB64" s="12">
        <f>1-Tableau2[[#This Row],[prob_c]]</f>
        <v>0.19767967789407803</v>
      </c>
    </row>
    <row r="65" spans="1:54" x14ac:dyDescent="0.25">
      <c r="A65" s="12">
        <v>3</v>
      </c>
      <c r="B65" s="12" t="s">
        <v>11</v>
      </c>
      <c r="C65" s="12">
        <v>2.1</v>
      </c>
      <c r="D65" s="12">
        <v>700</v>
      </c>
      <c r="E65" s="12">
        <v>20</v>
      </c>
      <c r="F65" s="12">
        <v>1</v>
      </c>
      <c r="G65" s="12">
        <v>16</v>
      </c>
      <c r="H65" s="12">
        <v>27</v>
      </c>
      <c r="I65" s="12" t="s">
        <v>24</v>
      </c>
      <c r="J65" s="12" t="s">
        <v>27</v>
      </c>
      <c r="K65" s="12">
        <f>VLOOKUP(Tableau2[[#This Row],[essence]],Tableau5[],2,FALSE)</f>
        <v>1.9585999999999999</v>
      </c>
      <c r="L65" s="12">
        <f>VLOOKUP(Tableau2[[#This Row],[essence]],Tableau5[],3,FALSE)</f>
        <v>6.6000000000000003E-2</v>
      </c>
      <c r="M65" s="12">
        <f>IF(Tableau2[[#This Row],[priorecol]]="C",1,0)</f>
        <v>1</v>
      </c>
      <c r="N65" s="12">
        <f>VLOOKUP(Tableau2[[#This Row],[essence]],Tableau5[],4,FALSE)</f>
        <v>-1.9339999999999999</v>
      </c>
      <c r="O65" s="12">
        <f>IF(Tableau2[[#This Row],[priorecol]]="R",1,0)</f>
        <v>0</v>
      </c>
      <c r="P65" s="12">
        <f>VLOOKUP(Tableau2[[#This Row],[essence]],Tableau5[],5,FALSE)</f>
        <v>-4.4771999999999998</v>
      </c>
      <c r="Q65" s="12">
        <f>IF(Tableau2[[#This Row],[priorecol]]="S",1,0)</f>
        <v>0</v>
      </c>
      <c r="R65" s="12">
        <f>VLOOKUP(Tableau2[[#This Row],[essence]],Tableau5[],6,FALSE)</f>
        <v>-2.5499999999999998E-2</v>
      </c>
      <c r="S65" s="12">
        <f>VLOOKUP(Tableau2[[#This Row],[essence]],Tableau5[],15,FALSE)</f>
        <v>0</v>
      </c>
      <c r="T65" s="12">
        <f>VLOOKUP(Tableau2[[#This Row],[essence]],Tableau5[],7,FALSE)</f>
        <v>0</v>
      </c>
      <c r="U65" s="12">
        <f>IF(Tableau2[[#This Row],[sdom]]=1,1,0)</f>
        <v>0</v>
      </c>
      <c r="V65" s="12">
        <f>VLOOKUP(Tableau2[[#This Row],[essence]],Tableau5[],8,FALSE)</f>
        <v>0</v>
      </c>
      <c r="W65" s="12">
        <f>IF(Tableau2[[#This Row],[sdom]]="2EST",1,0)</f>
        <v>0</v>
      </c>
      <c r="X65" s="12">
        <f>VLOOKUP(Tableau2[[#This Row],[essence]],Tableau5[],9,FALSE)</f>
        <v>0</v>
      </c>
      <c r="Y65" s="12">
        <f>IF(Tableau2[[#This Row],[sdom]]="2OUEST",1,0)</f>
        <v>1</v>
      </c>
      <c r="Z65" s="12">
        <f>VLOOKUP(Tableau2[[#This Row],[essence]],Tableau5[],10,FALSE)</f>
        <v>0</v>
      </c>
      <c r="AA65" s="12">
        <f>IF(Tableau2[[#This Row],[sdom]]="3EST",1,0)</f>
        <v>0</v>
      </c>
      <c r="AB65" s="12">
        <f>VLOOKUP(Tableau2[[#This Row],[essence]],Tableau5[],11,FALSE)</f>
        <v>0</v>
      </c>
      <c r="AC65" s="12">
        <f>IF(Tableau2[[#This Row],[sdom]]="3OUEST",1,0)</f>
        <v>0</v>
      </c>
      <c r="AD65" s="12">
        <f>VLOOKUP(Tableau2[[#This Row],[essence]],Tableau5[],12,FALSE)</f>
        <v>0</v>
      </c>
      <c r="AE65" s="12">
        <f>IF(Tableau2[[#This Row],[sdom]]="4EST",1,0)</f>
        <v>0</v>
      </c>
      <c r="AF65" s="12">
        <f>VLOOKUP(Tableau2[[#This Row],[essence]],Tableau5[],13,FALSE)</f>
        <v>0</v>
      </c>
      <c r="AG65" s="12">
        <f>IF(Tableau2[[#This Row],[sdom]]="4OUEST",1,0)</f>
        <v>0</v>
      </c>
      <c r="AH65" s="12">
        <f>VLOOKUP(Tableau2[[#This Row],[essence]],Tableau5[],14,FALSE)</f>
        <v>0</v>
      </c>
      <c r="AI65" s="12">
        <f>IF(Tableau2[[#This Row],[sdom]]="5EST",1,0)</f>
        <v>0</v>
      </c>
      <c r="AJ65" s="12">
        <f>VLOOKUP(Tableau2[[#This Row],[essence]],Tableau5[],16,FALSE)</f>
        <v>0</v>
      </c>
      <c r="AK65" s="12">
        <f>IF(Tableau2[[#This Row],[sdom]]="5OUEST",1,0)</f>
        <v>0</v>
      </c>
      <c r="AL65" s="12">
        <f>VLOOKUP(Tableau2[[#This Row],[essence]],Tableau5[],17,FALSE)</f>
        <v>0</v>
      </c>
      <c r="AM65" s="12">
        <f>IF(Tableau2[[#This Row],[sdom]]="6EST",1,0)</f>
        <v>0</v>
      </c>
      <c r="AN65" s="12">
        <f>VLOOKUP(Tableau2[[#This Row],[essence]],Tableau5[],19,FALSE)</f>
        <v>4.2599999999999999E-2</v>
      </c>
      <c r="AO65" s="12">
        <f>IF(Tableau2[[#This Row],[priorecol]]="C",1,0)</f>
        <v>1</v>
      </c>
      <c r="AP65" s="12">
        <f>VLOOKUP(Tableau2[[#This Row],[essence]],Tableau5[],20,FALSE)</f>
        <v>0.17699999999999999</v>
      </c>
      <c r="AQ65" s="12">
        <f>IF(Tableau2[[#This Row],[priorecol]]="R",1,0)</f>
        <v>0</v>
      </c>
      <c r="AR65" s="12">
        <f>VLOOKUP(Tableau2[[#This Row],[essence]],Tableau5[],21,FALSE)</f>
        <v>0.19650000000000001</v>
      </c>
      <c r="AS65" s="12">
        <f>IF(Tableau2[[#This Row],[priorecol]]="S",1,0)</f>
        <v>0</v>
      </c>
      <c r="AT65" s="12">
        <f>VLOOKUP(Tableau2[[#This Row],[essence]],Tableau5[],22,FALSE)</f>
        <v>0</v>
      </c>
      <c r="AU65" s="12">
        <f>VLOOKUP(Tableau2[[#This Row],[essence]],Tableau5[],23,FALSE)</f>
        <v>0</v>
      </c>
      <c r="AV65" s="12">
        <f>VLOOKUP(Tableau2[[#This Row],[essence]],Tableau5[],18,FALSE)</f>
        <v>0</v>
      </c>
      <c r="AW6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2.4863</v>
      </c>
      <c r="AX65" s="12">
        <f>1/(1+EXP(-Tableau2[[#This Row],[xb_c]]))</f>
        <v>0.92317580088274886</v>
      </c>
      <c r="AY65" s="12" t="str">
        <f t="shared" si="0"/>
        <v>NA</v>
      </c>
      <c r="AZ65" s="12" t="str">
        <f t="shared" si="1"/>
        <v>NA</v>
      </c>
      <c r="BA65" s="12">
        <f>Tableau2[[#This Row],[prob_c]]</f>
        <v>0.92317580088274886</v>
      </c>
      <c r="BB65" s="12">
        <f>1-Tableau2[[#This Row],[prob_c]]</f>
        <v>7.6824199117251135E-2</v>
      </c>
    </row>
    <row r="66" spans="1:54" x14ac:dyDescent="0.25">
      <c r="A66" s="12">
        <v>3</v>
      </c>
      <c r="B66" s="12" t="s">
        <v>11</v>
      </c>
      <c r="C66" s="12">
        <v>2.1</v>
      </c>
      <c r="D66" s="12">
        <v>700</v>
      </c>
      <c r="E66" s="12">
        <v>20</v>
      </c>
      <c r="F66" s="12">
        <v>1</v>
      </c>
      <c r="G66" s="12">
        <v>17</v>
      </c>
      <c r="H66" s="12">
        <v>28</v>
      </c>
      <c r="I66" s="12" t="s">
        <v>24</v>
      </c>
      <c r="J66" s="12" t="s">
        <v>28</v>
      </c>
      <c r="K66" s="12">
        <f>VLOOKUP(Tableau2[[#This Row],[essence]],Tableau5[],2,FALSE)</f>
        <v>1.9585999999999999</v>
      </c>
      <c r="L66" s="12">
        <f>VLOOKUP(Tableau2[[#This Row],[essence]],Tableau5[],3,FALSE)</f>
        <v>6.6000000000000003E-2</v>
      </c>
      <c r="M66" s="12">
        <f>IF(Tableau2[[#This Row],[priorecol]]="C",1,0)</f>
        <v>0</v>
      </c>
      <c r="N66" s="12">
        <f>VLOOKUP(Tableau2[[#This Row],[essence]],Tableau5[],4,FALSE)</f>
        <v>-1.9339999999999999</v>
      </c>
      <c r="O66" s="12">
        <f>IF(Tableau2[[#This Row],[priorecol]]="R",1,0)</f>
        <v>1</v>
      </c>
      <c r="P66" s="12">
        <f>VLOOKUP(Tableau2[[#This Row],[essence]],Tableau5[],5,FALSE)</f>
        <v>-4.4771999999999998</v>
      </c>
      <c r="Q66" s="12">
        <f>IF(Tableau2[[#This Row],[priorecol]]="S",1,0)</f>
        <v>0</v>
      </c>
      <c r="R66" s="12">
        <f>VLOOKUP(Tableau2[[#This Row],[essence]],Tableau5[],6,FALSE)</f>
        <v>-2.5499999999999998E-2</v>
      </c>
      <c r="S66" s="12">
        <f>VLOOKUP(Tableau2[[#This Row],[essence]],Tableau5[],15,FALSE)</f>
        <v>0</v>
      </c>
      <c r="T66" s="12">
        <f>VLOOKUP(Tableau2[[#This Row],[essence]],Tableau5[],7,FALSE)</f>
        <v>0</v>
      </c>
      <c r="U66" s="12">
        <f>IF(Tableau2[[#This Row],[sdom]]=1,1,0)</f>
        <v>0</v>
      </c>
      <c r="V66" s="12">
        <f>VLOOKUP(Tableau2[[#This Row],[essence]],Tableau5[],8,FALSE)</f>
        <v>0</v>
      </c>
      <c r="W66" s="12">
        <f>IF(Tableau2[[#This Row],[sdom]]="2EST",1,0)</f>
        <v>0</v>
      </c>
      <c r="X66" s="12">
        <f>VLOOKUP(Tableau2[[#This Row],[essence]],Tableau5[],9,FALSE)</f>
        <v>0</v>
      </c>
      <c r="Y66" s="12">
        <f>IF(Tableau2[[#This Row],[sdom]]="2OUEST",1,0)</f>
        <v>1</v>
      </c>
      <c r="Z66" s="12">
        <f>VLOOKUP(Tableau2[[#This Row],[essence]],Tableau5[],10,FALSE)</f>
        <v>0</v>
      </c>
      <c r="AA66" s="12">
        <f>IF(Tableau2[[#This Row],[sdom]]="3EST",1,0)</f>
        <v>0</v>
      </c>
      <c r="AB66" s="12">
        <f>VLOOKUP(Tableau2[[#This Row],[essence]],Tableau5[],11,FALSE)</f>
        <v>0</v>
      </c>
      <c r="AC66" s="12">
        <f>IF(Tableau2[[#This Row],[sdom]]="3OUEST",1,0)</f>
        <v>0</v>
      </c>
      <c r="AD66" s="12">
        <f>VLOOKUP(Tableau2[[#This Row],[essence]],Tableau5[],12,FALSE)</f>
        <v>0</v>
      </c>
      <c r="AE66" s="12">
        <f>IF(Tableau2[[#This Row],[sdom]]="4EST",1,0)</f>
        <v>0</v>
      </c>
      <c r="AF66" s="12">
        <f>VLOOKUP(Tableau2[[#This Row],[essence]],Tableau5[],13,FALSE)</f>
        <v>0</v>
      </c>
      <c r="AG66" s="12">
        <f>IF(Tableau2[[#This Row],[sdom]]="4OUEST",1,0)</f>
        <v>0</v>
      </c>
      <c r="AH66" s="12">
        <f>VLOOKUP(Tableau2[[#This Row],[essence]],Tableau5[],14,FALSE)</f>
        <v>0</v>
      </c>
      <c r="AI66" s="12">
        <f>IF(Tableau2[[#This Row],[sdom]]="5EST",1,0)</f>
        <v>0</v>
      </c>
      <c r="AJ66" s="12">
        <f>VLOOKUP(Tableau2[[#This Row],[essence]],Tableau5[],16,FALSE)</f>
        <v>0</v>
      </c>
      <c r="AK66" s="12">
        <f>IF(Tableau2[[#This Row],[sdom]]="5OUEST",1,0)</f>
        <v>0</v>
      </c>
      <c r="AL66" s="12">
        <f>VLOOKUP(Tableau2[[#This Row],[essence]],Tableau5[],17,FALSE)</f>
        <v>0</v>
      </c>
      <c r="AM66" s="12">
        <f>IF(Tableau2[[#This Row],[sdom]]="6EST",1,0)</f>
        <v>0</v>
      </c>
      <c r="AN66" s="12">
        <f>VLOOKUP(Tableau2[[#This Row],[essence]],Tableau5[],19,FALSE)</f>
        <v>4.2599999999999999E-2</v>
      </c>
      <c r="AO66" s="12">
        <f>IF(Tableau2[[#This Row],[priorecol]]="C",1,0)</f>
        <v>0</v>
      </c>
      <c r="AP66" s="12">
        <f>VLOOKUP(Tableau2[[#This Row],[essence]],Tableau5[],20,FALSE)</f>
        <v>0.17699999999999999</v>
      </c>
      <c r="AQ66" s="12">
        <f>IF(Tableau2[[#This Row],[priorecol]]="R",1,0)</f>
        <v>1</v>
      </c>
      <c r="AR66" s="12">
        <f>VLOOKUP(Tableau2[[#This Row],[essence]],Tableau5[],21,FALSE)</f>
        <v>0.19650000000000001</v>
      </c>
      <c r="AS66" s="12">
        <f>IF(Tableau2[[#This Row],[priorecol]]="S",1,0)</f>
        <v>0</v>
      </c>
      <c r="AT66" s="12">
        <f>VLOOKUP(Tableau2[[#This Row],[essence]],Tableau5[],22,FALSE)</f>
        <v>0</v>
      </c>
      <c r="AU66" s="12">
        <f>VLOOKUP(Tableau2[[#This Row],[essence]],Tableau5[],23,FALSE)</f>
        <v>0</v>
      </c>
      <c r="AV66" s="12">
        <f>VLOOKUP(Tableau2[[#This Row],[essence]],Tableau5[],18,FALSE)</f>
        <v>0</v>
      </c>
      <c r="AW6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4.2665999999999995</v>
      </c>
      <c r="AX66" s="12">
        <f>1/(1+EXP(-Tableau2[[#This Row],[xb_c]]))</f>
        <v>0.98616469888045699</v>
      </c>
      <c r="AY66" s="12" t="str">
        <f t="shared" ref="AY66:AY129" si="2">"NA"</f>
        <v>NA</v>
      </c>
      <c r="AZ66" s="12" t="str">
        <f t="shared" ref="AZ66:AZ129" si="3">"NA"</f>
        <v>NA</v>
      </c>
      <c r="BA66" s="12">
        <f>Tableau2[[#This Row],[prob_c]]</f>
        <v>0.98616469888045699</v>
      </c>
      <c r="BB66" s="12">
        <f>1-Tableau2[[#This Row],[prob_c]]</f>
        <v>1.3835301119543009E-2</v>
      </c>
    </row>
    <row r="67" spans="1:54" x14ac:dyDescent="0.25">
      <c r="A67" s="12">
        <v>3</v>
      </c>
      <c r="B67" s="12" t="s">
        <v>11</v>
      </c>
      <c r="C67" s="12">
        <v>2.1</v>
      </c>
      <c r="D67" s="12">
        <v>700</v>
      </c>
      <c r="E67" s="12">
        <v>20</v>
      </c>
      <c r="F67" s="12">
        <v>1</v>
      </c>
      <c r="G67" s="12">
        <v>18</v>
      </c>
      <c r="H67" s="12">
        <v>29</v>
      </c>
      <c r="I67" s="12" t="s">
        <v>24</v>
      </c>
      <c r="J67" s="12" t="s">
        <v>29</v>
      </c>
      <c r="K67" s="12">
        <f>VLOOKUP(Tableau2[[#This Row],[essence]],Tableau5[],2,FALSE)</f>
        <v>1.9585999999999999</v>
      </c>
      <c r="L67" s="12">
        <f>VLOOKUP(Tableau2[[#This Row],[essence]],Tableau5[],3,FALSE)</f>
        <v>6.6000000000000003E-2</v>
      </c>
      <c r="M67" s="12">
        <f>IF(Tableau2[[#This Row],[priorecol]]="C",1,0)</f>
        <v>0</v>
      </c>
      <c r="N67" s="12">
        <f>VLOOKUP(Tableau2[[#This Row],[essence]],Tableau5[],4,FALSE)</f>
        <v>-1.9339999999999999</v>
      </c>
      <c r="O67" s="12">
        <f>IF(Tableau2[[#This Row],[priorecol]]="R",1,0)</f>
        <v>0</v>
      </c>
      <c r="P67" s="12">
        <f>VLOOKUP(Tableau2[[#This Row],[essence]],Tableau5[],5,FALSE)</f>
        <v>-4.4771999999999998</v>
      </c>
      <c r="Q67" s="12">
        <f>IF(Tableau2[[#This Row],[priorecol]]="S",1,0)</f>
        <v>1</v>
      </c>
      <c r="R67" s="12">
        <f>VLOOKUP(Tableau2[[#This Row],[essence]],Tableau5[],6,FALSE)</f>
        <v>-2.5499999999999998E-2</v>
      </c>
      <c r="S67" s="12">
        <f>VLOOKUP(Tableau2[[#This Row],[essence]],Tableau5[],15,FALSE)</f>
        <v>0</v>
      </c>
      <c r="T67" s="12">
        <f>VLOOKUP(Tableau2[[#This Row],[essence]],Tableau5[],7,FALSE)</f>
        <v>0</v>
      </c>
      <c r="U67" s="12">
        <f>IF(Tableau2[[#This Row],[sdom]]=1,1,0)</f>
        <v>0</v>
      </c>
      <c r="V67" s="12">
        <f>VLOOKUP(Tableau2[[#This Row],[essence]],Tableau5[],8,FALSE)</f>
        <v>0</v>
      </c>
      <c r="W67" s="12">
        <f>IF(Tableau2[[#This Row],[sdom]]="2EST",1,0)</f>
        <v>0</v>
      </c>
      <c r="X67" s="12">
        <f>VLOOKUP(Tableau2[[#This Row],[essence]],Tableau5[],9,FALSE)</f>
        <v>0</v>
      </c>
      <c r="Y67" s="12">
        <f>IF(Tableau2[[#This Row],[sdom]]="2OUEST",1,0)</f>
        <v>1</v>
      </c>
      <c r="Z67" s="12">
        <f>VLOOKUP(Tableau2[[#This Row],[essence]],Tableau5[],10,FALSE)</f>
        <v>0</v>
      </c>
      <c r="AA67" s="12">
        <f>IF(Tableau2[[#This Row],[sdom]]="3EST",1,0)</f>
        <v>0</v>
      </c>
      <c r="AB67" s="12">
        <f>VLOOKUP(Tableau2[[#This Row],[essence]],Tableau5[],11,FALSE)</f>
        <v>0</v>
      </c>
      <c r="AC67" s="12">
        <f>IF(Tableau2[[#This Row],[sdom]]="3OUEST",1,0)</f>
        <v>0</v>
      </c>
      <c r="AD67" s="12">
        <f>VLOOKUP(Tableau2[[#This Row],[essence]],Tableau5[],12,FALSE)</f>
        <v>0</v>
      </c>
      <c r="AE67" s="12">
        <f>IF(Tableau2[[#This Row],[sdom]]="4EST",1,0)</f>
        <v>0</v>
      </c>
      <c r="AF67" s="12">
        <f>VLOOKUP(Tableau2[[#This Row],[essence]],Tableau5[],13,FALSE)</f>
        <v>0</v>
      </c>
      <c r="AG67" s="12">
        <f>IF(Tableau2[[#This Row],[sdom]]="4OUEST",1,0)</f>
        <v>0</v>
      </c>
      <c r="AH67" s="12">
        <f>VLOOKUP(Tableau2[[#This Row],[essence]],Tableau5[],14,FALSE)</f>
        <v>0</v>
      </c>
      <c r="AI67" s="12">
        <f>IF(Tableau2[[#This Row],[sdom]]="5EST",1,0)</f>
        <v>0</v>
      </c>
      <c r="AJ67" s="12">
        <f>VLOOKUP(Tableau2[[#This Row],[essence]],Tableau5[],16,FALSE)</f>
        <v>0</v>
      </c>
      <c r="AK67" s="12">
        <f>IF(Tableau2[[#This Row],[sdom]]="5OUEST",1,0)</f>
        <v>0</v>
      </c>
      <c r="AL67" s="12">
        <f>VLOOKUP(Tableau2[[#This Row],[essence]],Tableau5[],17,FALSE)</f>
        <v>0</v>
      </c>
      <c r="AM67" s="12">
        <f>IF(Tableau2[[#This Row],[sdom]]="6EST",1,0)</f>
        <v>0</v>
      </c>
      <c r="AN67" s="12">
        <f>VLOOKUP(Tableau2[[#This Row],[essence]],Tableau5[],19,FALSE)</f>
        <v>4.2599999999999999E-2</v>
      </c>
      <c r="AO67" s="12">
        <f>IF(Tableau2[[#This Row],[priorecol]]="C",1,0)</f>
        <v>0</v>
      </c>
      <c r="AP67" s="12">
        <f>VLOOKUP(Tableau2[[#This Row],[essence]],Tableau5[],20,FALSE)</f>
        <v>0.17699999999999999</v>
      </c>
      <c r="AQ67" s="12">
        <f>IF(Tableau2[[#This Row],[priorecol]]="R",1,0)</f>
        <v>0</v>
      </c>
      <c r="AR67" s="12">
        <f>VLOOKUP(Tableau2[[#This Row],[essence]],Tableau5[],21,FALSE)</f>
        <v>0.19650000000000001</v>
      </c>
      <c r="AS67" s="12">
        <f>IF(Tableau2[[#This Row],[priorecol]]="S",1,0)</f>
        <v>1</v>
      </c>
      <c r="AT67" s="12">
        <f>VLOOKUP(Tableau2[[#This Row],[essence]],Tableau5[],22,FALSE)</f>
        <v>0</v>
      </c>
      <c r="AU67" s="12">
        <f>VLOOKUP(Tableau2[[#This Row],[essence]],Tableau5[],23,FALSE)</f>
        <v>0</v>
      </c>
      <c r="AV67" s="12">
        <f>VLOOKUP(Tableau2[[#This Row],[essence]],Tableau5[],18,FALSE)</f>
        <v>0</v>
      </c>
      <c r="AW6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2.4403999999999999</v>
      </c>
      <c r="AX67" s="12">
        <f>1/(1+EXP(-Tableau2[[#This Row],[xb_c]]))</f>
        <v>0.91985658096051848</v>
      </c>
      <c r="AY67" s="12" t="str">
        <f t="shared" si="2"/>
        <v>NA</v>
      </c>
      <c r="AZ67" s="12" t="str">
        <f t="shared" si="3"/>
        <v>NA</v>
      </c>
      <c r="BA67" s="12">
        <f>Tableau2[[#This Row],[prob_c]]</f>
        <v>0.91985658096051848</v>
      </c>
      <c r="BB67" s="12">
        <f>1-Tableau2[[#This Row],[prob_c]]</f>
        <v>8.0143419039481523E-2</v>
      </c>
    </row>
    <row r="68" spans="1:54" x14ac:dyDescent="0.25">
      <c r="A68" s="12">
        <v>3</v>
      </c>
      <c r="B68" s="12" t="s">
        <v>11</v>
      </c>
      <c r="C68" s="12">
        <v>2.1</v>
      </c>
      <c r="D68" s="12">
        <v>700</v>
      </c>
      <c r="E68" s="12">
        <v>20</v>
      </c>
      <c r="F68" s="12">
        <v>1</v>
      </c>
      <c r="G68" s="12">
        <v>19</v>
      </c>
      <c r="H68" s="12">
        <v>30</v>
      </c>
      <c r="I68" s="12" t="s">
        <v>25</v>
      </c>
      <c r="J68" s="12" t="s">
        <v>27</v>
      </c>
      <c r="K68" s="12">
        <f>VLOOKUP(Tableau2[[#This Row],[essence]],Tableau5[],2,FALSE)</f>
        <v>-2.4066000000000001</v>
      </c>
      <c r="L68" s="12">
        <f>VLOOKUP(Tableau2[[#This Row],[essence]],Tableau5[],3,FALSE)</f>
        <v>1.0301</v>
      </c>
      <c r="M68" s="12">
        <f>IF(Tableau2[[#This Row],[priorecol]]="C",1,0)</f>
        <v>1</v>
      </c>
      <c r="N68" s="12">
        <f>VLOOKUP(Tableau2[[#This Row],[essence]],Tableau5[],4,FALSE)</f>
        <v>1.9907999999999999</v>
      </c>
      <c r="O68" s="12">
        <f>IF(Tableau2[[#This Row],[priorecol]]="R",1,0)</f>
        <v>0</v>
      </c>
      <c r="P68" s="12">
        <f>VLOOKUP(Tableau2[[#This Row],[essence]],Tableau5[],5,FALSE)</f>
        <v>1.1955</v>
      </c>
      <c r="Q68" s="12">
        <f>IF(Tableau2[[#This Row],[priorecol]]="S",1,0)</f>
        <v>0</v>
      </c>
      <c r="R68" s="12">
        <f>VLOOKUP(Tableau2[[#This Row],[essence]],Tableau5[],6,FALSE)</f>
        <v>4.2599999999999999E-2</v>
      </c>
      <c r="S68" s="12">
        <f>VLOOKUP(Tableau2[[#This Row],[essence]],Tableau5[],15,FALSE)</f>
        <v>1.3299999999999999E-2</v>
      </c>
      <c r="T68" s="12">
        <f>VLOOKUP(Tableau2[[#This Row],[essence]],Tableau5[],7,FALSE)</f>
        <v>0</v>
      </c>
      <c r="U68" s="12">
        <f>IF(Tableau2[[#This Row],[sdom]]=1,1,0)</f>
        <v>0</v>
      </c>
      <c r="V68" s="12">
        <f>VLOOKUP(Tableau2[[#This Row],[essence]],Tableau5[],8,FALSE)</f>
        <v>0.72299999999999998</v>
      </c>
      <c r="W68" s="12">
        <f>IF(Tableau2[[#This Row],[sdom]]="2EST",1,0)</f>
        <v>0</v>
      </c>
      <c r="X68" s="12">
        <f>VLOOKUP(Tableau2[[#This Row],[essence]],Tableau5[],9,FALSE)</f>
        <v>0.28749999999999998</v>
      </c>
      <c r="Y68" s="12">
        <f>IF(Tableau2[[#This Row],[sdom]]="2OUEST",1,0)</f>
        <v>1</v>
      </c>
      <c r="Z68" s="12">
        <f>VLOOKUP(Tableau2[[#This Row],[essence]],Tableau5[],10,FALSE)</f>
        <v>0.5746</v>
      </c>
      <c r="AA68" s="12">
        <f>IF(Tableau2[[#This Row],[sdom]]="3EST",1,0)</f>
        <v>0</v>
      </c>
      <c r="AB68" s="12">
        <f>VLOOKUP(Tableau2[[#This Row],[essence]],Tableau5[],11,FALSE)</f>
        <v>0.40360000000000001</v>
      </c>
      <c r="AC68" s="12">
        <f>IF(Tableau2[[#This Row],[sdom]]="3OUEST",1,0)</f>
        <v>0</v>
      </c>
      <c r="AD68" s="12">
        <f>VLOOKUP(Tableau2[[#This Row],[essence]],Tableau5[],12,FALSE)</f>
        <v>0</v>
      </c>
      <c r="AE68" s="12">
        <f>IF(Tableau2[[#This Row],[sdom]]="4EST",1,0)</f>
        <v>0</v>
      </c>
      <c r="AF68" s="12">
        <f>VLOOKUP(Tableau2[[#This Row],[essence]],Tableau5[],13,FALSE)</f>
        <v>0</v>
      </c>
      <c r="AG68" s="12">
        <f>IF(Tableau2[[#This Row],[sdom]]="4OUEST",1,0)</f>
        <v>0</v>
      </c>
      <c r="AH68" s="12">
        <f>VLOOKUP(Tableau2[[#This Row],[essence]],Tableau5[],14,FALSE)</f>
        <v>0</v>
      </c>
      <c r="AI68" s="12">
        <f>IF(Tableau2[[#This Row],[sdom]]="5EST",1,0)</f>
        <v>0</v>
      </c>
      <c r="AJ68" s="12">
        <f>VLOOKUP(Tableau2[[#This Row],[essence]],Tableau5[],16,FALSE)</f>
        <v>0</v>
      </c>
      <c r="AK68" s="12">
        <f>IF(Tableau2[[#This Row],[sdom]]="5OUEST",1,0)</f>
        <v>0</v>
      </c>
      <c r="AL68" s="12">
        <f>VLOOKUP(Tableau2[[#This Row],[essence]],Tableau5[],17,FALSE)</f>
        <v>0</v>
      </c>
      <c r="AM68" s="12">
        <f>IF(Tableau2[[#This Row],[sdom]]="6EST",1,0)</f>
        <v>0</v>
      </c>
      <c r="AN68" s="12">
        <f>VLOOKUP(Tableau2[[#This Row],[essence]],Tableau5[],19,FALSE)</f>
        <v>0</v>
      </c>
      <c r="AO68" s="12">
        <f>IF(Tableau2[[#This Row],[priorecol]]="C",1,0)</f>
        <v>1</v>
      </c>
      <c r="AP68" s="12">
        <f>VLOOKUP(Tableau2[[#This Row],[essence]],Tableau5[],20,FALSE)</f>
        <v>0</v>
      </c>
      <c r="AQ68" s="12">
        <f>IF(Tableau2[[#This Row],[priorecol]]="R",1,0)</f>
        <v>0</v>
      </c>
      <c r="AR68" s="12">
        <f>VLOOKUP(Tableau2[[#This Row],[essence]],Tableau5[],21,FALSE)</f>
        <v>0</v>
      </c>
      <c r="AS68" s="12">
        <f>IF(Tableau2[[#This Row],[priorecol]]="S",1,0)</f>
        <v>0</v>
      </c>
      <c r="AT68" s="12">
        <f>VLOOKUP(Tableau2[[#This Row],[essence]],Tableau5[],22,FALSE)</f>
        <v>0.36130000000000001</v>
      </c>
      <c r="AU68" s="12">
        <f>VLOOKUP(Tableau2[[#This Row],[essence]],Tableau5[],23,FALSE)</f>
        <v>0</v>
      </c>
      <c r="AV68" s="12">
        <f>VLOOKUP(Tableau2[[#This Row],[essence]],Tableau5[],18,FALSE)</f>
        <v>0</v>
      </c>
      <c r="AW6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0.81630000000000003</v>
      </c>
      <c r="AX68" s="12">
        <f>1/(1+EXP(-Tableau2[[#This Row],[xb_c]]))</f>
        <v>0.69345036884374855</v>
      </c>
      <c r="AY68" s="12" t="str">
        <f t="shared" si="2"/>
        <v>NA</v>
      </c>
      <c r="AZ68" s="12" t="str">
        <f t="shared" si="3"/>
        <v>NA</v>
      </c>
      <c r="BA68" s="12">
        <f>Tableau2[[#This Row],[prob_c]]</f>
        <v>0.69345036884374855</v>
      </c>
      <c r="BB68" s="12">
        <f>1-Tableau2[[#This Row],[prob_c]]</f>
        <v>0.30654963115625145</v>
      </c>
    </row>
    <row r="69" spans="1:54" x14ac:dyDescent="0.25">
      <c r="A69" s="12">
        <v>3</v>
      </c>
      <c r="B69" s="12" t="s">
        <v>11</v>
      </c>
      <c r="C69" s="12">
        <v>2.1</v>
      </c>
      <c r="D69" s="12">
        <v>700</v>
      </c>
      <c r="E69" s="12">
        <v>20</v>
      </c>
      <c r="F69" s="12">
        <v>1</v>
      </c>
      <c r="G69" s="12">
        <v>20</v>
      </c>
      <c r="H69" s="12">
        <v>31</v>
      </c>
      <c r="I69" s="12" t="s">
        <v>25</v>
      </c>
      <c r="J69" s="12" t="s">
        <v>28</v>
      </c>
      <c r="K69" s="12">
        <f>VLOOKUP(Tableau2[[#This Row],[essence]],Tableau5[],2,FALSE)</f>
        <v>-2.4066000000000001</v>
      </c>
      <c r="L69" s="12">
        <f>VLOOKUP(Tableau2[[#This Row],[essence]],Tableau5[],3,FALSE)</f>
        <v>1.0301</v>
      </c>
      <c r="M69" s="12">
        <f>IF(Tableau2[[#This Row],[priorecol]]="C",1,0)</f>
        <v>0</v>
      </c>
      <c r="N69" s="12">
        <f>VLOOKUP(Tableau2[[#This Row],[essence]],Tableau5[],4,FALSE)</f>
        <v>1.9907999999999999</v>
      </c>
      <c r="O69" s="12">
        <f>IF(Tableau2[[#This Row],[priorecol]]="R",1,0)</f>
        <v>1</v>
      </c>
      <c r="P69" s="12">
        <f>VLOOKUP(Tableau2[[#This Row],[essence]],Tableau5[],5,FALSE)</f>
        <v>1.1955</v>
      </c>
      <c r="Q69" s="12">
        <f>IF(Tableau2[[#This Row],[priorecol]]="S",1,0)</f>
        <v>0</v>
      </c>
      <c r="R69" s="12">
        <f>VLOOKUP(Tableau2[[#This Row],[essence]],Tableau5[],6,FALSE)</f>
        <v>4.2599999999999999E-2</v>
      </c>
      <c r="S69" s="12">
        <f>VLOOKUP(Tableau2[[#This Row],[essence]],Tableau5[],15,FALSE)</f>
        <v>1.3299999999999999E-2</v>
      </c>
      <c r="T69" s="12">
        <f>VLOOKUP(Tableau2[[#This Row],[essence]],Tableau5[],7,FALSE)</f>
        <v>0</v>
      </c>
      <c r="U69" s="12">
        <f>IF(Tableau2[[#This Row],[sdom]]=1,1,0)</f>
        <v>0</v>
      </c>
      <c r="V69" s="12">
        <f>VLOOKUP(Tableau2[[#This Row],[essence]],Tableau5[],8,FALSE)</f>
        <v>0.72299999999999998</v>
      </c>
      <c r="W69" s="12">
        <f>IF(Tableau2[[#This Row],[sdom]]="2EST",1,0)</f>
        <v>0</v>
      </c>
      <c r="X69" s="12">
        <f>VLOOKUP(Tableau2[[#This Row],[essence]],Tableau5[],9,FALSE)</f>
        <v>0.28749999999999998</v>
      </c>
      <c r="Y69" s="12">
        <f>IF(Tableau2[[#This Row],[sdom]]="2OUEST",1,0)</f>
        <v>1</v>
      </c>
      <c r="Z69" s="12">
        <f>VLOOKUP(Tableau2[[#This Row],[essence]],Tableau5[],10,FALSE)</f>
        <v>0.5746</v>
      </c>
      <c r="AA69" s="12">
        <f>IF(Tableau2[[#This Row],[sdom]]="3EST",1,0)</f>
        <v>0</v>
      </c>
      <c r="AB69" s="12">
        <f>VLOOKUP(Tableau2[[#This Row],[essence]],Tableau5[],11,FALSE)</f>
        <v>0.40360000000000001</v>
      </c>
      <c r="AC69" s="12">
        <f>IF(Tableau2[[#This Row],[sdom]]="3OUEST",1,0)</f>
        <v>0</v>
      </c>
      <c r="AD69" s="12">
        <f>VLOOKUP(Tableau2[[#This Row],[essence]],Tableau5[],12,FALSE)</f>
        <v>0</v>
      </c>
      <c r="AE69" s="12">
        <f>IF(Tableau2[[#This Row],[sdom]]="4EST",1,0)</f>
        <v>0</v>
      </c>
      <c r="AF69" s="12">
        <f>VLOOKUP(Tableau2[[#This Row],[essence]],Tableau5[],13,FALSE)</f>
        <v>0</v>
      </c>
      <c r="AG69" s="12">
        <f>IF(Tableau2[[#This Row],[sdom]]="4OUEST",1,0)</f>
        <v>0</v>
      </c>
      <c r="AH69" s="12">
        <f>VLOOKUP(Tableau2[[#This Row],[essence]],Tableau5[],14,FALSE)</f>
        <v>0</v>
      </c>
      <c r="AI69" s="12">
        <f>IF(Tableau2[[#This Row],[sdom]]="5EST",1,0)</f>
        <v>0</v>
      </c>
      <c r="AJ69" s="12">
        <f>VLOOKUP(Tableau2[[#This Row],[essence]],Tableau5[],16,FALSE)</f>
        <v>0</v>
      </c>
      <c r="AK69" s="12">
        <f>IF(Tableau2[[#This Row],[sdom]]="5OUEST",1,0)</f>
        <v>0</v>
      </c>
      <c r="AL69" s="12">
        <f>VLOOKUP(Tableau2[[#This Row],[essence]],Tableau5[],17,FALSE)</f>
        <v>0</v>
      </c>
      <c r="AM69" s="12">
        <f>IF(Tableau2[[#This Row],[sdom]]="6EST",1,0)</f>
        <v>0</v>
      </c>
      <c r="AN69" s="12">
        <f>VLOOKUP(Tableau2[[#This Row],[essence]],Tableau5[],19,FALSE)</f>
        <v>0</v>
      </c>
      <c r="AO69" s="12">
        <f>IF(Tableau2[[#This Row],[priorecol]]="C",1,0)</f>
        <v>0</v>
      </c>
      <c r="AP69" s="12">
        <f>VLOOKUP(Tableau2[[#This Row],[essence]],Tableau5[],20,FALSE)</f>
        <v>0</v>
      </c>
      <c r="AQ69" s="12">
        <f>IF(Tableau2[[#This Row],[priorecol]]="R",1,0)</f>
        <v>1</v>
      </c>
      <c r="AR69" s="12">
        <f>VLOOKUP(Tableau2[[#This Row],[essence]],Tableau5[],21,FALSE)</f>
        <v>0</v>
      </c>
      <c r="AS69" s="12">
        <f>IF(Tableau2[[#This Row],[priorecol]]="S",1,0)</f>
        <v>0</v>
      </c>
      <c r="AT69" s="12">
        <f>VLOOKUP(Tableau2[[#This Row],[essence]],Tableau5[],22,FALSE)</f>
        <v>0.36130000000000001</v>
      </c>
      <c r="AU69" s="12">
        <f>VLOOKUP(Tableau2[[#This Row],[essence]],Tableau5[],23,FALSE)</f>
        <v>0</v>
      </c>
      <c r="AV69" s="12">
        <f>VLOOKUP(Tableau2[[#This Row],[essence]],Tableau5[],18,FALSE)</f>
        <v>0</v>
      </c>
      <c r="AW6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1.8195999999999999</v>
      </c>
      <c r="AX69" s="12">
        <f>1/(1+EXP(-Tableau2[[#This Row],[xb_c]]))</f>
        <v>0.86051812328836641</v>
      </c>
      <c r="AY69" s="12" t="str">
        <f t="shared" si="2"/>
        <v>NA</v>
      </c>
      <c r="AZ69" s="12" t="str">
        <f t="shared" si="3"/>
        <v>NA</v>
      </c>
      <c r="BA69" s="12">
        <f>Tableau2[[#This Row],[prob_c]]</f>
        <v>0.86051812328836641</v>
      </c>
      <c r="BB69" s="12">
        <f>1-Tableau2[[#This Row],[prob_c]]</f>
        <v>0.13948187671163359</v>
      </c>
    </row>
    <row r="70" spans="1:54" x14ac:dyDescent="0.25">
      <c r="A70" s="12">
        <v>3</v>
      </c>
      <c r="B70" s="12" t="s">
        <v>11</v>
      </c>
      <c r="C70" s="12">
        <v>2.1</v>
      </c>
      <c r="D70" s="12">
        <v>700</v>
      </c>
      <c r="E70" s="12">
        <v>20</v>
      </c>
      <c r="F70" s="12">
        <v>1</v>
      </c>
      <c r="G70" s="12">
        <v>21</v>
      </c>
      <c r="H70" s="12">
        <v>32</v>
      </c>
      <c r="I70" s="12" t="s">
        <v>25</v>
      </c>
      <c r="J70" s="12" t="s">
        <v>29</v>
      </c>
      <c r="K70" s="12">
        <f>VLOOKUP(Tableau2[[#This Row],[essence]],Tableau5[],2,FALSE)</f>
        <v>-2.4066000000000001</v>
      </c>
      <c r="L70" s="12">
        <f>VLOOKUP(Tableau2[[#This Row],[essence]],Tableau5[],3,FALSE)</f>
        <v>1.0301</v>
      </c>
      <c r="M70" s="12">
        <f>IF(Tableau2[[#This Row],[priorecol]]="C",1,0)</f>
        <v>0</v>
      </c>
      <c r="N70" s="12">
        <f>VLOOKUP(Tableau2[[#This Row],[essence]],Tableau5[],4,FALSE)</f>
        <v>1.9907999999999999</v>
      </c>
      <c r="O70" s="12">
        <f>IF(Tableau2[[#This Row],[priorecol]]="R",1,0)</f>
        <v>0</v>
      </c>
      <c r="P70" s="12">
        <f>VLOOKUP(Tableau2[[#This Row],[essence]],Tableau5[],5,FALSE)</f>
        <v>1.1955</v>
      </c>
      <c r="Q70" s="12">
        <f>IF(Tableau2[[#This Row],[priorecol]]="S",1,0)</f>
        <v>1</v>
      </c>
      <c r="R70" s="12">
        <f>VLOOKUP(Tableau2[[#This Row],[essence]],Tableau5[],6,FALSE)</f>
        <v>4.2599999999999999E-2</v>
      </c>
      <c r="S70" s="12">
        <f>VLOOKUP(Tableau2[[#This Row],[essence]],Tableau5[],15,FALSE)</f>
        <v>1.3299999999999999E-2</v>
      </c>
      <c r="T70" s="12">
        <f>VLOOKUP(Tableau2[[#This Row],[essence]],Tableau5[],7,FALSE)</f>
        <v>0</v>
      </c>
      <c r="U70" s="12">
        <f>IF(Tableau2[[#This Row],[sdom]]=1,1,0)</f>
        <v>0</v>
      </c>
      <c r="V70" s="12">
        <f>VLOOKUP(Tableau2[[#This Row],[essence]],Tableau5[],8,FALSE)</f>
        <v>0.72299999999999998</v>
      </c>
      <c r="W70" s="12">
        <f>IF(Tableau2[[#This Row],[sdom]]="2EST",1,0)</f>
        <v>0</v>
      </c>
      <c r="X70" s="12">
        <f>VLOOKUP(Tableau2[[#This Row],[essence]],Tableau5[],9,FALSE)</f>
        <v>0.28749999999999998</v>
      </c>
      <c r="Y70" s="12">
        <f>IF(Tableau2[[#This Row],[sdom]]="2OUEST",1,0)</f>
        <v>1</v>
      </c>
      <c r="Z70" s="12">
        <f>VLOOKUP(Tableau2[[#This Row],[essence]],Tableau5[],10,FALSE)</f>
        <v>0.5746</v>
      </c>
      <c r="AA70" s="12">
        <f>IF(Tableau2[[#This Row],[sdom]]="3EST",1,0)</f>
        <v>0</v>
      </c>
      <c r="AB70" s="12">
        <f>VLOOKUP(Tableau2[[#This Row],[essence]],Tableau5[],11,FALSE)</f>
        <v>0.40360000000000001</v>
      </c>
      <c r="AC70" s="12">
        <f>IF(Tableau2[[#This Row],[sdom]]="3OUEST",1,0)</f>
        <v>0</v>
      </c>
      <c r="AD70" s="12">
        <f>VLOOKUP(Tableau2[[#This Row],[essence]],Tableau5[],12,FALSE)</f>
        <v>0</v>
      </c>
      <c r="AE70" s="12">
        <f>IF(Tableau2[[#This Row],[sdom]]="4EST",1,0)</f>
        <v>0</v>
      </c>
      <c r="AF70" s="12">
        <f>VLOOKUP(Tableau2[[#This Row],[essence]],Tableau5[],13,FALSE)</f>
        <v>0</v>
      </c>
      <c r="AG70" s="12">
        <f>IF(Tableau2[[#This Row],[sdom]]="4OUEST",1,0)</f>
        <v>0</v>
      </c>
      <c r="AH70" s="12">
        <f>VLOOKUP(Tableau2[[#This Row],[essence]],Tableau5[],14,FALSE)</f>
        <v>0</v>
      </c>
      <c r="AI70" s="12">
        <f>IF(Tableau2[[#This Row],[sdom]]="5EST",1,0)</f>
        <v>0</v>
      </c>
      <c r="AJ70" s="12">
        <f>VLOOKUP(Tableau2[[#This Row],[essence]],Tableau5[],16,FALSE)</f>
        <v>0</v>
      </c>
      <c r="AK70" s="12">
        <f>IF(Tableau2[[#This Row],[sdom]]="5OUEST",1,0)</f>
        <v>0</v>
      </c>
      <c r="AL70" s="12">
        <f>VLOOKUP(Tableau2[[#This Row],[essence]],Tableau5[],17,FALSE)</f>
        <v>0</v>
      </c>
      <c r="AM70" s="12">
        <f>IF(Tableau2[[#This Row],[sdom]]="6EST",1,0)</f>
        <v>0</v>
      </c>
      <c r="AN70" s="12">
        <f>VLOOKUP(Tableau2[[#This Row],[essence]],Tableau5[],19,FALSE)</f>
        <v>0</v>
      </c>
      <c r="AO70" s="12">
        <f>IF(Tableau2[[#This Row],[priorecol]]="C",1,0)</f>
        <v>0</v>
      </c>
      <c r="AP70" s="12">
        <f>VLOOKUP(Tableau2[[#This Row],[essence]],Tableau5[],20,FALSE)</f>
        <v>0</v>
      </c>
      <c r="AQ70" s="12">
        <f>IF(Tableau2[[#This Row],[priorecol]]="R",1,0)</f>
        <v>0</v>
      </c>
      <c r="AR70" s="12">
        <f>VLOOKUP(Tableau2[[#This Row],[essence]],Tableau5[],21,FALSE)</f>
        <v>0</v>
      </c>
      <c r="AS70" s="12">
        <f>IF(Tableau2[[#This Row],[priorecol]]="S",1,0)</f>
        <v>1</v>
      </c>
      <c r="AT70" s="12">
        <f>VLOOKUP(Tableau2[[#This Row],[essence]],Tableau5[],22,FALSE)</f>
        <v>0.36130000000000001</v>
      </c>
      <c r="AU70" s="12">
        <f>VLOOKUP(Tableau2[[#This Row],[essence]],Tableau5[],23,FALSE)</f>
        <v>0</v>
      </c>
      <c r="AV70" s="12">
        <f>VLOOKUP(Tableau2[[#This Row],[essence]],Tableau5[],18,FALSE)</f>
        <v>0</v>
      </c>
      <c r="AW7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1.0669</v>
      </c>
      <c r="AX70" s="12">
        <f>1/(1+EXP(-Tableau2[[#This Row],[xb_c]]))</f>
        <v>0.74400693466529733</v>
      </c>
      <c r="AY70" s="12" t="str">
        <f t="shared" si="2"/>
        <v>NA</v>
      </c>
      <c r="AZ70" s="12" t="str">
        <f t="shared" si="3"/>
        <v>NA</v>
      </c>
      <c r="BA70" s="12">
        <f>Tableau2[[#This Row],[prob_c]]</f>
        <v>0.74400693466529733</v>
      </c>
      <c r="BB70" s="12">
        <f>1-Tableau2[[#This Row],[prob_c]]</f>
        <v>0.25599306533470267</v>
      </c>
    </row>
    <row r="71" spans="1:54" x14ac:dyDescent="0.25">
      <c r="A71" s="12">
        <v>3</v>
      </c>
      <c r="B71" s="12" t="s">
        <v>11</v>
      </c>
      <c r="C71" s="12">
        <v>2.1</v>
      </c>
      <c r="D71" s="12">
        <v>700</v>
      </c>
      <c r="E71" s="12">
        <v>20</v>
      </c>
      <c r="F71" s="12">
        <v>1</v>
      </c>
      <c r="G71" s="12">
        <v>22</v>
      </c>
      <c r="H71" s="12">
        <v>33</v>
      </c>
      <c r="I71" s="12" t="s">
        <v>26</v>
      </c>
      <c r="J71" s="12" t="s">
        <v>27</v>
      </c>
      <c r="K71" s="12">
        <f>VLOOKUP(Tableau2[[#This Row],[essence]],Tableau5[],2,FALSE)</f>
        <v>-9.0399999999999994E-2</v>
      </c>
      <c r="L71" s="12">
        <f>VLOOKUP(Tableau2[[#This Row],[essence]],Tableau5[],3,FALSE)</f>
        <v>1.0844</v>
      </c>
      <c r="M71" s="12">
        <f>IF(Tableau2[[#This Row],[priorecol]]="C",1,0)</f>
        <v>1</v>
      </c>
      <c r="N71" s="12">
        <f>VLOOKUP(Tableau2[[#This Row],[essence]],Tableau5[],4,FALSE)</f>
        <v>-1.3041</v>
      </c>
      <c r="O71" s="12">
        <f>IF(Tableau2[[#This Row],[priorecol]]="R",1,0)</f>
        <v>0</v>
      </c>
      <c r="P71" s="12">
        <f>VLOOKUP(Tableau2[[#This Row],[essence]],Tableau5[],5,FALSE)</f>
        <v>-0.79790000000000005</v>
      </c>
      <c r="Q71" s="12">
        <f>IF(Tableau2[[#This Row],[priorecol]]="S",1,0)</f>
        <v>0</v>
      </c>
      <c r="R71" s="12">
        <f>VLOOKUP(Tableau2[[#This Row],[essence]],Tableau5[],6,FALSE)</f>
        <v>-5.3E-3</v>
      </c>
      <c r="S71" s="12">
        <f>VLOOKUP(Tableau2[[#This Row],[essence]],Tableau5[],15,FALSE)</f>
        <v>1.2500000000000001E-2</v>
      </c>
      <c r="T71" s="12">
        <f>VLOOKUP(Tableau2[[#This Row],[essence]],Tableau5[],7,FALSE)</f>
        <v>0</v>
      </c>
      <c r="U71" s="12">
        <f>IF(Tableau2[[#This Row],[sdom]]=1,1,0)</f>
        <v>0</v>
      </c>
      <c r="V71" s="12">
        <f>VLOOKUP(Tableau2[[#This Row],[essence]],Tableau5[],8,FALSE)</f>
        <v>0.1497</v>
      </c>
      <c r="W71" s="12">
        <f>IF(Tableau2[[#This Row],[sdom]]="2EST",1,0)</f>
        <v>0</v>
      </c>
      <c r="X71" s="12">
        <f>VLOOKUP(Tableau2[[#This Row],[essence]],Tableau5[],9,FALSE)</f>
        <v>0.4839</v>
      </c>
      <c r="Y71" s="12">
        <f>IF(Tableau2[[#This Row],[sdom]]="2OUEST",1,0)</f>
        <v>1</v>
      </c>
      <c r="Z71" s="12">
        <f>VLOOKUP(Tableau2[[#This Row],[essence]],Tableau5[],10,FALSE)</f>
        <v>-0.14019999999999999</v>
      </c>
      <c r="AA71" s="12">
        <f>IF(Tableau2[[#This Row],[sdom]]="3EST",1,0)</f>
        <v>0</v>
      </c>
      <c r="AB71" s="12">
        <f>VLOOKUP(Tableau2[[#This Row],[essence]],Tableau5[],11,FALSE)</f>
        <v>0.65649999999999997</v>
      </c>
      <c r="AC71" s="12">
        <f>IF(Tableau2[[#This Row],[sdom]]="3OUEST",1,0)</f>
        <v>0</v>
      </c>
      <c r="AD71" s="12">
        <f>VLOOKUP(Tableau2[[#This Row],[essence]],Tableau5[],12,FALSE)</f>
        <v>-1.21E-2</v>
      </c>
      <c r="AE71" s="12">
        <f>IF(Tableau2[[#This Row],[sdom]]="4EST",1,0)</f>
        <v>0</v>
      </c>
      <c r="AF71" s="12">
        <f>VLOOKUP(Tableau2[[#This Row],[essence]],Tableau5[],13,FALSE)</f>
        <v>0.52600000000000002</v>
      </c>
      <c r="AG71" s="12">
        <f>IF(Tableau2[[#This Row],[sdom]]="4OUEST",1,0)</f>
        <v>0</v>
      </c>
      <c r="AH71" s="12">
        <f>VLOOKUP(Tableau2[[#This Row],[essence]],Tableau5[],14,FALSE)</f>
        <v>-0.753</v>
      </c>
      <c r="AI71" s="12">
        <f>IF(Tableau2[[#This Row],[sdom]]="5EST",1,0)</f>
        <v>0</v>
      </c>
      <c r="AJ71" s="12">
        <f>VLOOKUP(Tableau2[[#This Row],[essence]],Tableau5[],16,FALSE)</f>
        <v>0</v>
      </c>
      <c r="AK71" s="12">
        <f>IF(Tableau2[[#This Row],[sdom]]="5OUEST",1,0)</f>
        <v>0</v>
      </c>
      <c r="AL71" s="12">
        <f>VLOOKUP(Tableau2[[#This Row],[essence]],Tableau5[],17,FALSE)</f>
        <v>0</v>
      </c>
      <c r="AM71" s="12">
        <f>IF(Tableau2[[#This Row],[sdom]]="6EST",1,0)</f>
        <v>0</v>
      </c>
      <c r="AN71" s="12">
        <f>VLOOKUP(Tableau2[[#This Row],[essence]],Tableau5[],19,FALSE)</f>
        <v>3.04E-2</v>
      </c>
      <c r="AO71" s="12">
        <f>IF(Tableau2[[#This Row],[priorecol]]="C",1,0)</f>
        <v>1</v>
      </c>
      <c r="AP71" s="12">
        <f>VLOOKUP(Tableau2[[#This Row],[essence]],Tableau5[],20,FALSE)</f>
        <v>0.14549999999999999</v>
      </c>
      <c r="AQ71" s="12">
        <f>IF(Tableau2[[#This Row],[priorecol]]="R",1,0)</f>
        <v>0</v>
      </c>
      <c r="AR71" s="12">
        <f>VLOOKUP(Tableau2[[#This Row],[essence]],Tableau5[],21,FALSE)</f>
        <v>7.8700000000000006E-2</v>
      </c>
      <c r="AS71" s="12">
        <f>IF(Tableau2[[#This Row],[priorecol]]="S",1,0)</f>
        <v>0</v>
      </c>
      <c r="AT71" s="12">
        <f>VLOOKUP(Tableau2[[#This Row],[essence]],Tableau5[],22,FALSE)</f>
        <v>0</v>
      </c>
      <c r="AU71" s="12">
        <f>VLOOKUP(Tableau2[[#This Row],[essence]],Tableau5[],23,FALSE)</f>
        <v>0</v>
      </c>
      <c r="AV71" s="12">
        <f>VLOOKUP(Tableau2[[#This Row],[essence]],Tableau5[],18,FALSE)</f>
        <v>0</v>
      </c>
      <c r="AW7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2.5562</v>
      </c>
      <c r="AX71" s="12">
        <f>1/(1+EXP(-Tableau2[[#This Row],[xb_c]]))</f>
        <v>0.9279889335659407</v>
      </c>
      <c r="AY71" s="12" t="str">
        <f t="shared" si="2"/>
        <v>NA</v>
      </c>
      <c r="AZ71" s="12" t="str">
        <f t="shared" si="3"/>
        <v>NA</v>
      </c>
      <c r="BA71" s="12">
        <f>Tableau2[[#This Row],[prob_c]]</f>
        <v>0.9279889335659407</v>
      </c>
      <c r="BB71" s="12">
        <f>1-Tableau2[[#This Row],[prob_c]]</f>
        <v>7.2011066434059301E-2</v>
      </c>
    </row>
    <row r="72" spans="1:54" x14ac:dyDescent="0.25">
      <c r="A72" s="12">
        <v>3</v>
      </c>
      <c r="B72" s="12" t="s">
        <v>11</v>
      </c>
      <c r="C72" s="12">
        <v>2.1</v>
      </c>
      <c r="D72" s="12">
        <v>700</v>
      </c>
      <c r="E72" s="12">
        <v>20</v>
      </c>
      <c r="F72" s="12">
        <v>1</v>
      </c>
      <c r="G72" s="12">
        <v>23</v>
      </c>
      <c r="H72" s="12">
        <v>24</v>
      </c>
      <c r="I72" s="12" t="s">
        <v>26</v>
      </c>
      <c r="J72" s="12" t="s">
        <v>28</v>
      </c>
      <c r="K72" s="12">
        <f>VLOOKUP(Tableau2[[#This Row],[essence]],Tableau5[],2,FALSE)</f>
        <v>-9.0399999999999994E-2</v>
      </c>
      <c r="L72" s="12">
        <f>VLOOKUP(Tableau2[[#This Row],[essence]],Tableau5[],3,FALSE)</f>
        <v>1.0844</v>
      </c>
      <c r="M72" s="12">
        <f>IF(Tableau2[[#This Row],[priorecol]]="C",1,0)</f>
        <v>0</v>
      </c>
      <c r="N72" s="12">
        <f>VLOOKUP(Tableau2[[#This Row],[essence]],Tableau5[],4,FALSE)</f>
        <v>-1.3041</v>
      </c>
      <c r="O72" s="12">
        <f>IF(Tableau2[[#This Row],[priorecol]]="R",1,0)</f>
        <v>1</v>
      </c>
      <c r="P72" s="12">
        <f>VLOOKUP(Tableau2[[#This Row],[essence]],Tableau5[],5,FALSE)</f>
        <v>-0.79790000000000005</v>
      </c>
      <c r="Q72" s="12">
        <f>IF(Tableau2[[#This Row],[priorecol]]="S",1,0)</f>
        <v>0</v>
      </c>
      <c r="R72" s="12">
        <f>VLOOKUP(Tableau2[[#This Row],[essence]],Tableau5[],6,FALSE)</f>
        <v>-5.3E-3</v>
      </c>
      <c r="S72" s="12">
        <f>VLOOKUP(Tableau2[[#This Row],[essence]],Tableau5[],15,FALSE)</f>
        <v>1.2500000000000001E-2</v>
      </c>
      <c r="T72" s="12">
        <f>VLOOKUP(Tableau2[[#This Row],[essence]],Tableau5[],7,FALSE)</f>
        <v>0</v>
      </c>
      <c r="U72" s="12">
        <f>IF(Tableau2[[#This Row],[sdom]]=1,1,0)</f>
        <v>0</v>
      </c>
      <c r="V72" s="12">
        <f>VLOOKUP(Tableau2[[#This Row],[essence]],Tableau5[],8,FALSE)</f>
        <v>0.1497</v>
      </c>
      <c r="W72" s="12">
        <f>IF(Tableau2[[#This Row],[sdom]]="2EST",1,0)</f>
        <v>0</v>
      </c>
      <c r="X72" s="12">
        <f>VLOOKUP(Tableau2[[#This Row],[essence]],Tableau5[],9,FALSE)</f>
        <v>0.4839</v>
      </c>
      <c r="Y72" s="12">
        <f>IF(Tableau2[[#This Row],[sdom]]="2OUEST",1,0)</f>
        <v>1</v>
      </c>
      <c r="Z72" s="12">
        <f>VLOOKUP(Tableau2[[#This Row],[essence]],Tableau5[],10,FALSE)</f>
        <v>-0.14019999999999999</v>
      </c>
      <c r="AA72" s="12">
        <f>IF(Tableau2[[#This Row],[sdom]]="3EST",1,0)</f>
        <v>0</v>
      </c>
      <c r="AB72" s="12">
        <f>VLOOKUP(Tableau2[[#This Row],[essence]],Tableau5[],11,FALSE)</f>
        <v>0.65649999999999997</v>
      </c>
      <c r="AC72" s="12">
        <f>IF(Tableau2[[#This Row],[sdom]]="3OUEST",1,0)</f>
        <v>0</v>
      </c>
      <c r="AD72" s="12">
        <f>VLOOKUP(Tableau2[[#This Row],[essence]],Tableau5[],12,FALSE)</f>
        <v>-1.21E-2</v>
      </c>
      <c r="AE72" s="12">
        <f>IF(Tableau2[[#This Row],[sdom]]="4EST",1,0)</f>
        <v>0</v>
      </c>
      <c r="AF72" s="12">
        <f>VLOOKUP(Tableau2[[#This Row],[essence]],Tableau5[],13,FALSE)</f>
        <v>0.52600000000000002</v>
      </c>
      <c r="AG72" s="12">
        <f>IF(Tableau2[[#This Row],[sdom]]="4OUEST",1,0)</f>
        <v>0</v>
      </c>
      <c r="AH72" s="12">
        <f>VLOOKUP(Tableau2[[#This Row],[essence]],Tableau5[],14,FALSE)</f>
        <v>-0.753</v>
      </c>
      <c r="AI72" s="12">
        <f>IF(Tableau2[[#This Row],[sdom]]="5EST",1,0)</f>
        <v>0</v>
      </c>
      <c r="AJ72" s="12">
        <f>VLOOKUP(Tableau2[[#This Row],[essence]],Tableau5[],16,FALSE)</f>
        <v>0</v>
      </c>
      <c r="AK72" s="12">
        <f>IF(Tableau2[[#This Row],[sdom]]="5OUEST",1,0)</f>
        <v>0</v>
      </c>
      <c r="AL72" s="12">
        <f>VLOOKUP(Tableau2[[#This Row],[essence]],Tableau5[],17,FALSE)</f>
        <v>0</v>
      </c>
      <c r="AM72" s="12">
        <f>IF(Tableau2[[#This Row],[sdom]]="6EST",1,0)</f>
        <v>0</v>
      </c>
      <c r="AN72" s="12">
        <f>VLOOKUP(Tableau2[[#This Row],[essence]],Tableau5[],19,FALSE)</f>
        <v>3.04E-2</v>
      </c>
      <c r="AO72" s="12">
        <f>IF(Tableau2[[#This Row],[priorecol]]="C",1,0)</f>
        <v>0</v>
      </c>
      <c r="AP72" s="12">
        <f>VLOOKUP(Tableau2[[#This Row],[essence]],Tableau5[],20,FALSE)</f>
        <v>0.14549999999999999</v>
      </c>
      <c r="AQ72" s="12">
        <f>IF(Tableau2[[#This Row],[priorecol]]="R",1,0)</f>
        <v>1</v>
      </c>
      <c r="AR72" s="12">
        <f>VLOOKUP(Tableau2[[#This Row],[essence]],Tableau5[],21,FALSE)</f>
        <v>7.8700000000000006E-2</v>
      </c>
      <c r="AS72" s="12">
        <f>IF(Tableau2[[#This Row],[priorecol]]="S",1,0)</f>
        <v>0</v>
      </c>
      <c r="AT72" s="12">
        <f>VLOOKUP(Tableau2[[#This Row],[essence]],Tableau5[],22,FALSE)</f>
        <v>0</v>
      </c>
      <c r="AU72" s="12">
        <f>VLOOKUP(Tableau2[[#This Row],[essence]],Tableau5[],23,FALSE)</f>
        <v>0</v>
      </c>
      <c r="AV72" s="12">
        <f>VLOOKUP(Tableau2[[#This Row],[essence]],Tableau5[],18,FALSE)</f>
        <v>0</v>
      </c>
      <c r="AW7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2.7042000000000002</v>
      </c>
      <c r="AX72" s="12">
        <f>1/(1+EXP(-Tableau2[[#This Row],[xb_c]]))</f>
        <v>0.93727402190659337</v>
      </c>
      <c r="AY72" s="12" t="str">
        <f t="shared" si="2"/>
        <v>NA</v>
      </c>
      <c r="AZ72" s="12" t="str">
        <f t="shared" si="3"/>
        <v>NA</v>
      </c>
      <c r="BA72" s="12">
        <f>Tableau2[[#This Row],[prob_c]]</f>
        <v>0.93727402190659337</v>
      </c>
      <c r="BB72" s="12">
        <f>1-Tableau2[[#This Row],[prob_c]]</f>
        <v>6.2725978093406631E-2</v>
      </c>
    </row>
    <row r="73" spans="1:54" x14ac:dyDescent="0.25">
      <c r="A73" s="12">
        <v>3</v>
      </c>
      <c r="B73" s="12" t="s">
        <v>11</v>
      </c>
      <c r="C73" s="12">
        <v>2.1</v>
      </c>
      <c r="D73" s="12">
        <v>700</v>
      </c>
      <c r="E73" s="12">
        <v>20</v>
      </c>
      <c r="F73" s="12">
        <v>1</v>
      </c>
      <c r="G73" s="12">
        <v>24</v>
      </c>
      <c r="H73" s="12">
        <v>25</v>
      </c>
      <c r="I73" s="12" t="s">
        <v>26</v>
      </c>
      <c r="J73" s="12" t="s">
        <v>29</v>
      </c>
      <c r="K73" s="12">
        <f>VLOOKUP(Tableau2[[#This Row],[essence]],Tableau5[],2,FALSE)</f>
        <v>-9.0399999999999994E-2</v>
      </c>
      <c r="L73" s="12">
        <f>VLOOKUP(Tableau2[[#This Row],[essence]],Tableau5[],3,FALSE)</f>
        <v>1.0844</v>
      </c>
      <c r="M73" s="12">
        <f>IF(Tableau2[[#This Row],[priorecol]]="C",1,0)</f>
        <v>0</v>
      </c>
      <c r="N73" s="12">
        <f>VLOOKUP(Tableau2[[#This Row],[essence]],Tableau5[],4,FALSE)</f>
        <v>-1.3041</v>
      </c>
      <c r="O73" s="12">
        <f>IF(Tableau2[[#This Row],[priorecol]]="R",1,0)</f>
        <v>0</v>
      </c>
      <c r="P73" s="12">
        <f>VLOOKUP(Tableau2[[#This Row],[essence]],Tableau5[],5,FALSE)</f>
        <v>-0.79790000000000005</v>
      </c>
      <c r="Q73" s="12">
        <f>IF(Tableau2[[#This Row],[priorecol]]="S",1,0)</f>
        <v>1</v>
      </c>
      <c r="R73" s="12">
        <f>VLOOKUP(Tableau2[[#This Row],[essence]],Tableau5[],6,FALSE)</f>
        <v>-5.3E-3</v>
      </c>
      <c r="S73" s="12">
        <f>VLOOKUP(Tableau2[[#This Row],[essence]],Tableau5[],15,FALSE)</f>
        <v>1.2500000000000001E-2</v>
      </c>
      <c r="T73" s="12">
        <f>VLOOKUP(Tableau2[[#This Row],[essence]],Tableau5[],7,FALSE)</f>
        <v>0</v>
      </c>
      <c r="U73" s="12">
        <f>IF(Tableau2[[#This Row],[sdom]]=1,1,0)</f>
        <v>0</v>
      </c>
      <c r="V73" s="12">
        <f>VLOOKUP(Tableau2[[#This Row],[essence]],Tableau5[],8,FALSE)</f>
        <v>0.1497</v>
      </c>
      <c r="W73" s="12">
        <f>IF(Tableau2[[#This Row],[sdom]]="2EST",1,0)</f>
        <v>0</v>
      </c>
      <c r="X73" s="12">
        <f>VLOOKUP(Tableau2[[#This Row],[essence]],Tableau5[],9,FALSE)</f>
        <v>0.4839</v>
      </c>
      <c r="Y73" s="12">
        <f>IF(Tableau2[[#This Row],[sdom]]="2OUEST",1,0)</f>
        <v>1</v>
      </c>
      <c r="Z73" s="12">
        <f>VLOOKUP(Tableau2[[#This Row],[essence]],Tableau5[],10,FALSE)</f>
        <v>-0.14019999999999999</v>
      </c>
      <c r="AA73" s="12">
        <f>IF(Tableau2[[#This Row],[sdom]]="3EST",1,0)</f>
        <v>0</v>
      </c>
      <c r="AB73" s="12">
        <f>VLOOKUP(Tableau2[[#This Row],[essence]],Tableau5[],11,FALSE)</f>
        <v>0.65649999999999997</v>
      </c>
      <c r="AC73" s="12">
        <f>IF(Tableau2[[#This Row],[sdom]]="3OUEST",1,0)</f>
        <v>0</v>
      </c>
      <c r="AD73" s="12">
        <f>VLOOKUP(Tableau2[[#This Row],[essence]],Tableau5[],12,FALSE)</f>
        <v>-1.21E-2</v>
      </c>
      <c r="AE73" s="12">
        <f>IF(Tableau2[[#This Row],[sdom]]="4EST",1,0)</f>
        <v>0</v>
      </c>
      <c r="AF73" s="12">
        <f>VLOOKUP(Tableau2[[#This Row],[essence]],Tableau5[],13,FALSE)</f>
        <v>0.52600000000000002</v>
      </c>
      <c r="AG73" s="12">
        <f>IF(Tableau2[[#This Row],[sdom]]="4OUEST",1,0)</f>
        <v>0</v>
      </c>
      <c r="AH73" s="12">
        <f>VLOOKUP(Tableau2[[#This Row],[essence]],Tableau5[],14,FALSE)</f>
        <v>-0.753</v>
      </c>
      <c r="AI73" s="12">
        <f>IF(Tableau2[[#This Row],[sdom]]="5EST",1,0)</f>
        <v>0</v>
      </c>
      <c r="AJ73" s="12">
        <f>VLOOKUP(Tableau2[[#This Row],[essence]],Tableau5[],16,FALSE)</f>
        <v>0</v>
      </c>
      <c r="AK73" s="12">
        <f>IF(Tableau2[[#This Row],[sdom]]="5OUEST",1,0)</f>
        <v>0</v>
      </c>
      <c r="AL73" s="12">
        <f>VLOOKUP(Tableau2[[#This Row],[essence]],Tableau5[],17,FALSE)</f>
        <v>0</v>
      </c>
      <c r="AM73" s="12">
        <f>IF(Tableau2[[#This Row],[sdom]]="6EST",1,0)</f>
        <v>0</v>
      </c>
      <c r="AN73" s="12">
        <f>VLOOKUP(Tableau2[[#This Row],[essence]],Tableau5[],19,FALSE)</f>
        <v>3.04E-2</v>
      </c>
      <c r="AO73" s="12">
        <f>IF(Tableau2[[#This Row],[priorecol]]="C",1,0)</f>
        <v>0</v>
      </c>
      <c r="AP73" s="12">
        <f>VLOOKUP(Tableau2[[#This Row],[essence]],Tableau5[],20,FALSE)</f>
        <v>0.14549999999999999</v>
      </c>
      <c r="AQ73" s="12">
        <f>IF(Tableau2[[#This Row],[priorecol]]="R",1,0)</f>
        <v>0</v>
      </c>
      <c r="AR73" s="12">
        <f>VLOOKUP(Tableau2[[#This Row],[essence]],Tableau5[],21,FALSE)</f>
        <v>7.8700000000000006E-2</v>
      </c>
      <c r="AS73" s="12">
        <f>IF(Tableau2[[#This Row],[priorecol]]="S",1,0)</f>
        <v>1</v>
      </c>
      <c r="AT73" s="12">
        <f>VLOOKUP(Tableau2[[#This Row],[essence]],Tableau5[],22,FALSE)</f>
        <v>0</v>
      </c>
      <c r="AU73" s="12">
        <f>VLOOKUP(Tableau2[[#This Row],[essence]],Tableau5[],23,FALSE)</f>
        <v>0</v>
      </c>
      <c r="AV73" s="12">
        <f>VLOOKUP(Tableau2[[#This Row],[essence]],Tableau5[],18,FALSE)</f>
        <v>0</v>
      </c>
      <c r="AW7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1.6806000000000001</v>
      </c>
      <c r="AX73" s="12">
        <f>1/(1+EXP(-Tableau2[[#This Row],[xb_c]]))</f>
        <v>0.84298396465881564</v>
      </c>
      <c r="AY73" s="12" t="str">
        <f t="shared" si="2"/>
        <v>NA</v>
      </c>
      <c r="AZ73" s="12" t="str">
        <f t="shared" si="3"/>
        <v>NA</v>
      </c>
      <c r="BA73" s="12">
        <f>Tableau2[[#This Row],[prob_c]]</f>
        <v>0.84298396465881564</v>
      </c>
      <c r="BB73" s="12">
        <f>1-Tableau2[[#This Row],[prob_c]]</f>
        <v>0.15701603534118436</v>
      </c>
    </row>
    <row r="74" spans="1:54" x14ac:dyDescent="0.25">
      <c r="A74" s="12">
        <v>4</v>
      </c>
      <c r="B74" s="12" t="s">
        <v>12</v>
      </c>
      <c r="C74" s="12">
        <v>2.1</v>
      </c>
      <c r="D74" s="12">
        <v>700</v>
      </c>
      <c r="E74" s="12">
        <v>20</v>
      </c>
      <c r="F74" s="12">
        <v>1</v>
      </c>
      <c r="G74" s="12">
        <v>1</v>
      </c>
      <c r="H74" s="12">
        <v>26</v>
      </c>
      <c r="I74" s="12" t="s">
        <v>19</v>
      </c>
      <c r="J74" s="12" t="s">
        <v>27</v>
      </c>
      <c r="K74" s="12">
        <f>VLOOKUP(Tableau2[[#This Row],[essence]],Tableau5[],2,FALSE)</f>
        <v>-1.806</v>
      </c>
      <c r="L74" s="12">
        <f>VLOOKUP(Tableau2[[#This Row],[essence]],Tableau5[],3,FALSE)</f>
        <v>1.2398</v>
      </c>
      <c r="M74" s="12">
        <f>IF(Tableau2[[#This Row],[priorecol]]="C",1,0)</f>
        <v>1</v>
      </c>
      <c r="N74" s="12">
        <f>VLOOKUP(Tableau2[[#This Row],[essence]],Tableau5[],4,FALSE)</f>
        <v>2.6488</v>
      </c>
      <c r="O74" s="12">
        <f>IF(Tableau2[[#This Row],[priorecol]]="R",1,0)</f>
        <v>0</v>
      </c>
      <c r="P74" s="12">
        <f>VLOOKUP(Tableau2[[#This Row],[essence]],Tableau5[],5,FALSE)</f>
        <v>0.61070000000000002</v>
      </c>
      <c r="Q74" s="12">
        <f>IF(Tableau2[[#This Row],[priorecol]]="S",1,0)</f>
        <v>0</v>
      </c>
      <c r="R74" s="12">
        <f>VLOOKUP(Tableau2[[#This Row],[essence]],Tableau5[],6,FALSE)</f>
        <v>5.67E-2</v>
      </c>
      <c r="S74" s="12">
        <f>VLOOKUP(Tableau2[[#This Row],[essence]],Tableau5[],15,FALSE)</f>
        <v>1.35E-2</v>
      </c>
      <c r="T74" s="12">
        <f>VLOOKUP(Tableau2[[#This Row],[essence]],Tableau5[],7,FALSE)</f>
        <v>0.95779999999999998</v>
      </c>
      <c r="U74" s="12">
        <f>IF(Tableau2[[#This Row],[sdom]]=1,1,0)</f>
        <v>0</v>
      </c>
      <c r="V74" s="12">
        <f>VLOOKUP(Tableau2[[#This Row],[essence]],Tableau5[],8,FALSE)</f>
        <v>0.66500000000000004</v>
      </c>
      <c r="W74" s="12">
        <f>IF(Tableau2[[#This Row],[sdom]]="2EST",1,0)</f>
        <v>0</v>
      </c>
      <c r="X74" s="12">
        <f>VLOOKUP(Tableau2[[#This Row],[essence]],Tableau5[],9,FALSE)</f>
        <v>0.32479999999999998</v>
      </c>
      <c r="Y74" s="12">
        <f>IF(Tableau2[[#This Row],[sdom]]="2OUEST",1,0)</f>
        <v>0</v>
      </c>
      <c r="Z74" s="12">
        <f>VLOOKUP(Tableau2[[#This Row],[essence]],Tableau5[],10,FALSE)</f>
        <v>0.62949999999999995</v>
      </c>
      <c r="AA74" s="12">
        <f>IF(Tableau2[[#This Row],[sdom]]="3EST",1,0)</f>
        <v>1</v>
      </c>
      <c r="AB74" s="12">
        <f>VLOOKUP(Tableau2[[#This Row],[essence]],Tableau5[],11,FALSE)</f>
        <v>0.56679999999999997</v>
      </c>
      <c r="AC74" s="12">
        <f>IF(Tableau2[[#This Row],[sdom]]="3OUEST",1,0)</f>
        <v>0</v>
      </c>
      <c r="AD74" s="12">
        <f>VLOOKUP(Tableau2[[#This Row],[essence]],Tableau5[],12,FALSE)</f>
        <v>0.21729999999999999</v>
      </c>
      <c r="AE74" s="12">
        <f>IF(Tableau2[[#This Row],[sdom]]="4EST",1,0)</f>
        <v>0</v>
      </c>
      <c r="AF74" s="12">
        <f>VLOOKUP(Tableau2[[#This Row],[essence]],Tableau5[],13,FALSE)</f>
        <v>0.39939999999999998</v>
      </c>
      <c r="AG74" s="12">
        <f>IF(Tableau2[[#This Row],[sdom]]="4OUEST",1,0)</f>
        <v>0</v>
      </c>
      <c r="AH74" s="12">
        <f>VLOOKUP(Tableau2[[#This Row],[essence]],Tableau5[],14,FALSE)</f>
        <v>6.5299999999999997E-2</v>
      </c>
      <c r="AI74" s="12">
        <f>IF(Tableau2[[#This Row],[sdom]]="5EST",1,0)</f>
        <v>0</v>
      </c>
      <c r="AJ74" s="12">
        <f>VLOOKUP(Tableau2[[#This Row],[essence]],Tableau5[],16,FALSE)</f>
        <v>0</v>
      </c>
      <c r="AK74" s="12">
        <f>IF(Tableau2[[#This Row],[sdom]]="5OUEST",1,0)</f>
        <v>0</v>
      </c>
      <c r="AL74" s="12">
        <f>VLOOKUP(Tableau2[[#This Row],[essence]],Tableau5[],17,FALSE)</f>
        <v>0</v>
      </c>
      <c r="AM74" s="12">
        <f>IF(Tableau2[[#This Row],[sdom]]="6EST",1,0)</f>
        <v>0</v>
      </c>
      <c r="AN74" s="12">
        <f>VLOOKUP(Tableau2[[#This Row],[essence]],Tableau5[],19,FALSE)</f>
        <v>0</v>
      </c>
      <c r="AO74" s="12">
        <f>IF(Tableau2[[#This Row],[priorecol]]="C",1,0)</f>
        <v>1</v>
      </c>
      <c r="AP74" s="12">
        <f>VLOOKUP(Tableau2[[#This Row],[essence]],Tableau5[],20,FALSE)</f>
        <v>0</v>
      </c>
      <c r="AQ74" s="12">
        <f>IF(Tableau2[[#This Row],[priorecol]]="R",1,0)</f>
        <v>0</v>
      </c>
      <c r="AR74" s="12">
        <f>VLOOKUP(Tableau2[[#This Row],[essence]],Tableau5[],21,FALSE)</f>
        <v>0</v>
      </c>
      <c r="AS74" s="12">
        <f>IF(Tableau2[[#This Row],[priorecol]]="S",1,0)</f>
        <v>0</v>
      </c>
      <c r="AT74" s="12">
        <f>VLOOKUP(Tableau2[[#This Row],[essence]],Tableau5[],22,FALSE)</f>
        <v>0</v>
      </c>
      <c r="AU74" s="12">
        <f>VLOOKUP(Tableau2[[#This Row],[essence]],Tableau5[],23,FALSE)</f>
        <v>0</v>
      </c>
      <c r="AV74" s="12">
        <f>VLOOKUP(Tableau2[[#This Row],[essence]],Tableau5[],18,FALSE)</f>
        <v>0</v>
      </c>
      <c r="AW7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1.8074999999999999</v>
      </c>
      <c r="AX74" s="12">
        <f>1/(1+EXP(-Tableau2[[#This Row],[xb_c]]))</f>
        <v>0.85905945512028792</v>
      </c>
      <c r="AY74" s="12" t="str">
        <f t="shared" si="2"/>
        <v>NA</v>
      </c>
      <c r="AZ74" s="12" t="str">
        <f t="shared" si="3"/>
        <v>NA</v>
      </c>
      <c r="BA74" s="12">
        <f>Tableau2[[#This Row],[prob_c]]</f>
        <v>0.85905945512028792</v>
      </c>
      <c r="BB74" s="12">
        <f>1-Tableau2[[#This Row],[prob_c]]</f>
        <v>0.14094054487971208</v>
      </c>
    </row>
    <row r="75" spans="1:54" x14ac:dyDescent="0.25">
      <c r="A75" s="12">
        <v>4</v>
      </c>
      <c r="B75" s="12" t="s">
        <v>12</v>
      </c>
      <c r="C75" s="12">
        <v>2.1</v>
      </c>
      <c r="D75" s="12">
        <v>700</v>
      </c>
      <c r="E75" s="12">
        <v>20</v>
      </c>
      <c r="F75" s="12">
        <v>1</v>
      </c>
      <c r="G75" s="12">
        <v>2</v>
      </c>
      <c r="H75" s="12">
        <v>27</v>
      </c>
      <c r="I75" s="12" t="s">
        <v>19</v>
      </c>
      <c r="J75" s="12" t="s">
        <v>28</v>
      </c>
      <c r="K75" s="12">
        <f>VLOOKUP(Tableau2[[#This Row],[essence]],Tableau5[],2,FALSE)</f>
        <v>-1.806</v>
      </c>
      <c r="L75" s="12">
        <f>VLOOKUP(Tableau2[[#This Row],[essence]],Tableau5[],3,FALSE)</f>
        <v>1.2398</v>
      </c>
      <c r="M75" s="12">
        <f>IF(Tableau2[[#This Row],[priorecol]]="C",1,0)</f>
        <v>0</v>
      </c>
      <c r="N75" s="12">
        <f>VLOOKUP(Tableau2[[#This Row],[essence]],Tableau5[],4,FALSE)</f>
        <v>2.6488</v>
      </c>
      <c r="O75" s="12">
        <f>IF(Tableau2[[#This Row],[priorecol]]="R",1,0)</f>
        <v>1</v>
      </c>
      <c r="P75" s="12">
        <f>VLOOKUP(Tableau2[[#This Row],[essence]],Tableau5[],5,FALSE)</f>
        <v>0.61070000000000002</v>
      </c>
      <c r="Q75" s="12">
        <f>IF(Tableau2[[#This Row],[priorecol]]="S",1,0)</f>
        <v>0</v>
      </c>
      <c r="R75" s="12">
        <f>VLOOKUP(Tableau2[[#This Row],[essence]],Tableau5[],6,FALSE)</f>
        <v>5.67E-2</v>
      </c>
      <c r="S75" s="12">
        <f>VLOOKUP(Tableau2[[#This Row],[essence]],Tableau5[],15,FALSE)</f>
        <v>1.35E-2</v>
      </c>
      <c r="T75" s="12">
        <f>VLOOKUP(Tableau2[[#This Row],[essence]],Tableau5[],7,FALSE)</f>
        <v>0.95779999999999998</v>
      </c>
      <c r="U75" s="12">
        <f>IF(Tableau2[[#This Row],[sdom]]=1,1,0)</f>
        <v>0</v>
      </c>
      <c r="V75" s="12">
        <f>VLOOKUP(Tableau2[[#This Row],[essence]],Tableau5[],8,FALSE)</f>
        <v>0.66500000000000004</v>
      </c>
      <c r="W75" s="12">
        <f>IF(Tableau2[[#This Row],[sdom]]="2EST",1,0)</f>
        <v>0</v>
      </c>
      <c r="X75" s="12">
        <f>VLOOKUP(Tableau2[[#This Row],[essence]],Tableau5[],9,FALSE)</f>
        <v>0.32479999999999998</v>
      </c>
      <c r="Y75" s="12">
        <f>IF(Tableau2[[#This Row],[sdom]]="2OUEST",1,0)</f>
        <v>0</v>
      </c>
      <c r="Z75" s="12">
        <f>VLOOKUP(Tableau2[[#This Row],[essence]],Tableau5[],10,FALSE)</f>
        <v>0.62949999999999995</v>
      </c>
      <c r="AA75" s="12">
        <f>IF(Tableau2[[#This Row],[sdom]]="3EST",1,0)</f>
        <v>1</v>
      </c>
      <c r="AB75" s="12">
        <f>VLOOKUP(Tableau2[[#This Row],[essence]],Tableau5[],11,FALSE)</f>
        <v>0.56679999999999997</v>
      </c>
      <c r="AC75" s="12">
        <f>IF(Tableau2[[#This Row],[sdom]]="3OUEST",1,0)</f>
        <v>0</v>
      </c>
      <c r="AD75" s="12">
        <f>VLOOKUP(Tableau2[[#This Row],[essence]],Tableau5[],12,FALSE)</f>
        <v>0.21729999999999999</v>
      </c>
      <c r="AE75" s="12">
        <f>IF(Tableau2[[#This Row],[sdom]]="4EST",1,0)</f>
        <v>0</v>
      </c>
      <c r="AF75" s="12">
        <f>VLOOKUP(Tableau2[[#This Row],[essence]],Tableau5[],13,FALSE)</f>
        <v>0.39939999999999998</v>
      </c>
      <c r="AG75" s="12">
        <f>IF(Tableau2[[#This Row],[sdom]]="4OUEST",1,0)</f>
        <v>0</v>
      </c>
      <c r="AH75" s="12">
        <f>VLOOKUP(Tableau2[[#This Row],[essence]],Tableau5[],14,FALSE)</f>
        <v>6.5299999999999997E-2</v>
      </c>
      <c r="AI75" s="12">
        <f>IF(Tableau2[[#This Row],[sdom]]="5EST",1,0)</f>
        <v>0</v>
      </c>
      <c r="AJ75" s="12">
        <f>VLOOKUP(Tableau2[[#This Row],[essence]],Tableau5[],16,FALSE)</f>
        <v>0</v>
      </c>
      <c r="AK75" s="12">
        <f>IF(Tableau2[[#This Row],[sdom]]="5OUEST",1,0)</f>
        <v>0</v>
      </c>
      <c r="AL75" s="12">
        <f>VLOOKUP(Tableau2[[#This Row],[essence]],Tableau5[],17,FALSE)</f>
        <v>0</v>
      </c>
      <c r="AM75" s="12">
        <f>IF(Tableau2[[#This Row],[sdom]]="6EST",1,0)</f>
        <v>0</v>
      </c>
      <c r="AN75" s="12">
        <f>VLOOKUP(Tableau2[[#This Row],[essence]],Tableau5[],19,FALSE)</f>
        <v>0</v>
      </c>
      <c r="AO75" s="12">
        <f>IF(Tableau2[[#This Row],[priorecol]]="C",1,0)</f>
        <v>0</v>
      </c>
      <c r="AP75" s="12">
        <f>VLOOKUP(Tableau2[[#This Row],[essence]],Tableau5[],20,FALSE)</f>
        <v>0</v>
      </c>
      <c r="AQ75" s="12">
        <f>IF(Tableau2[[#This Row],[priorecol]]="R",1,0)</f>
        <v>1</v>
      </c>
      <c r="AR75" s="12">
        <f>VLOOKUP(Tableau2[[#This Row],[essence]],Tableau5[],21,FALSE)</f>
        <v>0</v>
      </c>
      <c r="AS75" s="12">
        <f>IF(Tableau2[[#This Row],[priorecol]]="S",1,0)</f>
        <v>0</v>
      </c>
      <c r="AT75" s="12">
        <f>VLOOKUP(Tableau2[[#This Row],[essence]],Tableau5[],22,FALSE)</f>
        <v>0</v>
      </c>
      <c r="AU75" s="12">
        <f>VLOOKUP(Tableau2[[#This Row],[essence]],Tableau5[],23,FALSE)</f>
        <v>0</v>
      </c>
      <c r="AV75" s="12">
        <f>VLOOKUP(Tableau2[[#This Row],[essence]],Tableau5[],18,FALSE)</f>
        <v>0</v>
      </c>
      <c r="AW7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3.2732000000000001</v>
      </c>
      <c r="AX75" s="12">
        <f>1/(1+EXP(-Tableau2[[#This Row],[xb_c]]))</f>
        <v>0.96349788188343966</v>
      </c>
      <c r="AY75" s="12" t="str">
        <f t="shared" si="2"/>
        <v>NA</v>
      </c>
      <c r="AZ75" s="12" t="str">
        <f t="shared" si="3"/>
        <v>NA</v>
      </c>
      <c r="BA75" s="12">
        <f>Tableau2[[#This Row],[prob_c]]</f>
        <v>0.96349788188343966</v>
      </c>
      <c r="BB75" s="12">
        <f>1-Tableau2[[#This Row],[prob_c]]</f>
        <v>3.6502118116560345E-2</v>
      </c>
    </row>
    <row r="76" spans="1:54" x14ac:dyDescent="0.25">
      <c r="A76" s="12">
        <v>4</v>
      </c>
      <c r="B76" s="12" t="s">
        <v>12</v>
      </c>
      <c r="C76" s="12">
        <v>2.1</v>
      </c>
      <c r="D76" s="12">
        <v>700</v>
      </c>
      <c r="E76" s="12">
        <v>20</v>
      </c>
      <c r="F76" s="12">
        <v>1</v>
      </c>
      <c r="G76" s="12">
        <v>3</v>
      </c>
      <c r="H76" s="12">
        <v>28</v>
      </c>
      <c r="I76" s="12" t="s">
        <v>19</v>
      </c>
      <c r="J76" s="12" t="s">
        <v>29</v>
      </c>
      <c r="K76" s="12">
        <f>VLOOKUP(Tableau2[[#This Row],[essence]],Tableau5[],2,FALSE)</f>
        <v>-1.806</v>
      </c>
      <c r="L76" s="12">
        <f>VLOOKUP(Tableau2[[#This Row],[essence]],Tableau5[],3,FALSE)</f>
        <v>1.2398</v>
      </c>
      <c r="M76" s="12">
        <f>IF(Tableau2[[#This Row],[priorecol]]="C",1,0)</f>
        <v>0</v>
      </c>
      <c r="N76" s="12">
        <f>VLOOKUP(Tableau2[[#This Row],[essence]],Tableau5[],4,FALSE)</f>
        <v>2.6488</v>
      </c>
      <c r="O76" s="12">
        <f>IF(Tableau2[[#This Row],[priorecol]]="R",1,0)</f>
        <v>0</v>
      </c>
      <c r="P76" s="12">
        <f>VLOOKUP(Tableau2[[#This Row],[essence]],Tableau5[],5,FALSE)</f>
        <v>0.61070000000000002</v>
      </c>
      <c r="Q76" s="12">
        <f>IF(Tableau2[[#This Row],[priorecol]]="S",1,0)</f>
        <v>1</v>
      </c>
      <c r="R76" s="12">
        <f>VLOOKUP(Tableau2[[#This Row],[essence]],Tableau5[],6,FALSE)</f>
        <v>5.67E-2</v>
      </c>
      <c r="S76" s="12">
        <f>VLOOKUP(Tableau2[[#This Row],[essence]],Tableau5[],15,FALSE)</f>
        <v>1.35E-2</v>
      </c>
      <c r="T76" s="12">
        <f>VLOOKUP(Tableau2[[#This Row],[essence]],Tableau5[],7,FALSE)</f>
        <v>0.95779999999999998</v>
      </c>
      <c r="U76" s="12">
        <f>IF(Tableau2[[#This Row],[sdom]]=1,1,0)</f>
        <v>0</v>
      </c>
      <c r="V76" s="12">
        <f>VLOOKUP(Tableau2[[#This Row],[essence]],Tableau5[],8,FALSE)</f>
        <v>0.66500000000000004</v>
      </c>
      <c r="W76" s="12">
        <f>IF(Tableau2[[#This Row],[sdom]]="2EST",1,0)</f>
        <v>0</v>
      </c>
      <c r="X76" s="12">
        <f>VLOOKUP(Tableau2[[#This Row],[essence]],Tableau5[],9,FALSE)</f>
        <v>0.32479999999999998</v>
      </c>
      <c r="Y76" s="12">
        <f>IF(Tableau2[[#This Row],[sdom]]="2OUEST",1,0)</f>
        <v>0</v>
      </c>
      <c r="Z76" s="12">
        <f>VLOOKUP(Tableau2[[#This Row],[essence]],Tableau5[],10,FALSE)</f>
        <v>0.62949999999999995</v>
      </c>
      <c r="AA76" s="12">
        <f>IF(Tableau2[[#This Row],[sdom]]="3EST",1,0)</f>
        <v>1</v>
      </c>
      <c r="AB76" s="12">
        <f>VLOOKUP(Tableau2[[#This Row],[essence]],Tableau5[],11,FALSE)</f>
        <v>0.56679999999999997</v>
      </c>
      <c r="AC76" s="12">
        <f>IF(Tableau2[[#This Row],[sdom]]="3OUEST",1,0)</f>
        <v>0</v>
      </c>
      <c r="AD76" s="12">
        <f>VLOOKUP(Tableau2[[#This Row],[essence]],Tableau5[],12,FALSE)</f>
        <v>0.21729999999999999</v>
      </c>
      <c r="AE76" s="12">
        <f>IF(Tableau2[[#This Row],[sdom]]="4EST",1,0)</f>
        <v>0</v>
      </c>
      <c r="AF76" s="12">
        <f>VLOOKUP(Tableau2[[#This Row],[essence]],Tableau5[],13,FALSE)</f>
        <v>0.39939999999999998</v>
      </c>
      <c r="AG76" s="12">
        <f>IF(Tableau2[[#This Row],[sdom]]="4OUEST",1,0)</f>
        <v>0</v>
      </c>
      <c r="AH76" s="12">
        <f>VLOOKUP(Tableau2[[#This Row],[essence]],Tableau5[],14,FALSE)</f>
        <v>6.5299999999999997E-2</v>
      </c>
      <c r="AI76" s="12">
        <f>IF(Tableau2[[#This Row],[sdom]]="5EST",1,0)</f>
        <v>0</v>
      </c>
      <c r="AJ76" s="12">
        <f>VLOOKUP(Tableau2[[#This Row],[essence]],Tableau5[],16,FALSE)</f>
        <v>0</v>
      </c>
      <c r="AK76" s="12">
        <f>IF(Tableau2[[#This Row],[sdom]]="5OUEST",1,0)</f>
        <v>0</v>
      </c>
      <c r="AL76" s="12">
        <f>VLOOKUP(Tableau2[[#This Row],[essence]],Tableau5[],17,FALSE)</f>
        <v>0</v>
      </c>
      <c r="AM76" s="12">
        <f>IF(Tableau2[[#This Row],[sdom]]="6EST",1,0)</f>
        <v>0</v>
      </c>
      <c r="AN76" s="12">
        <f>VLOOKUP(Tableau2[[#This Row],[essence]],Tableau5[],19,FALSE)</f>
        <v>0</v>
      </c>
      <c r="AO76" s="12">
        <f>IF(Tableau2[[#This Row],[priorecol]]="C",1,0)</f>
        <v>0</v>
      </c>
      <c r="AP76" s="12">
        <f>VLOOKUP(Tableau2[[#This Row],[essence]],Tableau5[],20,FALSE)</f>
        <v>0</v>
      </c>
      <c r="AQ76" s="12">
        <f>IF(Tableau2[[#This Row],[priorecol]]="R",1,0)</f>
        <v>0</v>
      </c>
      <c r="AR76" s="12">
        <f>VLOOKUP(Tableau2[[#This Row],[essence]],Tableau5[],21,FALSE)</f>
        <v>0</v>
      </c>
      <c r="AS76" s="12">
        <f>IF(Tableau2[[#This Row],[priorecol]]="S",1,0)</f>
        <v>1</v>
      </c>
      <c r="AT76" s="12">
        <f>VLOOKUP(Tableau2[[#This Row],[essence]],Tableau5[],22,FALSE)</f>
        <v>0</v>
      </c>
      <c r="AU76" s="12">
        <f>VLOOKUP(Tableau2[[#This Row],[essence]],Tableau5[],23,FALSE)</f>
        <v>0</v>
      </c>
      <c r="AV76" s="12">
        <f>VLOOKUP(Tableau2[[#This Row],[essence]],Tableau5[],18,FALSE)</f>
        <v>0</v>
      </c>
      <c r="AW7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1.2918000000000001</v>
      </c>
      <c r="AX76" s="12">
        <f>1/(1+EXP(-Tableau2[[#This Row],[xb_c]]))</f>
        <v>0.78445170202241143</v>
      </c>
      <c r="AY76" s="12" t="str">
        <f t="shared" si="2"/>
        <v>NA</v>
      </c>
      <c r="AZ76" s="12" t="str">
        <f t="shared" si="3"/>
        <v>NA</v>
      </c>
      <c r="BA76" s="12">
        <f>Tableau2[[#This Row],[prob_c]]</f>
        <v>0.78445170202241143</v>
      </c>
      <c r="BB76" s="12">
        <f>1-Tableau2[[#This Row],[prob_c]]</f>
        <v>0.21554829797758857</v>
      </c>
    </row>
    <row r="77" spans="1:54" x14ac:dyDescent="0.25">
      <c r="A77" s="12">
        <v>4</v>
      </c>
      <c r="B77" s="12" t="s">
        <v>12</v>
      </c>
      <c r="C77" s="12">
        <v>2.1</v>
      </c>
      <c r="D77" s="12">
        <v>700</v>
      </c>
      <c r="E77" s="12">
        <v>20</v>
      </c>
      <c r="F77" s="12">
        <v>1</v>
      </c>
      <c r="G77" s="12">
        <v>4</v>
      </c>
      <c r="H77" s="12">
        <v>29</v>
      </c>
      <c r="I77" s="12" t="s">
        <v>20</v>
      </c>
      <c r="J77" s="12" t="s">
        <v>27</v>
      </c>
      <c r="K77" s="12">
        <f>VLOOKUP(Tableau2[[#This Row],[essence]],Tableau5[],2,FALSE)</f>
        <v>0.69510000000000005</v>
      </c>
      <c r="L77" s="12">
        <f>VLOOKUP(Tableau2[[#This Row],[essence]],Tableau5[],3,FALSE)</f>
        <v>-0.51849999999999996</v>
      </c>
      <c r="M77" s="12">
        <f>IF(Tableau2[[#This Row],[priorecol]]="C",1,0)</f>
        <v>1</v>
      </c>
      <c r="N77" s="12">
        <f>VLOOKUP(Tableau2[[#This Row],[essence]],Tableau5[],4,FALSE)</f>
        <v>0.52129999999999999</v>
      </c>
      <c r="O77" s="12">
        <f>IF(Tableau2[[#This Row],[priorecol]]="R",1,0)</f>
        <v>0</v>
      </c>
      <c r="P77" s="12">
        <f>VLOOKUP(Tableau2[[#This Row],[essence]],Tableau5[],5,FALSE)</f>
        <v>-0.37890000000000001</v>
      </c>
      <c r="Q77" s="12">
        <f>IF(Tableau2[[#This Row],[priorecol]]="S",1,0)</f>
        <v>0</v>
      </c>
      <c r="R77" s="12">
        <f>VLOOKUP(Tableau2[[#This Row],[essence]],Tableau5[],6,FALSE)</f>
        <v>-5.5999999999999995E-4</v>
      </c>
      <c r="S77" s="12">
        <f>VLOOKUP(Tableau2[[#This Row],[essence]],Tableau5[],15,FALSE)</f>
        <v>1.52E-2</v>
      </c>
      <c r="T77" s="12">
        <f>VLOOKUP(Tableau2[[#This Row],[essence]],Tableau5[],7,FALSE)</f>
        <v>0</v>
      </c>
      <c r="U77" s="12">
        <f>IF(Tableau2[[#This Row],[sdom]]=1,1,0)</f>
        <v>0</v>
      </c>
      <c r="V77" s="12">
        <f>VLOOKUP(Tableau2[[#This Row],[essence]],Tableau5[],8,FALSE)</f>
        <v>-8.7900000000000006E-2</v>
      </c>
      <c r="W77" s="12">
        <f>IF(Tableau2[[#This Row],[sdom]]="2EST",1,0)</f>
        <v>0</v>
      </c>
      <c r="X77" s="12">
        <f>VLOOKUP(Tableau2[[#This Row],[essence]],Tableau5[],9,FALSE)</f>
        <v>0.42620000000000002</v>
      </c>
      <c r="Y77" s="12">
        <f>IF(Tableau2[[#This Row],[sdom]]="2OUEST",1,0)</f>
        <v>0</v>
      </c>
      <c r="Z77" s="12">
        <f>VLOOKUP(Tableau2[[#This Row],[essence]],Tableau5[],10,FALSE)</f>
        <v>0.54149999999999998</v>
      </c>
      <c r="AA77" s="12">
        <f>IF(Tableau2[[#This Row],[sdom]]="3EST",1,0)</f>
        <v>1</v>
      </c>
      <c r="AB77" s="12">
        <f>VLOOKUP(Tableau2[[#This Row],[essence]],Tableau5[],11,FALSE)</f>
        <v>0.50339999999999996</v>
      </c>
      <c r="AC77" s="12">
        <f>IF(Tableau2[[#This Row],[sdom]]="3OUEST",1,0)</f>
        <v>0</v>
      </c>
      <c r="AD77" s="12">
        <f>VLOOKUP(Tableau2[[#This Row],[essence]],Tableau5[],12,FALSE)</f>
        <v>-3.0599999999999999E-2</v>
      </c>
      <c r="AE77" s="12">
        <f>IF(Tableau2[[#This Row],[sdom]]="4EST",1,0)</f>
        <v>0</v>
      </c>
      <c r="AF77" s="12">
        <f>VLOOKUP(Tableau2[[#This Row],[essence]],Tableau5[],13,FALSE)</f>
        <v>0.1583</v>
      </c>
      <c r="AG77" s="12">
        <f>IF(Tableau2[[#This Row],[sdom]]="4OUEST",1,0)</f>
        <v>0</v>
      </c>
      <c r="AH77" s="12">
        <f>VLOOKUP(Tableau2[[#This Row],[essence]],Tableau5[],14,FALSE)</f>
        <v>3.9800000000000002E-2</v>
      </c>
      <c r="AI77" s="12">
        <f>IF(Tableau2[[#This Row],[sdom]]="5EST",1,0)</f>
        <v>0</v>
      </c>
      <c r="AJ77" s="12">
        <f>VLOOKUP(Tableau2[[#This Row],[essence]],Tableau5[],16,FALSE)</f>
        <v>0.13650000000000001</v>
      </c>
      <c r="AK77" s="12">
        <f>IF(Tableau2[[#This Row],[sdom]]="5OUEST",1,0)</f>
        <v>0</v>
      </c>
      <c r="AL77" s="12">
        <f>VLOOKUP(Tableau2[[#This Row],[essence]],Tableau5[],17,FALSE)</f>
        <v>-0.39140000000000003</v>
      </c>
      <c r="AM77" s="12">
        <f>IF(Tableau2[[#This Row],[sdom]]="6EST",1,0)</f>
        <v>0</v>
      </c>
      <c r="AN77" s="12">
        <f>VLOOKUP(Tableau2[[#This Row],[essence]],Tableau5[],19,FALSE)</f>
        <v>5.8000000000000003E-2</v>
      </c>
      <c r="AO77" s="12">
        <f>IF(Tableau2[[#This Row],[priorecol]]="C",1,0)</f>
        <v>1</v>
      </c>
      <c r="AP77" s="12">
        <f>VLOOKUP(Tableau2[[#This Row],[essence]],Tableau5[],20,FALSE)</f>
        <v>4.7500000000000001E-2</v>
      </c>
      <c r="AQ77" s="12">
        <f>IF(Tableau2[[#This Row],[priorecol]]="R",1,0)</f>
        <v>0</v>
      </c>
      <c r="AR77" s="12">
        <f>VLOOKUP(Tableau2[[#This Row],[essence]],Tableau5[],21,FALSE)</f>
        <v>4.87E-2</v>
      </c>
      <c r="AS77" s="12">
        <f>IF(Tableau2[[#This Row],[priorecol]]="S",1,0)</f>
        <v>0</v>
      </c>
      <c r="AT77" s="12">
        <f>VLOOKUP(Tableau2[[#This Row],[essence]],Tableau5[],22,FALSE)</f>
        <v>0</v>
      </c>
      <c r="AU77" s="12">
        <f>VLOOKUP(Tableau2[[#This Row],[essence]],Tableau5[],23,FALSE)</f>
        <v>0</v>
      </c>
      <c r="AV77" s="12">
        <f>VLOOKUP(Tableau2[[#This Row],[essence]],Tableau5[],18,FALSE)</f>
        <v>-0.112</v>
      </c>
      <c r="AW7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2.4526600000000007</v>
      </c>
      <c r="AX77" s="12">
        <f>1/(1+EXP(-Tableau2[[#This Row],[xb_c]]))</f>
        <v>0.92075575399155529</v>
      </c>
      <c r="AY77" s="12" t="str">
        <f t="shared" si="2"/>
        <v>NA</v>
      </c>
      <c r="AZ77" s="12" t="str">
        <f t="shared" si="3"/>
        <v>NA</v>
      </c>
      <c r="BA77" s="12">
        <f>Tableau2[[#This Row],[prob_c]]</f>
        <v>0.92075575399155529</v>
      </c>
      <c r="BB77" s="12">
        <f>1-Tableau2[[#This Row],[prob_c]]</f>
        <v>7.9244246008444708E-2</v>
      </c>
    </row>
    <row r="78" spans="1:54" x14ac:dyDescent="0.25">
      <c r="A78" s="12">
        <v>4</v>
      </c>
      <c r="B78" s="12" t="s">
        <v>12</v>
      </c>
      <c r="C78" s="12">
        <v>2.1</v>
      </c>
      <c r="D78" s="12">
        <v>700</v>
      </c>
      <c r="E78" s="12">
        <v>20</v>
      </c>
      <c r="F78" s="12">
        <v>1</v>
      </c>
      <c r="G78" s="12">
        <v>5</v>
      </c>
      <c r="H78" s="12">
        <v>30</v>
      </c>
      <c r="I78" s="12" t="s">
        <v>20</v>
      </c>
      <c r="J78" s="12" t="s">
        <v>28</v>
      </c>
      <c r="K78" s="12">
        <f>VLOOKUP(Tableau2[[#This Row],[essence]],Tableau5[],2,FALSE)</f>
        <v>0.69510000000000005</v>
      </c>
      <c r="L78" s="12">
        <f>VLOOKUP(Tableau2[[#This Row],[essence]],Tableau5[],3,FALSE)</f>
        <v>-0.51849999999999996</v>
      </c>
      <c r="M78" s="12">
        <f>IF(Tableau2[[#This Row],[priorecol]]="C",1,0)</f>
        <v>0</v>
      </c>
      <c r="N78" s="12">
        <f>VLOOKUP(Tableau2[[#This Row],[essence]],Tableau5[],4,FALSE)</f>
        <v>0.52129999999999999</v>
      </c>
      <c r="O78" s="12">
        <f>IF(Tableau2[[#This Row],[priorecol]]="R",1,0)</f>
        <v>1</v>
      </c>
      <c r="P78" s="12">
        <f>VLOOKUP(Tableau2[[#This Row],[essence]],Tableau5[],5,FALSE)</f>
        <v>-0.37890000000000001</v>
      </c>
      <c r="Q78" s="12">
        <f>IF(Tableau2[[#This Row],[priorecol]]="S",1,0)</f>
        <v>0</v>
      </c>
      <c r="R78" s="12">
        <f>VLOOKUP(Tableau2[[#This Row],[essence]],Tableau5[],6,FALSE)</f>
        <v>-5.5999999999999995E-4</v>
      </c>
      <c r="S78" s="12">
        <f>VLOOKUP(Tableau2[[#This Row],[essence]],Tableau5[],15,FALSE)</f>
        <v>1.52E-2</v>
      </c>
      <c r="T78" s="12">
        <f>VLOOKUP(Tableau2[[#This Row],[essence]],Tableau5[],7,FALSE)</f>
        <v>0</v>
      </c>
      <c r="U78" s="12">
        <f>IF(Tableau2[[#This Row],[sdom]]=1,1,0)</f>
        <v>0</v>
      </c>
      <c r="V78" s="12">
        <f>VLOOKUP(Tableau2[[#This Row],[essence]],Tableau5[],8,FALSE)</f>
        <v>-8.7900000000000006E-2</v>
      </c>
      <c r="W78" s="12">
        <f>IF(Tableau2[[#This Row],[sdom]]="2EST",1,0)</f>
        <v>0</v>
      </c>
      <c r="X78" s="12">
        <f>VLOOKUP(Tableau2[[#This Row],[essence]],Tableau5[],9,FALSE)</f>
        <v>0.42620000000000002</v>
      </c>
      <c r="Y78" s="12">
        <f>IF(Tableau2[[#This Row],[sdom]]="2OUEST",1,0)</f>
        <v>0</v>
      </c>
      <c r="Z78" s="12">
        <f>VLOOKUP(Tableau2[[#This Row],[essence]],Tableau5[],10,FALSE)</f>
        <v>0.54149999999999998</v>
      </c>
      <c r="AA78" s="12">
        <f>IF(Tableau2[[#This Row],[sdom]]="3EST",1,0)</f>
        <v>1</v>
      </c>
      <c r="AB78" s="12">
        <f>VLOOKUP(Tableau2[[#This Row],[essence]],Tableau5[],11,FALSE)</f>
        <v>0.50339999999999996</v>
      </c>
      <c r="AC78" s="12">
        <f>IF(Tableau2[[#This Row],[sdom]]="3OUEST",1,0)</f>
        <v>0</v>
      </c>
      <c r="AD78" s="12">
        <f>VLOOKUP(Tableau2[[#This Row],[essence]],Tableau5[],12,FALSE)</f>
        <v>-3.0599999999999999E-2</v>
      </c>
      <c r="AE78" s="12">
        <f>IF(Tableau2[[#This Row],[sdom]]="4EST",1,0)</f>
        <v>0</v>
      </c>
      <c r="AF78" s="12">
        <f>VLOOKUP(Tableau2[[#This Row],[essence]],Tableau5[],13,FALSE)</f>
        <v>0.1583</v>
      </c>
      <c r="AG78" s="12">
        <f>IF(Tableau2[[#This Row],[sdom]]="4OUEST",1,0)</f>
        <v>0</v>
      </c>
      <c r="AH78" s="12">
        <f>VLOOKUP(Tableau2[[#This Row],[essence]],Tableau5[],14,FALSE)</f>
        <v>3.9800000000000002E-2</v>
      </c>
      <c r="AI78" s="12">
        <f>IF(Tableau2[[#This Row],[sdom]]="5EST",1,0)</f>
        <v>0</v>
      </c>
      <c r="AJ78" s="12">
        <f>VLOOKUP(Tableau2[[#This Row],[essence]],Tableau5[],16,FALSE)</f>
        <v>0.13650000000000001</v>
      </c>
      <c r="AK78" s="12">
        <f>IF(Tableau2[[#This Row],[sdom]]="5OUEST",1,0)</f>
        <v>0</v>
      </c>
      <c r="AL78" s="12">
        <f>VLOOKUP(Tableau2[[#This Row],[essence]],Tableau5[],17,FALSE)</f>
        <v>-0.39140000000000003</v>
      </c>
      <c r="AM78" s="12">
        <f>IF(Tableau2[[#This Row],[sdom]]="6EST",1,0)</f>
        <v>0</v>
      </c>
      <c r="AN78" s="12">
        <f>VLOOKUP(Tableau2[[#This Row],[essence]],Tableau5[],19,FALSE)</f>
        <v>5.8000000000000003E-2</v>
      </c>
      <c r="AO78" s="12">
        <f>IF(Tableau2[[#This Row],[priorecol]]="C",1,0)</f>
        <v>0</v>
      </c>
      <c r="AP78" s="12">
        <f>VLOOKUP(Tableau2[[#This Row],[essence]],Tableau5[],20,FALSE)</f>
        <v>4.7500000000000001E-2</v>
      </c>
      <c r="AQ78" s="12">
        <f>IF(Tableau2[[#This Row],[priorecol]]="R",1,0)</f>
        <v>1</v>
      </c>
      <c r="AR78" s="12">
        <f>VLOOKUP(Tableau2[[#This Row],[essence]],Tableau5[],21,FALSE)</f>
        <v>4.87E-2</v>
      </c>
      <c r="AS78" s="12">
        <f>IF(Tableau2[[#This Row],[priorecol]]="S",1,0)</f>
        <v>0</v>
      </c>
      <c r="AT78" s="12">
        <f>VLOOKUP(Tableau2[[#This Row],[essence]],Tableau5[],22,FALSE)</f>
        <v>0</v>
      </c>
      <c r="AU78" s="12">
        <f>VLOOKUP(Tableau2[[#This Row],[essence]],Tableau5[],23,FALSE)</f>
        <v>0</v>
      </c>
      <c r="AV78" s="12">
        <f>VLOOKUP(Tableau2[[#This Row],[essence]],Tableau5[],18,FALSE)</f>
        <v>-0.112</v>
      </c>
      <c r="AW7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3.2349000000000006</v>
      </c>
      <c r="AX78" s="12">
        <f>1/(1+EXP(-Tableau2[[#This Row],[xb_c]]))</f>
        <v>0.96212670843774462</v>
      </c>
      <c r="AY78" s="12" t="str">
        <f t="shared" si="2"/>
        <v>NA</v>
      </c>
      <c r="AZ78" s="12" t="str">
        <f t="shared" si="3"/>
        <v>NA</v>
      </c>
      <c r="BA78" s="12">
        <f>Tableau2[[#This Row],[prob_c]]</f>
        <v>0.96212670843774462</v>
      </c>
      <c r="BB78" s="12">
        <f>1-Tableau2[[#This Row],[prob_c]]</f>
        <v>3.7873291562255385E-2</v>
      </c>
    </row>
    <row r="79" spans="1:54" x14ac:dyDescent="0.25">
      <c r="A79" s="12">
        <v>4</v>
      </c>
      <c r="B79" s="12" t="s">
        <v>12</v>
      </c>
      <c r="C79" s="12">
        <v>2.1</v>
      </c>
      <c r="D79" s="12">
        <v>700</v>
      </c>
      <c r="E79" s="12">
        <v>20</v>
      </c>
      <c r="F79" s="12">
        <v>1</v>
      </c>
      <c r="G79" s="12">
        <v>6</v>
      </c>
      <c r="H79" s="12">
        <v>31</v>
      </c>
      <c r="I79" s="12" t="s">
        <v>20</v>
      </c>
      <c r="J79" s="12" t="s">
        <v>29</v>
      </c>
      <c r="K79" s="12">
        <f>VLOOKUP(Tableau2[[#This Row],[essence]],Tableau5[],2,FALSE)</f>
        <v>0.69510000000000005</v>
      </c>
      <c r="L79" s="12">
        <f>VLOOKUP(Tableau2[[#This Row],[essence]],Tableau5[],3,FALSE)</f>
        <v>-0.51849999999999996</v>
      </c>
      <c r="M79" s="12">
        <f>IF(Tableau2[[#This Row],[priorecol]]="C",1,0)</f>
        <v>0</v>
      </c>
      <c r="N79" s="12">
        <f>VLOOKUP(Tableau2[[#This Row],[essence]],Tableau5[],4,FALSE)</f>
        <v>0.52129999999999999</v>
      </c>
      <c r="O79" s="12">
        <f>IF(Tableau2[[#This Row],[priorecol]]="R",1,0)</f>
        <v>0</v>
      </c>
      <c r="P79" s="12">
        <f>VLOOKUP(Tableau2[[#This Row],[essence]],Tableau5[],5,FALSE)</f>
        <v>-0.37890000000000001</v>
      </c>
      <c r="Q79" s="12">
        <f>IF(Tableau2[[#This Row],[priorecol]]="S",1,0)</f>
        <v>1</v>
      </c>
      <c r="R79" s="12">
        <f>VLOOKUP(Tableau2[[#This Row],[essence]],Tableau5[],6,FALSE)</f>
        <v>-5.5999999999999995E-4</v>
      </c>
      <c r="S79" s="12">
        <f>VLOOKUP(Tableau2[[#This Row],[essence]],Tableau5[],15,FALSE)</f>
        <v>1.52E-2</v>
      </c>
      <c r="T79" s="12">
        <f>VLOOKUP(Tableau2[[#This Row],[essence]],Tableau5[],7,FALSE)</f>
        <v>0</v>
      </c>
      <c r="U79" s="12">
        <f>IF(Tableau2[[#This Row],[sdom]]=1,1,0)</f>
        <v>0</v>
      </c>
      <c r="V79" s="12">
        <f>VLOOKUP(Tableau2[[#This Row],[essence]],Tableau5[],8,FALSE)</f>
        <v>-8.7900000000000006E-2</v>
      </c>
      <c r="W79" s="12">
        <f>IF(Tableau2[[#This Row],[sdom]]="2EST",1,0)</f>
        <v>0</v>
      </c>
      <c r="X79" s="12">
        <f>VLOOKUP(Tableau2[[#This Row],[essence]],Tableau5[],9,FALSE)</f>
        <v>0.42620000000000002</v>
      </c>
      <c r="Y79" s="12">
        <f>IF(Tableau2[[#This Row],[sdom]]="2OUEST",1,0)</f>
        <v>0</v>
      </c>
      <c r="Z79" s="12">
        <f>VLOOKUP(Tableau2[[#This Row],[essence]],Tableau5[],10,FALSE)</f>
        <v>0.54149999999999998</v>
      </c>
      <c r="AA79" s="12">
        <f>IF(Tableau2[[#This Row],[sdom]]="3EST",1,0)</f>
        <v>1</v>
      </c>
      <c r="AB79" s="12">
        <f>VLOOKUP(Tableau2[[#This Row],[essence]],Tableau5[],11,FALSE)</f>
        <v>0.50339999999999996</v>
      </c>
      <c r="AC79" s="12">
        <f>IF(Tableau2[[#This Row],[sdom]]="3OUEST",1,0)</f>
        <v>0</v>
      </c>
      <c r="AD79" s="12">
        <f>VLOOKUP(Tableau2[[#This Row],[essence]],Tableau5[],12,FALSE)</f>
        <v>-3.0599999999999999E-2</v>
      </c>
      <c r="AE79" s="12">
        <f>IF(Tableau2[[#This Row],[sdom]]="4EST",1,0)</f>
        <v>0</v>
      </c>
      <c r="AF79" s="12">
        <f>VLOOKUP(Tableau2[[#This Row],[essence]],Tableau5[],13,FALSE)</f>
        <v>0.1583</v>
      </c>
      <c r="AG79" s="12">
        <f>IF(Tableau2[[#This Row],[sdom]]="4OUEST",1,0)</f>
        <v>0</v>
      </c>
      <c r="AH79" s="12">
        <f>VLOOKUP(Tableau2[[#This Row],[essence]],Tableau5[],14,FALSE)</f>
        <v>3.9800000000000002E-2</v>
      </c>
      <c r="AI79" s="12">
        <f>IF(Tableau2[[#This Row],[sdom]]="5EST",1,0)</f>
        <v>0</v>
      </c>
      <c r="AJ79" s="12">
        <f>VLOOKUP(Tableau2[[#This Row],[essence]],Tableau5[],16,FALSE)</f>
        <v>0.13650000000000001</v>
      </c>
      <c r="AK79" s="12">
        <f>IF(Tableau2[[#This Row],[sdom]]="5OUEST",1,0)</f>
        <v>0</v>
      </c>
      <c r="AL79" s="12">
        <f>VLOOKUP(Tableau2[[#This Row],[essence]],Tableau5[],17,FALSE)</f>
        <v>-0.39140000000000003</v>
      </c>
      <c r="AM79" s="12">
        <f>IF(Tableau2[[#This Row],[sdom]]="6EST",1,0)</f>
        <v>0</v>
      </c>
      <c r="AN79" s="12">
        <f>VLOOKUP(Tableau2[[#This Row],[essence]],Tableau5[],19,FALSE)</f>
        <v>5.8000000000000003E-2</v>
      </c>
      <c r="AO79" s="12">
        <f>IF(Tableau2[[#This Row],[priorecol]]="C",1,0)</f>
        <v>0</v>
      </c>
      <c r="AP79" s="12">
        <f>VLOOKUP(Tableau2[[#This Row],[essence]],Tableau5[],20,FALSE)</f>
        <v>4.7500000000000001E-2</v>
      </c>
      <c r="AQ79" s="12">
        <f>IF(Tableau2[[#This Row],[priorecol]]="R",1,0)</f>
        <v>0</v>
      </c>
      <c r="AR79" s="12">
        <f>VLOOKUP(Tableau2[[#This Row],[essence]],Tableau5[],21,FALSE)</f>
        <v>4.87E-2</v>
      </c>
      <c r="AS79" s="12">
        <f>IF(Tableau2[[#This Row],[priorecol]]="S",1,0)</f>
        <v>1</v>
      </c>
      <c r="AT79" s="12">
        <f>VLOOKUP(Tableau2[[#This Row],[essence]],Tableau5[],22,FALSE)</f>
        <v>0</v>
      </c>
      <c r="AU79" s="12">
        <f>VLOOKUP(Tableau2[[#This Row],[essence]],Tableau5[],23,FALSE)</f>
        <v>0</v>
      </c>
      <c r="AV79" s="12">
        <f>VLOOKUP(Tableau2[[#This Row],[essence]],Tableau5[],18,FALSE)</f>
        <v>-0.112</v>
      </c>
      <c r="AW7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2.4188400000000003</v>
      </c>
      <c r="AX79" s="12">
        <f>1/(1+EXP(-Tableau2[[#This Row],[xb_c]]))</f>
        <v>0.91825271175796819</v>
      </c>
      <c r="AY79" s="12" t="str">
        <f t="shared" si="2"/>
        <v>NA</v>
      </c>
      <c r="AZ79" s="12" t="str">
        <f t="shared" si="3"/>
        <v>NA</v>
      </c>
      <c r="BA79" s="12">
        <f>Tableau2[[#This Row],[prob_c]]</f>
        <v>0.91825271175796819</v>
      </c>
      <c r="BB79" s="12">
        <f>1-Tableau2[[#This Row],[prob_c]]</f>
        <v>8.1747288242031813E-2</v>
      </c>
    </row>
    <row r="80" spans="1:54" x14ac:dyDescent="0.25">
      <c r="A80" s="12">
        <v>4</v>
      </c>
      <c r="B80" s="12" t="s">
        <v>12</v>
      </c>
      <c r="C80" s="12">
        <v>2.1</v>
      </c>
      <c r="D80" s="12">
        <v>700</v>
      </c>
      <c r="E80" s="12">
        <v>20</v>
      </c>
      <c r="F80" s="12">
        <v>1</v>
      </c>
      <c r="G80" s="12">
        <v>7</v>
      </c>
      <c r="H80" s="12">
        <v>32</v>
      </c>
      <c r="I80" s="12" t="s">
        <v>21</v>
      </c>
      <c r="J80" s="12" t="s">
        <v>27</v>
      </c>
      <c r="K80" s="12">
        <f>VLOOKUP(Tableau2[[#This Row],[essence]],Tableau5[],2,FALSE)</f>
        <v>5.0801999999999996</v>
      </c>
      <c r="L80" s="12">
        <f>VLOOKUP(Tableau2[[#This Row],[essence]],Tableau5[],3,FALSE)</f>
        <v>1.7765</v>
      </c>
      <c r="M80" s="12">
        <f>IF(Tableau2[[#This Row],[priorecol]]="C",1,0)</f>
        <v>1</v>
      </c>
      <c r="N80" s="12">
        <f>VLOOKUP(Tableau2[[#This Row],[essence]],Tableau5[],4,FALSE)</f>
        <v>3.3664000000000001</v>
      </c>
      <c r="O80" s="12">
        <f>IF(Tableau2[[#This Row],[priorecol]]="R",1,0)</f>
        <v>0</v>
      </c>
      <c r="P80" s="12">
        <f>VLOOKUP(Tableau2[[#This Row],[essence]],Tableau5[],5,FALSE)</f>
        <v>0.57940000000000003</v>
      </c>
      <c r="Q80" s="12">
        <f>IF(Tableau2[[#This Row],[priorecol]]="S",1,0)</f>
        <v>0</v>
      </c>
      <c r="R80" s="12">
        <f>VLOOKUP(Tableau2[[#This Row],[essence]],Tableau5[],6,FALSE)</f>
        <v>-0.2109</v>
      </c>
      <c r="S80" s="12">
        <f>VLOOKUP(Tableau2[[#This Row],[essence]],Tableau5[],15,FALSE)</f>
        <v>-0.2429</v>
      </c>
      <c r="T80" s="12">
        <f>VLOOKUP(Tableau2[[#This Row],[essence]],Tableau5[],7,FALSE)</f>
        <v>0</v>
      </c>
      <c r="U80" s="12">
        <f>IF(Tableau2[[#This Row],[sdom]]=1,1,0)</f>
        <v>0</v>
      </c>
      <c r="V80" s="12">
        <f>VLOOKUP(Tableau2[[#This Row],[essence]],Tableau5[],8,FALSE)</f>
        <v>0</v>
      </c>
      <c r="W80" s="12">
        <f>IF(Tableau2[[#This Row],[sdom]]="2EST",1,0)</f>
        <v>0</v>
      </c>
      <c r="X80" s="12">
        <f>VLOOKUP(Tableau2[[#This Row],[essence]],Tableau5[],9,FALSE)</f>
        <v>0</v>
      </c>
      <c r="Y80" s="12">
        <f>IF(Tableau2[[#This Row],[sdom]]="2OUEST",1,0)</f>
        <v>0</v>
      </c>
      <c r="Z80" s="12">
        <f>VLOOKUP(Tableau2[[#This Row],[essence]],Tableau5[],10,FALSE)</f>
        <v>0</v>
      </c>
      <c r="AA80" s="12">
        <f>IF(Tableau2[[#This Row],[sdom]]="3EST",1,0)</f>
        <v>1</v>
      </c>
      <c r="AB80" s="12">
        <f>VLOOKUP(Tableau2[[#This Row],[essence]],Tableau5[],11,FALSE)</f>
        <v>0</v>
      </c>
      <c r="AC80" s="12">
        <f>IF(Tableau2[[#This Row],[sdom]]="3OUEST",1,0)</f>
        <v>0</v>
      </c>
      <c r="AD80" s="12">
        <f>VLOOKUP(Tableau2[[#This Row],[essence]],Tableau5[],12,FALSE)</f>
        <v>0</v>
      </c>
      <c r="AE80" s="12">
        <f>IF(Tableau2[[#This Row],[sdom]]="4EST",1,0)</f>
        <v>0</v>
      </c>
      <c r="AF80" s="12">
        <f>VLOOKUP(Tableau2[[#This Row],[essence]],Tableau5[],13,FALSE)</f>
        <v>0</v>
      </c>
      <c r="AG80" s="12">
        <f>IF(Tableau2[[#This Row],[sdom]]="4OUEST",1,0)</f>
        <v>0</v>
      </c>
      <c r="AH80" s="12">
        <f>VLOOKUP(Tableau2[[#This Row],[essence]],Tableau5[],14,FALSE)</f>
        <v>0</v>
      </c>
      <c r="AI80" s="12">
        <f>IF(Tableau2[[#This Row],[sdom]]="5EST",1,0)</f>
        <v>0</v>
      </c>
      <c r="AJ80" s="12">
        <f>VLOOKUP(Tableau2[[#This Row],[essence]],Tableau5[],16,FALSE)</f>
        <v>0</v>
      </c>
      <c r="AK80" s="12">
        <f>IF(Tableau2[[#This Row],[sdom]]="5OUEST",1,0)</f>
        <v>0</v>
      </c>
      <c r="AL80" s="12">
        <f>VLOOKUP(Tableau2[[#This Row],[essence]],Tableau5[],17,FALSE)</f>
        <v>0</v>
      </c>
      <c r="AM80" s="12">
        <f>IF(Tableau2[[#This Row],[sdom]]="6EST",1,0)</f>
        <v>0</v>
      </c>
      <c r="AN80" s="12">
        <f>VLOOKUP(Tableau2[[#This Row],[essence]],Tableau5[],19,FALSE)</f>
        <v>0</v>
      </c>
      <c r="AO80" s="12">
        <f>IF(Tableau2[[#This Row],[priorecol]]="C",1,0)</f>
        <v>1</v>
      </c>
      <c r="AP80" s="12">
        <f>VLOOKUP(Tableau2[[#This Row],[essence]],Tableau5[],20,FALSE)</f>
        <v>0</v>
      </c>
      <c r="AQ80" s="12">
        <f>IF(Tableau2[[#This Row],[priorecol]]="R",1,0)</f>
        <v>0</v>
      </c>
      <c r="AR80" s="12">
        <f>VLOOKUP(Tableau2[[#This Row],[essence]],Tableau5[],21,FALSE)</f>
        <v>0</v>
      </c>
      <c r="AS80" s="12">
        <f>IF(Tableau2[[#This Row],[priorecol]]="S",1,0)</f>
        <v>0</v>
      </c>
      <c r="AT80" s="12">
        <f>VLOOKUP(Tableau2[[#This Row],[essence]],Tableau5[],22,FALSE)</f>
        <v>1.1384000000000001</v>
      </c>
      <c r="AU80" s="12">
        <f>VLOOKUP(Tableau2[[#This Row],[essence]],Tableau5[],23,FALSE)</f>
        <v>1.0699999999999999E-2</v>
      </c>
      <c r="AV80" s="12">
        <f>VLOOKUP(Tableau2[[#This Row],[essence]],Tableau5[],18,FALSE)</f>
        <v>0</v>
      </c>
      <c r="AW8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3.2362999999999991</v>
      </c>
      <c r="AX80" s="12">
        <f>1/(1+EXP(-Tableau2[[#This Row],[xb_c]]))</f>
        <v>0.96217768991304342</v>
      </c>
      <c r="AY80" s="12" t="str">
        <f t="shared" si="2"/>
        <v>NA</v>
      </c>
      <c r="AZ80" s="12" t="str">
        <f t="shared" si="3"/>
        <v>NA</v>
      </c>
      <c r="BA80" s="12">
        <f>Tableau2[[#This Row],[prob_c]]</f>
        <v>0.96217768991304342</v>
      </c>
      <c r="BB80" s="12">
        <f>1-Tableau2[[#This Row],[prob_c]]</f>
        <v>3.7822310086956579E-2</v>
      </c>
    </row>
    <row r="81" spans="1:54" x14ac:dyDescent="0.25">
      <c r="A81" s="12">
        <v>4</v>
      </c>
      <c r="B81" s="12" t="s">
        <v>12</v>
      </c>
      <c r="C81" s="12">
        <v>2.1</v>
      </c>
      <c r="D81" s="12">
        <v>700</v>
      </c>
      <c r="E81" s="12">
        <v>20</v>
      </c>
      <c r="F81" s="12">
        <v>1</v>
      </c>
      <c r="G81" s="12">
        <v>8</v>
      </c>
      <c r="H81" s="12">
        <v>33</v>
      </c>
      <c r="I81" s="12" t="s">
        <v>21</v>
      </c>
      <c r="J81" s="12" t="s">
        <v>28</v>
      </c>
      <c r="K81" s="12">
        <f>VLOOKUP(Tableau2[[#This Row],[essence]],Tableau5[],2,FALSE)</f>
        <v>5.0801999999999996</v>
      </c>
      <c r="L81" s="12">
        <f>VLOOKUP(Tableau2[[#This Row],[essence]],Tableau5[],3,FALSE)</f>
        <v>1.7765</v>
      </c>
      <c r="M81" s="12">
        <f>IF(Tableau2[[#This Row],[priorecol]]="C",1,0)</f>
        <v>0</v>
      </c>
      <c r="N81" s="12">
        <f>VLOOKUP(Tableau2[[#This Row],[essence]],Tableau5[],4,FALSE)</f>
        <v>3.3664000000000001</v>
      </c>
      <c r="O81" s="12">
        <f>IF(Tableau2[[#This Row],[priorecol]]="R",1,0)</f>
        <v>1</v>
      </c>
      <c r="P81" s="12">
        <f>VLOOKUP(Tableau2[[#This Row],[essence]],Tableau5[],5,FALSE)</f>
        <v>0.57940000000000003</v>
      </c>
      <c r="Q81" s="12">
        <f>IF(Tableau2[[#This Row],[priorecol]]="S",1,0)</f>
        <v>0</v>
      </c>
      <c r="R81" s="12">
        <f>VLOOKUP(Tableau2[[#This Row],[essence]],Tableau5[],6,FALSE)</f>
        <v>-0.2109</v>
      </c>
      <c r="S81" s="12">
        <f>VLOOKUP(Tableau2[[#This Row],[essence]],Tableau5[],15,FALSE)</f>
        <v>-0.2429</v>
      </c>
      <c r="T81" s="12">
        <f>VLOOKUP(Tableau2[[#This Row],[essence]],Tableau5[],7,FALSE)</f>
        <v>0</v>
      </c>
      <c r="U81" s="12">
        <f>IF(Tableau2[[#This Row],[sdom]]=1,1,0)</f>
        <v>0</v>
      </c>
      <c r="V81" s="12">
        <f>VLOOKUP(Tableau2[[#This Row],[essence]],Tableau5[],8,FALSE)</f>
        <v>0</v>
      </c>
      <c r="W81" s="12">
        <f>IF(Tableau2[[#This Row],[sdom]]="2EST",1,0)</f>
        <v>0</v>
      </c>
      <c r="X81" s="12">
        <f>VLOOKUP(Tableau2[[#This Row],[essence]],Tableau5[],9,FALSE)</f>
        <v>0</v>
      </c>
      <c r="Y81" s="12">
        <f>IF(Tableau2[[#This Row],[sdom]]="2OUEST",1,0)</f>
        <v>0</v>
      </c>
      <c r="Z81" s="12">
        <f>VLOOKUP(Tableau2[[#This Row],[essence]],Tableau5[],10,FALSE)</f>
        <v>0</v>
      </c>
      <c r="AA81" s="12">
        <f>IF(Tableau2[[#This Row],[sdom]]="3EST",1,0)</f>
        <v>1</v>
      </c>
      <c r="AB81" s="12">
        <f>VLOOKUP(Tableau2[[#This Row],[essence]],Tableau5[],11,FALSE)</f>
        <v>0</v>
      </c>
      <c r="AC81" s="12">
        <f>IF(Tableau2[[#This Row],[sdom]]="3OUEST",1,0)</f>
        <v>0</v>
      </c>
      <c r="AD81" s="12">
        <f>VLOOKUP(Tableau2[[#This Row],[essence]],Tableau5[],12,FALSE)</f>
        <v>0</v>
      </c>
      <c r="AE81" s="12">
        <f>IF(Tableau2[[#This Row],[sdom]]="4EST",1,0)</f>
        <v>0</v>
      </c>
      <c r="AF81" s="12">
        <f>VLOOKUP(Tableau2[[#This Row],[essence]],Tableau5[],13,FALSE)</f>
        <v>0</v>
      </c>
      <c r="AG81" s="12">
        <f>IF(Tableau2[[#This Row],[sdom]]="4OUEST",1,0)</f>
        <v>0</v>
      </c>
      <c r="AH81" s="12">
        <f>VLOOKUP(Tableau2[[#This Row],[essence]],Tableau5[],14,FALSE)</f>
        <v>0</v>
      </c>
      <c r="AI81" s="12">
        <f>IF(Tableau2[[#This Row],[sdom]]="5EST",1,0)</f>
        <v>0</v>
      </c>
      <c r="AJ81" s="12">
        <f>VLOOKUP(Tableau2[[#This Row],[essence]],Tableau5[],16,FALSE)</f>
        <v>0</v>
      </c>
      <c r="AK81" s="12">
        <f>IF(Tableau2[[#This Row],[sdom]]="5OUEST",1,0)</f>
        <v>0</v>
      </c>
      <c r="AL81" s="12">
        <f>VLOOKUP(Tableau2[[#This Row],[essence]],Tableau5[],17,FALSE)</f>
        <v>0</v>
      </c>
      <c r="AM81" s="12">
        <f>IF(Tableau2[[#This Row],[sdom]]="6EST",1,0)</f>
        <v>0</v>
      </c>
      <c r="AN81" s="12">
        <f>VLOOKUP(Tableau2[[#This Row],[essence]],Tableau5[],19,FALSE)</f>
        <v>0</v>
      </c>
      <c r="AO81" s="12">
        <f>IF(Tableau2[[#This Row],[priorecol]]="C",1,0)</f>
        <v>0</v>
      </c>
      <c r="AP81" s="12">
        <f>VLOOKUP(Tableau2[[#This Row],[essence]],Tableau5[],20,FALSE)</f>
        <v>0</v>
      </c>
      <c r="AQ81" s="12">
        <f>IF(Tableau2[[#This Row],[priorecol]]="R",1,0)</f>
        <v>1</v>
      </c>
      <c r="AR81" s="12">
        <f>VLOOKUP(Tableau2[[#This Row],[essence]],Tableau5[],21,FALSE)</f>
        <v>0</v>
      </c>
      <c r="AS81" s="12">
        <f>IF(Tableau2[[#This Row],[priorecol]]="S",1,0)</f>
        <v>0</v>
      </c>
      <c r="AT81" s="12">
        <f>VLOOKUP(Tableau2[[#This Row],[essence]],Tableau5[],22,FALSE)</f>
        <v>1.1384000000000001</v>
      </c>
      <c r="AU81" s="12">
        <f>VLOOKUP(Tableau2[[#This Row],[essence]],Tableau5[],23,FALSE)</f>
        <v>1.0699999999999999E-2</v>
      </c>
      <c r="AV81" s="12">
        <f>VLOOKUP(Tableau2[[#This Row],[essence]],Tableau5[],18,FALSE)</f>
        <v>0</v>
      </c>
      <c r="AW8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4.8292999999999999</v>
      </c>
      <c r="AX81" s="12">
        <f>1/(1+EXP(-Tableau2[[#This Row],[xb_c]]))</f>
        <v>0.99207125365498938</v>
      </c>
      <c r="AY81" s="12" t="str">
        <f t="shared" si="2"/>
        <v>NA</v>
      </c>
      <c r="AZ81" s="12" t="str">
        <f t="shared" si="3"/>
        <v>NA</v>
      </c>
      <c r="BA81" s="12">
        <f>Tableau2[[#This Row],[prob_c]]</f>
        <v>0.99207125365498938</v>
      </c>
      <c r="BB81" s="12">
        <f>1-Tableau2[[#This Row],[prob_c]]</f>
        <v>7.9287463450106177E-3</v>
      </c>
    </row>
    <row r="82" spans="1:54" x14ac:dyDescent="0.25">
      <c r="A82" s="12">
        <v>4</v>
      </c>
      <c r="B82" s="12" t="s">
        <v>12</v>
      </c>
      <c r="C82" s="12">
        <v>2.1</v>
      </c>
      <c r="D82" s="12">
        <v>700</v>
      </c>
      <c r="E82" s="12">
        <v>20</v>
      </c>
      <c r="F82" s="12">
        <v>1</v>
      </c>
      <c r="G82" s="12">
        <v>9</v>
      </c>
      <c r="H82" s="12">
        <v>24</v>
      </c>
      <c r="I82" s="12" t="s">
        <v>21</v>
      </c>
      <c r="J82" s="12" t="s">
        <v>29</v>
      </c>
      <c r="K82" s="12">
        <f>VLOOKUP(Tableau2[[#This Row],[essence]],Tableau5[],2,FALSE)</f>
        <v>5.0801999999999996</v>
      </c>
      <c r="L82" s="12">
        <f>VLOOKUP(Tableau2[[#This Row],[essence]],Tableau5[],3,FALSE)</f>
        <v>1.7765</v>
      </c>
      <c r="M82" s="12">
        <f>IF(Tableau2[[#This Row],[priorecol]]="C",1,0)</f>
        <v>0</v>
      </c>
      <c r="N82" s="12">
        <f>VLOOKUP(Tableau2[[#This Row],[essence]],Tableau5[],4,FALSE)</f>
        <v>3.3664000000000001</v>
      </c>
      <c r="O82" s="12">
        <f>IF(Tableau2[[#This Row],[priorecol]]="R",1,0)</f>
        <v>0</v>
      </c>
      <c r="P82" s="12">
        <f>VLOOKUP(Tableau2[[#This Row],[essence]],Tableau5[],5,FALSE)</f>
        <v>0.57940000000000003</v>
      </c>
      <c r="Q82" s="12">
        <f>IF(Tableau2[[#This Row],[priorecol]]="S",1,0)</f>
        <v>1</v>
      </c>
      <c r="R82" s="12">
        <f>VLOOKUP(Tableau2[[#This Row],[essence]],Tableau5[],6,FALSE)</f>
        <v>-0.2109</v>
      </c>
      <c r="S82" s="12">
        <f>VLOOKUP(Tableau2[[#This Row],[essence]],Tableau5[],15,FALSE)</f>
        <v>-0.2429</v>
      </c>
      <c r="T82" s="12">
        <f>VLOOKUP(Tableau2[[#This Row],[essence]],Tableau5[],7,FALSE)</f>
        <v>0</v>
      </c>
      <c r="U82" s="12">
        <f>IF(Tableau2[[#This Row],[sdom]]=1,1,0)</f>
        <v>0</v>
      </c>
      <c r="V82" s="12">
        <f>VLOOKUP(Tableau2[[#This Row],[essence]],Tableau5[],8,FALSE)</f>
        <v>0</v>
      </c>
      <c r="W82" s="12">
        <f>IF(Tableau2[[#This Row],[sdom]]="2EST",1,0)</f>
        <v>0</v>
      </c>
      <c r="X82" s="12">
        <f>VLOOKUP(Tableau2[[#This Row],[essence]],Tableau5[],9,FALSE)</f>
        <v>0</v>
      </c>
      <c r="Y82" s="12">
        <f>IF(Tableau2[[#This Row],[sdom]]="2OUEST",1,0)</f>
        <v>0</v>
      </c>
      <c r="Z82" s="12">
        <f>VLOOKUP(Tableau2[[#This Row],[essence]],Tableau5[],10,FALSE)</f>
        <v>0</v>
      </c>
      <c r="AA82" s="12">
        <f>IF(Tableau2[[#This Row],[sdom]]="3EST",1,0)</f>
        <v>1</v>
      </c>
      <c r="AB82" s="12">
        <f>VLOOKUP(Tableau2[[#This Row],[essence]],Tableau5[],11,FALSE)</f>
        <v>0</v>
      </c>
      <c r="AC82" s="12">
        <f>IF(Tableau2[[#This Row],[sdom]]="3OUEST",1,0)</f>
        <v>0</v>
      </c>
      <c r="AD82" s="12">
        <f>VLOOKUP(Tableau2[[#This Row],[essence]],Tableau5[],12,FALSE)</f>
        <v>0</v>
      </c>
      <c r="AE82" s="12">
        <f>IF(Tableau2[[#This Row],[sdom]]="4EST",1,0)</f>
        <v>0</v>
      </c>
      <c r="AF82" s="12">
        <f>VLOOKUP(Tableau2[[#This Row],[essence]],Tableau5[],13,FALSE)</f>
        <v>0</v>
      </c>
      <c r="AG82" s="12">
        <f>IF(Tableau2[[#This Row],[sdom]]="4OUEST",1,0)</f>
        <v>0</v>
      </c>
      <c r="AH82" s="12">
        <f>VLOOKUP(Tableau2[[#This Row],[essence]],Tableau5[],14,FALSE)</f>
        <v>0</v>
      </c>
      <c r="AI82" s="12">
        <f>IF(Tableau2[[#This Row],[sdom]]="5EST",1,0)</f>
        <v>0</v>
      </c>
      <c r="AJ82" s="12">
        <f>VLOOKUP(Tableau2[[#This Row],[essence]],Tableau5[],16,FALSE)</f>
        <v>0</v>
      </c>
      <c r="AK82" s="12">
        <f>IF(Tableau2[[#This Row],[sdom]]="5OUEST",1,0)</f>
        <v>0</v>
      </c>
      <c r="AL82" s="12">
        <f>VLOOKUP(Tableau2[[#This Row],[essence]],Tableau5[],17,FALSE)</f>
        <v>0</v>
      </c>
      <c r="AM82" s="12">
        <f>IF(Tableau2[[#This Row],[sdom]]="6EST",1,0)</f>
        <v>0</v>
      </c>
      <c r="AN82" s="12">
        <f>VLOOKUP(Tableau2[[#This Row],[essence]],Tableau5[],19,FALSE)</f>
        <v>0</v>
      </c>
      <c r="AO82" s="12">
        <f>IF(Tableau2[[#This Row],[priorecol]]="C",1,0)</f>
        <v>0</v>
      </c>
      <c r="AP82" s="12">
        <f>VLOOKUP(Tableau2[[#This Row],[essence]],Tableau5[],20,FALSE)</f>
        <v>0</v>
      </c>
      <c r="AQ82" s="12">
        <f>IF(Tableau2[[#This Row],[priorecol]]="R",1,0)</f>
        <v>0</v>
      </c>
      <c r="AR82" s="12">
        <f>VLOOKUP(Tableau2[[#This Row],[essence]],Tableau5[],21,FALSE)</f>
        <v>0</v>
      </c>
      <c r="AS82" s="12">
        <f>IF(Tableau2[[#This Row],[priorecol]]="S",1,0)</f>
        <v>1</v>
      </c>
      <c r="AT82" s="12">
        <f>VLOOKUP(Tableau2[[#This Row],[essence]],Tableau5[],22,FALSE)</f>
        <v>1.1384000000000001</v>
      </c>
      <c r="AU82" s="12">
        <f>VLOOKUP(Tableau2[[#This Row],[essence]],Tableau5[],23,FALSE)</f>
        <v>1.0699999999999999E-2</v>
      </c>
      <c r="AV82" s="12">
        <f>VLOOKUP(Tableau2[[#This Row],[essence]],Tableau5[],18,FALSE)</f>
        <v>0</v>
      </c>
      <c r="AW8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2.0143999999999984</v>
      </c>
      <c r="AX82" s="12">
        <f>1/(1+EXP(-Tableau2[[#This Row],[xb_c]]))</f>
        <v>0.88230071446744951</v>
      </c>
      <c r="AY82" s="12" t="str">
        <f t="shared" si="2"/>
        <v>NA</v>
      </c>
      <c r="AZ82" s="12" t="str">
        <f t="shared" si="3"/>
        <v>NA</v>
      </c>
      <c r="BA82" s="12">
        <f>Tableau2[[#This Row],[prob_c]]</f>
        <v>0.88230071446744951</v>
      </c>
      <c r="BB82" s="12">
        <f>1-Tableau2[[#This Row],[prob_c]]</f>
        <v>0.11769928553255049</v>
      </c>
    </row>
    <row r="83" spans="1:54" x14ac:dyDescent="0.25">
      <c r="A83" s="12">
        <v>4</v>
      </c>
      <c r="B83" s="12" t="s">
        <v>12</v>
      </c>
      <c r="C83" s="12">
        <v>2.1</v>
      </c>
      <c r="D83" s="12">
        <v>700</v>
      </c>
      <c r="E83" s="12">
        <v>20</v>
      </c>
      <c r="F83" s="12">
        <v>1</v>
      </c>
      <c r="G83" s="12">
        <v>10</v>
      </c>
      <c r="H83" s="12">
        <v>25</v>
      </c>
      <c r="I83" s="12" t="s">
        <v>22</v>
      </c>
      <c r="J83" s="12" t="s">
        <v>27</v>
      </c>
      <c r="K83" s="12">
        <f>VLOOKUP(Tableau2[[#This Row],[essence]],Tableau5[],2,FALSE)</f>
        <v>-0.54949999999999999</v>
      </c>
      <c r="L83" s="12">
        <f>VLOOKUP(Tableau2[[#This Row],[essence]],Tableau5[],3,FALSE)</f>
        <v>-0.14960000000000001</v>
      </c>
      <c r="M83" s="12">
        <f>IF(Tableau2[[#This Row],[priorecol]]="C",1,0)</f>
        <v>1</v>
      </c>
      <c r="N83" s="12">
        <f>VLOOKUP(Tableau2[[#This Row],[essence]],Tableau5[],4,FALSE)</f>
        <v>1.6746000000000001</v>
      </c>
      <c r="O83" s="12">
        <f>IF(Tableau2[[#This Row],[priorecol]]="R",1,0)</f>
        <v>0</v>
      </c>
      <c r="P83" s="12">
        <f>VLOOKUP(Tableau2[[#This Row],[essence]],Tableau5[],5,FALSE)</f>
        <v>0.65110000000000001</v>
      </c>
      <c r="Q83" s="12">
        <f>IF(Tableau2[[#This Row],[priorecol]]="S",1,0)</f>
        <v>0</v>
      </c>
      <c r="R83" s="12">
        <f>VLOOKUP(Tableau2[[#This Row],[essence]],Tableau5[],6,FALSE)</f>
        <v>-3.0599999999999999E-2</v>
      </c>
      <c r="S83" s="12">
        <f>VLOOKUP(Tableau2[[#This Row],[essence]],Tableau5[],15,FALSE)</f>
        <v>-3.8399999999999997E-2</v>
      </c>
      <c r="T83" s="12">
        <f>VLOOKUP(Tableau2[[#This Row],[essence]],Tableau5[],7,FALSE)</f>
        <v>1.2454000000000001</v>
      </c>
      <c r="U83" s="12">
        <f>IF(Tableau2[[#This Row],[sdom]]=1,1,0)</f>
        <v>0</v>
      </c>
      <c r="V83" s="12">
        <f>VLOOKUP(Tableau2[[#This Row],[essence]],Tableau5[],8,FALSE)</f>
        <v>0.85550000000000004</v>
      </c>
      <c r="W83" s="12">
        <f>IF(Tableau2[[#This Row],[sdom]]="2EST",1,0)</f>
        <v>0</v>
      </c>
      <c r="X83" s="12">
        <f>VLOOKUP(Tableau2[[#This Row],[essence]],Tableau5[],9,FALSE)</f>
        <v>1.2195</v>
      </c>
      <c r="Y83" s="12">
        <f>IF(Tableau2[[#This Row],[sdom]]="2OUEST",1,0)</f>
        <v>0</v>
      </c>
      <c r="Z83" s="12">
        <f>VLOOKUP(Tableau2[[#This Row],[essence]],Tableau5[],10,FALSE)</f>
        <v>0.94630000000000003</v>
      </c>
      <c r="AA83" s="12">
        <f>IF(Tableau2[[#This Row],[sdom]]="3EST",1,0)</f>
        <v>1</v>
      </c>
      <c r="AB83" s="12">
        <f>VLOOKUP(Tableau2[[#This Row],[essence]],Tableau5[],11,FALSE)</f>
        <v>0.64859999999999995</v>
      </c>
      <c r="AC83" s="12">
        <f>IF(Tableau2[[#This Row],[sdom]]="3OUEST",1,0)</f>
        <v>0</v>
      </c>
      <c r="AD83" s="12">
        <f>VLOOKUP(Tableau2[[#This Row],[essence]],Tableau5[],12,FALSE)</f>
        <v>0.91920000000000002</v>
      </c>
      <c r="AE83" s="12">
        <f>IF(Tableau2[[#This Row],[sdom]]="4EST",1,0)</f>
        <v>0</v>
      </c>
      <c r="AF83" s="12">
        <f>VLOOKUP(Tableau2[[#This Row],[essence]],Tableau5[],13,FALSE)</f>
        <v>0.67230000000000001</v>
      </c>
      <c r="AG83" s="12">
        <f>IF(Tableau2[[#This Row],[sdom]]="4OUEST",1,0)</f>
        <v>0</v>
      </c>
      <c r="AH83" s="12">
        <f>VLOOKUP(Tableau2[[#This Row],[essence]],Tableau5[],14,FALSE)</f>
        <v>0.43309999999999998</v>
      </c>
      <c r="AI83" s="12">
        <f>IF(Tableau2[[#This Row],[sdom]]="5EST",1,0)</f>
        <v>0</v>
      </c>
      <c r="AJ83" s="12">
        <f>VLOOKUP(Tableau2[[#This Row],[essence]],Tableau5[],16,FALSE)</f>
        <v>0</v>
      </c>
      <c r="AK83" s="12">
        <f>IF(Tableau2[[#This Row],[sdom]]="5OUEST",1,0)</f>
        <v>0</v>
      </c>
      <c r="AL83" s="12">
        <f>VLOOKUP(Tableau2[[#This Row],[essence]],Tableau5[],17,FALSE)</f>
        <v>0</v>
      </c>
      <c r="AM83" s="12">
        <f>IF(Tableau2[[#This Row],[sdom]]="6EST",1,0)</f>
        <v>0</v>
      </c>
      <c r="AN83" s="12">
        <f>VLOOKUP(Tableau2[[#This Row],[essence]],Tableau5[],19,FALSE)</f>
        <v>6.6900000000000001E-2</v>
      </c>
      <c r="AO83" s="12">
        <f>IF(Tableau2[[#This Row],[priorecol]]="C",1,0)</f>
        <v>1</v>
      </c>
      <c r="AP83" s="12">
        <f>VLOOKUP(Tableau2[[#This Row],[essence]],Tableau5[],20,FALSE)</f>
        <v>4.3799999999999999E-2</v>
      </c>
      <c r="AQ83" s="12">
        <f>IF(Tableau2[[#This Row],[priorecol]]="R",1,0)</f>
        <v>0</v>
      </c>
      <c r="AR83" s="12">
        <f>VLOOKUP(Tableau2[[#This Row],[essence]],Tableau5[],21,FALSE)</f>
        <v>2.7900000000000001E-2</v>
      </c>
      <c r="AS83" s="12">
        <f>IF(Tableau2[[#This Row],[priorecol]]="S",1,0)</f>
        <v>0</v>
      </c>
      <c r="AT83" s="12">
        <f>VLOOKUP(Tableau2[[#This Row],[essence]],Tableau5[],22,FALSE)</f>
        <v>0</v>
      </c>
      <c r="AU83" s="12">
        <f>VLOOKUP(Tableau2[[#This Row],[essence]],Tableau5[],23,FALSE)</f>
        <v>1.73E-3</v>
      </c>
      <c r="AV83" s="12">
        <f>VLOOKUP(Tableau2[[#This Row],[essence]],Tableau5[],18,FALSE)</f>
        <v>0.1295</v>
      </c>
      <c r="AW8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1.5236499999999999</v>
      </c>
      <c r="AX83" s="12">
        <f>1/(1+EXP(-Tableau2[[#This Row],[xb_c]]))</f>
        <v>0.82107533294892121</v>
      </c>
      <c r="AY83" s="12" t="str">
        <f t="shared" si="2"/>
        <v>NA</v>
      </c>
      <c r="AZ83" s="12" t="str">
        <f t="shared" si="3"/>
        <v>NA</v>
      </c>
      <c r="BA83" s="12">
        <f>Tableau2[[#This Row],[prob_c]]</f>
        <v>0.82107533294892121</v>
      </c>
      <c r="BB83" s="12">
        <f>1-Tableau2[[#This Row],[prob_c]]</f>
        <v>0.17892466705107879</v>
      </c>
    </row>
    <row r="84" spans="1:54" x14ac:dyDescent="0.25">
      <c r="A84" s="12">
        <v>4</v>
      </c>
      <c r="B84" s="12" t="s">
        <v>12</v>
      </c>
      <c r="C84" s="12">
        <v>2.1</v>
      </c>
      <c r="D84" s="12">
        <v>700</v>
      </c>
      <c r="E84" s="12">
        <v>20</v>
      </c>
      <c r="F84" s="12">
        <v>1</v>
      </c>
      <c r="G84" s="12">
        <v>11</v>
      </c>
      <c r="H84" s="12">
        <v>26</v>
      </c>
      <c r="I84" s="12" t="s">
        <v>22</v>
      </c>
      <c r="J84" s="12" t="s">
        <v>28</v>
      </c>
      <c r="K84" s="12">
        <f>VLOOKUP(Tableau2[[#This Row],[essence]],Tableau5[],2,FALSE)</f>
        <v>-0.54949999999999999</v>
      </c>
      <c r="L84" s="12">
        <f>VLOOKUP(Tableau2[[#This Row],[essence]],Tableau5[],3,FALSE)</f>
        <v>-0.14960000000000001</v>
      </c>
      <c r="M84" s="12">
        <f>IF(Tableau2[[#This Row],[priorecol]]="C",1,0)</f>
        <v>0</v>
      </c>
      <c r="N84" s="12">
        <f>VLOOKUP(Tableau2[[#This Row],[essence]],Tableau5[],4,FALSE)</f>
        <v>1.6746000000000001</v>
      </c>
      <c r="O84" s="12">
        <f>IF(Tableau2[[#This Row],[priorecol]]="R",1,0)</f>
        <v>1</v>
      </c>
      <c r="P84" s="12">
        <f>VLOOKUP(Tableau2[[#This Row],[essence]],Tableau5[],5,FALSE)</f>
        <v>0.65110000000000001</v>
      </c>
      <c r="Q84" s="12">
        <f>IF(Tableau2[[#This Row],[priorecol]]="S",1,0)</f>
        <v>0</v>
      </c>
      <c r="R84" s="12">
        <f>VLOOKUP(Tableau2[[#This Row],[essence]],Tableau5[],6,FALSE)</f>
        <v>-3.0599999999999999E-2</v>
      </c>
      <c r="S84" s="12">
        <f>VLOOKUP(Tableau2[[#This Row],[essence]],Tableau5[],15,FALSE)</f>
        <v>-3.8399999999999997E-2</v>
      </c>
      <c r="T84" s="12">
        <f>VLOOKUP(Tableau2[[#This Row],[essence]],Tableau5[],7,FALSE)</f>
        <v>1.2454000000000001</v>
      </c>
      <c r="U84" s="12">
        <f>IF(Tableau2[[#This Row],[sdom]]=1,1,0)</f>
        <v>0</v>
      </c>
      <c r="V84" s="12">
        <f>VLOOKUP(Tableau2[[#This Row],[essence]],Tableau5[],8,FALSE)</f>
        <v>0.85550000000000004</v>
      </c>
      <c r="W84" s="12">
        <f>IF(Tableau2[[#This Row],[sdom]]="2EST",1,0)</f>
        <v>0</v>
      </c>
      <c r="X84" s="12">
        <f>VLOOKUP(Tableau2[[#This Row],[essence]],Tableau5[],9,FALSE)</f>
        <v>1.2195</v>
      </c>
      <c r="Y84" s="12">
        <f>IF(Tableau2[[#This Row],[sdom]]="2OUEST",1,0)</f>
        <v>0</v>
      </c>
      <c r="Z84" s="12">
        <f>VLOOKUP(Tableau2[[#This Row],[essence]],Tableau5[],10,FALSE)</f>
        <v>0.94630000000000003</v>
      </c>
      <c r="AA84" s="12">
        <f>IF(Tableau2[[#This Row],[sdom]]="3EST",1,0)</f>
        <v>1</v>
      </c>
      <c r="AB84" s="12">
        <f>VLOOKUP(Tableau2[[#This Row],[essence]],Tableau5[],11,FALSE)</f>
        <v>0.64859999999999995</v>
      </c>
      <c r="AC84" s="12">
        <f>IF(Tableau2[[#This Row],[sdom]]="3OUEST",1,0)</f>
        <v>0</v>
      </c>
      <c r="AD84" s="12">
        <f>VLOOKUP(Tableau2[[#This Row],[essence]],Tableau5[],12,FALSE)</f>
        <v>0.91920000000000002</v>
      </c>
      <c r="AE84" s="12">
        <f>IF(Tableau2[[#This Row],[sdom]]="4EST",1,0)</f>
        <v>0</v>
      </c>
      <c r="AF84" s="12">
        <f>VLOOKUP(Tableau2[[#This Row],[essence]],Tableau5[],13,FALSE)</f>
        <v>0.67230000000000001</v>
      </c>
      <c r="AG84" s="12">
        <f>IF(Tableau2[[#This Row],[sdom]]="4OUEST",1,0)</f>
        <v>0</v>
      </c>
      <c r="AH84" s="12">
        <f>VLOOKUP(Tableau2[[#This Row],[essence]],Tableau5[],14,FALSE)</f>
        <v>0.43309999999999998</v>
      </c>
      <c r="AI84" s="12">
        <f>IF(Tableau2[[#This Row],[sdom]]="5EST",1,0)</f>
        <v>0</v>
      </c>
      <c r="AJ84" s="12">
        <f>VLOOKUP(Tableau2[[#This Row],[essence]],Tableau5[],16,FALSE)</f>
        <v>0</v>
      </c>
      <c r="AK84" s="12">
        <f>IF(Tableau2[[#This Row],[sdom]]="5OUEST",1,0)</f>
        <v>0</v>
      </c>
      <c r="AL84" s="12">
        <f>VLOOKUP(Tableau2[[#This Row],[essence]],Tableau5[],17,FALSE)</f>
        <v>0</v>
      </c>
      <c r="AM84" s="12">
        <f>IF(Tableau2[[#This Row],[sdom]]="6EST",1,0)</f>
        <v>0</v>
      </c>
      <c r="AN84" s="12">
        <f>VLOOKUP(Tableau2[[#This Row],[essence]],Tableau5[],19,FALSE)</f>
        <v>6.6900000000000001E-2</v>
      </c>
      <c r="AO84" s="12">
        <f>IF(Tableau2[[#This Row],[priorecol]]="C",1,0)</f>
        <v>0</v>
      </c>
      <c r="AP84" s="12">
        <f>VLOOKUP(Tableau2[[#This Row],[essence]],Tableau5[],20,FALSE)</f>
        <v>4.3799999999999999E-2</v>
      </c>
      <c r="AQ84" s="12">
        <f>IF(Tableau2[[#This Row],[priorecol]]="R",1,0)</f>
        <v>1</v>
      </c>
      <c r="AR84" s="12">
        <f>VLOOKUP(Tableau2[[#This Row],[essence]],Tableau5[],21,FALSE)</f>
        <v>2.7900000000000001E-2</v>
      </c>
      <c r="AS84" s="12">
        <f>IF(Tableau2[[#This Row],[priorecol]]="S",1,0)</f>
        <v>0</v>
      </c>
      <c r="AT84" s="12">
        <f>VLOOKUP(Tableau2[[#This Row],[essence]],Tableau5[],22,FALSE)</f>
        <v>0</v>
      </c>
      <c r="AU84" s="12">
        <f>VLOOKUP(Tableau2[[#This Row],[essence]],Tableau5[],23,FALSE)</f>
        <v>1.73E-3</v>
      </c>
      <c r="AV84" s="12">
        <f>VLOOKUP(Tableau2[[#This Row],[essence]],Tableau5[],18,FALSE)</f>
        <v>0.1295</v>
      </c>
      <c r="AW8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2.8181500000000002</v>
      </c>
      <c r="AX84" s="12">
        <f>1/(1+EXP(-Tableau2[[#This Row],[xb_c]]))</f>
        <v>0.94364877196086783</v>
      </c>
      <c r="AY84" s="12" t="str">
        <f t="shared" si="2"/>
        <v>NA</v>
      </c>
      <c r="AZ84" s="12" t="str">
        <f t="shared" si="3"/>
        <v>NA</v>
      </c>
      <c r="BA84" s="12">
        <f>Tableau2[[#This Row],[prob_c]]</f>
        <v>0.94364877196086783</v>
      </c>
      <c r="BB84" s="12">
        <f>1-Tableau2[[#This Row],[prob_c]]</f>
        <v>5.6351228039132173E-2</v>
      </c>
    </row>
    <row r="85" spans="1:54" x14ac:dyDescent="0.25">
      <c r="A85" s="12">
        <v>4</v>
      </c>
      <c r="B85" s="12" t="s">
        <v>12</v>
      </c>
      <c r="C85" s="12">
        <v>2.1</v>
      </c>
      <c r="D85" s="12">
        <v>700</v>
      </c>
      <c r="E85" s="12">
        <v>20</v>
      </c>
      <c r="F85" s="12">
        <v>1</v>
      </c>
      <c r="G85" s="12">
        <v>12</v>
      </c>
      <c r="H85" s="12">
        <v>27</v>
      </c>
      <c r="I85" s="12" t="s">
        <v>22</v>
      </c>
      <c r="J85" s="12" t="s">
        <v>29</v>
      </c>
      <c r="K85" s="12">
        <f>VLOOKUP(Tableau2[[#This Row],[essence]],Tableau5[],2,FALSE)</f>
        <v>-0.54949999999999999</v>
      </c>
      <c r="L85" s="12">
        <f>VLOOKUP(Tableau2[[#This Row],[essence]],Tableau5[],3,FALSE)</f>
        <v>-0.14960000000000001</v>
      </c>
      <c r="M85" s="12">
        <f>IF(Tableau2[[#This Row],[priorecol]]="C",1,0)</f>
        <v>0</v>
      </c>
      <c r="N85" s="12">
        <f>VLOOKUP(Tableau2[[#This Row],[essence]],Tableau5[],4,FALSE)</f>
        <v>1.6746000000000001</v>
      </c>
      <c r="O85" s="12">
        <f>IF(Tableau2[[#This Row],[priorecol]]="R",1,0)</f>
        <v>0</v>
      </c>
      <c r="P85" s="12">
        <f>VLOOKUP(Tableau2[[#This Row],[essence]],Tableau5[],5,FALSE)</f>
        <v>0.65110000000000001</v>
      </c>
      <c r="Q85" s="12">
        <f>IF(Tableau2[[#This Row],[priorecol]]="S",1,0)</f>
        <v>1</v>
      </c>
      <c r="R85" s="12">
        <f>VLOOKUP(Tableau2[[#This Row],[essence]],Tableau5[],6,FALSE)</f>
        <v>-3.0599999999999999E-2</v>
      </c>
      <c r="S85" s="12">
        <f>VLOOKUP(Tableau2[[#This Row],[essence]],Tableau5[],15,FALSE)</f>
        <v>-3.8399999999999997E-2</v>
      </c>
      <c r="T85" s="12">
        <f>VLOOKUP(Tableau2[[#This Row],[essence]],Tableau5[],7,FALSE)</f>
        <v>1.2454000000000001</v>
      </c>
      <c r="U85" s="12">
        <f>IF(Tableau2[[#This Row],[sdom]]=1,1,0)</f>
        <v>0</v>
      </c>
      <c r="V85" s="12">
        <f>VLOOKUP(Tableau2[[#This Row],[essence]],Tableau5[],8,FALSE)</f>
        <v>0.85550000000000004</v>
      </c>
      <c r="W85" s="12">
        <f>IF(Tableau2[[#This Row],[sdom]]="2EST",1,0)</f>
        <v>0</v>
      </c>
      <c r="X85" s="12">
        <f>VLOOKUP(Tableau2[[#This Row],[essence]],Tableau5[],9,FALSE)</f>
        <v>1.2195</v>
      </c>
      <c r="Y85" s="12">
        <f>IF(Tableau2[[#This Row],[sdom]]="2OUEST",1,0)</f>
        <v>0</v>
      </c>
      <c r="Z85" s="12">
        <f>VLOOKUP(Tableau2[[#This Row],[essence]],Tableau5[],10,FALSE)</f>
        <v>0.94630000000000003</v>
      </c>
      <c r="AA85" s="12">
        <f>IF(Tableau2[[#This Row],[sdom]]="3EST",1,0)</f>
        <v>1</v>
      </c>
      <c r="AB85" s="12">
        <f>VLOOKUP(Tableau2[[#This Row],[essence]],Tableau5[],11,FALSE)</f>
        <v>0.64859999999999995</v>
      </c>
      <c r="AC85" s="12">
        <f>IF(Tableau2[[#This Row],[sdom]]="3OUEST",1,0)</f>
        <v>0</v>
      </c>
      <c r="AD85" s="12">
        <f>VLOOKUP(Tableau2[[#This Row],[essence]],Tableau5[],12,FALSE)</f>
        <v>0.91920000000000002</v>
      </c>
      <c r="AE85" s="12">
        <f>IF(Tableau2[[#This Row],[sdom]]="4EST",1,0)</f>
        <v>0</v>
      </c>
      <c r="AF85" s="12">
        <f>VLOOKUP(Tableau2[[#This Row],[essence]],Tableau5[],13,FALSE)</f>
        <v>0.67230000000000001</v>
      </c>
      <c r="AG85" s="12">
        <f>IF(Tableau2[[#This Row],[sdom]]="4OUEST",1,0)</f>
        <v>0</v>
      </c>
      <c r="AH85" s="12">
        <f>VLOOKUP(Tableau2[[#This Row],[essence]],Tableau5[],14,FALSE)</f>
        <v>0.43309999999999998</v>
      </c>
      <c r="AI85" s="12">
        <f>IF(Tableau2[[#This Row],[sdom]]="5EST",1,0)</f>
        <v>0</v>
      </c>
      <c r="AJ85" s="12">
        <f>VLOOKUP(Tableau2[[#This Row],[essence]],Tableau5[],16,FALSE)</f>
        <v>0</v>
      </c>
      <c r="AK85" s="12">
        <f>IF(Tableau2[[#This Row],[sdom]]="5OUEST",1,0)</f>
        <v>0</v>
      </c>
      <c r="AL85" s="12">
        <f>VLOOKUP(Tableau2[[#This Row],[essence]],Tableau5[],17,FALSE)</f>
        <v>0</v>
      </c>
      <c r="AM85" s="12">
        <f>IF(Tableau2[[#This Row],[sdom]]="6EST",1,0)</f>
        <v>0</v>
      </c>
      <c r="AN85" s="12">
        <f>VLOOKUP(Tableau2[[#This Row],[essence]],Tableau5[],19,FALSE)</f>
        <v>6.6900000000000001E-2</v>
      </c>
      <c r="AO85" s="12">
        <f>IF(Tableau2[[#This Row],[priorecol]]="C",1,0)</f>
        <v>0</v>
      </c>
      <c r="AP85" s="12">
        <f>VLOOKUP(Tableau2[[#This Row],[essence]],Tableau5[],20,FALSE)</f>
        <v>4.3799999999999999E-2</v>
      </c>
      <c r="AQ85" s="12">
        <f>IF(Tableau2[[#This Row],[priorecol]]="R",1,0)</f>
        <v>0</v>
      </c>
      <c r="AR85" s="12">
        <f>VLOOKUP(Tableau2[[#This Row],[essence]],Tableau5[],21,FALSE)</f>
        <v>2.7900000000000001E-2</v>
      </c>
      <c r="AS85" s="12">
        <f>IF(Tableau2[[#This Row],[priorecol]]="S",1,0)</f>
        <v>1</v>
      </c>
      <c r="AT85" s="12">
        <f>VLOOKUP(Tableau2[[#This Row],[essence]],Tableau5[],22,FALSE)</f>
        <v>0</v>
      </c>
      <c r="AU85" s="12">
        <f>VLOOKUP(Tableau2[[#This Row],[essence]],Tableau5[],23,FALSE)</f>
        <v>1.73E-3</v>
      </c>
      <c r="AV85" s="12">
        <f>VLOOKUP(Tableau2[[#This Row],[essence]],Tableau5[],18,FALSE)</f>
        <v>0.1295</v>
      </c>
      <c r="AW8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1.4131499999999999</v>
      </c>
      <c r="AX85" s="12">
        <f>1/(1+EXP(-Tableau2[[#This Row],[xb_c]]))</f>
        <v>0.80426230596536696</v>
      </c>
      <c r="AY85" s="12" t="str">
        <f t="shared" si="2"/>
        <v>NA</v>
      </c>
      <c r="AZ85" s="12" t="str">
        <f t="shared" si="3"/>
        <v>NA</v>
      </c>
      <c r="BA85" s="12">
        <f>Tableau2[[#This Row],[prob_c]]</f>
        <v>0.80426230596536696</v>
      </c>
      <c r="BB85" s="12">
        <f>1-Tableau2[[#This Row],[prob_c]]</f>
        <v>0.19573769403463304</v>
      </c>
    </row>
    <row r="86" spans="1:54" x14ac:dyDescent="0.25">
      <c r="A86" s="12">
        <v>4</v>
      </c>
      <c r="B86" s="12" t="s">
        <v>12</v>
      </c>
      <c r="C86" s="12">
        <v>2.1</v>
      </c>
      <c r="D86" s="12">
        <v>700</v>
      </c>
      <c r="E86" s="12">
        <v>20</v>
      </c>
      <c r="F86" s="12">
        <v>1</v>
      </c>
      <c r="G86" s="12">
        <v>13</v>
      </c>
      <c r="H86" s="12">
        <v>28</v>
      </c>
      <c r="I86" s="12" t="s">
        <v>23</v>
      </c>
      <c r="J86" s="12" t="s">
        <v>27</v>
      </c>
      <c r="K86" s="12">
        <f>VLOOKUP(Tableau2[[#This Row],[essence]],Tableau5[],2,FALSE)</f>
        <v>-1.5804</v>
      </c>
      <c r="L86" s="12">
        <f>VLOOKUP(Tableau2[[#This Row],[essence]],Tableau5[],3,FALSE)</f>
        <v>0.70079999999999998</v>
      </c>
      <c r="M86" s="12">
        <f>IF(Tableau2[[#This Row],[priorecol]]="C",1,0)</f>
        <v>1</v>
      </c>
      <c r="N86" s="12">
        <f>VLOOKUP(Tableau2[[#This Row],[essence]],Tableau5[],4,FALSE)</f>
        <v>0.1178</v>
      </c>
      <c r="O86" s="12">
        <f>IF(Tableau2[[#This Row],[priorecol]]="R",1,0)</f>
        <v>0</v>
      </c>
      <c r="P86" s="12">
        <f>VLOOKUP(Tableau2[[#This Row],[essence]],Tableau5[],5,FALSE)</f>
        <v>0.88300000000000001</v>
      </c>
      <c r="Q86" s="12">
        <f>IF(Tableau2[[#This Row],[priorecol]]="S",1,0)</f>
        <v>0</v>
      </c>
      <c r="R86" s="12">
        <f>VLOOKUP(Tableau2[[#This Row],[essence]],Tableau5[],6,FALSE)</f>
        <v>4.8599999999999997E-2</v>
      </c>
      <c r="S86" s="12">
        <f>VLOOKUP(Tableau2[[#This Row],[essence]],Tableau5[],15,FALSE)</f>
        <v>0</v>
      </c>
      <c r="T86" s="12">
        <f>VLOOKUP(Tableau2[[#This Row],[essence]],Tableau5[],7,FALSE)</f>
        <v>1.111</v>
      </c>
      <c r="U86" s="12">
        <f>IF(Tableau2[[#This Row],[sdom]]=1,1,0)</f>
        <v>0</v>
      </c>
      <c r="V86" s="12">
        <f>VLOOKUP(Tableau2[[#This Row],[essence]],Tableau5[],8,FALSE)</f>
        <v>0.68489999999999995</v>
      </c>
      <c r="W86" s="12">
        <f>IF(Tableau2[[#This Row],[sdom]]="2EST",1,0)</f>
        <v>0</v>
      </c>
      <c r="X86" s="12">
        <f>VLOOKUP(Tableau2[[#This Row],[essence]],Tableau5[],9,FALSE)</f>
        <v>0.72130000000000005</v>
      </c>
      <c r="Y86" s="12">
        <f>IF(Tableau2[[#This Row],[sdom]]="2OUEST",1,0)</f>
        <v>0</v>
      </c>
      <c r="Z86" s="12">
        <f>VLOOKUP(Tableau2[[#This Row],[essence]],Tableau5[],10,FALSE)</f>
        <v>0.83930000000000005</v>
      </c>
      <c r="AA86" s="12">
        <f>IF(Tableau2[[#This Row],[sdom]]="3EST",1,0)</f>
        <v>1</v>
      </c>
      <c r="AB86" s="12">
        <f>VLOOKUP(Tableau2[[#This Row],[essence]],Tableau5[],11,FALSE)</f>
        <v>0.6865</v>
      </c>
      <c r="AC86" s="12">
        <f>IF(Tableau2[[#This Row],[sdom]]="3OUEST",1,0)</f>
        <v>0</v>
      </c>
      <c r="AD86" s="12">
        <f>VLOOKUP(Tableau2[[#This Row],[essence]],Tableau5[],12,FALSE)</f>
        <v>0.79569999999999996</v>
      </c>
      <c r="AE86" s="12">
        <f>IF(Tableau2[[#This Row],[sdom]]="4EST",1,0)</f>
        <v>0</v>
      </c>
      <c r="AF86" s="12">
        <f>VLOOKUP(Tableau2[[#This Row],[essence]],Tableau5[],13,FALSE)</f>
        <v>0.54700000000000004</v>
      </c>
      <c r="AG86" s="12">
        <f>IF(Tableau2[[#This Row],[sdom]]="4OUEST",1,0)</f>
        <v>0</v>
      </c>
      <c r="AH86" s="12">
        <f>VLOOKUP(Tableau2[[#This Row],[essence]],Tableau5[],14,FALSE)</f>
        <v>0</v>
      </c>
      <c r="AI86" s="12">
        <f>IF(Tableau2[[#This Row],[sdom]]="5EST",1,0)</f>
        <v>0</v>
      </c>
      <c r="AJ86" s="12">
        <f>VLOOKUP(Tableau2[[#This Row],[essence]],Tableau5[],16,FALSE)</f>
        <v>0</v>
      </c>
      <c r="AK86" s="12">
        <f>IF(Tableau2[[#This Row],[sdom]]="5OUEST",1,0)</f>
        <v>0</v>
      </c>
      <c r="AL86" s="12">
        <f>VLOOKUP(Tableau2[[#This Row],[essence]],Tableau5[],17,FALSE)</f>
        <v>0</v>
      </c>
      <c r="AM86" s="12">
        <f>IF(Tableau2[[#This Row],[sdom]]="6EST",1,0)</f>
        <v>0</v>
      </c>
      <c r="AN86" s="12">
        <f>VLOOKUP(Tableau2[[#This Row],[essence]],Tableau5[],19,FALSE)</f>
        <v>4.2000000000000003E-2</v>
      </c>
      <c r="AO86" s="12">
        <f>IF(Tableau2[[#This Row],[priorecol]]="C",1,0)</f>
        <v>1</v>
      </c>
      <c r="AP86" s="12">
        <f>VLOOKUP(Tableau2[[#This Row],[essence]],Tableau5[],20,FALSE)</f>
        <v>0.111</v>
      </c>
      <c r="AQ86" s="12">
        <f>IF(Tableau2[[#This Row],[priorecol]]="R",1,0)</f>
        <v>0</v>
      </c>
      <c r="AR86" s="12">
        <f>VLOOKUP(Tableau2[[#This Row],[essence]],Tableau5[],21,FALSE)</f>
        <v>4.3600000000000002E-3</v>
      </c>
      <c r="AS86" s="12">
        <f>IF(Tableau2[[#This Row],[priorecol]]="S",1,0)</f>
        <v>0</v>
      </c>
      <c r="AT86" s="12">
        <f>VLOOKUP(Tableau2[[#This Row],[essence]],Tableau5[],22,FALSE)</f>
        <v>0</v>
      </c>
      <c r="AU86" s="12">
        <f>VLOOKUP(Tableau2[[#This Row],[essence]],Tableau5[],23,FALSE)</f>
        <v>0</v>
      </c>
      <c r="AV86" s="12">
        <f>VLOOKUP(Tableau2[[#This Row],[essence]],Tableau5[],18,FALSE)</f>
        <v>0</v>
      </c>
      <c r="AW8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2.4965000000000002</v>
      </c>
      <c r="AX86" s="12">
        <f>1/(1+EXP(-Tableau2[[#This Row],[xb_c]]))</f>
        <v>0.92389609244005633</v>
      </c>
      <c r="AY86" s="12" t="str">
        <f t="shared" si="2"/>
        <v>NA</v>
      </c>
      <c r="AZ86" s="12" t="str">
        <f t="shared" si="3"/>
        <v>NA</v>
      </c>
      <c r="BA86" s="12">
        <f>Tableau2[[#This Row],[prob_c]]</f>
        <v>0.92389609244005633</v>
      </c>
      <c r="BB86" s="12">
        <f>1-Tableau2[[#This Row],[prob_c]]</f>
        <v>7.6103907559943673E-2</v>
      </c>
    </row>
    <row r="87" spans="1:54" x14ac:dyDescent="0.25">
      <c r="A87" s="12">
        <v>4</v>
      </c>
      <c r="B87" s="12" t="s">
        <v>12</v>
      </c>
      <c r="C87" s="12">
        <v>2.1</v>
      </c>
      <c r="D87" s="12">
        <v>700</v>
      </c>
      <c r="E87" s="12">
        <v>20</v>
      </c>
      <c r="F87" s="12">
        <v>1</v>
      </c>
      <c r="G87" s="12">
        <v>14</v>
      </c>
      <c r="H87" s="12">
        <v>29</v>
      </c>
      <c r="I87" s="12" t="s">
        <v>23</v>
      </c>
      <c r="J87" s="12" t="s">
        <v>28</v>
      </c>
      <c r="K87" s="12">
        <f>VLOOKUP(Tableau2[[#This Row],[essence]],Tableau5[],2,FALSE)</f>
        <v>-1.5804</v>
      </c>
      <c r="L87" s="12">
        <f>VLOOKUP(Tableau2[[#This Row],[essence]],Tableau5[],3,FALSE)</f>
        <v>0.70079999999999998</v>
      </c>
      <c r="M87" s="12">
        <f>IF(Tableau2[[#This Row],[priorecol]]="C",1,0)</f>
        <v>0</v>
      </c>
      <c r="N87" s="12">
        <f>VLOOKUP(Tableau2[[#This Row],[essence]],Tableau5[],4,FALSE)</f>
        <v>0.1178</v>
      </c>
      <c r="O87" s="12">
        <f>IF(Tableau2[[#This Row],[priorecol]]="R",1,0)</f>
        <v>1</v>
      </c>
      <c r="P87" s="12">
        <f>VLOOKUP(Tableau2[[#This Row],[essence]],Tableau5[],5,FALSE)</f>
        <v>0.88300000000000001</v>
      </c>
      <c r="Q87" s="12">
        <f>IF(Tableau2[[#This Row],[priorecol]]="S",1,0)</f>
        <v>0</v>
      </c>
      <c r="R87" s="12">
        <f>VLOOKUP(Tableau2[[#This Row],[essence]],Tableau5[],6,FALSE)</f>
        <v>4.8599999999999997E-2</v>
      </c>
      <c r="S87" s="12">
        <f>VLOOKUP(Tableau2[[#This Row],[essence]],Tableau5[],15,FALSE)</f>
        <v>0</v>
      </c>
      <c r="T87" s="12">
        <f>VLOOKUP(Tableau2[[#This Row],[essence]],Tableau5[],7,FALSE)</f>
        <v>1.111</v>
      </c>
      <c r="U87" s="12">
        <f>IF(Tableau2[[#This Row],[sdom]]=1,1,0)</f>
        <v>0</v>
      </c>
      <c r="V87" s="12">
        <f>VLOOKUP(Tableau2[[#This Row],[essence]],Tableau5[],8,FALSE)</f>
        <v>0.68489999999999995</v>
      </c>
      <c r="W87" s="12">
        <f>IF(Tableau2[[#This Row],[sdom]]="2EST",1,0)</f>
        <v>0</v>
      </c>
      <c r="X87" s="12">
        <f>VLOOKUP(Tableau2[[#This Row],[essence]],Tableau5[],9,FALSE)</f>
        <v>0.72130000000000005</v>
      </c>
      <c r="Y87" s="12">
        <f>IF(Tableau2[[#This Row],[sdom]]="2OUEST",1,0)</f>
        <v>0</v>
      </c>
      <c r="Z87" s="12">
        <f>VLOOKUP(Tableau2[[#This Row],[essence]],Tableau5[],10,FALSE)</f>
        <v>0.83930000000000005</v>
      </c>
      <c r="AA87" s="12">
        <f>IF(Tableau2[[#This Row],[sdom]]="3EST",1,0)</f>
        <v>1</v>
      </c>
      <c r="AB87" s="12">
        <f>VLOOKUP(Tableau2[[#This Row],[essence]],Tableau5[],11,FALSE)</f>
        <v>0.6865</v>
      </c>
      <c r="AC87" s="12">
        <f>IF(Tableau2[[#This Row],[sdom]]="3OUEST",1,0)</f>
        <v>0</v>
      </c>
      <c r="AD87" s="12">
        <f>VLOOKUP(Tableau2[[#This Row],[essence]],Tableau5[],12,FALSE)</f>
        <v>0.79569999999999996</v>
      </c>
      <c r="AE87" s="12">
        <f>IF(Tableau2[[#This Row],[sdom]]="4EST",1,0)</f>
        <v>0</v>
      </c>
      <c r="AF87" s="12">
        <f>VLOOKUP(Tableau2[[#This Row],[essence]],Tableau5[],13,FALSE)</f>
        <v>0.54700000000000004</v>
      </c>
      <c r="AG87" s="12">
        <f>IF(Tableau2[[#This Row],[sdom]]="4OUEST",1,0)</f>
        <v>0</v>
      </c>
      <c r="AH87" s="12">
        <f>VLOOKUP(Tableau2[[#This Row],[essence]],Tableau5[],14,FALSE)</f>
        <v>0</v>
      </c>
      <c r="AI87" s="12">
        <f>IF(Tableau2[[#This Row],[sdom]]="5EST",1,0)</f>
        <v>0</v>
      </c>
      <c r="AJ87" s="12">
        <f>VLOOKUP(Tableau2[[#This Row],[essence]],Tableau5[],16,FALSE)</f>
        <v>0</v>
      </c>
      <c r="AK87" s="12">
        <f>IF(Tableau2[[#This Row],[sdom]]="5OUEST",1,0)</f>
        <v>0</v>
      </c>
      <c r="AL87" s="12">
        <f>VLOOKUP(Tableau2[[#This Row],[essence]],Tableau5[],17,FALSE)</f>
        <v>0</v>
      </c>
      <c r="AM87" s="12">
        <f>IF(Tableau2[[#This Row],[sdom]]="6EST",1,0)</f>
        <v>0</v>
      </c>
      <c r="AN87" s="12">
        <f>VLOOKUP(Tableau2[[#This Row],[essence]],Tableau5[],19,FALSE)</f>
        <v>4.2000000000000003E-2</v>
      </c>
      <c r="AO87" s="12">
        <f>IF(Tableau2[[#This Row],[priorecol]]="C",1,0)</f>
        <v>0</v>
      </c>
      <c r="AP87" s="12">
        <f>VLOOKUP(Tableau2[[#This Row],[essence]],Tableau5[],20,FALSE)</f>
        <v>0.111</v>
      </c>
      <c r="AQ87" s="12">
        <f>IF(Tableau2[[#This Row],[priorecol]]="R",1,0)</f>
        <v>1</v>
      </c>
      <c r="AR87" s="12">
        <f>VLOOKUP(Tableau2[[#This Row],[essence]],Tableau5[],21,FALSE)</f>
        <v>4.3600000000000002E-3</v>
      </c>
      <c r="AS87" s="12">
        <f>IF(Tableau2[[#This Row],[priorecol]]="S",1,0)</f>
        <v>0</v>
      </c>
      <c r="AT87" s="12">
        <f>VLOOKUP(Tableau2[[#This Row],[essence]],Tableau5[],22,FALSE)</f>
        <v>0</v>
      </c>
      <c r="AU87" s="12">
        <f>VLOOKUP(Tableau2[[#This Row],[essence]],Tableau5[],23,FALSE)</f>
        <v>0</v>
      </c>
      <c r="AV87" s="12">
        <f>VLOOKUP(Tableau2[[#This Row],[essence]],Tableau5[],18,FALSE)</f>
        <v>0</v>
      </c>
      <c r="AW8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4.0050999999999997</v>
      </c>
      <c r="AX87" s="12">
        <f>1/(1+EXP(-Tableau2[[#This Row],[xb_c]]))</f>
        <v>0.98210364874782707</v>
      </c>
      <c r="AY87" s="12" t="str">
        <f t="shared" si="2"/>
        <v>NA</v>
      </c>
      <c r="AZ87" s="12" t="str">
        <f t="shared" si="3"/>
        <v>NA</v>
      </c>
      <c r="BA87" s="12">
        <f>Tableau2[[#This Row],[prob_c]]</f>
        <v>0.98210364874782707</v>
      </c>
      <c r="BB87" s="12">
        <f>1-Tableau2[[#This Row],[prob_c]]</f>
        <v>1.7896351252172926E-2</v>
      </c>
    </row>
    <row r="88" spans="1:54" x14ac:dyDescent="0.25">
      <c r="A88" s="12">
        <v>4</v>
      </c>
      <c r="B88" s="12" t="s">
        <v>12</v>
      </c>
      <c r="C88" s="12">
        <v>2.1</v>
      </c>
      <c r="D88" s="12">
        <v>700</v>
      </c>
      <c r="E88" s="12">
        <v>20</v>
      </c>
      <c r="F88" s="12">
        <v>1</v>
      </c>
      <c r="G88" s="12">
        <v>15</v>
      </c>
      <c r="H88" s="12">
        <v>30</v>
      </c>
      <c r="I88" s="12" t="s">
        <v>23</v>
      </c>
      <c r="J88" s="12" t="s">
        <v>29</v>
      </c>
      <c r="K88" s="12">
        <f>VLOOKUP(Tableau2[[#This Row],[essence]],Tableau5[],2,FALSE)</f>
        <v>-1.5804</v>
      </c>
      <c r="L88" s="12">
        <f>VLOOKUP(Tableau2[[#This Row],[essence]],Tableau5[],3,FALSE)</f>
        <v>0.70079999999999998</v>
      </c>
      <c r="M88" s="12">
        <f>IF(Tableau2[[#This Row],[priorecol]]="C",1,0)</f>
        <v>0</v>
      </c>
      <c r="N88" s="12">
        <f>VLOOKUP(Tableau2[[#This Row],[essence]],Tableau5[],4,FALSE)</f>
        <v>0.1178</v>
      </c>
      <c r="O88" s="12">
        <f>IF(Tableau2[[#This Row],[priorecol]]="R",1,0)</f>
        <v>0</v>
      </c>
      <c r="P88" s="12">
        <f>VLOOKUP(Tableau2[[#This Row],[essence]],Tableau5[],5,FALSE)</f>
        <v>0.88300000000000001</v>
      </c>
      <c r="Q88" s="12">
        <f>IF(Tableau2[[#This Row],[priorecol]]="S",1,0)</f>
        <v>1</v>
      </c>
      <c r="R88" s="12">
        <f>VLOOKUP(Tableau2[[#This Row],[essence]],Tableau5[],6,FALSE)</f>
        <v>4.8599999999999997E-2</v>
      </c>
      <c r="S88" s="12">
        <f>VLOOKUP(Tableau2[[#This Row],[essence]],Tableau5[],15,FALSE)</f>
        <v>0</v>
      </c>
      <c r="T88" s="12">
        <f>VLOOKUP(Tableau2[[#This Row],[essence]],Tableau5[],7,FALSE)</f>
        <v>1.111</v>
      </c>
      <c r="U88" s="12">
        <f>IF(Tableau2[[#This Row],[sdom]]=1,1,0)</f>
        <v>0</v>
      </c>
      <c r="V88" s="12">
        <f>VLOOKUP(Tableau2[[#This Row],[essence]],Tableau5[],8,FALSE)</f>
        <v>0.68489999999999995</v>
      </c>
      <c r="W88" s="12">
        <f>IF(Tableau2[[#This Row],[sdom]]="2EST",1,0)</f>
        <v>0</v>
      </c>
      <c r="X88" s="12">
        <f>VLOOKUP(Tableau2[[#This Row],[essence]],Tableau5[],9,FALSE)</f>
        <v>0.72130000000000005</v>
      </c>
      <c r="Y88" s="12">
        <f>IF(Tableau2[[#This Row],[sdom]]="2OUEST",1,0)</f>
        <v>0</v>
      </c>
      <c r="Z88" s="12">
        <f>VLOOKUP(Tableau2[[#This Row],[essence]],Tableau5[],10,FALSE)</f>
        <v>0.83930000000000005</v>
      </c>
      <c r="AA88" s="12">
        <f>IF(Tableau2[[#This Row],[sdom]]="3EST",1,0)</f>
        <v>1</v>
      </c>
      <c r="AB88" s="12">
        <f>VLOOKUP(Tableau2[[#This Row],[essence]],Tableau5[],11,FALSE)</f>
        <v>0.6865</v>
      </c>
      <c r="AC88" s="12">
        <f>IF(Tableau2[[#This Row],[sdom]]="3OUEST",1,0)</f>
        <v>0</v>
      </c>
      <c r="AD88" s="12">
        <f>VLOOKUP(Tableau2[[#This Row],[essence]],Tableau5[],12,FALSE)</f>
        <v>0.79569999999999996</v>
      </c>
      <c r="AE88" s="12">
        <f>IF(Tableau2[[#This Row],[sdom]]="4EST",1,0)</f>
        <v>0</v>
      </c>
      <c r="AF88" s="12">
        <f>VLOOKUP(Tableau2[[#This Row],[essence]],Tableau5[],13,FALSE)</f>
        <v>0.54700000000000004</v>
      </c>
      <c r="AG88" s="12">
        <f>IF(Tableau2[[#This Row],[sdom]]="4OUEST",1,0)</f>
        <v>0</v>
      </c>
      <c r="AH88" s="12">
        <f>VLOOKUP(Tableau2[[#This Row],[essence]],Tableau5[],14,FALSE)</f>
        <v>0</v>
      </c>
      <c r="AI88" s="12">
        <f>IF(Tableau2[[#This Row],[sdom]]="5EST",1,0)</f>
        <v>0</v>
      </c>
      <c r="AJ88" s="12">
        <f>VLOOKUP(Tableau2[[#This Row],[essence]],Tableau5[],16,FALSE)</f>
        <v>0</v>
      </c>
      <c r="AK88" s="12">
        <f>IF(Tableau2[[#This Row],[sdom]]="5OUEST",1,0)</f>
        <v>0</v>
      </c>
      <c r="AL88" s="12">
        <f>VLOOKUP(Tableau2[[#This Row],[essence]],Tableau5[],17,FALSE)</f>
        <v>0</v>
      </c>
      <c r="AM88" s="12">
        <f>IF(Tableau2[[#This Row],[sdom]]="6EST",1,0)</f>
        <v>0</v>
      </c>
      <c r="AN88" s="12">
        <f>VLOOKUP(Tableau2[[#This Row],[essence]],Tableau5[],19,FALSE)</f>
        <v>4.2000000000000003E-2</v>
      </c>
      <c r="AO88" s="12">
        <f>IF(Tableau2[[#This Row],[priorecol]]="C",1,0)</f>
        <v>0</v>
      </c>
      <c r="AP88" s="12">
        <f>VLOOKUP(Tableau2[[#This Row],[essence]],Tableau5[],20,FALSE)</f>
        <v>0.111</v>
      </c>
      <c r="AQ88" s="12">
        <f>IF(Tableau2[[#This Row],[priorecol]]="R",1,0)</f>
        <v>0</v>
      </c>
      <c r="AR88" s="12">
        <f>VLOOKUP(Tableau2[[#This Row],[essence]],Tableau5[],21,FALSE)</f>
        <v>4.3600000000000002E-3</v>
      </c>
      <c r="AS88" s="12">
        <f>IF(Tableau2[[#This Row],[priorecol]]="S",1,0)</f>
        <v>1</v>
      </c>
      <c r="AT88" s="12">
        <f>VLOOKUP(Tableau2[[#This Row],[essence]],Tableau5[],22,FALSE)</f>
        <v>0</v>
      </c>
      <c r="AU88" s="12">
        <f>VLOOKUP(Tableau2[[#This Row],[essence]],Tableau5[],23,FALSE)</f>
        <v>0</v>
      </c>
      <c r="AV88" s="12">
        <f>VLOOKUP(Tableau2[[#This Row],[essence]],Tableau5[],18,FALSE)</f>
        <v>0</v>
      </c>
      <c r="AW8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1.7306999999999999</v>
      </c>
      <c r="AX88" s="12">
        <f>1/(1+EXP(-Tableau2[[#This Row],[xb_c]]))</f>
        <v>0.84950193602835511</v>
      </c>
      <c r="AY88" s="12" t="str">
        <f t="shared" si="2"/>
        <v>NA</v>
      </c>
      <c r="AZ88" s="12" t="str">
        <f t="shared" si="3"/>
        <v>NA</v>
      </c>
      <c r="BA88" s="12">
        <f>Tableau2[[#This Row],[prob_c]]</f>
        <v>0.84950193602835511</v>
      </c>
      <c r="BB88" s="12">
        <f>1-Tableau2[[#This Row],[prob_c]]</f>
        <v>0.15049806397164489</v>
      </c>
    </row>
    <row r="89" spans="1:54" x14ac:dyDescent="0.25">
      <c r="A89" s="12">
        <v>4</v>
      </c>
      <c r="B89" s="12" t="s">
        <v>12</v>
      </c>
      <c r="C89" s="12">
        <v>2.1</v>
      </c>
      <c r="D89" s="12">
        <v>700</v>
      </c>
      <c r="E89" s="12">
        <v>20</v>
      </c>
      <c r="F89" s="12">
        <v>1</v>
      </c>
      <c r="G89" s="12">
        <v>16</v>
      </c>
      <c r="H89" s="12">
        <v>31</v>
      </c>
      <c r="I89" s="12" t="s">
        <v>24</v>
      </c>
      <c r="J89" s="12" t="s">
        <v>27</v>
      </c>
      <c r="K89" s="12">
        <f>VLOOKUP(Tableau2[[#This Row],[essence]],Tableau5[],2,FALSE)</f>
        <v>1.9585999999999999</v>
      </c>
      <c r="L89" s="12">
        <f>VLOOKUP(Tableau2[[#This Row],[essence]],Tableau5[],3,FALSE)</f>
        <v>6.6000000000000003E-2</v>
      </c>
      <c r="M89" s="12">
        <f>IF(Tableau2[[#This Row],[priorecol]]="C",1,0)</f>
        <v>1</v>
      </c>
      <c r="N89" s="12">
        <f>VLOOKUP(Tableau2[[#This Row],[essence]],Tableau5[],4,FALSE)</f>
        <v>-1.9339999999999999</v>
      </c>
      <c r="O89" s="12">
        <f>IF(Tableau2[[#This Row],[priorecol]]="R",1,0)</f>
        <v>0</v>
      </c>
      <c r="P89" s="12">
        <f>VLOOKUP(Tableau2[[#This Row],[essence]],Tableau5[],5,FALSE)</f>
        <v>-4.4771999999999998</v>
      </c>
      <c r="Q89" s="12">
        <f>IF(Tableau2[[#This Row],[priorecol]]="S",1,0)</f>
        <v>0</v>
      </c>
      <c r="R89" s="12">
        <f>VLOOKUP(Tableau2[[#This Row],[essence]],Tableau5[],6,FALSE)</f>
        <v>-2.5499999999999998E-2</v>
      </c>
      <c r="S89" s="12">
        <f>VLOOKUP(Tableau2[[#This Row],[essence]],Tableau5[],15,FALSE)</f>
        <v>0</v>
      </c>
      <c r="T89" s="12">
        <f>VLOOKUP(Tableau2[[#This Row],[essence]],Tableau5[],7,FALSE)</f>
        <v>0</v>
      </c>
      <c r="U89" s="12">
        <f>IF(Tableau2[[#This Row],[sdom]]=1,1,0)</f>
        <v>0</v>
      </c>
      <c r="V89" s="12">
        <f>VLOOKUP(Tableau2[[#This Row],[essence]],Tableau5[],8,FALSE)</f>
        <v>0</v>
      </c>
      <c r="W89" s="12">
        <f>IF(Tableau2[[#This Row],[sdom]]="2EST",1,0)</f>
        <v>0</v>
      </c>
      <c r="X89" s="12">
        <f>VLOOKUP(Tableau2[[#This Row],[essence]],Tableau5[],9,FALSE)</f>
        <v>0</v>
      </c>
      <c r="Y89" s="12">
        <f>IF(Tableau2[[#This Row],[sdom]]="2OUEST",1,0)</f>
        <v>0</v>
      </c>
      <c r="Z89" s="12">
        <f>VLOOKUP(Tableau2[[#This Row],[essence]],Tableau5[],10,FALSE)</f>
        <v>0</v>
      </c>
      <c r="AA89" s="12">
        <f>IF(Tableau2[[#This Row],[sdom]]="3EST",1,0)</f>
        <v>1</v>
      </c>
      <c r="AB89" s="12">
        <f>VLOOKUP(Tableau2[[#This Row],[essence]],Tableau5[],11,FALSE)</f>
        <v>0</v>
      </c>
      <c r="AC89" s="12">
        <f>IF(Tableau2[[#This Row],[sdom]]="3OUEST",1,0)</f>
        <v>0</v>
      </c>
      <c r="AD89" s="12">
        <f>VLOOKUP(Tableau2[[#This Row],[essence]],Tableau5[],12,FALSE)</f>
        <v>0</v>
      </c>
      <c r="AE89" s="12">
        <f>IF(Tableau2[[#This Row],[sdom]]="4EST",1,0)</f>
        <v>0</v>
      </c>
      <c r="AF89" s="12">
        <f>VLOOKUP(Tableau2[[#This Row],[essence]],Tableau5[],13,FALSE)</f>
        <v>0</v>
      </c>
      <c r="AG89" s="12">
        <f>IF(Tableau2[[#This Row],[sdom]]="4OUEST",1,0)</f>
        <v>0</v>
      </c>
      <c r="AH89" s="12">
        <f>VLOOKUP(Tableau2[[#This Row],[essence]],Tableau5[],14,FALSE)</f>
        <v>0</v>
      </c>
      <c r="AI89" s="12">
        <f>IF(Tableau2[[#This Row],[sdom]]="5EST",1,0)</f>
        <v>0</v>
      </c>
      <c r="AJ89" s="12">
        <f>VLOOKUP(Tableau2[[#This Row],[essence]],Tableau5[],16,FALSE)</f>
        <v>0</v>
      </c>
      <c r="AK89" s="12">
        <f>IF(Tableau2[[#This Row],[sdom]]="5OUEST",1,0)</f>
        <v>0</v>
      </c>
      <c r="AL89" s="12">
        <f>VLOOKUP(Tableau2[[#This Row],[essence]],Tableau5[],17,FALSE)</f>
        <v>0</v>
      </c>
      <c r="AM89" s="12">
        <f>IF(Tableau2[[#This Row],[sdom]]="6EST",1,0)</f>
        <v>0</v>
      </c>
      <c r="AN89" s="12">
        <f>VLOOKUP(Tableau2[[#This Row],[essence]],Tableau5[],19,FALSE)</f>
        <v>4.2599999999999999E-2</v>
      </c>
      <c r="AO89" s="12">
        <f>IF(Tableau2[[#This Row],[priorecol]]="C",1,0)</f>
        <v>1</v>
      </c>
      <c r="AP89" s="12">
        <f>VLOOKUP(Tableau2[[#This Row],[essence]],Tableau5[],20,FALSE)</f>
        <v>0.17699999999999999</v>
      </c>
      <c r="AQ89" s="12">
        <f>IF(Tableau2[[#This Row],[priorecol]]="R",1,0)</f>
        <v>0</v>
      </c>
      <c r="AR89" s="12">
        <f>VLOOKUP(Tableau2[[#This Row],[essence]],Tableau5[],21,FALSE)</f>
        <v>0.19650000000000001</v>
      </c>
      <c r="AS89" s="12">
        <f>IF(Tableau2[[#This Row],[priorecol]]="S",1,0)</f>
        <v>0</v>
      </c>
      <c r="AT89" s="12">
        <f>VLOOKUP(Tableau2[[#This Row],[essence]],Tableau5[],22,FALSE)</f>
        <v>0</v>
      </c>
      <c r="AU89" s="12">
        <f>VLOOKUP(Tableau2[[#This Row],[essence]],Tableau5[],23,FALSE)</f>
        <v>0</v>
      </c>
      <c r="AV89" s="12">
        <f>VLOOKUP(Tableau2[[#This Row],[essence]],Tableau5[],18,FALSE)</f>
        <v>0</v>
      </c>
      <c r="AW8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2.5547</v>
      </c>
      <c r="AX89" s="12">
        <f>1/(1+EXP(-Tableau2[[#This Row],[xb_c]]))</f>
        <v>0.92788863098303642</v>
      </c>
      <c r="AY89" s="12" t="str">
        <f t="shared" si="2"/>
        <v>NA</v>
      </c>
      <c r="AZ89" s="12" t="str">
        <f t="shared" si="3"/>
        <v>NA</v>
      </c>
      <c r="BA89" s="12">
        <f>Tableau2[[#This Row],[prob_c]]</f>
        <v>0.92788863098303642</v>
      </c>
      <c r="BB89" s="12">
        <f>1-Tableau2[[#This Row],[prob_c]]</f>
        <v>7.2111369016963578E-2</v>
      </c>
    </row>
    <row r="90" spans="1:54" x14ac:dyDescent="0.25">
      <c r="A90" s="12">
        <v>4</v>
      </c>
      <c r="B90" s="12" t="s">
        <v>12</v>
      </c>
      <c r="C90" s="12">
        <v>2.1</v>
      </c>
      <c r="D90" s="12">
        <v>700</v>
      </c>
      <c r="E90" s="12">
        <v>20</v>
      </c>
      <c r="F90" s="12">
        <v>1</v>
      </c>
      <c r="G90" s="12">
        <v>17</v>
      </c>
      <c r="H90" s="12">
        <v>32</v>
      </c>
      <c r="I90" s="12" t="s">
        <v>24</v>
      </c>
      <c r="J90" s="12" t="s">
        <v>28</v>
      </c>
      <c r="K90" s="12">
        <f>VLOOKUP(Tableau2[[#This Row],[essence]],Tableau5[],2,FALSE)</f>
        <v>1.9585999999999999</v>
      </c>
      <c r="L90" s="12">
        <f>VLOOKUP(Tableau2[[#This Row],[essence]],Tableau5[],3,FALSE)</f>
        <v>6.6000000000000003E-2</v>
      </c>
      <c r="M90" s="12">
        <f>IF(Tableau2[[#This Row],[priorecol]]="C",1,0)</f>
        <v>0</v>
      </c>
      <c r="N90" s="12">
        <f>VLOOKUP(Tableau2[[#This Row],[essence]],Tableau5[],4,FALSE)</f>
        <v>-1.9339999999999999</v>
      </c>
      <c r="O90" s="12">
        <f>IF(Tableau2[[#This Row],[priorecol]]="R",1,0)</f>
        <v>1</v>
      </c>
      <c r="P90" s="12">
        <f>VLOOKUP(Tableau2[[#This Row],[essence]],Tableau5[],5,FALSE)</f>
        <v>-4.4771999999999998</v>
      </c>
      <c r="Q90" s="12">
        <f>IF(Tableau2[[#This Row],[priorecol]]="S",1,0)</f>
        <v>0</v>
      </c>
      <c r="R90" s="12">
        <f>VLOOKUP(Tableau2[[#This Row],[essence]],Tableau5[],6,FALSE)</f>
        <v>-2.5499999999999998E-2</v>
      </c>
      <c r="S90" s="12">
        <f>VLOOKUP(Tableau2[[#This Row],[essence]],Tableau5[],15,FALSE)</f>
        <v>0</v>
      </c>
      <c r="T90" s="12">
        <f>VLOOKUP(Tableau2[[#This Row],[essence]],Tableau5[],7,FALSE)</f>
        <v>0</v>
      </c>
      <c r="U90" s="12">
        <f>IF(Tableau2[[#This Row],[sdom]]=1,1,0)</f>
        <v>0</v>
      </c>
      <c r="V90" s="12">
        <f>VLOOKUP(Tableau2[[#This Row],[essence]],Tableau5[],8,FALSE)</f>
        <v>0</v>
      </c>
      <c r="W90" s="12">
        <f>IF(Tableau2[[#This Row],[sdom]]="2EST",1,0)</f>
        <v>0</v>
      </c>
      <c r="X90" s="12">
        <f>VLOOKUP(Tableau2[[#This Row],[essence]],Tableau5[],9,FALSE)</f>
        <v>0</v>
      </c>
      <c r="Y90" s="12">
        <f>IF(Tableau2[[#This Row],[sdom]]="2OUEST",1,0)</f>
        <v>0</v>
      </c>
      <c r="Z90" s="12">
        <f>VLOOKUP(Tableau2[[#This Row],[essence]],Tableau5[],10,FALSE)</f>
        <v>0</v>
      </c>
      <c r="AA90" s="12">
        <f>IF(Tableau2[[#This Row],[sdom]]="3EST",1,0)</f>
        <v>1</v>
      </c>
      <c r="AB90" s="12">
        <f>VLOOKUP(Tableau2[[#This Row],[essence]],Tableau5[],11,FALSE)</f>
        <v>0</v>
      </c>
      <c r="AC90" s="12">
        <f>IF(Tableau2[[#This Row],[sdom]]="3OUEST",1,0)</f>
        <v>0</v>
      </c>
      <c r="AD90" s="12">
        <f>VLOOKUP(Tableau2[[#This Row],[essence]],Tableau5[],12,FALSE)</f>
        <v>0</v>
      </c>
      <c r="AE90" s="12">
        <f>IF(Tableau2[[#This Row],[sdom]]="4EST",1,0)</f>
        <v>0</v>
      </c>
      <c r="AF90" s="12">
        <f>VLOOKUP(Tableau2[[#This Row],[essence]],Tableau5[],13,FALSE)</f>
        <v>0</v>
      </c>
      <c r="AG90" s="12">
        <f>IF(Tableau2[[#This Row],[sdom]]="4OUEST",1,0)</f>
        <v>0</v>
      </c>
      <c r="AH90" s="12">
        <f>VLOOKUP(Tableau2[[#This Row],[essence]],Tableau5[],14,FALSE)</f>
        <v>0</v>
      </c>
      <c r="AI90" s="12">
        <f>IF(Tableau2[[#This Row],[sdom]]="5EST",1,0)</f>
        <v>0</v>
      </c>
      <c r="AJ90" s="12">
        <f>VLOOKUP(Tableau2[[#This Row],[essence]],Tableau5[],16,FALSE)</f>
        <v>0</v>
      </c>
      <c r="AK90" s="12">
        <f>IF(Tableau2[[#This Row],[sdom]]="5OUEST",1,0)</f>
        <v>0</v>
      </c>
      <c r="AL90" s="12">
        <f>VLOOKUP(Tableau2[[#This Row],[essence]],Tableau5[],17,FALSE)</f>
        <v>0</v>
      </c>
      <c r="AM90" s="12">
        <f>IF(Tableau2[[#This Row],[sdom]]="6EST",1,0)</f>
        <v>0</v>
      </c>
      <c r="AN90" s="12">
        <f>VLOOKUP(Tableau2[[#This Row],[essence]],Tableau5[],19,FALSE)</f>
        <v>4.2599999999999999E-2</v>
      </c>
      <c r="AO90" s="12">
        <f>IF(Tableau2[[#This Row],[priorecol]]="C",1,0)</f>
        <v>0</v>
      </c>
      <c r="AP90" s="12">
        <f>VLOOKUP(Tableau2[[#This Row],[essence]],Tableau5[],20,FALSE)</f>
        <v>0.17699999999999999</v>
      </c>
      <c r="AQ90" s="12">
        <f>IF(Tableau2[[#This Row],[priorecol]]="R",1,0)</f>
        <v>1</v>
      </c>
      <c r="AR90" s="12">
        <f>VLOOKUP(Tableau2[[#This Row],[essence]],Tableau5[],21,FALSE)</f>
        <v>0.19650000000000001</v>
      </c>
      <c r="AS90" s="12">
        <f>IF(Tableau2[[#This Row],[priorecol]]="S",1,0)</f>
        <v>0</v>
      </c>
      <c r="AT90" s="12">
        <f>VLOOKUP(Tableau2[[#This Row],[essence]],Tableau5[],22,FALSE)</f>
        <v>0</v>
      </c>
      <c r="AU90" s="12">
        <f>VLOOKUP(Tableau2[[#This Row],[essence]],Tableau5[],23,FALSE)</f>
        <v>0</v>
      </c>
      <c r="AV90" s="12">
        <f>VLOOKUP(Tableau2[[#This Row],[essence]],Tableau5[],18,FALSE)</f>
        <v>0</v>
      </c>
      <c r="AW9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4.8725999999999994</v>
      </c>
      <c r="AX90" s="12">
        <f>1/(1+EXP(-Tableau2[[#This Row],[xb_c]]))</f>
        <v>0.99240468980264895</v>
      </c>
      <c r="AY90" s="12" t="str">
        <f t="shared" si="2"/>
        <v>NA</v>
      </c>
      <c r="AZ90" s="12" t="str">
        <f t="shared" si="3"/>
        <v>NA</v>
      </c>
      <c r="BA90" s="12">
        <f>Tableau2[[#This Row],[prob_c]]</f>
        <v>0.99240468980264895</v>
      </c>
      <c r="BB90" s="12">
        <f>1-Tableau2[[#This Row],[prob_c]]</f>
        <v>7.5953101973510462E-3</v>
      </c>
    </row>
    <row r="91" spans="1:54" x14ac:dyDescent="0.25">
      <c r="A91" s="12">
        <v>4</v>
      </c>
      <c r="B91" s="12" t="s">
        <v>12</v>
      </c>
      <c r="C91" s="12">
        <v>2.1</v>
      </c>
      <c r="D91" s="12">
        <v>700</v>
      </c>
      <c r="E91" s="12">
        <v>20</v>
      </c>
      <c r="F91" s="12">
        <v>1</v>
      </c>
      <c r="G91" s="12">
        <v>18</v>
      </c>
      <c r="H91" s="12">
        <v>33</v>
      </c>
      <c r="I91" s="12" t="s">
        <v>24</v>
      </c>
      <c r="J91" s="12" t="s">
        <v>29</v>
      </c>
      <c r="K91" s="12">
        <f>VLOOKUP(Tableau2[[#This Row],[essence]],Tableau5[],2,FALSE)</f>
        <v>1.9585999999999999</v>
      </c>
      <c r="L91" s="12">
        <f>VLOOKUP(Tableau2[[#This Row],[essence]],Tableau5[],3,FALSE)</f>
        <v>6.6000000000000003E-2</v>
      </c>
      <c r="M91" s="12">
        <f>IF(Tableau2[[#This Row],[priorecol]]="C",1,0)</f>
        <v>0</v>
      </c>
      <c r="N91" s="12">
        <f>VLOOKUP(Tableau2[[#This Row],[essence]],Tableau5[],4,FALSE)</f>
        <v>-1.9339999999999999</v>
      </c>
      <c r="O91" s="12">
        <f>IF(Tableau2[[#This Row],[priorecol]]="R",1,0)</f>
        <v>0</v>
      </c>
      <c r="P91" s="12">
        <f>VLOOKUP(Tableau2[[#This Row],[essence]],Tableau5[],5,FALSE)</f>
        <v>-4.4771999999999998</v>
      </c>
      <c r="Q91" s="12">
        <f>IF(Tableau2[[#This Row],[priorecol]]="S",1,0)</f>
        <v>1</v>
      </c>
      <c r="R91" s="12">
        <f>VLOOKUP(Tableau2[[#This Row],[essence]],Tableau5[],6,FALSE)</f>
        <v>-2.5499999999999998E-2</v>
      </c>
      <c r="S91" s="12">
        <f>VLOOKUP(Tableau2[[#This Row],[essence]],Tableau5[],15,FALSE)</f>
        <v>0</v>
      </c>
      <c r="T91" s="12">
        <f>VLOOKUP(Tableau2[[#This Row],[essence]],Tableau5[],7,FALSE)</f>
        <v>0</v>
      </c>
      <c r="U91" s="12">
        <f>IF(Tableau2[[#This Row],[sdom]]=1,1,0)</f>
        <v>0</v>
      </c>
      <c r="V91" s="12">
        <f>VLOOKUP(Tableau2[[#This Row],[essence]],Tableau5[],8,FALSE)</f>
        <v>0</v>
      </c>
      <c r="W91" s="12">
        <f>IF(Tableau2[[#This Row],[sdom]]="2EST",1,0)</f>
        <v>0</v>
      </c>
      <c r="X91" s="12">
        <f>VLOOKUP(Tableau2[[#This Row],[essence]],Tableau5[],9,FALSE)</f>
        <v>0</v>
      </c>
      <c r="Y91" s="12">
        <f>IF(Tableau2[[#This Row],[sdom]]="2OUEST",1,0)</f>
        <v>0</v>
      </c>
      <c r="Z91" s="12">
        <f>VLOOKUP(Tableau2[[#This Row],[essence]],Tableau5[],10,FALSE)</f>
        <v>0</v>
      </c>
      <c r="AA91" s="12">
        <f>IF(Tableau2[[#This Row],[sdom]]="3EST",1,0)</f>
        <v>1</v>
      </c>
      <c r="AB91" s="12">
        <f>VLOOKUP(Tableau2[[#This Row],[essence]],Tableau5[],11,FALSE)</f>
        <v>0</v>
      </c>
      <c r="AC91" s="12">
        <f>IF(Tableau2[[#This Row],[sdom]]="3OUEST",1,0)</f>
        <v>0</v>
      </c>
      <c r="AD91" s="12">
        <f>VLOOKUP(Tableau2[[#This Row],[essence]],Tableau5[],12,FALSE)</f>
        <v>0</v>
      </c>
      <c r="AE91" s="12">
        <f>IF(Tableau2[[#This Row],[sdom]]="4EST",1,0)</f>
        <v>0</v>
      </c>
      <c r="AF91" s="12">
        <f>VLOOKUP(Tableau2[[#This Row],[essence]],Tableau5[],13,FALSE)</f>
        <v>0</v>
      </c>
      <c r="AG91" s="12">
        <f>IF(Tableau2[[#This Row],[sdom]]="4OUEST",1,0)</f>
        <v>0</v>
      </c>
      <c r="AH91" s="12">
        <f>VLOOKUP(Tableau2[[#This Row],[essence]],Tableau5[],14,FALSE)</f>
        <v>0</v>
      </c>
      <c r="AI91" s="12">
        <f>IF(Tableau2[[#This Row],[sdom]]="5EST",1,0)</f>
        <v>0</v>
      </c>
      <c r="AJ91" s="12">
        <f>VLOOKUP(Tableau2[[#This Row],[essence]],Tableau5[],16,FALSE)</f>
        <v>0</v>
      </c>
      <c r="AK91" s="12">
        <f>IF(Tableau2[[#This Row],[sdom]]="5OUEST",1,0)</f>
        <v>0</v>
      </c>
      <c r="AL91" s="12">
        <f>VLOOKUP(Tableau2[[#This Row],[essence]],Tableau5[],17,FALSE)</f>
        <v>0</v>
      </c>
      <c r="AM91" s="12">
        <f>IF(Tableau2[[#This Row],[sdom]]="6EST",1,0)</f>
        <v>0</v>
      </c>
      <c r="AN91" s="12">
        <f>VLOOKUP(Tableau2[[#This Row],[essence]],Tableau5[],19,FALSE)</f>
        <v>4.2599999999999999E-2</v>
      </c>
      <c r="AO91" s="12">
        <f>IF(Tableau2[[#This Row],[priorecol]]="C",1,0)</f>
        <v>0</v>
      </c>
      <c r="AP91" s="12">
        <f>VLOOKUP(Tableau2[[#This Row],[essence]],Tableau5[],20,FALSE)</f>
        <v>0.17699999999999999</v>
      </c>
      <c r="AQ91" s="12">
        <f>IF(Tableau2[[#This Row],[priorecol]]="R",1,0)</f>
        <v>0</v>
      </c>
      <c r="AR91" s="12">
        <f>VLOOKUP(Tableau2[[#This Row],[essence]],Tableau5[],21,FALSE)</f>
        <v>0.19650000000000001</v>
      </c>
      <c r="AS91" s="12">
        <f>IF(Tableau2[[#This Row],[priorecol]]="S",1,0)</f>
        <v>1</v>
      </c>
      <c r="AT91" s="12">
        <f>VLOOKUP(Tableau2[[#This Row],[essence]],Tableau5[],22,FALSE)</f>
        <v>0</v>
      </c>
      <c r="AU91" s="12">
        <f>VLOOKUP(Tableau2[[#This Row],[essence]],Tableau5[],23,FALSE)</f>
        <v>0</v>
      </c>
      <c r="AV91" s="12">
        <f>VLOOKUP(Tableau2[[#This Row],[essence]],Tableau5[],18,FALSE)</f>
        <v>0</v>
      </c>
      <c r="AW9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3.1244000000000005</v>
      </c>
      <c r="AX91" s="12">
        <f>1/(1+EXP(-Tableau2[[#This Row],[xb_c]]))</f>
        <v>0.95788807562654943</v>
      </c>
      <c r="AY91" s="12" t="str">
        <f t="shared" si="2"/>
        <v>NA</v>
      </c>
      <c r="AZ91" s="12" t="str">
        <f t="shared" si="3"/>
        <v>NA</v>
      </c>
      <c r="BA91" s="12">
        <f>Tableau2[[#This Row],[prob_c]]</f>
        <v>0.95788807562654943</v>
      </c>
      <c r="BB91" s="12">
        <f>1-Tableau2[[#This Row],[prob_c]]</f>
        <v>4.2111924373450571E-2</v>
      </c>
    </row>
    <row r="92" spans="1:54" x14ac:dyDescent="0.25">
      <c r="A92" s="12">
        <v>4</v>
      </c>
      <c r="B92" s="12" t="s">
        <v>12</v>
      </c>
      <c r="C92" s="12">
        <v>2.1</v>
      </c>
      <c r="D92" s="12">
        <v>700</v>
      </c>
      <c r="E92" s="12">
        <v>20</v>
      </c>
      <c r="F92" s="12">
        <v>1</v>
      </c>
      <c r="G92" s="12">
        <v>19</v>
      </c>
      <c r="H92" s="12">
        <v>24</v>
      </c>
      <c r="I92" s="12" t="s">
        <v>25</v>
      </c>
      <c r="J92" s="12" t="s">
        <v>27</v>
      </c>
      <c r="K92" s="12">
        <f>VLOOKUP(Tableau2[[#This Row],[essence]],Tableau5[],2,FALSE)</f>
        <v>-2.4066000000000001</v>
      </c>
      <c r="L92" s="12">
        <f>VLOOKUP(Tableau2[[#This Row],[essence]],Tableau5[],3,FALSE)</f>
        <v>1.0301</v>
      </c>
      <c r="M92" s="12">
        <f>IF(Tableau2[[#This Row],[priorecol]]="C",1,0)</f>
        <v>1</v>
      </c>
      <c r="N92" s="12">
        <f>VLOOKUP(Tableau2[[#This Row],[essence]],Tableau5[],4,FALSE)</f>
        <v>1.9907999999999999</v>
      </c>
      <c r="O92" s="12">
        <f>IF(Tableau2[[#This Row],[priorecol]]="R",1,0)</f>
        <v>0</v>
      </c>
      <c r="P92" s="12">
        <f>VLOOKUP(Tableau2[[#This Row],[essence]],Tableau5[],5,FALSE)</f>
        <v>1.1955</v>
      </c>
      <c r="Q92" s="12">
        <f>IF(Tableau2[[#This Row],[priorecol]]="S",1,0)</f>
        <v>0</v>
      </c>
      <c r="R92" s="12">
        <f>VLOOKUP(Tableau2[[#This Row],[essence]],Tableau5[],6,FALSE)</f>
        <v>4.2599999999999999E-2</v>
      </c>
      <c r="S92" s="12">
        <f>VLOOKUP(Tableau2[[#This Row],[essence]],Tableau5[],15,FALSE)</f>
        <v>1.3299999999999999E-2</v>
      </c>
      <c r="T92" s="12">
        <f>VLOOKUP(Tableau2[[#This Row],[essence]],Tableau5[],7,FALSE)</f>
        <v>0</v>
      </c>
      <c r="U92" s="12">
        <f>IF(Tableau2[[#This Row],[sdom]]=1,1,0)</f>
        <v>0</v>
      </c>
      <c r="V92" s="12">
        <f>VLOOKUP(Tableau2[[#This Row],[essence]],Tableau5[],8,FALSE)</f>
        <v>0.72299999999999998</v>
      </c>
      <c r="W92" s="12">
        <f>IF(Tableau2[[#This Row],[sdom]]="2EST",1,0)</f>
        <v>0</v>
      </c>
      <c r="X92" s="12">
        <f>VLOOKUP(Tableau2[[#This Row],[essence]],Tableau5[],9,FALSE)</f>
        <v>0.28749999999999998</v>
      </c>
      <c r="Y92" s="12">
        <f>IF(Tableau2[[#This Row],[sdom]]="2OUEST",1,0)</f>
        <v>0</v>
      </c>
      <c r="Z92" s="12">
        <f>VLOOKUP(Tableau2[[#This Row],[essence]],Tableau5[],10,FALSE)</f>
        <v>0.5746</v>
      </c>
      <c r="AA92" s="12">
        <f>IF(Tableau2[[#This Row],[sdom]]="3EST",1,0)</f>
        <v>1</v>
      </c>
      <c r="AB92" s="12">
        <f>VLOOKUP(Tableau2[[#This Row],[essence]],Tableau5[],11,FALSE)</f>
        <v>0.40360000000000001</v>
      </c>
      <c r="AC92" s="12">
        <f>IF(Tableau2[[#This Row],[sdom]]="3OUEST",1,0)</f>
        <v>0</v>
      </c>
      <c r="AD92" s="12">
        <f>VLOOKUP(Tableau2[[#This Row],[essence]],Tableau5[],12,FALSE)</f>
        <v>0</v>
      </c>
      <c r="AE92" s="12">
        <f>IF(Tableau2[[#This Row],[sdom]]="4EST",1,0)</f>
        <v>0</v>
      </c>
      <c r="AF92" s="12">
        <f>VLOOKUP(Tableau2[[#This Row],[essence]],Tableau5[],13,FALSE)</f>
        <v>0</v>
      </c>
      <c r="AG92" s="12">
        <f>IF(Tableau2[[#This Row],[sdom]]="4OUEST",1,0)</f>
        <v>0</v>
      </c>
      <c r="AH92" s="12">
        <f>VLOOKUP(Tableau2[[#This Row],[essence]],Tableau5[],14,FALSE)</f>
        <v>0</v>
      </c>
      <c r="AI92" s="12">
        <f>IF(Tableau2[[#This Row],[sdom]]="5EST",1,0)</f>
        <v>0</v>
      </c>
      <c r="AJ92" s="12">
        <f>VLOOKUP(Tableau2[[#This Row],[essence]],Tableau5[],16,FALSE)</f>
        <v>0</v>
      </c>
      <c r="AK92" s="12">
        <f>IF(Tableau2[[#This Row],[sdom]]="5OUEST",1,0)</f>
        <v>0</v>
      </c>
      <c r="AL92" s="12">
        <f>VLOOKUP(Tableau2[[#This Row],[essence]],Tableau5[],17,FALSE)</f>
        <v>0</v>
      </c>
      <c r="AM92" s="12">
        <f>IF(Tableau2[[#This Row],[sdom]]="6EST",1,0)</f>
        <v>0</v>
      </c>
      <c r="AN92" s="12">
        <f>VLOOKUP(Tableau2[[#This Row],[essence]],Tableau5[],19,FALSE)</f>
        <v>0</v>
      </c>
      <c r="AO92" s="12">
        <f>IF(Tableau2[[#This Row],[priorecol]]="C",1,0)</f>
        <v>1</v>
      </c>
      <c r="AP92" s="12">
        <f>VLOOKUP(Tableau2[[#This Row],[essence]],Tableau5[],20,FALSE)</f>
        <v>0</v>
      </c>
      <c r="AQ92" s="12">
        <f>IF(Tableau2[[#This Row],[priorecol]]="R",1,0)</f>
        <v>0</v>
      </c>
      <c r="AR92" s="12">
        <f>VLOOKUP(Tableau2[[#This Row],[essence]],Tableau5[],21,FALSE)</f>
        <v>0</v>
      </c>
      <c r="AS92" s="12">
        <f>IF(Tableau2[[#This Row],[priorecol]]="S",1,0)</f>
        <v>0</v>
      </c>
      <c r="AT92" s="12">
        <f>VLOOKUP(Tableau2[[#This Row],[essence]],Tableau5[],22,FALSE)</f>
        <v>0.36130000000000001</v>
      </c>
      <c r="AU92" s="12">
        <f>VLOOKUP(Tableau2[[#This Row],[essence]],Tableau5[],23,FALSE)</f>
        <v>0</v>
      </c>
      <c r="AV92" s="12">
        <f>VLOOKUP(Tableau2[[#This Row],[essence]],Tableau5[],18,FALSE)</f>
        <v>0</v>
      </c>
      <c r="AW9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0.84779999999999989</v>
      </c>
      <c r="AX92" s="12">
        <f>1/(1+EXP(-Tableau2[[#This Row],[xb_c]]))</f>
        <v>0.70010543872747932</v>
      </c>
      <c r="AY92" s="12" t="str">
        <f t="shared" si="2"/>
        <v>NA</v>
      </c>
      <c r="AZ92" s="12" t="str">
        <f t="shared" si="3"/>
        <v>NA</v>
      </c>
      <c r="BA92" s="12">
        <f>Tableau2[[#This Row],[prob_c]]</f>
        <v>0.70010543872747932</v>
      </c>
      <c r="BB92" s="12">
        <f>1-Tableau2[[#This Row],[prob_c]]</f>
        <v>0.29989456127252068</v>
      </c>
    </row>
    <row r="93" spans="1:54" x14ac:dyDescent="0.25">
      <c r="A93" s="12">
        <v>4</v>
      </c>
      <c r="B93" s="12" t="s">
        <v>12</v>
      </c>
      <c r="C93" s="12">
        <v>2.1</v>
      </c>
      <c r="D93" s="12">
        <v>700</v>
      </c>
      <c r="E93" s="12">
        <v>20</v>
      </c>
      <c r="F93" s="12">
        <v>1</v>
      </c>
      <c r="G93" s="12">
        <v>20</v>
      </c>
      <c r="H93" s="12">
        <v>25</v>
      </c>
      <c r="I93" s="12" t="s">
        <v>25</v>
      </c>
      <c r="J93" s="12" t="s">
        <v>28</v>
      </c>
      <c r="K93" s="12">
        <f>VLOOKUP(Tableau2[[#This Row],[essence]],Tableau5[],2,FALSE)</f>
        <v>-2.4066000000000001</v>
      </c>
      <c r="L93" s="12">
        <f>VLOOKUP(Tableau2[[#This Row],[essence]],Tableau5[],3,FALSE)</f>
        <v>1.0301</v>
      </c>
      <c r="M93" s="12">
        <f>IF(Tableau2[[#This Row],[priorecol]]="C",1,0)</f>
        <v>0</v>
      </c>
      <c r="N93" s="12">
        <f>VLOOKUP(Tableau2[[#This Row],[essence]],Tableau5[],4,FALSE)</f>
        <v>1.9907999999999999</v>
      </c>
      <c r="O93" s="12">
        <f>IF(Tableau2[[#This Row],[priorecol]]="R",1,0)</f>
        <v>1</v>
      </c>
      <c r="P93" s="12">
        <f>VLOOKUP(Tableau2[[#This Row],[essence]],Tableau5[],5,FALSE)</f>
        <v>1.1955</v>
      </c>
      <c r="Q93" s="12">
        <f>IF(Tableau2[[#This Row],[priorecol]]="S",1,0)</f>
        <v>0</v>
      </c>
      <c r="R93" s="12">
        <f>VLOOKUP(Tableau2[[#This Row],[essence]],Tableau5[],6,FALSE)</f>
        <v>4.2599999999999999E-2</v>
      </c>
      <c r="S93" s="12">
        <f>VLOOKUP(Tableau2[[#This Row],[essence]],Tableau5[],15,FALSE)</f>
        <v>1.3299999999999999E-2</v>
      </c>
      <c r="T93" s="12">
        <f>VLOOKUP(Tableau2[[#This Row],[essence]],Tableau5[],7,FALSE)</f>
        <v>0</v>
      </c>
      <c r="U93" s="12">
        <f>IF(Tableau2[[#This Row],[sdom]]=1,1,0)</f>
        <v>0</v>
      </c>
      <c r="V93" s="12">
        <f>VLOOKUP(Tableau2[[#This Row],[essence]],Tableau5[],8,FALSE)</f>
        <v>0.72299999999999998</v>
      </c>
      <c r="W93" s="12">
        <f>IF(Tableau2[[#This Row],[sdom]]="2EST",1,0)</f>
        <v>0</v>
      </c>
      <c r="X93" s="12">
        <f>VLOOKUP(Tableau2[[#This Row],[essence]],Tableau5[],9,FALSE)</f>
        <v>0.28749999999999998</v>
      </c>
      <c r="Y93" s="12">
        <f>IF(Tableau2[[#This Row],[sdom]]="2OUEST",1,0)</f>
        <v>0</v>
      </c>
      <c r="Z93" s="12">
        <f>VLOOKUP(Tableau2[[#This Row],[essence]],Tableau5[],10,FALSE)</f>
        <v>0.5746</v>
      </c>
      <c r="AA93" s="12">
        <f>IF(Tableau2[[#This Row],[sdom]]="3EST",1,0)</f>
        <v>1</v>
      </c>
      <c r="AB93" s="12">
        <f>VLOOKUP(Tableau2[[#This Row],[essence]],Tableau5[],11,FALSE)</f>
        <v>0.40360000000000001</v>
      </c>
      <c r="AC93" s="12">
        <f>IF(Tableau2[[#This Row],[sdom]]="3OUEST",1,0)</f>
        <v>0</v>
      </c>
      <c r="AD93" s="12">
        <f>VLOOKUP(Tableau2[[#This Row],[essence]],Tableau5[],12,FALSE)</f>
        <v>0</v>
      </c>
      <c r="AE93" s="12">
        <f>IF(Tableau2[[#This Row],[sdom]]="4EST",1,0)</f>
        <v>0</v>
      </c>
      <c r="AF93" s="12">
        <f>VLOOKUP(Tableau2[[#This Row],[essence]],Tableau5[],13,FALSE)</f>
        <v>0</v>
      </c>
      <c r="AG93" s="12">
        <f>IF(Tableau2[[#This Row],[sdom]]="4OUEST",1,0)</f>
        <v>0</v>
      </c>
      <c r="AH93" s="12">
        <f>VLOOKUP(Tableau2[[#This Row],[essence]],Tableau5[],14,FALSE)</f>
        <v>0</v>
      </c>
      <c r="AI93" s="12">
        <f>IF(Tableau2[[#This Row],[sdom]]="5EST",1,0)</f>
        <v>0</v>
      </c>
      <c r="AJ93" s="12">
        <f>VLOOKUP(Tableau2[[#This Row],[essence]],Tableau5[],16,FALSE)</f>
        <v>0</v>
      </c>
      <c r="AK93" s="12">
        <f>IF(Tableau2[[#This Row],[sdom]]="5OUEST",1,0)</f>
        <v>0</v>
      </c>
      <c r="AL93" s="12">
        <f>VLOOKUP(Tableau2[[#This Row],[essence]],Tableau5[],17,FALSE)</f>
        <v>0</v>
      </c>
      <c r="AM93" s="12">
        <f>IF(Tableau2[[#This Row],[sdom]]="6EST",1,0)</f>
        <v>0</v>
      </c>
      <c r="AN93" s="12">
        <f>VLOOKUP(Tableau2[[#This Row],[essence]],Tableau5[],19,FALSE)</f>
        <v>0</v>
      </c>
      <c r="AO93" s="12">
        <f>IF(Tableau2[[#This Row],[priorecol]]="C",1,0)</f>
        <v>0</v>
      </c>
      <c r="AP93" s="12">
        <f>VLOOKUP(Tableau2[[#This Row],[essence]],Tableau5[],20,FALSE)</f>
        <v>0</v>
      </c>
      <c r="AQ93" s="12">
        <f>IF(Tableau2[[#This Row],[priorecol]]="R",1,0)</f>
        <v>1</v>
      </c>
      <c r="AR93" s="12">
        <f>VLOOKUP(Tableau2[[#This Row],[essence]],Tableau5[],21,FALSE)</f>
        <v>0</v>
      </c>
      <c r="AS93" s="12">
        <f>IF(Tableau2[[#This Row],[priorecol]]="S",1,0)</f>
        <v>0</v>
      </c>
      <c r="AT93" s="12">
        <f>VLOOKUP(Tableau2[[#This Row],[essence]],Tableau5[],22,FALSE)</f>
        <v>0.36130000000000001</v>
      </c>
      <c r="AU93" s="12">
        <f>VLOOKUP(Tableau2[[#This Row],[essence]],Tableau5[],23,FALSE)</f>
        <v>0</v>
      </c>
      <c r="AV93" s="12">
        <f>VLOOKUP(Tableau2[[#This Row],[essence]],Tableau5[],18,FALSE)</f>
        <v>0</v>
      </c>
      <c r="AW9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1.8510999999999997</v>
      </c>
      <c r="AX93" s="12">
        <f>1/(1+EXP(-Tableau2[[#This Row],[xb_c]]))</f>
        <v>0.86425620386600177</v>
      </c>
      <c r="AY93" s="12" t="str">
        <f t="shared" si="2"/>
        <v>NA</v>
      </c>
      <c r="AZ93" s="12" t="str">
        <f t="shared" si="3"/>
        <v>NA</v>
      </c>
      <c r="BA93" s="12">
        <f>Tableau2[[#This Row],[prob_c]]</f>
        <v>0.86425620386600177</v>
      </c>
      <c r="BB93" s="12">
        <f>1-Tableau2[[#This Row],[prob_c]]</f>
        <v>0.13574379613399823</v>
      </c>
    </row>
    <row r="94" spans="1:54" x14ac:dyDescent="0.25">
      <c r="A94" s="12">
        <v>4</v>
      </c>
      <c r="B94" s="12" t="s">
        <v>12</v>
      </c>
      <c r="C94" s="12">
        <v>2.1</v>
      </c>
      <c r="D94" s="12">
        <v>700</v>
      </c>
      <c r="E94" s="12">
        <v>20</v>
      </c>
      <c r="F94" s="12">
        <v>1</v>
      </c>
      <c r="G94" s="12">
        <v>21</v>
      </c>
      <c r="H94" s="12">
        <v>26</v>
      </c>
      <c r="I94" s="12" t="s">
        <v>25</v>
      </c>
      <c r="J94" s="12" t="s">
        <v>29</v>
      </c>
      <c r="K94" s="12">
        <f>VLOOKUP(Tableau2[[#This Row],[essence]],Tableau5[],2,FALSE)</f>
        <v>-2.4066000000000001</v>
      </c>
      <c r="L94" s="12">
        <f>VLOOKUP(Tableau2[[#This Row],[essence]],Tableau5[],3,FALSE)</f>
        <v>1.0301</v>
      </c>
      <c r="M94" s="12">
        <f>IF(Tableau2[[#This Row],[priorecol]]="C",1,0)</f>
        <v>0</v>
      </c>
      <c r="N94" s="12">
        <f>VLOOKUP(Tableau2[[#This Row],[essence]],Tableau5[],4,FALSE)</f>
        <v>1.9907999999999999</v>
      </c>
      <c r="O94" s="12">
        <f>IF(Tableau2[[#This Row],[priorecol]]="R",1,0)</f>
        <v>0</v>
      </c>
      <c r="P94" s="12">
        <f>VLOOKUP(Tableau2[[#This Row],[essence]],Tableau5[],5,FALSE)</f>
        <v>1.1955</v>
      </c>
      <c r="Q94" s="12">
        <f>IF(Tableau2[[#This Row],[priorecol]]="S",1,0)</f>
        <v>1</v>
      </c>
      <c r="R94" s="12">
        <f>VLOOKUP(Tableau2[[#This Row],[essence]],Tableau5[],6,FALSE)</f>
        <v>4.2599999999999999E-2</v>
      </c>
      <c r="S94" s="12">
        <f>VLOOKUP(Tableau2[[#This Row],[essence]],Tableau5[],15,FALSE)</f>
        <v>1.3299999999999999E-2</v>
      </c>
      <c r="T94" s="12">
        <f>VLOOKUP(Tableau2[[#This Row],[essence]],Tableau5[],7,FALSE)</f>
        <v>0</v>
      </c>
      <c r="U94" s="12">
        <f>IF(Tableau2[[#This Row],[sdom]]=1,1,0)</f>
        <v>0</v>
      </c>
      <c r="V94" s="12">
        <f>VLOOKUP(Tableau2[[#This Row],[essence]],Tableau5[],8,FALSE)</f>
        <v>0.72299999999999998</v>
      </c>
      <c r="W94" s="12">
        <f>IF(Tableau2[[#This Row],[sdom]]="2EST",1,0)</f>
        <v>0</v>
      </c>
      <c r="X94" s="12">
        <f>VLOOKUP(Tableau2[[#This Row],[essence]],Tableau5[],9,FALSE)</f>
        <v>0.28749999999999998</v>
      </c>
      <c r="Y94" s="12">
        <f>IF(Tableau2[[#This Row],[sdom]]="2OUEST",1,0)</f>
        <v>0</v>
      </c>
      <c r="Z94" s="12">
        <f>VLOOKUP(Tableau2[[#This Row],[essence]],Tableau5[],10,FALSE)</f>
        <v>0.5746</v>
      </c>
      <c r="AA94" s="12">
        <f>IF(Tableau2[[#This Row],[sdom]]="3EST",1,0)</f>
        <v>1</v>
      </c>
      <c r="AB94" s="12">
        <f>VLOOKUP(Tableau2[[#This Row],[essence]],Tableau5[],11,FALSE)</f>
        <v>0.40360000000000001</v>
      </c>
      <c r="AC94" s="12">
        <f>IF(Tableau2[[#This Row],[sdom]]="3OUEST",1,0)</f>
        <v>0</v>
      </c>
      <c r="AD94" s="12">
        <f>VLOOKUP(Tableau2[[#This Row],[essence]],Tableau5[],12,FALSE)</f>
        <v>0</v>
      </c>
      <c r="AE94" s="12">
        <f>IF(Tableau2[[#This Row],[sdom]]="4EST",1,0)</f>
        <v>0</v>
      </c>
      <c r="AF94" s="12">
        <f>VLOOKUP(Tableau2[[#This Row],[essence]],Tableau5[],13,FALSE)</f>
        <v>0</v>
      </c>
      <c r="AG94" s="12">
        <f>IF(Tableau2[[#This Row],[sdom]]="4OUEST",1,0)</f>
        <v>0</v>
      </c>
      <c r="AH94" s="12">
        <f>VLOOKUP(Tableau2[[#This Row],[essence]],Tableau5[],14,FALSE)</f>
        <v>0</v>
      </c>
      <c r="AI94" s="12">
        <f>IF(Tableau2[[#This Row],[sdom]]="5EST",1,0)</f>
        <v>0</v>
      </c>
      <c r="AJ94" s="12">
        <f>VLOOKUP(Tableau2[[#This Row],[essence]],Tableau5[],16,FALSE)</f>
        <v>0</v>
      </c>
      <c r="AK94" s="12">
        <f>IF(Tableau2[[#This Row],[sdom]]="5OUEST",1,0)</f>
        <v>0</v>
      </c>
      <c r="AL94" s="12">
        <f>VLOOKUP(Tableau2[[#This Row],[essence]],Tableau5[],17,FALSE)</f>
        <v>0</v>
      </c>
      <c r="AM94" s="12">
        <f>IF(Tableau2[[#This Row],[sdom]]="6EST",1,0)</f>
        <v>0</v>
      </c>
      <c r="AN94" s="12">
        <f>VLOOKUP(Tableau2[[#This Row],[essence]],Tableau5[],19,FALSE)</f>
        <v>0</v>
      </c>
      <c r="AO94" s="12">
        <f>IF(Tableau2[[#This Row],[priorecol]]="C",1,0)</f>
        <v>0</v>
      </c>
      <c r="AP94" s="12">
        <f>VLOOKUP(Tableau2[[#This Row],[essence]],Tableau5[],20,FALSE)</f>
        <v>0</v>
      </c>
      <c r="AQ94" s="12">
        <f>IF(Tableau2[[#This Row],[priorecol]]="R",1,0)</f>
        <v>0</v>
      </c>
      <c r="AR94" s="12">
        <f>VLOOKUP(Tableau2[[#This Row],[essence]],Tableau5[],21,FALSE)</f>
        <v>0</v>
      </c>
      <c r="AS94" s="12">
        <f>IF(Tableau2[[#This Row],[priorecol]]="S",1,0)</f>
        <v>1</v>
      </c>
      <c r="AT94" s="12">
        <f>VLOOKUP(Tableau2[[#This Row],[essence]],Tableau5[],22,FALSE)</f>
        <v>0.36130000000000001</v>
      </c>
      <c r="AU94" s="12">
        <f>VLOOKUP(Tableau2[[#This Row],[essence]],Tableau5[],23,FALSE)</f>
        <v>0</v>
      </c>
      <c r="AV94" s="12">
        <f>VLOOKUP(Tableau2[[#This Row],[essence]],Tableau5[],18,FALSE)</f>
        <v>0</v>
      </c>
      <c r="AW9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1.0983999999999998</v>
      </c>
      <c r="AX94" s="12">
        <f>1/(1+EXP(-Tableau2[[#This Row],[xb_c]]))</f>
        <v>0.74996019376227552</v>
      </c>
      <c r="AY94" s="12" t="str">
        <f t="shared" si="2"/>
        <v>NA</v>
      </c>
      <c r="AZ94" s="12" t="str">
        <f t="shared" si="3"/>
        <v>NA</v>
      </c>
      <c r="BA94" s="12">
        <f>Tableau2[[#This Row],[prob_c]]</f>
        <v>0.74996019376227552</v>
      </c>
      <c r="BB94" s="12">
        <f>1-Tableau2[[#This Row],[prob_c]]</f>
        <v>0.25003980623772448</v>
      </c>
    </row>
    <row r="95" spans="1:54" x14ac:dyDescent="0.25">
      <c r="A95" s="12">
        <v>4</v>
      </c>
      <c r="B95" s="12" t="s">
        <v>12</v>
      </c>
      <c r="C95" s="12">
        <v>2.1</v>
      </c>
      <c r="D95" s="12">
        <v>700</v>
      </c>
      <c r="E95" s="12">
        <v>20</v>
      </c>
      <c r="F95" s="12">
        <v>1</v>
      </c>
      <c r="G95" s="12">
        <v>22</v>
      </c>
      <c r="H95" s="12">
        <v>27</v>
      </c>
      <c r="I95" s="12" t="s">
        <v>26</v>
      </c>
      <c r="J95" s="12" t="s">
        <v>27</v>
      </c>
      <c r="K95" s="12">
        <f>VLOOKUP(Tableau2[[#This Row],[essence]],Tableau5[],2,FALSE)</f>
        <v>-9.0399999999999994E-2</v>
      </c>
      <c r="L95" s="12">
        <f>VLOOKUP(Tableau2[[#This Row],[essence]],Tableau5[],3,FALSE)</f>
        <v>1.0844</v>
      </c>
      <c r="M95" s="12">
        <f>IF(Tableau2[[#This Row],[priorecol]]="C",1,0)</f>
        <v>1</v>
      </c>
      <c r="N95" s="12">
        <f>VLOOKUP(Tableau2[[#This Row],[essence]],Tableau5[],4,FALSE)</f>
        <v>-1.3041</v>
      </c>
      <c r="O95" s="12">
        <f>IF(Tableau2[[#This Row],[priorecol]]="R",1,0)</f>
        <v>0</v>
      </c>
      <c r="P95" s="12">
        <f>VLOOKUP(Tableau2[[#This Row],[essence]],Tableau5[],5,FALSE)</f>
        <v>-0.79790000000000005</v>
      </c>
      <c r="Q95" s="12">
        <f>IF(Tableau2[[#This Row],[priorecol]]="S",1,0)</f>
        <v>0</v>
      </c>
      <c r="R95" s="12">
        <f>VLOOKUP(Tableau2[[#This Row],[essence]],Tableau5[],6,FALSE)</f>
        <v>-5.3E-3</v>
      </c>
      <c r="S95" s="12">
        <f>VLOOKUP(Tableau2[[#This Row],[essence]],Tableau5[],15,FALSE)</f>
        <v>1.2500000000000001E-2</v>
      </c>
      <c r="T95" s="12">
        <f>VLOOKUP(Tableau2[[#This Row],[essence]],Tableau5[],7,FALSE)</f>
        <v>0</v>
      </c>
      <c r="U95" s="12">
        <f>IF(Tableau2[[#This Row],[sdom]]=1,1,0)</f>
        <v>0</v>
      </c>
      <c r="V95" s="12">
        <f>VLOOKUP(Tableau2[[#This Row],[essence]],Tableau5[],8,FALSE)</f>
        <v>0.1497</v>
      </c>
      <c r="W95" s="12">
        <f>IF(Tableau2[[#This Row],[sdom]]="2EST",1,0)</f>
        <v>0</v>
      </c>
      <c r="X95" s="12">
        <f>VLOOKUP(Tableau2[[#This Row],[essence]],Tableau5[],9,FALSE)</f>
        <v>0.4839</v>
      </c>
      <c r="Y95" s="12">
        <f>IF(Tableau2[[#This Row],[sdom]]="2OUEST",1,0)</f>
        <v>0</v>
      </c>
      <c r="Z95" s="12">
        <f>VLOOKUP(Tableau2[[#This Row],[essence]],Tableau5[],10,FALSE)</f>
        <v>-0.14019999999999999</v>
      </c>
      <c r="AA95" s="12">
        <f>IF(Tableau2[[#This Row],[sdom]]="3EST",1,0)</f>
        <v>1</v>
      </c>
      <c r="AB95" s="12">
        <f>VLOOKUP(Tableau2[[#This Row],[essence]],Tableau5[],11,FALSE)</f>
        <v>0.65649999999999997</v>
      </c>
      <c r="AC95" s="12">
        <f>IF(Tableau2[[#This Row],[sdom]]="3OUEST",1,0)</f>
        <v>0</v>
      </c>
      <c r="AD95" s="12">
        <f>VLOOKUP(Tableau2[[#This Row],[essence]],Tableau5[],12,FALSE)</f>
        <v>-1.21E-2</v>
      </c>
      <c r="AE95" s="12">
        <f>IF(Tableau2[[#This Row],[sdom]]="4EST",1,0)</f>
        <v>0</v>
      </c>
      <c r="AF95" s="12">
        <f>VLOOKUP(Tableau2[[#This Row],[essence]],Tableau5[],13,FALSE)</f>
        <v>0.52600000000000002</v>
      </c>
      <c r="AG95" s="12">
        <f>IF(Tableau2[[#This Row],[sdom]]="4OUEST",1,0)</f>
        <v>0</v>
      </c>
      <c r="AH95" s="12">
        <f>VLOOKUP(Tableau2[[#This Row],[essence]],Tableau5[],14,FALSE)</f>
        <v>-0.753</v>
      </c>
      <c r="AI95" s="12">
        <f>IF(Tableau2[[#This Row],[sdom]]="5EST",1,0)</f>
        <v>0</v>
      </c>
      <c r="AJ95" s="12">
        <f>VLOOKUP(Tableau2[[#This Row],[essence]],Tableau5[],16,FALSE)</f>
        <v>0</v>
      </c>
      <c r="AK95" s="12">
        <f>IF(Tableau2[[#This Row],[sdom]]="5OUEST",1,0)</f>
        <v>0</v>
      </c>
      <c r="AL95" s="12">
        <f>VLOOKUP(Tableau2[[#This Row],[essence]],Tableau5[],17,FALSE)</f>
        <v>0</v>
      </c>
      <c r="AM95" s="12">
        <f>IF(Tableau2[[#This Row],[sdom]]="6EST",1,0)</f>
        <v>0</v>
      </c>
      <c r="AN95" s="12">
        <f>VLOOKUP(Tableau2[[#This Row],[essence]],Tableau5[],19,FALSE)</f>
        <v>3.04E-2</v>
      </c>
      <c r="AO95" s="12">
        <f>IF(Tableau2[[#This Row],[priorecol]]="C",1,0)</f>
        <v>1</v>
      </c>
      <c r="AP95" s="12">
        <f>VLOOKUP(Tableau2[[#This Row],[essence]],Tableau5[],20,FALSE)</f>
        <v>0.14549999999999999</v>
      </c>
      <c r="AQ95" s="12">
        <f>IF(Tableau2[[#This Row],[priorecol]]="R",1,0)</f>
        <v>0</v>
      </c>
      <c r="AR95" s="12">
        <f>VLOOKUP(Tableau2[[#This Row],[essence]],Tableau5[],21,FALSE)</f>
        <v>7.8700000000000006E-2</v>
      </c>
      <c r="AS95" s="12">
        <f>IF(Tableau2[[#This Row],[priorecol]]="S",1,0)</f>
        <v>0</v>
      </c>
      <c r="AT95" s="12">
        <f>VLOOKUP(Tableau2[[#This Row],[essence]],Tableau5[],22,FALSE)</f>
        <v>0</v>
      </c>
      <c r="AU95" s="12">
        <f>VLOOKUP(Tableau2[[#This Row],[essence]],Tableau5[],23,FALSE)</f>
        <v>0</v>
      </c>
      <c r="AV95" s="12">
        <f>VLOOKUP(Tableau2[[#This Row],[essence]],Tableau5[],18,FALSE)</f>
        <v>0</v>
      </c>
      <c r="AW9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1.7814999999999999</v>
      </c>
      <c r="AX95" s="12">
        <f>1/(1+EXP(-Tableau2[[#This Row],[xb_c]]))</f>
        <v>0.85588198671380955</v>
      </c>
      <c r="AY95" s="12" t="str">
        <f t="shared" si="2"/>
        <v>NA</v>
      </c>
      <c r="AZ95" s="12" t="str">
        <f t="shared" si="3"/>
        <v>NA</v>
      </c>
      <c r="BA95" s="12">
        <f>Tableau2[[#This Row],[prob_c]]</f>
        <v>0.85588198671380955</v>
      </c>
      <c r="BB95" s="12">
        <f>1-Tableau2[[#This Row],[prob_c]]</f>
        <v>0.14411801328619045</v>
      </c>
    </row>
    <row r="96" spans="1:54" x14ac:dyDescent="0.25">
      <c r="A96" s="12">
        <v>4</v>
      </c>
      <c r="B96" s="12" t="s">
        <v>12</v>
      </c>
      <c r="C96" s="12">
        <v>2.1</v>
      </c>
      <c r="D96" s="12">
        <v>700</v>
      </c>
      <c r="E96" s="12">
        <v>20</v>
      </c>
      <c r="F96" s="12">
        <v>1</v>
      </c>
      <c r="G96" s="12">
        <v>23</v>
      </c>
      <c r="H96" s="12">
        <v>28</v>
      </c>
      <c r="I96" s="12" t="s">
        <v>26</v>
      </c>
      <c r="J96" s="12" t="s">
        <v>28</v>
      </c>
      <c r="K96" s="12">
        <f>VLOOKUP(Tableau2[[#This Row],[essence]],Tableau5[],2,FALSE)</f>
        <v>-9.0399999999999994E-2</v>
      </c>
      <c r="L96" s="12">
        <f>VLOOKUP(Tableau2[[#This Row],[essence]],Tableau5[],3,FALSE)</f>
        <v>1.0844</v>
      </c>
      <c r="M96" s="12">
        <f>IF(Tableau2[[#This Row],[priorecol]]="C",1,0)</f>
        <v>0</v>
      </c>
      <c r="N96" s="12">
        <f>VLOOKUP(Tableau2[[#This Row],[essence]],Tableau5[],4,FALSE)</f>
        <v>-1.3041</v>
      </c>
      <c r="O96" s="12">
        <f>IF(Tableau2[[#This Row],[priorecol]]="R",1,0)</f>
        <v>1</v>
      </c>
      <c r="P96" s="12">
        <f>VLOOKUP(Tableau2[[#This Row],[essence]],Tableau5[],5,FALSE)</f>
        <v>-0.79790000000000005</v>
      </c>
      <c r="Q96" s="12">
        <f>IF(Tableau2[[#This Row],[priorecol]]="S",1,0)</f>
        <v>0</v>
      </c>
      <c r="R96" s="12">
        <f>VLOOKUP(Tableau2[[#This Row],[essence]],Tableau5[],6,FALSE)</f>
        <v>-5.3E-3</v>
      </c>
      <c r="S96" s="12">
        <f>VLOOKUP(Tableau2[[#This Row],[essence]],Tableau5[],15,FALSE)</f>
        <v>1.2500000000000001E-2</v>
      </c>
      <c r="T96" s="12">
        <f>VLOOKUP(Tableau2[[#This Row],[essence]],Tableau5[],7,FALSE)</f>
        <v>0</v>
      </c>
      <c r="U96" s="12">
        <f>IF(Tableau2[[#This Row],[sdom]]=1,1,0)</f>
        <v>0</v>
      </c>
      <c r="V96" s="12">
        <f>VLOOKUP(Tableau2[[#This Row],[essence]],Tableau5[],8,FALSE)</f>
        <v>0.1497</v>
      </c>
      <c r="W96" s="12">
        <f>IF(Tableau2[[#This Row],[sdom]]="2EST",1,0)</f>
        <v>0</v>
      </c>
      <c r="X96" s="12">
        <f>VLOOKUP(Tableau2[[#This Row],[essence]],Tableau5[],9,FALSE)</f>
        <v>0.4839</v>
      </c>
      <c r="Y96" s="12">
        <f>IF(Tableau2[[#This Row],[sdom]]="2OUEST",1,0)</f>
        <v>0</v>
      </c>
      <c r="Z96" s="12">
        <f>VLOOKUP(Tableau2[[#This Row],[essence]],Tableau5[],10,FALSE)</f>
        <v>-0.14019999999999999</v>
      </c>
      <c r="AA96" s="12">
        <f>IF(Tableau2[[#This Row],[sdom]]="3EST",1,0)</f>
        <v>1</v>
      </c>
      <c r="AB96" s="12">
        <f>VLOOKUP(Tableau2[[#This Row],[essence]],Tableau5[],11,FALSE)</f>
        <v>0.65649999999999997</v>
      </c>
      <c r="AC96" s="12">
        <f>IF(Tableau2[[#This Row],[sdom]]="3OUEST",1,0)</f>
        <v>0</v>
      </c>
      <c r="AD96" s="12">
        <f>VLOOKUP(Tableau2[[#This Row],[essence]],Tableau5[],12,FALSE)</f>
        <v>-1.21E-2</v>
      </c>
      <c r="AE96" s="12">
        <f>IF(Tableau2[[#This Row],[sdom]]="4EST",1,0)</f>
        <v>0</v>
      </c>
      <c r="AF96" s="12">
        <f>VLOOKUP(Tableau2[[#This Row],[essence]],Tableau5[],13,FALSE)</f>
        <v>0.52600000000000002</v>
      </c>
      <c r="AG96" s="12">
        <f>IF(Tableau2[[#This Row],[sdom]]="4OUEST",1,0)</f>
        <v>0</v>
      </c>
      <c r="AH96" s="12">
        <f>VLOOKUP(Tableau2[[#This Row],[essence]],Tableau5[],14,FALSE)</f>
        <v>-0.753</v>
      </c>
      <c r="AI96" s="12">
        <f>IF(Tableau2[[#This Row],[sdom]]="5EST",1,0)</f>
        <v>0</v>
      </c>
      <c r="AJ96" s="12">
        <f>VLOOKUP(Tableau2[[#This Row],[essence]],Tableau5[],16,FALSE)</f>
        <v>0</v>
      </c>
      <c r="AK96" s="12">
        <f>IF(Tableau2[[#This Row],[sdom]]="5OUEST",1,0)</f>
        <v>0</v>
      </c>
      <c r="AL96" s="12">
        <f>VLOOKUP(Tableau2[[#This Row],[essence]],Tableau5[],17,FALSE)</f>
        <v>0</v>
      </c>
      <c r="AM96" s="12">
        <f>IF(Tableau2[[#This Row],[sdom]]="6EST",1,0)</f>
        <v>0</v>
      </c>
      <c r="AN96" s="12">
        <f>VLOOKUP(Tableau2[[#This Row],[essence]],Tableau5[],19,FALSE)</f>
        <v>3.04E-2</v>
      </c>
      <c r="AO96" s="12">
        <f>IF(Tableau2[[#This Row],[priorecol]]="C",1,0)</f>
        <v>0</v>
      </c>
      <c r="AP96" s="12">
        <f>VLOOKUP(Tableau2[[#This Row],[essence]],Tableau5[],20,FALSE)</f>
        <v>0.14549999999999999</v>
      </c>
      <c r="AQ96" s="12">
        <f>IF(Tableau2[[#This Row],[priorecol]]="R",1,0)</f>
        <v>1</v>
      </c>
      <c r="AR96" s="12">
        <f>VLOOKUP(Tableau2[[#This Row],[essence]],Tableau5[],21,FALSE)</f>
        <v>7.8700000000000006E-2</v>
      </c>
      <c r="AS96" s="12">
        <f>IF(Tableau2[[#This Row],[priorecol]]="S",1,0)</f>
        <v>0</v>
      </c>
      <c r="AT96" s="12">
        <f>VLOOKUP(Tableau2[[#This Row],[essence]],Tableau5[],22,FALSE)</f>
        <v>0</v>
      </c>
      <c r="AU96" s="12">
        <f>VLOOKUP(Tableau2[[#This Row],[essence]],Tableau5[],23,FALSE)</f>
        <v>0</v>
      </c>
      <c r="AV96" s="12">
        <f>VLOOKUP(Tableau2[[#This Row],[essence]],Tableau5[],18,FALSE)</f>
        <v>0</v>
      </c>
      <c r="AW9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2.6408999999999998</v>
      </c>
      <c r="AX96" s="12">
        <f>1/(1+EXP(-Tableau2[[#This Row],[xb_c]]))</f>
        <v>0.93344789686918384</v>
      </c>
      <c r="AY96" s="12" t="str">
        <f t="shared" si="2"/>
        <v>NA</v>
      </c>
      <c r="AZ96" s="12" t="str">
        <f t="shared" si="3"/>
        <v>NA</v>
      </c>
      <c r="BA96" s="12">
        <f>Tableau2[[#This Row],[prob_c]]</f>
        <v>0.93344789686918384</v>
      </c>
      <c r="BB96" s="12">
        <f>1-Tableau2[[#This Row],[prob_c]]</f>
        <v>6.6552103130816165E-2</v>
      </c>
    </row>
    <row r="97" spans="1:54" x14ac:dyDescent="0.25">
      <c r="A97" s="12">
        <v>4</v>
      </c>
      <c r="B97" s="12" t="s">
        <v>12</v>
      </c>
      <c r="C97" s="12">
        <v>2.1</v>
      </c>
      <c r="D97" s="12">
        <v>700</v>
      </c>
      <c r="E97" s="12">
        <v>20</v>
      </c>
      <c r="F97" s="12">
        <v>1</v>
      </c>
      <c r="G97" s="12">
        <v>24</v>
      </c>
      <c r="H97" s="12">
        <v>29</v>
      </c>
      <c r="I97" s="12" t="s">
        <v>26</v>
      </c>
      <c r="J97" s="12" t="s">
        <v>29</v>
      </c>
      <c r="K97" s="12">
        <f>VLOOKUP(Tableau2[[#This Row],[essence]],Tableau5[],2,FALSE)</f>
        <v>-9.0399999999999994E-2</v>
      </c>
      <c r="L97" s="12">
        <f>VLOOKUP(Tableau2[[#This Row],[essence]],Tableau5[],3,FALSE)</f>
        <v>1.0844</v>
      </c>
      <c r="M97" s="12">
        <f>IF(Tableau2[[#This Row],[priorecol]]="C",1,0)</f>
        <v>0</v>
      </c>
      <c r="N97" s="12">
        <f>VLOOKUP(Tableau2[[#This Row],[essence]],Tableau5[],4,FALSE)</f>
        <v>-1.3041</v>
      </c>
      <c r="O97" s="12">
        <f>IF(Tableau2[[#This Row],[priorecol]]="R",1,0)</f>
        <v>0</v>
      </c>
      <c r="P97" s="12">
        <f>VLOOKUP(Tableau2[[#This Row],[essence]],Tableau5[],5,FALSE)</f>
        <v>-0.79790000000000005</v>
      </c>
      <c r="Q97" s="12">
        <f>IF(Tableau2[[#This Row],[priorecol]]="S",1,0)</f>
        <v>1</v>
      </c>
      <c r="R97" s="12">
        <f>VLOOKUP(Tableau2[[#This Row],[essence]],Tableau5[],6,FALSE)</f>
        <v>-5.3E-3</v>
      </c>
      <c r="S97" s="12">
        <f>VLOOKUP(Tableau2[[#This Row],[essence]],Tableau5[],15,FALSE)</f>
        <v>1.2500000000000001E-2</v>
      </c>
      <c r="T97" s="12">
        <f>VLOOKUP(Tableau2[[#This Row],[essence]],Tableau5[],7,FALSE)</f>
        <v>0</v>
      </c>
      <c r="U97" s="12">
        <f>IF(Tableau2[[#This Row],[sdom]]=1,1,0)</f>
        <v>0</v>
      </c>
      <c r="V97" s="12">
        <f>VLOOKUP(Tableau2[[#This Row],[essence]],Tableau5[],8,FALSE)</f>
        <v>0.1497</v>
      </c>
      <c r="W97" s="12">
        <f>IF(Tableau2[[#This Row],[sdom]]="2EST",1,0)</f>
        <v>0</v>
      </c>
      <c r="X97" s="12">
        <f>VLOOKUP(Tableau2[[#This Row],[essence]],Tableau5[],9,FALSE)</f>
        <v>0.4839</v>
      </c>
      <c r="Y97" s="12">
        <f>IF(Tableau2[[#This Row],[sdom]]="2OUEST",1,0)</f>
        <v>0</v>
      </c>
      <c r="Z97" s="12">
        <f>VLOOKUP(Tableau2[[#This Row],[essence]],Tableau5[],10,FALSE)</f>
        <v>-0.14019999999999999</v>
      </c>
      <c r="AA97" s="12">
        <f>IF(Tableau2[[#This Row],[sdom]]="3EST",1,0)</f>
        <v>1</v>
      </c>
      <c r="AB97" s="12">
        <f>VLOOKUP(Tableau2[[#This Row],[essence]],Tableau5[],11,FALSE)</f>
        <v>0.65649999999999997</v>
      </c>
      <c r="AC97" s="12">
        <f>IF(Tableau2[[#This Row],[sdom]]="3OUEST",1,0)</f>
        <v>0</v>
      </c>
      <c r="AD97" s="12">
        <f>VLOOKUP(Tableau2[[#This Row],[essence]],Tableau5[],12,FALSE)</f>
        <v>-1.21E-2</v>
      </c>
      <c r="AE97" s="12">
        <f>IF(Tableau2[[#This Row],[sdom]]="4EST",1,0)</f>
        <v>0</v>
      </c>
      <c r="AF97" s="12">
        <f>VLOOKUP(Tableau2[[#This Row],[essence]],Tableau5[],13,FALSE)</f>
        <v>0.52600000000000002</v>
      </c>
      <c r="AG97" s="12">
        <f>IF(Tableau2[[#This Row],[sdom]]="4OUEST",1,0)</f>
        <v>0</v>
      </c>
      <c r="AH97" s="12">
        <f>VLOOKUP(Tableau2[[#This Row],[essence]],Tableau5[],14,FALSE)</f>
        <v>-0.753</v>
      </c>
      <c r="AI97" s="12">
        <f>IF(Tableau2[[#This Row],[sdom]]="5EST",1,0)</f>
        <v>0</v>
      </c>
      <c r="AJ97" s="12">
        <f>VLOOKUP(Tableau2[[#This Row],[essence]],Tableau5[],16,FALSE)</f>
        <v>0</v>
      </c>
      <c r="AK97" s="12">
        <f>IF(Tableau2[[#This Row],[sdom]]="5OUEST",1,0)</f>
        <v>0</v>
      </c>
      <c r="AL97" s="12">
        <f>VLOOKUP(Tableau2[[#This Row],[essence]],Tableau5[],17,FALSE)</f>
        <v>0</v>
      </c>
      <c r="AM97" s="12">
        <f>IF(Tableau2[[#This Row],[sdom]]="6EST",1,0)</f>
        <v>0</v>
      </c>
      <c r="AN97" s="12">
        <f>VLOOKUP(Tableau2[[#This Row],[essence]],Tableau5[],19,FALSE)</f>
        <v>3.04E-2</v>
      </c>
      <c r="AO97" s="12">
        <f>IF(Tableau2[[#This Row],[priorecol]]="C",1,0)</f>
        <v>0</v>
      </c>
      <c r="AP97" s="12">
        <f>VLOOKUP(Tableau2[[#This Row],[essence]],Tableau5[],20,FALSE)</f>
        <v>0.14549999999999999</v>
      </c>
      <c r="AQ97" s="12">
        <f>IF(Tableau2[[#This Row],[priorecol]]="R",1,0)</f>
        <v>0</v>
      </c>
      <c r="AR97" s="12">
        <f>VLOOKUP(Tableau2[[#This Row],[essence]],Tableau5[],21,FALSE)</f>
        <v>7.8700000000000006E-2</v>
      </c>
      <c r="AS97" s="12">
        <f>IF(Tableau2[[#This Row],[priorecol]]="S",1,0)</f>
        <v>1</v>
      </c>
      <c r="AT97" s="12">
        <f>VLOOKUP(Tableau2[[#This Row],[essence]],Tableau5[],22,FALSE)</f>
        <v>0</v>
      </c>
      <c r="AU97" s="12">
        <f>VLOOKUP(Tableau2[[#This Row],[essence]],Tableau5[],23,FALSE)</f>
        <v>0</v>
      </c>
      <c r="AV97" s="12">
        <f>VLOOKUP(Tableau2[[#This Row],[essence]],Tableau5[],18,FALSE)</f>
        <v>0</v>
      </c>
      <c r="AW9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1.3501000000000003</v>
      </c>
      <c r="AX97" s="12">
        <f>1/(1+EXP(-Tableau2[[#This Row],[xb_c]]))</f>
        <v>0.7941459764943688</v>
      </c>
      <c r="AY97" s="12" t="str">
        <f t="shared" si="2"/>
        <v>NA</v>
      </c>
      <c r="AZ97" s="12" t="str">
        <f t="shared" si="3"/>
        <v>NA</v>
      </c>
      <c r="BA97" s="12">
        <f>Tableau2[[#This Row],[prob_c]]</f>
        <v>0.7941459764943688</v>
      </c>
      <c r="BB97" s="12">
        <f>1-Tableau2[[#This Row],[prob_c]]</f>
        <v>0.2058540235056312</v>
      </c>
    </row>
    <row r="98" spans="1:54" x14ac:dyDescent="0.25">
      <c r="A98" s="12">
        <v>5</v>
      </c>
      <c r="B98" s="12" t="s">
        <v>13</v>
      </c>
      <c r="C98" s="12">
        <v>2.1</v>
      </c>
      <c r="D98" s="12">
        <v>700</v>
      </c>
      <c r="E98" s="12">
        <v>20</v>
      </c>
      <c r="F98" s="12">
        <v>1</v>
      </c>
      <c r="G98" s="12">
        <v>1</v>
      </c>
      <c r="H98" s="12">
        <v>30</v>
      </c>
      <c r="I98" s="12" t="s">
        <v>19</v>
      </c>
      <c r="J98" s="12" t="s">
        <v>27</v>
      </c>
      <c r="K98" s="12">
        <f>VLOOKUP(Tableau2[[#This Row],[essence]],Tableau5[],2,FALSE)</f>
        <v>-1.806</v>
      </c>
      <c r="L98" s="12">
        <f>VLOOKUP(Tableau2[[#This Row],[essence]],Tableau5[],3,FALSE)</f>
        <v>1.2398</v>
      </c>
      <c r="M98" s="12">
        <f>IF(Tableau2[[#This Row],[priorecol]]="C",1,0)</f>
        <v>1</v>
      </c>
      <c r="N98" s="12">
        <f>VLOOKUP(Tableau2[[#This Row],[essence]],Tableau5[],4,FALSE)</f>
        <v>2.6488</v>
      </c>
      <c r="O98" s="12">
        <f>IF(Tableau2[[#This Row],[priorecol]]="R",1,0)</f>
        <v>0</v>
      </c>
      <c r="P98" s="12">
        <f>VLOOKUP(Tableau2[[#This Row],[essence]],Tableau5[],5,FALSE)</f>
        <v>0.61070000000000002</v>
      </c>
      <c r="Q98" s="12">
        <f>IF(Tableau2[[#This Row],[priorecol]]="S",1,0)</f>
        <v>0</v>
      </c>
      <c r="R98" s="12">
        <f>VLOOKUP(Tableau2[[#This Row],[essence]],Tableau5[],6,FALSE)</f>
        <v>5.67E-2</v>
      </c>
      <c r="S98" s="12">
        <f>VLOOKUP(Tableau2[[#This Row],[essence]],Tableau5[],15,FALSE)</f>
        <v>1.35E-2</v>
      </c>
      <c r="T98" s="12">
        <f>VLOOKUP(Tableau2[[#This Row],[essence]],Tableau5[],7,FALSE)</f>
        <v>0.95779999999999998</v>
      </c>
      <c r="U98" s="12">
        <f>IF(Tableau2[[#This Row],[sdom]]=1,1,0)</f>
        <v>0</v>
      </c>
      <c r="V98" s="12">
        <f>VLOOKUP(Tableau2[[#This Row],[essence]],Tableau5[],8,FALSE)</f>
        <v>0.66500000000000004</v>
      </c>
      <c r="W98" s="12">
        <f>IF(Tableau2[[#This Row],[sdom]]="2EST",1,0)</f>
        <v>0</v>
      </c>
      <c r="X98" s="12">
        <f>VLOOKUP(Tableau2[[#This Row],[essence]],Tableau5[],9,FALSE)</f>
        <v>0.32479999999999998</v>
      </c>
      <c r="Y98" s="12">
        <f>IF(Tableau2[[#This Row],[sdom]]="2OUEST",1,0)</f>
        <v>0</v>
      </c>
      <c r="Z98" s="12">
        <f>VLOOKUP(Tableau2[[#This Row],[essence]],Tableau5[],10,FALSE)</f>
        <v>0.62949999999999995</v>
      </c>
      <c r="AA98" s="12">
        <f>IF(Tableau2[[#This Row],[sdom]]="3EST",1,0)</f>
        <v>0</v>
      </c>
      <c r="AB98" s="12">
        <f>VLOOKUP(Tableau2[[#This Row],[essence]],Tableau5[],11,FALSE)</f>
        <v>0.56679999999999997</v>
      </c>
      <c r="AC98" s="12">
        <f>IF(Tableau2[[#This Row],[sdom]]="3OUEST",1,0)</f>
        <v>1</v>
      </c>
      <c r="AD98" s="12">
        <f>VLOOKUP(Tableau2[[#This Row],[essence]],Tableau5[],12,FALSE)</f>
        <v>0.21729999999999999</v>
      </c>
      <c r="AE98" s="12">
        <f>IF(Tableau2[[#This Row],[sdom]]="4EST",1,0)</f>
        <v>0</v>
      </c>
      <c r="AF98" s="12">
        <f>VLOOKUP(Tableau2[[#This Row],[essence]],Tableau5[],13,FALSE)</f>
        <v>0.39939999999999998</v>
      </c>
      <c r="AG98" s="12">
        <f>IF(Tableau2[[#This Row],[sdom]]="4OUEST",1,0)</f>
        <v>0</v>
      </c>
      <c r="AH98" s="12">
        <f>VLOOKUP(Tableau2[[#This Row],[essence]],Tableau5[],14,FALSE)</f>
        <v>6.5299999999999997E-2</v>
      </c>
      <c r="AI98" s="12">
        <f>IF(Tableau2[[#This Row],[sdom]]="5EST",1,0)</f>
        <v>0</v>
      </c>
      <c r="AJ98" s="12">
        <f>VLOOKUP(Tableau2[[#This Row],[essence]],Tableau5[],16,FALSE)</f>
        <v>0</v>
      </c>
      <c r="AK98" s="12">
        <f>IF(Tableau2[[#This Row],[sdom]]="5OUEST",1,0)</f>
        <v>0</v>
      </c>
      <c r="AL98" s="12">
        <f>VLOOKUP(Tableau2[[#This Row],[essence]],Tableau5[],17,FALSE)</f>
        <v>0</v>
      </c>
      <c r="AM98" s="12">
        <f>IF(Tableau2[[#This Row],[sdom]]="6EST",1,0)</f>
        <v>0</v>
      </c>
      <c r="AN98" s="12">
        <f>VLOOKUP(Tableau2[[#This Row],[essence]],Tableau5[],19,FALSE)</f>
        <v>0</v>
      </c>
      <c r="AO98" s="12">
        <f>IF(Tableau2[[#This Row],[priorecol]]="C",1,0)</f>
        <v>1</v>
      </c>
      <c r="AP98" s="12">
        <f>VLOOKUP(Tableau2[[#This Row],[essence]],Tableau5[],20,FALSE)</f>
        <v>0</v>
      </c>
      <c r="AQ98" s="12">
        <f>IF(Tableau2[[#This Row],[priorecol]]="R",1,0)</f>
        <v>0</v>
      </c>
      <c r="AR98" s="12">
        <f>VLOOKUP(Tableau2[[#This Row],[essence]],Tableau5[],21,FALSE)</f>
        <v>0</v>
      </c>
      <c r="AS98" s="12">
        <f>IF(Tableau2[[#This Row],[priorecol]]="S",1,0)</f>
        <v>0</v>
      </c>
      <c r="AT98" s="12">
        <f>VLOOKUP(Tableau2[[#This Row],[essence]],Tableau5[],22,FALSE)</f>
        <v>0</v>
      </c>
      <c r="AU98" s="12">
        <f>VLOOKUP(Tableau2[[#This Row],[essence]],Tableau5[],23,FALSE)</f>
        <v>0</v>
      </c>
      <c r="AV98" s="12">
        <f>VLOOKUP(Tableau2[[#This Row],[essence]],Tableau5[],18,FALSE)</f>
        <v>0</v>
      </c>
      <c r="AW9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1.9716</v>
      </c>
      <c r="AX98" s="12">
        <f>1/(1+EXP(-Tableau2[[#This Row],[xb_c]]))</f>
        <v>0.877782865127127</v>
      </c>
      <c r="AY98" s="12" t="str">
        <f t="shared" si="2"/>
        <v>NA</v>
      </c>
      <c r="AZ98" s="12" t="str">
        <f t="shared" si="3"/>
        <v>NA</v>
      </c>
      <c r="BA98" s="12">
        <f>Tableau2[[#This Row],[prob_c]]</f>
        <v>0.877782865127127</v>
      </c>
      <c r="BB98" s="12">
        <f>1-Tableau2[[#This Row],[prob_c]]</f>
        <v>0.122217134872873</v>
      </c>
    </row>
    <row r="99" spans="1:54" x14ac:dyDescent="0.25">
      <c r="A99" s="12">
        <v>5</v>
      </c>
      <c r="B99" s="12" t="s">
        <v>13</v>
      </c>
      <c r="C99" s="12">
        <v>2.1</v>
      </c>
      <c r="D99" s="12">
        <v>700</v>
      </c>
      <c r="E99" s="12">
        <v>20</v>
      </c>
      <c r="F99" s="12">
        <v>1</v>
      </c>
      <c r="G99" s="12">
        <v>2</v>
      </c>
      <c r="H99" s="12">
        <v>31</v>
      </c>
      <c r="I99" s="12" t="s">
        <v>19</v>
      </c>
      <c r="J99" s="12" t="s">
        <v>28</v>
      </c>
      <c r="K99" s="12">
        <f>VLOOKUP(Tableau2[[#This Row],[essence]],Tableau5[],2,FALSE)</f>
        <v>-1.806</v>
      </c>
      <c r="L99" s="12">
        <f>VLOOKUP(Tableau2[[#This Row],[essence]],Tableau5[],3,FALSE)</f>
        <v>1.2398</v>
      </c>
      <c r="M99" s="12">
        <f>IF(Tableau2[[#This Row],[priorecol]]="C",1,0)</f>
        <v>0</v>
      </c>
      <c r="N99" s="12">
        <f>VLOOKUP(Tableau2[[#This Row],[essence]],Tableau5[],4,FALSE)</f>
        <v>2.6488</v>
      </c>
      <c r="O99" s="12">
        <f>IF(Tableau2[[#This Row],[priorecol]]="R",1,0)</f>
        <v>1</v>
      </c>
      <c r="P99" s="12">
        <f>VLOOKUP(Tableau2[[#This Row],[essence]],Tableau5[],5,FALSE)</f>
        <v>0.61070000000000002</v>
      </c>
      <c r="Q99" s="12">
        <f>IF(Tableau2[[#This Row],[priorecol]]="S",1,0)</f>
        <v>0</v>
      </c>
      <c r="R99" s="12">
        <f>VLOOKUP(Tableau2[[#This Row],[essence]],Tableau5[],6,FALSE)</f>
        <v>5.67E-2</v>
      </c>
      <c r="S99" s="12">
        <f>VLOOKUP(Tableau2[[#This Row],[essence]],Tableau5[],15,FALSE)</f>
        <v>1.35E-2</v>
      </c>
      <c r="T99" s="12">
        <f>VLOOKUP(Tableau2[[#This Row],[essence]],Tableau5[],7,FALSE)</f>
        <v>0.95779999999999998</v>
      </c>
      <c r="U99" s="12">
        <f>IF(Tableau2[[#This Row],[sdom]]=1,1,0)</f>
        <v>0</v>
      </c>
      <c r="V99" s="12">
        <f>VLOOKUP(Tableau2[[#This Row],[essence]],Tableau5[],8,FALSE)</f>
        <v>0.66500000000000004</v>
      </c>
      <c r="W99" s="12">
        <f>IF(Tableau2[[#This Row],[sdom]]="2EST",1,0)</f>
        <v>0</v>
      </c>
      <c r="X99" s="12">
        <f>VLOOKUP(Tableau2[[#This Row],[essence]],Tableau5[],9,FALSE)</f>
        <v>0.32479999999999998</v>
      </c>
      <c r="Y99" s="12">
        <f>IF(Tableau2[[#This Row],[sdom]]="2OUEST",1,0)</f>
        <v>0</v>
      </c>
      <c r="Z99" s="12">
        <f>VLOOKUP(Tableau2[[#This Row],[essence]],Tableau5[],10,FALSE)</f>
        <v>0.62949999999999995</v>
      </c>
      <c r="AA99" s="12">
        <f>IF(Tableau2[[#This Row],[sdom]]="3EST",1,0)</f>
        <v>0</v>
      </c>
      <c r="AB99" s="12">
        <f>VLOOKUP(Tableau2[[#This Row],[essence]],Tableau5[],11,FALSE)</f>
        <v>0.56679999999999997</v>
      </c>
      <c r="AC99" s="12">
        <f>IF(Tableau2[[#This Row],[sdom]]="3OUEST",1,0)</f>
        <v>1</v>
      </c>
      <c r="AD99" s="12">
        <f>VLOOKUP(Tableau2[[#This Row],[essence]],Tableau5[],12,FALSE)</f>
        <v>0.21729999999999999</v>
      </c>
      <c r="AE99" s="12">
        <f>IF(Tableau2[[#This Row],[sdom]]="4EST",1,0)</f>
        <v>0</v>
      </c>
      <c r="AF99" s="12">
        <f>VLOOKUP(Tableau2[[#This Row],[essence]],Tableau5[],13,FALSE)</f>
        <v>0.39939999999999998</v>
      </c>
      <c r="AG99" s="12">
        <f>IF(Tableau2[[#This Row],[sdom]]="4OUEST",1,0)</f>
        <v>0</v>
      </c>
      <c r="AH99" s="12">
        <f>VLOOKUP(Tableau2[[#This Row],[essence]],Tableau5[],14,FALSE)</f>
        <v>6.5299999999999997E-2</v>
      </c>
      <c r="AI99" s="12">
        <f>IF(Tableau2[[#This Row],[sdom]]="5EST",1,0)</f>
        <v>0</v>
      </c>
      <c r="AJ99" s="12">
        <f>VLOOKUP(Tableau2[[#This Row],[essence]],Tableau5[],16,FALSE)</f>
        <v>0</v>
      </c>
      <c r="AK99" s="12">
        <f>IF(Tableau2[[#This Row],[sdom]]="5OUEST",1,0)</f>
        <v>0</v>
      </c>
      <c r="AL99" s="12">
        <f>VLOOKUP(Tableau2[[#This Row],[essence]],Tableau5[],17,FALSE)</f>
        <v>0</v>
      </c>
      <c r="AM99" s="12">
        <f>IF(Tableau2[[#This Row],[sdom]]="6EST",1,0)</f>
        <v>0</v>
      </c>
      <c r="AN99" s="12">
        <f>VLOOKUP(Tableau2[[#This Row],[essence]],Tableau5[],19,FALSE)</f>
        <v>0</v>
      </c>
      <c r="AO99" s="12">
        <f>IF(Tableau2[[#This Row],[priorecol]]="C",1,0)</f>
        <v>0</v>
      </c>
      <c r="AP99" s="12">
        <f>VLOOKUP(Tableau2[[#This Row],[essence]],Tableau5[],20,FALSE)</f>
        <v>0</v>
      </c>
      <c r="AQ99" s="12">
        <f>IF(Tableau2[[#This Row],[priorecol]]="R",1,0)</f>
        <v>1</v>
      </c>
      <c r="AR99" s="12">
        <f>VLOOKUP(Tableau2[[#This Row],[essence]],Tableau5[],21,FALSE)</f>
        <v>0</v>
      </c>
      <c r="AS99" s="12">
        <f>IF(Tableau2[[#This Row],[priorecol]]="S",1,0)</f>
        <v>0</v>
      </c>
      <c r="AT99" s="12">
        <f>VLOOKUP(Tableau2[[#This Row],[essence]],Tableau5[],22,FALSE)</f>
        <v>0</v>
      </c>
      <c r="AU99" s="12">
        <f>VLOOKUP(Tableau2[[#This Row],[essence]],Tableau5[],23,FALSE)</f>
        <v>0</v>
      </c>
      <c r="AV99" s="12">
        <f>VLOOKUP(Tableau2[[#This Row],[essence]],Tableau5[],18,FALSE)</f>
        <v>0</v>
      </c>
      <c r="AW9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3.4373000000000005</v>
      </c>
      <c r="AX99" s="12">
        <f>1/(1+EXP(-Tableau2[[#This Row],[xb_c]]))</f>
        <v>0.96885013412082921</v>
      </c>
      <c r="AY99" s="12" t="str">
        <f t="shared" si="2"/>
        <v>NA</v>
      </c>
      <c r="AZ99" s="12" t="str">
        <f t="shared" si="3"/>
        <v>NA</v>
      </c>
      <c r="BA99" s="12">
        <f>Tableau2[[#This Row],[prob_c]]</f>
        <v>0.96885013412082921</v>
      </c>
      <c r="BB99" s="12">
        <f>1-Tableau2[[#This Row],[prob_c]]</f>
        <v>3.1149865879170791E-2</v>
      </c>
    </row>
    <row r="100" spans="1:54" x14ac:dyDescent="0.25">
      <c r="A100" s="12">
        <v>5</v>
      </c>
      <c r="B100" s="12" t="s">
        <v>13</v>
      </c>
      <c r="C100" s="12">
        <v>2.1</v>
      </c>
      <c r="D100" s="12">
        <v>700</v>
      </c>
      <c r="E100" s="12">
        <v>20</v>
      </c>
      <c r="F100" s="12">
        <v>1</v>
      </c>
      <c r="G100" s="12">
        <v>3</v>
      </c>
      <c r="H100" s="12">
        <v>32</v>
      </c>
      <c r="I100" s="12" t="s">
        <v>19</v>
      </c>
      <c r="J100" s="12" t="s">
        <v>29</v>
      </c>
      <c r="K100" s="12">
        <f>VLOOKUP(Tableau2[[#This Row],[essence]],Tableau5[],2,FALSE)</f>
        <v>-1.806</v>
      </c>
      <c r="L100" s="12">
        <f>VLOOKUP(Tableau2[[#This Row],[essence]],Tableau5[],3,FALSE)</f>
        <v>1.2398</v>
      </c>
      <c r="M100" s="12">
        <f>IF(Tableau2[[#This Row],[priorecol]]="C",1,0)</f>
        <v>0</v>
      </c>
      <c r="N100" s="12">
        <f>VLOOKUP(Tableau2[[#This Row],[essence]],Tableau5[],4,FALSE)</f>
        <v>2.6488</v>
      </c>
      <c r="O100" s="12">
        <f>IF(Tableau2[[#This Row],[priorecol]]="R",1,0)</f>
        <v>0</v>
      </c>
      <c r="P100" s="12">
        <f>VLOOKUP(Tableau2[[#This Row],[essence]],Tableau5[],5,FALSE)</f>
        <v>0.61070000000000002</v>
      </c>
      <c r="Q100" s="12">
        <f>IF(Tableau2[[#This Row],[priorecol]]="S",1,0)</f>
        <v>1</v>
      </c>
      <c r="R100" s="12">
        <f>VLOOKUP(Tableau2[[#This Row],[essence]],Tableau5[],6,FALSE)</f>
        <v>5.67E-2</v>
      </c>
      <c r="S100" s="12">
        <f>VLOOKUP(Tableau2[[#This Row],[essence]],Tableau5[],15,FALSE)</f>
        <v>1.35E-2</v>
      </c>
      <c r="T100" s="12">
        <f>VLOOKUP(Tableau2[[#This Row],[essence]],Tableau5[],7,FALSE)</f>
        <v>0.95779999999999998</v>
      </c>
      <c r="U100" s="12">
        <f>IF(Tableau2[[#This Row],[sdom]]=1,1,0)</f>
        <v>0</v>
      </c>
      <c r="V100" s="12">
        <f>VLOOKUP(Tableau2[[#This Row],[essence]],Tableau5[],8,FALSE)</f>
        <v>0.66500000000000004</v>
      </c>
      <c r="W100" s="12">
        <f>IF(Tableau2[[#This Row],[sdom]]="2EST",1,0)</f>
        <v>0</v>
      </c>
      <c r="X100" s="12">
        <f>VLOOKUP(Tableau2[[#This Row],[essence]],Tableau5[],9,FALSE)</f>
        <v>0.32479999999999998</v>
      </c>
      <c r="Y100" s="12">
        <f>IF(Tableau2[[#This Row],[sdom]]="2OUEST",1,0)</f>
        <v>0</v>
      </c>
      <c r="Z100" s="12">
        <f>VLOOKUP(Tableau2[[#This Row],[essence]],Tableau5[],10,FALSE)</f>
        <v>0.62949999999999995</v>
      </c>
      <c r="AA100" s="12">
        <f>IF(Tableau2[[#This Row],[sdom]]="3EST",1,0)</f>
        <v>0</v>
      </c>
      <c r="AB100" s="12">
        <f>VLOOKUP(Tableau2[[#This Row],[essence]],Tableau5[],11,FALSE)</f>
        <v>0.56679999999999997</v>
      </c>
      <c r="AC100" s="12">
        <f>IF(Tableau2[[#This Row],[sdom]]="3OUEST",1,0)</f>
        <v>1</v>
      </c>
      <c r="AD100" s="12">
        <f>VLOOKUP(Tableau2[[#This Row],[essence]],Tableau5[],12,FALSE)</f>
        <v>0.21729999999999999</v>
      </c>
      <c r="AE100" s="12">
        <f>IF(Tableau2[[#This Row],[sdom]]="4EST",1,0)</f>
        <v>0</v>
      </c>
      <c r="AF100" s="12">
        <f>VLOOKUP(Tableau2[[#This Row],[essence]],Tableau5[],13,FALSE)</f>
        <v>0.39939999999999998</v>
      </c>
      <c r="AG100" s="12">
        <f>IF(Tableau2[[#This Row],[sdom]]="4OUEST",1,0)</f>
        <v>0</v>
      </c>
      <c r="AH100" s="12">
        <f>VLOOKUP(Tableau2[[#This Row],[essence]],Tableau5[],14,FALSE)</f>
        <v>6.5299999999999997E-2</v>
      </c>
      <c r="AI100" s="12">
        <f>IF(Tableau2[[#This Row],[sdom]]="5EST",1,0)</f>
        <v>0</v>
      </c>
      <c r="AJ100" s="12">
        <f>VLOOKUP(Tableau2[[#This Row],[essence]],Tableau5[],16,FALSE)</f>
        <v>0</v>
      </c>
      <c r="AK100" s="12">
        <f>IF(Tableau2[[#This Row],[sdom]]="5OUEST",1,0)</f>
        <v>0</v>
      </c>
      <c r="AL100" s="12">
        <f>VLOOKUP(Tableau2[[#This Row],[essence]],Tableau5[],17,FALSE)</f>
        <v>0</v>
      </c>
      <c r="AM100" s="12">
        <f>IF(Tableau2[[#This Row],[sdom]]="6EST",1,0)</f>
        <v>0</v>
      </c>
      <c r="AN100" s="12">
        <f>VLOOKUP(Tableau2[[#This Row],[essence]],Tableau5[],19,FALSE)</f>
        <v>0</v>
      </c>
      <c r="AO100" s="12">
        <f>IF(Tableau2[[#This Row],[priorecol]]="C",1,0)</f>
        <v>0</v>
      </c>
      <c r="AP100" s="12">
        <f>VLOOKUP(Tableau2[[#This Row],[essence]],Tableau5[],20,FALSE)</f>
        <v>0</v>
      </c>
      <c r="AQ100" s="12">
        <f>IF(Tableau2[[#This Row],[priorecol]]="R",1,0)</f>
        <v>0</v>
      </c>
      <c r="AR100" s="12">
        <f>VLOOKUP(Tableau2[[#This Row],[essence]],Tableau5[],21,FALSE)</f>
        <v>0</v>
      </c>
      <c r="AS100" s="12">
        <f>IF(Tableau2[[#This Row],[priorecol]]="S",1,0)</f>
        <v>1</v>
      </c>
      <c r="AT100" s="12">
        <f>VLOOKUP(Tableau2[[#This Row],[essence]],Tableau5[],22,FALSE)</f>
        <v>0</v>
      </c>
      <c r="AU100" s="12">
        <f>VLOOKUP(Tableau2[[#This Row],[essence]],Tableau5[],23,FALSE)</f>
        <v>0</v>
      </c>
      <c r="AV100" s="12">
        <f>VLOOKUP(Tableau2[[#This Row],[essence]],Tableau5[],18,FALSE)</f>
        <v>0</v>
      </c>
      <c r="AW10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1.4559</v>
      </c>
      <c r="AX100" s="12">
        <f>1/(1+EXP(-Tableau2[[#This Row],[xb_c]]))</f>
        <v>0.81090478936834975</v>
      </c>
      <c r="AY100" s="12" t="str">
        <f t="shared" si="2"/>
        <v>NA</v>
      </c>
      <c r="AZ100" s="12" t="str">
        <f t="shared" si="3"/>
        <v>NA</v>
      </c>
      <c r="BA100" s="12">
        <f>Tableau2[[#This Row],[prob_c]]</f>
        <v>0.81090478936834975</v>
      </c>
      <c r="BB100" s="12">
        <f>1-Tableau2[[#This Row],[prob_c]]</f>
        <v>0.18909521063165025</v>
      </c>
    </row>
    <row r="101" spans="1:54" x14ac:dyDescent="0.25">
      <c r="A101" s="12">
        <v>5</v>
      </c>
      <c r="B101" s="12" t="s">
        <v>13</v>
      </c>
      <c r="C101" s="12">
        <v>2.1</v>
      </c>
      <c r="D101" s="12">
        <v>700</v>
      </c>
      <c r="E101" s="12">
        <v>20</v>
      </c>
      <c r="F101" s="12">
        <v>1</v>
      </c>
      <c r="G101" s="12">
        <v>4</v>
      </c>
      <c r="H101" s="12">
        <v>33</v>
      </c>
      <c r="I101" s="12" t="s">
        <v>20</v>
      </c>
      <c r="J101" s="12" t="s">
        <v>27</v>
      </c>
      <c r="K101" s="12">
        <f>VLOOKUP(Tableau2[[#This Row],[essence]],Tableau5[],2,FALSE)</f>
        <v>0.69510000000000005</v>
      </c>
      <c r="L101" s="12">
        <f>VLOOKUP(Tableau2[[#This Row],[essence]],Tableau5[],3,FALSE)</f>
        <v>-0.51849999999999996</v>
      </c>
      <c r="M101" s="12">
        <f>IF(Tableau2[[#This Row],[priorecol]]="C",1,0)</f>
        <v>1</v>
      </c>
      <c r="N101" s="12">
        <f>VLOOKUP(Tableau2[[#This Row],[essence]],Tableau5[],4,FALSE)</f>
        <v>0.52129999999999999</v>
      </c>
      <c r="O101" s="12">
        <f>IF(Tableau2[[#This Row],[priorecol]]="R",1,0)</f>
        <v>0</v>
      </c>
      <c r="P101" s="12">
        <f>VLOOKUP(Tableau2[[#This Row],[essence]],Tableau5[],5,FALSE)</f>
        <v>-0.37890000000000001</v>
      </c>
      <c r="Q101" s="12">
        <f>IF(Tableau2[[#This Row],[priorecol]]="S",1,0)</f>
        <v>0</v>
      </c>
      <c r="R101" s="12">
        <f>VLOOKUP(Tableau2[[#This Row],[essence]],Tableau5[],6,FALSE)</f>
        <v>-5.5999999999999995E-4</v>
      </c>
      <c r="S101" s="12">
        <f>VLOOKUP(Tableau2[[#This Row],[essence]],Tableau5[],15,FALSE)</f>
        <v>1.52E-2</v>
      </c>
      <c r="T101" s="12">
        <f>VLOOKUP(Tableau2[[#This Row],[essence]],Tableau5[],7,FALSE)</f>
        <v>0</v>
      </c>
      <c r="U101" s="12">
        <f>IF(Tableau2[[#This Row],[sdom]]=1,1,0)</f>
        <v>0</v>
      </c>
      <c r="V101" s="12">
        <f>VLOOKUP(Tableau2[[#This Row],[essence]],Tableau5[],8,FALSE)</f>
        <v>-8.7900000000000006E-2</v>
      </c>
      <c r="W101" s="12">
        <f>IF(Tableau2[[#This Row],[sdom]]="2EST",1,0)</f>
        <v>0</v>
      </c>
      <c r="X101" s="12">
        <f>VLOOKUP(Tableau2[[#This Row],[essence]],Tableau5[],9,FALSE)</f>
        <v>0.42620000000000002</v>
      </c>
      <c r="Y101" s="12">
        <f>IF(Tableau2[[#This Row],[sdom]]="2OUEST",1,0)</f>
        <v>0</v>
      </c>
      <c r="Z101" s="12">
        <f>VLOOKUP(Tableau2[[#This Row],[essence]],Tableau5[],10,FALSE)</f>
        <v>0.54149999999999998</v>
      </c>
      <c r="AA101" s="12">
        <f>IF(Tableau2[[#This Row],[sdom]]="3EST",1,0)</f>
        <v>0</v>
      </c>
      <c r="AB101" s="12">
        <f>VLOOKUP(Tableau2[[#This Row],[essence]],Tableau5[],11,FALSE)</f>
        <v>0.50339999999999996</v>
      </c>
      <c r="AC101" s="12">
        <f>IF(Tableau2[[#This Row],[sdom]]="3OUEST",1,0)</f>
        <v>1</v>
      </c>
      <c r="AD101" s="12">
        <f>VLOOKUP(Tableau2[[#This Row],[essence]],Tableau5[],12,FALSE)</f>
        <v>-3.0599999999999999E-2</v>
      </c>
      <c r="AE101" s="12">
        <f>IF(Tableau2[[#This Row],[sdom]]="4EST",1,0)</f>
        <v>0</v>
      </c>
      <c r="AF101" s="12">
        <f>VLOOKUP(Tableau2[[#This Row],[essence]],Tableau5[],13,FALSE)</f>
        <v>0.1583</v>
      </c>
      <c r="AG101" s="12">
        <f>IF(Tableau2[[#This Row],[sdom]]="4OUEST",1,0)</f>
        <v>0</v>
      </c>
      <c r="AH101" s="12">
        <f>VLOOKUP(Tableau2[[#This Row],[essence]],Tableau5[],14,FALSE)</f>
        <v>3.9800000000000002E-2</v>
      </c>
      <c r="AI101" s="12">
        <f>IF(Tableau2[[#This Row],[sdom]]="5EST",1,0)</f>
        <v>0</v>
      </c>
      <c r="AJ101" s="12">
        <f>VLOOKUP(Tableau2[[#This Row],[essence]],Tableau5[],16,FALSE)</f>
        <v>0.13650000000000001</v>
      </c>
      <c r="AK101" s="12">
        <f>IF(Tableau2[[#This Row],[sdom]]="5OUEST",1,0)</f>
        <v>0</v>
      </c>
      <c r="AL101" s="12">
        <f>VLOOKUP(Tableau2[[#This Row],[essence]],Tableau5[],17,FALSE)</f>
        <v>-0.39140000000000003</v>
      </c>
      <c r="AM101" s="12">
        <f>IF(Tableau2[[#This Row],[sdom]]="6EST",1,0)</f>
        <v>0</v>
      </c>
      <c r="AN101" s="12">
        <f>VLOOKUP(Tableau2[[#This Row],[essence]],Tableau5[],19,FALSE)</f>
        <v>5.8000000000000003E-2</v>
      </c>
      <c r="AO101" s="12">
        <f>IF(Tableau2[[#This Row],[priorecol]]="C",1,0)</f>
        <v>1</v>
      </c>
      <c r="AP101" s="12">
        <f>VLOOKUP(Tableau2[[#This Row],[essence]],Tableau5[],20,FALSE)</f>
        <v>4.7500000000000001E-2</v>
      </c>
      <c r="AQ101" s="12">
        <f>IF(Tableau2[[#This Row],[priorecol]]="R",1,0)</f>
        <v>0</v>
      </c>
      <c r="AR101" s="12">
        <f>VLOOKUP(Tableau2[[#This Row],[essence]],Tableau5[],21,FALSE)</f>
        <v>4.87E-2</v>
      </c>
      <c r="AS101" s="12">
        <f>IF(Tableau2[[#This Row],[priorecol]]="S",1,0)</f>
        <v>0</v>
      </c>
      <c r="AT101" s="12">
        <f>VLOOKUP(Tableau2[[#This Row],[essence]],Tableau5[],22,FALSE)</f>
        <v>0</v>
      </c>
      <c r="AU101" s="12">
        <f>VLOOKUP(Tableau2[[#This Row],[essence]],Tableau5[],23,FALSE)</f>
        <v>0</v>
      </c>
      <c r="AV101" s="12">
        <f>VLOOKUP(Tableau2[[#This Row],[essence]],Tableau5[],18,FALSE)</f>
        <v>-0.112</v>
      </c>
      <c r="AW10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2.6443200000000004</v>
      </c>
      <c r="AX101" s="12">
        <f>1/(1+EXP(-Tableau2[[#This Row],[xb_c]]))</f>
        <v>0.93366004256815227</v>
      </c>
      <c r="AY101" s="12" t="str">
        <f t="shared" si="2"/>
        <v>NA</v>
      </c>
      <c r="AZ101" s="12" t="str">
        <f t="shared" si="3"/>
        <v>NA</v>
      </c>
      <c r="BA101" s="12">
        <f>Tableau2[[#This Row],[prob_c]]</f>
        <v>0.93366004256815227</v>
      </c>
      <c r="BB101" s="12">
        <f>1-Tableau2[[#This Row],[prob_c]]</f>
        <v>6.6339957431847729E-2</v>
      </c>
    </row>
    <row r="102" spans="1:54" x14ac:dyDescent="0.25">
      <c r="A102" s="12">
        <v>5</v>
      </c>
      <c r="B102" s="12" t="s">
        <v>13</v>
      </c>
      <c r="C102" s="12">
        <v>2.1</v>
      </c>
      <c r="D102" s="12">
        <v>700</v>
      </c>
      <c r="E102" s="12">
        <v>20</v>
      </c>
      <c r="F102" s="12">
        <v>1</v>
      </c>
      <c r="G102" s="12">
        <v>5</v>
      </c>
      <c r="H102" s="12">
        <v>24</v>
      </c>
      <c r="I102" s="12" t="s">
        <v>20</v>
      </c>
      <c r="J102" s="12" t="s">
        <v>28</v>
      </c>
      <c r="K102" s="12">
        <f>VLOOKUP(Tableau2[[#This Row],[essence]],Tableau5[],2,FALSE)</f>
        <v>0.69510000000000005</v>
      </c>
      <c r="L102" s="12">
        <f>VLOOKUP(Tableau2[[#This Row],[essence]],Tableau5[],3,FALSE)</f>
        <v>-0.51849999999999996</v>
      </c>
      <c r="M102" s="12">
        <f>IF(Tableau2[[#This Row],[priorecol]]="C",1,0)</f>
        <v>0</v>
      </c>
      <c r="N102" s="12">
        <f>VLOOKUP(Tableau2[[#This Row],[essence]],Tableau5[],4,FALSE)</f>
        <v>0.52129999999999999</v>
      </c>
      <c r="O102" s="12">
        <f>IF(Tableau2[[#This Row],[priorecol]]="R",1,0)</f>
        <v>1</v>
      </c>
      <c r="P102" s="12">
        <f>VLOOKUP(Tableau2[[#This Row],[essence]],Tableau5[],5,FALSE)</f>
        <v>-0.37890000000000001</v>
      </c>
      <c r="Q102" s="12">
        <f>IF(Tableau2[[#This Row],[priorecol]]="S",1,0)</f>
        <v>0</v>
      </c>
      <c r="R102" s="12">
        <f>VLOOKUP(Tableau2[[#This Row],[essence]],Tableau5[],6,FALSE)</f>
        <v>-5.5999999999999995E-4</v>
      </c>
      <c r="S102" s="12">
        <f>VLOOKUP(Tableau2[[#This Row],[essence]],Tableau5[],15,FALSE)</f>
        <v>1.52E-2</v>
      </c>
      <c r="T102" s="12">
        <f>VLOOKUP(Tableau2[[#This Row],[essence]],Tableau5[],7,FALSE)</f>
        <v>0</v>
      </c>
      <c r="U102" s="12">
        <f>IF(Tableau2[[#This Row],[sdom]]=1,1,0)</f>
        <v>0</v>
      </c>
      <c r="V102" s="12">
        <f>VLOOKUP(Tableau2[[#This Row],[essence]],Tableau5[],8,FALSE)</f>
        <v>-8.7900000000000006E-2</v>
      </c>
      <c r="W102" s="12">
        <f>IF(Tableau2[[#This Row],[sdom]]="2EST",1,0)</f>
        <v>0</v>
      </c>
      <c r="X102" s="12">
        <f>VLOOKUP(Tableau2[[#This Row],[essence]],Tableau5[],9,FALSE)</f>
        <v>0.42620000000000002</v>
      </c>
      <c r="Y102" s="12">
        <f>IF(Tableau2[[#This Row],[sdom]]="2OUEST",1,0)</f>
        <v>0</v>
      </c>
      <c r="Z102" s="12">
        <f>VLOOKUP(Tableau2[[#This Row],[essence]],Tableau5[],10,FALSE)</f>
        <v>0.54149999999999998</v>
      </c>
      <c r="AA102" s="12">
        <f>IF(Tableau2[[#This Row],[sdom]]="3EST",1,0)</f>
        <v>0</v>
      </c>
      <c r="AB102" s="12">
        <f>VLOOKUP(Tableau2[[#This Row],[essence]],Tableau5[],11,FALSE)</f>
        <v>0.50339999999999996</v>
      </c>
      <c r="AC102" s="12">
        <f>IF(Tableau2[[#This Row],[sdom]]="3OUEST",1,0)</f>
        <v>1</v>
      </c>
      <c r="AD102" s="12">
        <f>VLOOKUP(Tableau2[[#This Row],[essence]],Tableau5[],12,FALSE)</f>
        <v>-3.0599999999999999E-2</v>
      </c>
      <c r="AE102" s="12">
        <f>IF(Tableau2[[#This Row],[sdom]]="4EST",1,0)</f>
        <v>0</v>
      </c>
      <c r="AF102" s="12">
        <f>VLOOKUP(Tableau2[[#This Row],[essence]],Tableau5[],13,FALSE)</f>
        <v>0.1583</v>
      </c>
      <c r="AG102" s="12">
        <f>IF(Tableau2[[#This Row],[sdom]]="4OUEST",1,0)</f>
        <v>0</v>
      </c>
      <c r="AH102" s="12">
        <f>VLOOKUP(Tableau2[[#This Row],[essence]],Tableau5[],14,FALSE)</f>
        <v>3.9800000000000002E-2</v>
      </c>
      <c r="AI102" s="12">
        <f>IF(Tableau2[[#This Row],[sdom]]="5EST",1,0)</f>
        <v>0</v>
      </c>
      <c r="AJ102" s="12">
        <f>VLOOKUP(Tableau2[[#This Row],[essence]],Tableau5[],16,FALSE)</f>
        <v>0.13650000000000001</v>
      </c>
      <c r="AK102" s="12">
        <f>IF(Tableau2[[#This Row],[sdom]]="5OUEST",1,0)</f>
        <v>0</v>
      </c>
      <c r="AL102" s="12">
        <f>VLOOKUP(Tableau2[[#This Row],[essence]],Tableau5[],17,FALSE)</f>
        <v>-0.39140000000000003</v>
      </c>
      <c r="AM102" s="12">
        <f>IF(Tableau2[[#This Row],[sdom]]="6EST",1,0)</f>
        <v>0</v>
      </c>
      <c r="AN102" s="12">
        <f>VLOOKUP(Tableau2[[#This Row],[essence]],Tableau5[],19,FALSE)</f>
        <v>5.8000000000000003E-2</v>
      </c>
      <c r="AO102" s="12">
        <f>IF(Tableau2[[#This Row],[priorecol]]="C",1,0)</f>
        <v>0</v>
      </c>
      <c r="AP102" s="12">
        <f>VLOOKUP(Tableau2[[#This Row],[essence]],Tableau5[],20,FALSE)</f>
        <v>4.7500000000000001E-2</v>
      </c>
      <c r="AQ102" s="12">
        <f>IF(Tableau2[[#This Row],[priorecol]]="R",1,0)</f>
        <v>1</v>
      </c>
      <c r="AR102" s="12">
        <f>VLOOKUP(Tableau2[[#This Row],[essence]],Tableau5[],21,FALSE)</f>
        <v>4.87E-2</v>
      </c>
      <c r="AS102" s="12">
        <f>IF(Tableau2[[#This Row],[priorecol]]="S",1,0)</f>
        <v>0</v>
      </c>
      <c r="AT102" s="12">
        <f>VLOOKUP(Tableau2[[#This Row],[essence]],Tableau5[],22,FALSE)</f>
        <v>0</v>
      </c>
      <c r="AU102" s="12">
        <f>VLOOKUP(Tableau2[[#This Row],[essence]],Tableau5[],23,FALSE)</f>
        <v>0</v>
      </c>
      <c r="AV102" s="12">
        <f>VLOOKUP(Tableau2[[#This Row],[essence]],Tableau5[],18,FALSE)</f>
        <v>-0.112</v>
      </c>
      <c r="AW10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2.9151600000000006</v>
      </c>
      <c r="AX102" s="12">
        <f>1/(1+EXP(-Tableau2[[#This Row],[xb_c]]))</f>
        <v>0.94859078195052238</v>
      </c>
      <c r="AY102" s="12" t="str">
        <f t="shared" si="2"/>
        <v>NA</v>
      </c>
      <c r="AZ102" s="12" t="str">
        <f t="shared" si="3"/>
        <v>NA</v>
      </c>
      <c r="BA102" s="12">
        <f>Tableau2[[#This Row],[prob_c]]</f>
        <v>0.94859078195052238</v>
      </c>
      <c r="BB102" s="12">
        <f>1-Tableau2[[#This Row],[prob_c]]</f>
        <v>5.1409218049477623E-2</v>
      </c>
    </row>
    <row r="103" spans="1:54" x14ac:dyDescent="0.25">
      <c r="A103" s="12">
        <v>5</v>
      </c>
      <c r="B103" s="12" t="s">
        <v>13</v>
      </c>
      <c r="C103" s="12">
        <v>2.1</v>
      </c>
      <c r="D103" s="12">
        <v>700</v>
      </c>
      <c r="E103" s="12">
        <v>20</v>
      </c>
      <c r="F103" s="12">
        <v>1</v>
      </c>
      <c r="G103" s="12">
        <v>6</v>
      </c>
      <c r="H103" s="12">
        <v>25</v>
      </c>
      <c r="I103" s="12" t="s">
        <v>20</v>
      </c>
      <c r="J103" s="12" t="s">
        <v>29</v>
      </c>
      <c r="K103" s="12">
        <f>VLOOKUP(Tableau2[[#This Row],[essence]],Tableau5[],2,FALSE)</f>
        <v>0.69510000000000005</v>
      </c>
      <c r="L103" s="12">
        <f>VLOOKUP(Tableau2[[#This Row],[essence]],Tableau5[],3,FALSE)</f>
        <v>-0.51849999999999996</v>
      </c>
      <c r="M103" s="12">
        <f>IF(Tableau2[[#This Row],[priorecol]]="C",1,0)</f>
        <v>0</v>
      </c>
      <c r="N103" s="12">
        <f>VLOOKUP(Tableau2[[#This Row],[essence]],Tableau5[],4,FALSE)</f>
        <v>0.52129999999999999</v>
      </c>
      <c r="O103" s="12">
        <f>IF(Tableau2[[#This Row],[priorecol]]="R",1,0)</f>
        <v>0</v>
      </c>
      <c r="P103" s="12">
        <f>VLOOKUP(Tableau2[[#This Row],[essence]],Tableau5[],5,FALSE)</f>
        <v>-0.37890000000000001</v>
      </c>
      <c r="Q103" s="12">
        <f>IF(Tableau2[[#This Row],[priorecol]]="S",1,0)</f>
        <v>1</v>
      </c>
      <c r="R103" s="12">
        <f>VLOOKUP(Tableau2[[#This Row],[essence]],Tableau5[],6,FALSE)</f>
        <v>-5.5999999999999995E-4</v>
      </c>
      <c r="S103" s="12">
        <f>VLOOKUP(Tableau2[[#This Row],[essence]],Tableau5[],15,FALSE)</f>
        <v>1.52E-2</v>
      </c>
      <c r="T103" s="12">
        <f>VLOOKUP(Tableau2[[#This Row],[essence]],Tableau5[],7,FALSE)</f>
        <v>0</v>
      </c>
      <c r="U103" s="12">
        <f>IF(Tableau2[[#This Row],[sdom]]=1,1,0)</f>
        <v>0</v>
      </c>
      <c r="V103" s="12">
        <f>VLOOKUP(Tableau2[[#This Row],[essence]],Tableau5[],8,FALSE)</f>
        <v>-8.7900000000000006E-2</v>
      </c>
      <c r="W103" s="12">
        <f>IF(Tableau2[[#This Row],[sdom]]="2EST",1,0)</f>
        <v>0</v>
      </c>
      <c r="X103" s="12">
        <f>VLOOKUP(Tableau2[[#This Row],[essence]],Tableau5[],9,FALSE)</f>
        <v>0.42620000000000002</v>
      </c>
      <c r="Y103" s="12">
        <f>IF(Tableau2[[#This Row],[sdom]]="2OUEST",1,0)</f>
        <v>0</v>
      </c>
      <c r="Z103" s="12">
        <f>VLOOKUP(Tableau2[[#This Row],[essence]],Tableau5[],10,FALSE)</f>
        <v>0.54149999999999998</v>
      </c>
      <c r="AA103" s="12">
        <f>IF(Tableau2[[#This Row],[sdom]]="3EST",1,0)</f>
        <v>0</v>
      </c>
      <c r="AB103" s="12">
        <f>VLOOKUP(Tableau2[[#This Row],[essence]],Tableau5[],11,FALSE)</f>
        <v>0.50339999999999996</v>
      </c>
      <c r="AC103" s="12">
        <f>IF(Tableau2[[#This Row],[sdom]]="3OUEST",1,0)</f>
        <v>1</v>
      </c>
      <c r="AD103" s="12">
        <f>VLOOKUP(Tableau2[[#This Row],[essence]],Tableau5[],12,FALSE)</f>
        <v>-3.0599999999999999E-2</v>
      </c>
      <c r="AE103" s="12">
        <f>IF(Tableau2[[#This Row],[sdom]]="4EST",1,0)</f>
        <v>0</v>
      </c>
      <c r="AF103" s="12">
        <f>VLOOKUP(Tableau2[[#This Row],[essence]],Tableau5[],13,FALSE)</f>
        <v>0.1583</v>
      </c>
      <c r="AG103" s="12">
        <f>IF(Tableau2[[#This Row],[sdom]]="4OUEST",1,0)</f>
        <v>0</v>
      </c>
      <c r="AH103" s="12">
        <f>VLOOKUP(Tableau2[[#This Row],[essence]],Tableau5[],14,FALSE)</f>
        <v>3.9800000000000002E-2</v>
      </c>
      <c r="AI103" s="12">
        <f>IF(Tableau2[[#This Row],[sdom]]="5EST",1,0)</f>
        <v>0</v>
      </c>
      <c r="AJ103" s="12">
        <f>VLOOKUP(Tableau2[[#This Row],[essence]],Tableau5[],16,FALSE)</f>
        <v>0.13650000000000001</v>
      </c>
      <c r="AK103" s="12">
        <f>IF(Tableau2[[#This Row],[sdom]]="5OUEST",1,0)</f>
        <v>0</v>
      </c>
      <c r="AL103" s="12">
        <f>VLOOKUP(Tableau2[[#This Row],[essence]],Tableau5[],17,FALSE)</f>
        <v>-0.39140000000000003</v>
      </c>
      <c r="AM103" s="12">
        <f>IF(Tableau2[[#This Row],[sdom]]="6EST",1,0)</f>
        <v>0</v>
      </c>
      <c r="AN103" s="12">
        <f>VLOOKUP(Tableau2[[#This Row],[essence]],Tableau5[],19,FALSE)</f>
        <v>5.8000000000000003E-2</v>
      </c>
      <c r="AO103" s="12">
        <f>IF(Tableau2[[#This Row],[priorecol]]="C",1,0)</f>
        <v>0</v>
      </c>
      <c r="AP103" s="12">
        <f>VLOOKUP(Tableau2[[#This Row],[essence]],Tableau5[],20,FALSE)</f>
        <v>4.7500000000000001E-2</v>
      </c>
      <c r="AQ103" s="12">
        <f>IF(Tableau2[[#This Row],[priorecol]]="R",1,0)</f>
        <v>0</v>
      </c>
      <c r="AR103" s="12">
        <f>VLOOKUP(Tableau2[[#This Row],[essence]],Tableau5[],21,FALSE)</f>
        <v>4.87E-2</v>
      </c>
      <c r="AS103" s="12">
        <f>IF(Tableau2[[#This Row],[priorecol]]="S",1,0)</f>
        <v>1</v>
      </c>
      <c r="AT103" s="12">
        <f>VLOOKUP(Tableau2[[#This Row],[essence]],Tableau5[],22,FALSE)</f>
        <v>0</v>
      </c>
      <c r="AU103" s="12">
        <f>VLOOKUP(Tableau2[[#This Row],[essence]],Tableau5[],23,FALSE)</f>
        <v>0</v>
      </c>
      <c r="AV103" s="12">
        <f>VLOOKUP(Tableau2[[#This Row],[essence]],Tableau5[],18,FALSE)</f>
        <v>-0.112</v>
      </c>
      <c r="AW10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2.0918999999999999</v>
      </c>
      <c r="AX103" s="12">
        <f>1/(1+EXP(-Tableau2[[#This Row],[xb_c]]))</f>
        <v>0.89011340534143024</v>
      </c>
      <c r="AY103" s="12" t="str">
        <f t="shared" si="2"/>
        <v>NA</v>
      </c>
      <c r="AZ103" s="12" t="str">
        <f t="shared" si="3"/>
        <v>NA</v>
      </c>
      <c r="BA103" s="12">
        <f>Tableau2[[#This Row],[prob_c]]</f>
        <v>0.89011340534143024</v>
      </c>
      <c r="BB103" s="12">
        <f>1-Tableau2[[#This Row],[prob_c]]</f>
        <v>0.10988659465856976</v>
      </c>
    </row>
    <row r="104" spans="1:54" x14ac:dyDescent="0.25">
      <c r="A104" s="12">
        <v>5</v>
      </c>
      <c r="B104" s="12" t="s">
        <v>13</v>
      </c>
      <c r="C104" s="12">
        <v>2.1</v>
      </c>
      <c r="D104" s="12">
        <v>700</v>
      </c>
      <c r="E104" s="12">
        <v>20</v>
      </c>
      <c r="F104" s="12">
        <v>1</v>
      </c>
      <c r="G104" s="12">
        <v>7</v>
      </c>
      <c r="H104" s="12">
        <v>26</v>
      </c>
      <c r="I104" s="12" t="s">
        <v>21</v>
      </c>
      <c r="J104" s="12" t="s">
        <v>27</v>
      </c>
      <c r="K104" s="12">
        <f>VLOOKUP(Tableau2[[#This Row],[essence]],Tableau5[],2,FALSE)</f>
        <v>5.0801999999999996</v>
      </c>
      <c r="L104" s="12">
        <f>VLOOKUP(Tableau2[[#This Row],[essence]],Tableau5[],3,FALSE)</f>
        <v>1.7765</v>
      </c>
      <c r="M104" s="12">
        <f>IF(Tableau2[[#This Row],[priorecol]]="C",1,0)</f>
        <v>1</v>
      </c>
      <c r="N104" s="12">
        <f>VLOOKUP(Tableau2[[#This Row],[essence]],Tableau5[],4,FALSE)</f>
        <v>3.3664000000000001</v>
      </c>
      <c r="O104" s="12">
        <f>IF(Tableau2[[#This Row],[priorecol]]="R",1,0)</f>
        <v>0</v>
      </c>
      <c r="P104" s="12">
        <f>VLOOKUP(Tableau2[[#This Row],[essence]],Tableau5[],5,FALSE)</f>
        <v>0.57940000000000003</v>
      </c>
      <c r="Q104" s="12">
        <f>IF(Tableau2[[#This Row],[priorecol]]="S",1,0)</f>
        <v>0</v>
      </c>
      <c r="R104" s="12">
        <f>VLOOKUP(Tableau2[[#This Row],[essence]],Tableau5[],6,FALSE)</f>
        <v>-0.2109</v>
      </c>
      <c r="S104" s="12">
        <f>VLOOKUP(Tableau2[[#This Row],[essence]],Tableau5[],15,FALSE)</f>
        <v>-0.2429</v>
      </c>
      <c r="T104" s="12">
        <f>VLOOKUP(Tableau2[[#This Row],[essence]],Tableau5[],7,FALSE)</f>
        <v>0</v>
      </c>
      <c r="U104" s="12">
        <f>IF(Tableau2[[#This Row],[sdom]]=1,1,0)</f>
        <v>0</v>
      </c>
      <c r="V104" s="12">
        <f>VLOOKUP(Tableau2[[#This Row],[essence]],Tableau5[],8,FALSE)</f>
        <v>0</v>
      </c>
      <c r="W104" s="12">
        <f>IF(Tableau2[[#This Row],[sdom]]="2EST",1,0)</f>
        <v>0</v>
      </c>
      <c r="X104" s="12">
        <f>VLOOKUP(Tableau2[[#This Row],[essence]],Tableau5[],9,FALSE)</f>
        <v>0</v>
      </c>
      <c r="Y104" s="12">
        <f>IF(Tableau2[[#This Row],[sdom]]="2OUEST",1,0)</f>
        <v>0</v>
      </c>
      <c r="Z104" s="12">
        <f>VLOOKUP(Tableau2[[#This Row],[essence]],Tableau5[],10,FALSE)</f>
        <v>0</v>
      </c>
      <c r="AA104" s="12">
        <f>IF(Tableau2[[#This Row],[sdom]]="3EST",1,0)</f>
        <v>0</v>
      </c>
      <c r="AB104" s="12">
        <f>VLOOKUP(Tableau2[[#This Row],[essence]],Tableau5[],11,FALSE)</f>
        <v>0</v>
      </c>
      <c r="AC104" s="12">
        <f>IF(Tableau2[[#This Row],[sdom]]="3OUEST",1,0)</f>
        <v>1</v>
      </c>
      <c r="AD104" s="12">
        <f>VLOOKUP(Tableau2[[#This Row],[essence]],Tableau5[],12,FALSE)</f>
        <v>0</v>
      </c>
      <c r="AE104" s="12">
        <f>IF(Tableau2[[#This Row],[sdom]]="4EST",1,0)</f>
        <v>0</v>
      </c>
      <c r="AF104" s="12">
        <f>VLOOKUP(Tableau2[[#This Row],[essence]],Tableau5[],13,FALSE)</f>
        <v>0</v>
      </c>
      <c r="AG104" s="12">
        <f>IF(Tableau2[[#This Row],[sdom]]="4OUEST",1,0)</f>
        <v>0</v>
      </c>
      <c r="AH104" s="12">
        <f>VLOOKUP(Tableau2[[#This Row],[essence]],Tableau5[],14,FALSE)</f>
        <v>0</v>
      </c>
      <c r="AI104" s="12">
        <f>IF(Tableau2[[#This Row],[sdom]]="5EST",1,0)</f>
        <v>0</v>
      </c>
      <c r="AJ104" s="12">
        <f>VLOOKUP(Tableau2[[#This Row],[essence]],Tableau5[],16,FALSE)</f>
        <v>0</v>
      </c>
      <c r="AK104" s="12">
        <f>IF(Tableau2[[#This Row],[sdom]]="5OUEST",1,0)</f>
        <v>0</v>
      </c>
      <c r="AL104" s="12">
        <f>VLOOKUP(Tableau2[[#This Row],[essence]],Tableau5[],17,FALSE)</f>
        <v>0</v>
      </c>
      <c r="AM104" s="12">
        <f>IF(Tableau2[[#This Row],[sdom]]="6EST",1,0)</f>
        <v>0</v>
      </c>
      <c r="AN104" s="12">
        <f>VLOOKUP(Tableau2[[#This Row],[essence]],Tableau5[],19,FALSE)</f>
        <v>0</v>
      </c>
      <c r="AO104" s="12">
        <f>IF(Tableau2[[#This Row],[priorecol]]="C",1,0)</f>
        <v>1</v>
      </c>
      <c r="AP104" s="12">
        <f>VLOOKUP(Tableau2[[#This Row],[essence]],Tableau5[],20,FALSE)</f>
        <v>0</v>
      </c>
      <c r="AQ104" s="12">
        <f>IF(Tableau2[[#This Row],[priorecol]]="R",1,0)</f>
        <v>0</v>
      </c>
      <c r="AR104" s="12">
        <f>VLOOKUP(Tableau2[[#This Row],[essence]],Tableau5[],21,FALSE)</f>
        <v>0</v>
      </c>
      <c r="AS104" s="12">
        <f>IF(Tableau2[[#This Row],[priorecol]]="S",1,0)</f>
        <v>0</v>
      </c>
      <c r="AT104" s="12">
        <f>VLOOKUP(Tableau2[[#This Row],[essence]],Tableau5[],22,FALSE)</f>
        <v>1.1384000000000001</v>
      </c>
      <c r="AU104" s="12">
        <f>VLOOKUP(Tableau2[[#This Row],[essence]],Tableau5[],23,FALSE)</f>
        <v>1.0699999999999999E-2</v>
      </c>
      <c r="AV104" s="12">
        <f>VLOOKUP(Tableau2[[#This Row],[essence]],Tableau5[],18,FALSE)</f>
        <v>0</v>
      </c>
      <c r="AW10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3.2176999999999989</v>
      </c>
      <c r="AX104" s="12">
        <f>1/(1+EXP(-Tableau2[[#This Row],[xb_c]]))</f>
        <v>0.96149495328455703</v>
      </c>
      <c r="AY104" s="12" t="str">
        <f t="shared" si="2"/>
        <v>NA</v>
      </c>
      <c r="AZ104" s="12" t="str">
        <f t="shared" si="3"/>
        <v>NA</v>
      </c>
      <c r="BA104" s="12">
        <f>Tableau2[[#This Row],[prob_c]]</f>
        <v>0.96149495328455703</v>
      </c>
      <c r="BB104" s="12">
        <f>1-Tableau2[[#This Row],[prob_c]]</f>
        <v>3.850504671544297E-2</v>
      </c>
    </row>
    <row r="105" spans="1:54" x14ac:dyDescent="0.25">
      <c r="A105" s="12">
        <v>5</v>
      </c>
      <c r="B105" s="12" t="s">
        <v>13</v>
      </c>
      <c r="C105" s="12">
        <v>2.1</v>
      </c>
      <c r="D105" s="12">
        <v>700</v>
      </c>
      <c r="E105" s="12">
        <v>20</v>
      </c>
      <c r="F105" s="12">
        <v>1</v>
      </c>
      <c r="G105" s="12">
        <v>8</v>
      </c>
      <c r="H105" s="12">
        <v>27</v>
      </c>
      <c r="I105" s="12" t="s">
        <v>21</v>
      </c>
      <c r="J105" s="12" t="s">
        <v>28</v>
      </c>
      <c r="K105" s="12">
        <f>VLOOKUP(Tableau2[[#This Row],[essence]],Tableau5[],2,FALSE)</f>
        <v>5.0801999999999996</v>
      </c>
      <c r="L105" s="12">
        <f>VLOOKUP(Tableau2[[#This Row],[essence]],Tableau5[],3,FALSE)</f>
        <v>1.7765</v>
      </c>
      <c r="M105" s="12">
        <f>IF(Tableau2[[#This Row],[priorecol]]="C",1,0)</f>
        <v>0</v>
      </c>
      <c r="N105" s="12">
        <f>VLOOKUP(Tableau2[[#This Row],[essence]],Tableau5[],4,FALSE)</f>
        <v>3.3664000000000001</v>
      </c>
      <c r="O105" s="12">
        <f>IF(Tableau2[[#This Row],[priorecol]]="R",1,0)</f>
        <v>1</v>
      </c>
      <c r="P105" s="12">
        <f>VLOOKUP(Tableau2[[#This Row],[essence]],Tableau5[],5,FALSE)</f>
        <v>0.57940000000000003</v>
      </c>
      <c r="Q105" s="12">
        <f>IF(Tableau2[[#This Row],[priorecol]]="S",1,0)</f>
        <v>0</v>
      </c>
      <c r="R105" s="12">
        <f>VLOOKUP(Tableau2[[#This Row],[essence]],Tableau5[],6,FALSE)</f>
        <v>-0.2109</v>
      </c>
      <c r="S105" s="12">
        <f>VLOOKUP(Tableau2[[#This Row],[essence]],Tableau5[],15,FALSE)</f>
        <v>-0.2429</v>
      </c>
      <c r="T105" s="12">
        <f>VLOOKUP(Tableau2[[#This Row],[essence]],Tableau5[],7,FALSE)</f>
        <v>0</v>
      </c>
      <c r="U105" s="12">
        <f>IF(Tableau2[[#This Row],[sdom]]=1,1,0)</f>
        <v>0</v>
      </c>
      <c r="V105" s="12">
        <f>VLOOKUP(Tableau2[[#This Row],[essence]],Tableau5[],8,FALSE)</f>
        <v>0</v>
      </c>
      <c r="W105" s="12">
        <f>IF(Tableau2[[#This Row],[sdom]]="2EST",1,0)</f>
        <v>0</v>
      </c>
      <c r="X105" s="12">
        <f>VLOOKUP(Tableau2[[#This Row],[essence]],Tableau5[],9,FALSE)</f>
        <v>0</v>
      </c>
      <c r="Y105" s="12">
        <f>IF(Tableau2[[#This Row],[sdom]]="2OUEST",1,0)</f>
        <v>0</v>
      </c>
      <c r="Z105" s="12">
        <f>VLOOKUP(Tableau2[[#This Row],[essence]],Tableau5[],10,FALSE)</f>
        <v>0</v>
      </c>
      <c r="AA105" s="12">
        <f>IF(Tableau2[[#This Row],[sdom]]="3EST",1,0)</f>
        <v>0</v>
      </c>
      <c r="AB105" s="12">
        <f>VLOOKUP(Tableau2[[#This Row],[essence]],Tableau5[],11,FALSE)</f>
        <v>0</v>
      </c>
      <c r="AC105" s="12">
        <f>IF(Tableau2[[#This Row],[sdom]]="3OUEST",1,0)</f>
        <v>1</v>
      </c>
      <c r="AD105" s="12">
        <f>VLOOKUP(Tableau2[[#This Row],[essence]],Tableau5[],12,FALSE)</f>
        <v>0</v>
      </c>
      <c r="AE105" s="12">
        <f>IF(Tableau2[[#This Row],[sdom]]="4EST",1,0)</f>
        <v>0</v>
      </c>
      <c r="AF105" s="12">
        <f>VLOOKUP(Tableau2[[#This Row],[essence]],Tableau5[],13,FALSE)</f>
        <v>0</v>
      </c>
      <c r="AG105" s="12">
        <f>IF(Tableau2[[#This Row],[sdom]]="4OUEST",1,0)</f>
        <v>0</v>
      </c>
      <c r="AH105" s="12">
        <f>VLOOKUP(Tableau2[[#This Row],[essence]],Tableau5[],14,FALSE)</f>
        <v>0</v>
      </c>
      <c r="AI105" s="12">
        <f>IF(Tableau2[[#This Row],[sdom]]="5EST",1,0)</f>
        <v>0</v>
      </c>
      <c r="AJ105" s="12">
        <f>VLOOKUP(Tableau2[[#This Row],[essence]],Tableau5[],16,FALSE)</f>
        <v>0</v>
      </c>
      <c r="AK105" s="12">
        <f>IF(Tableau2[[#This Row],[sdom]]="5OUEST",1,0)</f>
        <v>0</v>
      </c>
      <c r="AL105" s="12">
        <f>VLOOKUP(Tableau2[[#This Row],[essence]],Tableau5[],17,FALSE)</f>
        <v>0</v>
      </c>
      <c r="AM105" s="12">
        <f>IF(Tableau2[[#This Row],[sdom]]="6EST",1,0)</f>
        <v>0</v>
      </c>
      <c r="AN105" s="12">
        <f>VLOOKUP(Tableau2[[#This Row],[essence]],Tableau5[],19,FALSE)</f>
        <v>0</v>
      </c>
      <c r="AO105" s="12">
        <f>IF(Tableau2[[#This Row],[priorecol]]="C",1,0)</f>
        <v>0</v>
      </c>
      <c r="AP105" s="12">
        <f>VLOOKUP(Tableau2[[#This Row],[essence]],Tableau5[],20,FALSE)</f>
        <v>0</v>
      </c>
      <c r="AQ105" s="12">
        <f>IF(Tableau2[[#This Row],[priorecol]]="R",1,0)</f>
        <v>1</v>
      </c>
      <c r="AR105" s="12">
        <f>VLOOKUP(Tableau2[[#This Row],[essence]],Tableau5[],21,FALSE)</f>
        <v>0</v>
      </c>
      <c r="AS105" s="12">
        <f>IF(Tableau2[[#This Row],[priorecol]]="S",1,0)</f>
        <v>0</v>
      </c>
      <c r="AT105" s="12">
        <f>VLOOKUP(Tableau2[[#This Row],[essence]],Tableau5[],22,FALSE)</f>
        <v>1.1384000000000001</v>
      </c>
      <c r="AU105" s="12">
        <f>VLOOKUP(Tableau2[[#This Row],[essence]],Tableau5[],23,FALSE)</f>
        <v>1.0699999999999999E-2</v>
      </c>
      <c r="AV105" s="12">
        <f>VLOOKUP(Tableau2[[#This Row],[essence]],Tableau5[],18,FALSE)</f>
        <v>0</v>
      </c>
      <c r="AW10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4.8106999999999989</v>
      </c>
      <c r="AX105" s="12">
        <f>1/(1+EXP(-Tableau2[[#This Row],[xb_c]]))</f>
        <v>0.99192360112560252</v>
      </c>
      <c r="AY105" s="12" t="str">
        <f t="shared" si="2"/>
        <v>NA</v>
      </c>
      <c r="AZ105" s="12" t="str">
        <f t="shared" si="3"/>
        <v>NA</v>
      </c>
      <c r="BA105" s="12">
        <f>Tableau2[[#This Row],[prob_c]]</f>
        <v>0.99192360112560252</v>
      </c>
      <c r="BB105" s="12">
        <f>1-Tableau2[[#This Row],[prob_c]]</f>
        <v>8.0763988743974835E-3</v>
      </c>
    </row>
    <row r="106" spans="1:54" x14ac:dyDescent="0.25">
      <c r="A106" s="12">
        <v>5</v>
      </c>
      <c r="B106" s="12" t="s">
        <v>13</v>
      </c>
      <c r="C106" s="12">
        <v>2.1</v>
      </c>
      <c r="D106" s="12">
        <v>700</v>
      </c>
      <c r="E106" s="12">
        <v>20</v>
      </c>
      <c r="F106" s="12">
        <v>1</v>
      </c>
      <c r="G106" s="12">
        <v>9</v>
      </c>
      <c r="H106" s="12">
        <v>28</v>
      </c>
      <c r="I106" s="12" t="s">
        <v>21</v>
      </c>
      <c r="J106" s="12" t="s">
        <v>29</v>
      </c>
      <c r="K106" s="12">
        <f>VLOOKUP(Tableau2[[#This Row],[essence]],Tableau5[],2,FALSE)</f>
        <v>5.0801999999999996</v>
      </c>
      <c r="L106" s="12">
        <f>VLOOKUP(Tableau2[[#This Row],[essence]],Tableau5[],3,FALSE)</f>
        <v>1.7765</v>
      </c>
      <c r="M106" s="12">
        <f>IF(Tableau2[[#This Row],[priorecol]]="C",1,0)</f>
        <v>0</v>
      </c>
      <c r="N106" s="12">
        <f>VLOOKUP(Tableau2[[#This Row],[essence]],Tableau5[],4,FALSE)</f>
        <v>3.3664000000000001</v>
      </c>
      <c r="O106" s="12">
        <f>IF(Tableau2[[#This Row],[priorecol]]="R",1,0)</f>
        <v>0</v>
      </c>
      <c r="P106" s="12">
        <f>VLOOKUP(Tableau2[[#This Row],[essence]],Tableau5[],5,FALSE)</f>
        <v>0.57940000000000003</v>
      </c>
      <c r="Q106" s="12">
        <f>IF(Tableau2[[#This Row],[priorecol]]="S",1,0)</f>
        <v>1</v>
      </c>
      <c r="R106" s="12">
        <f>VLOOKUP(Tableau2[[#This Row],[essence]],Tableau5[],6,FALSE)</f>
        <v>-0.2109</v>
      </c>
      <c r="S106" s="12">
        <f>VLOOKUP(Tableau2[[#This Row],[essence]],Tableau5[],15,FALSE)</f>
        <v>-0.2429</v>
      </c>
      <c r="T106" s="12">
        <f>VLOOKUP(Tableau2[[#This Row],[essence]],Tableau5[],7,FALSE)</f>
        <v>0</v>
      </c>
      <c r="U106" s="12">
        <f>IF(Tableau2[[#This Row],[sdom]]=1,1,0)</f>
        <v>0</v>
      </c>
      <c r="V106" s="12">
        <f>VLOOKUP(Tableau2[[#This Row],[essence]],Tableau5[],8,FALSE)</f>
        <v>0</v>
      </c>
      <c r="W106" s="12">
        <f>IF(Tableau2[[#This Row],[sdom]]="2EST",1,0)</f>
        <v>0</v>
      </c>
      <c r="X106" s="12">
        <f>VLOOKUP(Tableau2[[#This Row],[essence]],Tableau5[],9,FALSE)</f>
        <v>0</v>
      </c>
      <c r="Y106" s="12">
        <f>IF(Tableau2[[#This Row],[sdom]]="2OUEST",1,0)</f>
        <v>0</v>
      </c>
      <c r="Z106" s="12">
        <f>VLOOKUP(Tableau2[[#This Row],[essence]],Tableau5[],10,FALSE)</f>
        <v>0</v>
      </c>
      <c r="AA106" s="12">
        <f>IF(Tableau2[[#This Row],[sdom]]="3EST",1,0)</f>
        <v>0</v>
      </c>
      <c r="AB106" s="12">
        <f>VLOOKUP(Tableau2[[#This Row],[essence]],Tableau5[],11,FALSE)</f>
        <v>0</v>
      </c>
      <c r="AC106" s="12">
        <f>IF(Tableau2[[#This Row],[sdom]]="3OUEST",1,0)</f>
        <v>1</v>
      </c>
      <c r="AD106" s="12">
        <f>VLOOKUP(Tableau2[[#This Row],[essence]],Tableau5[],12,FALSE)</f>
        <v>0</v>
      </c>
      <c r="AE106" s="12">
        <f>IF(Tableau2[[#This Row],[sdom]]="4EST",1,0)</f>
        <v>0</v>
      </c>
      <c r="AF106" s="12">
        <f>VLOOKUP(Tableau2[[#This Row],[essence]],Tableau5[],13,FALSE)</f>
        <v>0</v>
      </c>
      <c r="AG106" s="12">
        <f>IF(Tableau2[[#This Row],[sdom]]="4OUEST",1,0)</f>
        <v>0</v>
      </c>
      <c r="AH106" s="12">
        <f>VLOOKUP(Tableau2[[#This Row],[essence]],Tableau5[],14,FALSE)</f>
        <v>0</v>
      </c>
      <c r="AI106" s="12">
        <f>IF(Tableau2[[#This Row],[sdom]]="5EST",1,0)</f>
        <v>0</v>
      </c>
      <c r="AJ106" s="12">
        <f>VLOOKUP(Tableau2[[#This Row],[essence]],Tableau5[],16,FALSE)</f>
        <v>0</v>
      </c>
      <c r="AK106" s="12">
        <f>IF(Tableau2[[#This Row],[sdom]]="5OUEST",1,0)</f>
        <v>0</v>
      </c>
      <c r="AL106" s="12">
        <f>VLOOKUP(Tableau2[[#This Row],[essence]],Tableau5[],17,FALSE)</f>
        <v>0</v>
      </c>
      <c r="AM106" s="12">
        <f>IF(Tableau2[[#This Row],[sdom]]="6EST",1,0)</f>
        <v>0</v>
      </c>
      <c r="AN106" s="12">
        <f>VLOOKUP(Tableau2[[#This Row],[essence]],Tableau5[],19,FALSE)</f>
        <v>0</v>
      </c>
      <c r="AO106" s="12">
        <f>IF(Tableau2[[#This Row],[priorecol]]="C",1,0)</f>
        <v>0</v>
      </c>
      <c r="AP106" s="12">
        <f>VLOOKUP(Tableau2[[#This Row],[essence]],Tableau5[],20,FALSE)</f>
        <v>0</v>
      </c>
      <c r="AQ106" s="12">
        <f>IF(Tableau2[[#This Row],[priorecol]]="R",1,0)</f>
        <v>0</v>
      </c>
      <c r="AR106" s="12">
        <f>VLOOKUP(Tableau2[[#This Row],[essence]],Tableau5[],21,FALSE)</f>
        <v>0</v>
      </c>
      <c r="AS106" s="12">
        <f>IF(Tableau2[[#This Row],[priorecol]]="S",1,0)</f>
        <v>1</v>
      </c>
      <c r="AT106" s="12">
        <f>VLOOKUP(Tableau2[[#This Row],[essence]],Tableau5[],22,FALSE)</f>
        <v>1.1384000000000001</v>
      </c>
      <c r="AU106" s="12">
        <f>VLOOKUP(Tableau2[[#This Row],[essence]],Tableau5[],23,FALSE)</f>
        <v>1.0699999999999999E-2</v>
      </c>
      <c r="AV106" s="12">
        <f>VLOOKUP(Tableau2[[#This Row],[essence]],Tableau5[],18,FALSE)</f>
        <v>0</v>
      </c>
      <c r="AW10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2.0267999999999988</v>
      </c>
      <c r="AX106" s="12">
        <f>1/(1+EXP(-Tableau2[[#This Row],[xb_c]]))</f>
        <v>0.88358231501164985</v>
      </c>
      <c r="AY106" s="12" t="str">
        <f t="shared" si="2"/>
        <v>NA</v>
      </c>
      <c r="AZ106" s="12" t="str">
        <f t="shared" si="3"/>
        <v>NA</v>
      </c>
      <c r="BA106" s="12">
        <f>Tableau2[[#This Row],[prob_c]]</f>
        <v>0.88358231501164985</v>
      </c>
      <c r="BB106" s="12">
        <f>1-Tableau2[[#This Row],[prob_c]]</f>
        <v>0.11641768498835015</v>
      </c>
    </row>
    <row r="107" spans="1:54" x14ac:dyDescent="0.25">
      <c r="A107" s="12">
        <v>5</v>
      </c>
      <c r="B107" s="12" t="s">
        <v>13</v>
      </c>
      <c r="C107" s="12">
        <v>2.1</v>
      </c>
      <c r="D107" s="12">
        <v>700</v>
      </c>
      <c r="E107" s="12">
        <v>20</v>
      </c>
      <c r="F107" s="12">
        <v>1</v>
      </c>
      <c r="G107" s="12">
        <v>10</v>
      </c>
      <c r="H107" s="12">
        <v>29</v>
      </c>
      <c r="I107" s="12" t="s">
        <v>22</v>
      </c>
      <c r="J107" s="12" t="s">
        <v>27</v>
      </c>
      <c r="K107" s="12">
        <f>VLOOKUP(Tableau2[[#This Row],[essence]],Tableau5[],2,FALSE)</f>
        <v>-0.54949999999999999</v>
      </c>
      <c r="L107" s="12">
        <f>VLOOKUP(Tableau2[[#This Row],[essence]],Tableau5[],3,FALSE)</f>
        <v>-0.14960000000000001</v>
      </c>
      <c r="M107" s="12">
        <f>IF(Tableau2[[#This Row],[priorecol]]="C",1,0)</f>
        <v>1</v>
      </c>
      <c r="N107" s="12">
        <f>VLOOKUP(Tableau2[[#This Row],[essence]],Tableau5[],4,FALSE)</f>
        <v>1.6746000000000001</v>
      </c>
      <c r="O107" s="12">
        <f>IF(Tableau2[[#This Row],[priorecol]]="R",1,0)</f>
        <v>0</v>
      </c>
      <c r="P107" s="12">
        <f>VLOOKUP(Tableau2[[#This Row],[essence]],Tableau5[],5,FALSE)</f>
        <v>0.65110000000000001</v>
      </c>
      <c r="Q107" s="12">
        <f>IF(Tableau2[[#This Row],[priorecol]]="S",1,0)</f>
        <v>0</v>
      </c>
      <c r="R107" s="12">
        <f>VLOOKUP(Tableau2[[#This Row],[essence]],Tableau5[],6,FALSE)</f>
        <v>-3.0599999999999999E-2</v>
      </c>
      <c r="S107" s="12">
        <f>VLOOKUP(Tableau2[[#This Row],[essence]],Tableau5[],15,FALSE)</f>
        <v>-3.8399999999999997E-2</v>
      </c>
      <c r="T107" s="12">
        <f>VLOOKUP(Tableau2[[#This Row],[essence]],Tableau5[],7,FALSE)</f>
        <v>1.2454000000000001</v>
      </c>
      <c r="U107" s="12">
        <f>IF(Tableau2[[#This Row],[sdom]]=1,1,0)</f>
        <v>0</v>
      </c>
      <c r="V107" s="12">
        <f>VLOOKUP(Tableau2[[#This Row],[essence]],Tableau5[],8,FALSE)</f>
        <v>0.85550000000000004</v>
      </c>
      <c r="W107" s="12">
        <f>IF(Tableau2[[#This Row],[sdom]]="2EST",1,0)</f>
        <v>0</v>
      </c>
      <c r="X107" s="12">
        <f>VLOOKUP(Tableau2[[#This Row],[essence]],Tableau5[],9,FALSE)</f>
        <v>1.2195</v>
      </c>
      <c r="Y107" s="12">
        <f>IF(Tableau2[[#This Row],[sdom]]="2OUEST",1,0)</f>
        <v>0</v>
      </c>
      <c r="Z107" s="12">
        <f>VLOOKUP(Tableau2[[#This Row],[essence]],Tableau5[],10,FALSE)</f>
        <v>0.94630000000000003</v>
      </c>
      <c r="AA107" s="12">
        <f>IF(Tableau2[[#This Row],[sdom]]="3EST",1,0)</f>
        <v>0</v>
      </c>
      <c r="AB107" s="12">
        <f>VLOOKUP(Tableau2[[#This Row],[essence]],Tableau5[],11,FALSE)</f>
        <v>0.64859999999999995</v>
      </c>
      <c r="AC107" s="12">
        <f>IF(Tableau2[[#This Row],[sdom]]="3OUEST",1,0)</f>
        <v>1</v>
      </c>
      <c r="AD107" s="12">
        <f>VLOOKUP(Tableau2[[#This Row],[essence]],Tableau5[],12,FALSE)</f>
        <v>0.91920000000000002</v>
      </c>
      <c r="AE107" s="12">
        <f>IF(Tableau2[[#This Row],[sdom]]="4EST",1,0)</f>
        <v>0</v>
      </c>
      <c r="AF107" s="12">
        <f>VLOOKUP(Tableau2[[#This Row],[essence]],Tableau5[],13,FALSE)</f>
        <v>0.67230000000000001</v>
      </c>
      <c r="AG107" s="12">
        <f>IF(Tableau2[[#This Row],[sdom]]="4OUEST",1,0)</f>
        <v>0</v>
      </c>
      <c r="AH107" s="12">
        <f>VLOOKUP(Tableau2[[#This Row],[essence]],Tableau5[],14,FALSE)</f>
        <v>0.43309999999999998</v>
      </c>
      <c r="AI107" s="12">
        <f>IF(Tableau2[[#This Row],[sdom]]="5EST",1,0)</f>
        <v>0</v>
      </c>
      <c r="AJ107" s="12">
        <f>VLOOKUP(Tableau2[[#This Row],[essence]],Tableau5[],16,FALSE)</f>
        <v>0</v>
      </c>
      <c r="AK107" s="12">
        <f>IF(Tableau2[[#This Row],[sdom]]="5OUEST",1,0)</f>
        <v>0</v>
      </c>
      <c r="AL107" s="12">
        <f>VLOOKUP(Tableau2[[#This Row],[essence]],Tableau5[],17,FALSE)</f>
        <v>0</v>
      </c>
      <c r="AM107" s="12">
        <f>IF(Tableau2[[#This Row],[sdom]]="6EST",1,0)</f>
        <v>0</v>
      </c>
      <c r="AN107" s="12">
        <f>VLOOKUP(Tableau2[[#This Row],[essence]],Tableau5[],19,FALSE)</f>
        <v>6.6900000000000001E-2</v>
      </c>
      <c r="AO107" s="12">
        <f>IF(Tableau2[[#This Row],[priorecol]]="C",1,0)</f>
        <v>1</v>
      </c>
      <c r="AP107" s="12">
        <f>VLOOKUP(Tableau2[[#This Row],[essence]],Tableau5[],20,FALSE)</f>
        <v>4.3799999999999999E-2</v>
      </c>
      <c r="AQ107" s="12">
        <f>IF(Tableau2[[#This Row],[priorecol]]="R",1,0)</f>
        <v>0</v>
      </c>
      <c r="AR107" s="12">
        <f>VLOOKUP(Tableau2[[#This Row],[essence]],Tableau5[],21,FALSE)</f>
        <v>2.7900000000000001E-2</v>
      </c>
      <c r="AS107" s="12">
        <f>IF(Tableau2[[#This Row],[priorecol]]="S",1,0)</f>
        <v>0</v>
      </c>
      <c r="AT107" s="12">
        <f>VLOOKUP(Tableau2[[#This Row],[essence]],Tableau5[],22,FALSE)</f>
        <v>0</v>
      </c>
      <c r="AU107" s="12">
        <f>VLOOKUP(Tableau2[[#This Row],[essence]],Tableau5[],23,FALSE)</f>
        <v>1.73E-3</v>
      </c>
      <c r="AV107" s="12">
        <f>VLOOKUP(Tableau2[[#This Row],[essence]],Tableau5[],18,FALSE)</f>
        <v>0.1295</v>
      </c>
      <c r="AW10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1.5095500000000004</v>
      </c>
      <c r="AX107" s="12">
        <f>1/(1+EXP(-Tableau2[[#This Row],[xb_c]]))</f>
        <v>0.81899450729659784</v>
      </c>
      <c r="AY107" s="12" t="str">
        <f t="shared" si="2"/>
        <v>NA</v>
      </c>
      <c r="AZ107" s="12" t="str">
        <f t="shared" si="3"/>
        <v>NA</v>
      </c>
      <c r="BA107" s="12">
        <f>Tableau2[[#This Row],[prob_c]]</f>
        <v>0.81899450729659784</v>
      </c>
      <c r="BB107" s="12">
        <f>1-Tableau2[[#This Row],[prob_c]]</f>
        <v>0.18100549270340216</v>
      </c>
    </row>
    <row r="108" spans="1:54" x14ac:dyDescent="0.25">
      <c r="A108" s="12">
        <v>5</v>
      </c>
      <c r="B108" s="12" t="s">
        <v>13</v>
      </c>
      <c r="C108" s="12">
        <v>2.1</v>
      </c>
      <c r="D108" s="12">
        <v>700</v>
      </c>
      <c r="E108" s="12">
        <v>20</v>
      </c>
      <c r="F108" s="12">
        <v>1</v>
      </c>
      <c r="G108" s="12">
        <v>11</v>
      </c>
      <c r="H108" s="12">
        <v>30</v>
      </c>
      <c r="I108" s="12" t="s">
        <v>22</v>
      </c>
      <c r="J108" s="12" t="s">
        <v>28</v>
      </c>
      <c r="K108" s="12">
        <f>VLOOKUP(Tableau2[[#This Row],[essence]],Tableau5[],2,FALSE)</f>
        <v>-0.54949999999999999</v>
      </c>
      <c r="L108" s="12">
        <f>VLOOKUP(Tableau2[[#This Row],[essence]],Tableau5[],3,FALSE)</f>
        <v>-0.14960000000000001</v>
      </c>
      <c r="M108" s="12">
        <f>IF(Tableau2[[#This Row],[priorecol]]="C",1,0)</f>
        <v>0</v>
      </c>
      <c r="N108" s="12">
        <f>VLOOKUP(Tableau2[[#This Row],[essence]],Tableau5[],4,FALSE)</f>
        <v>1.6746000000000001</v>
      </c>
      <c r="O108" s="12">
        <f>IF(Tableau2[[#This Row],[priorecol]]="R",1,0)</f>
        <v>1</v>
      </c>
      <c r="P108" s="12">
        <f>VLOOKUP(Tableau2[[#This Row],[essence]],Tableau5[],5,FALSE)</f>
        <v>0.65110000000000001</v>
      </c>
      <c r="Q108" s="12">
        <f>IF(Tableau2[[#This Row],[priorecol]]="S",1,0)</f>
        <v>0</v>
      </c>
      <c r="R108" s="12">
        <f>VLOOKUP(Tableau2[[#This Row],[essence]],Tableau5[],6,FALSE)</f>
        <v>-3.0599999999999999E-2</v>
      </c>
      <c r="S108" s="12">
        <f>VLOOKUP(Tableau2[[#This Row],[essence]],Tableau5[],15,FALSE)</f>
        <v>-3.8399999999999997E-2</v>
      </c>
      <c r="T108" s="12">
        <f>VLOOKUP(Tableau2[[#This Row],[essence]],Tableau5[],7,FALSE)</f>
        <v>1.2454000000000001</v>
      </c>
      <c r="U108" s="12">
        <f>IF(Tableau2[[#This Row],[sdom]]=1,1,0)</f>
        <v>0</v>
      </c>
      <c r="V108" s="12">
        <f>VLOOKUP(Tableau2[[#This Row],[essence]],Tableau5[],8,FALSE)</f>
        <v>0.85550000000000004</v>
      </c>
      <c r="W108" s="12">
        <f>IF(Tableau2[[#This Row],[sdom]]="2EST",1,0)</f>
        <v>0</v>
      </c>
      <c r="X108" s="12">
        <f>VLOOKUP(Tableau2[[#This Row],[essence]],Tableau5[],9,FALSE)</f>
        <v>1.2195</v>
      </c>
      <c r="Y108" s="12">
        <f>IF(Tableau2[[#This Row],[sdom]]="2OUEST",1,0)</f>
        <v>0</v>
      </c>
      <c r="Z108" s="12">
        <f>VLOOKUP(Tableau2[[#This Row],[essence]],Tableau5[],10,FALSE)</f>
        <v>0.94630000000000003</v>
      </c>
      <c r="AA108" s="12">
        <f>IF(Tableau2[[#This Row],[sdom]]="3EST",1,0)</f>
        <v>0</v>
      </c>
      <c r="AB108" s="12">
        <f>VLOOKUP(Tableau2[[#This Row],[essence]],Tableau5[],11,FALSE)</f>
        <v>0.64859999999999995</v>
      </c>
      <c r="AC108" s="12">
        <f>IF(Tableau2[[#This Row],[sdom]]="3OUEST",1,0)</f>
        <v>1</v>
      </c>
      <c r="AD108" s="12">
        <f>VLOOKUP(Tableau2[[#This Row],[essence]],Tableau5[],12,FALSE)</f>
        <v>0.91920000000000002</v>
      </c>
      <c r="AE108" s="12">
        <f>IF(Tableau2[[#This Row],[sdom]]="4EST",1,0)</f>
        <v>0</v>
      </c>
      <c r="AF108" s="12">
        <f>VLOOKUP(Tableau2[[#This Row],[essence]],Tableau5[],13,FALSE)</f>
        <v>0.67230000000000001</v>
      </c>
      <c r="AG108" s="12">
        <f>IF(Tableau2[[#This Row],[sdom]]="4OUEST",1,0)</f>
        <v>0</v>
      </c>
      <c r="AH108" s="12">
        <f>VLOOKUP(Tableau2[[#This Row],[essence]],Tableau5[],14,FALSE)</f>
        <v>0.43309999999999998</v>
      </c>
      <c r="AI108" s="12">
        <f>IF(Tableau2[[#This Row],[sdom]]="5EST",1,0)</f>
        <v>0</v>
      </c>
      <c r="AJ108" s="12">
        <f>VLOOKUP(Tableau2[[#This Row],[essence]],Tableau5[],16,FALSE)</f>
        <v>0</v>
      </c>
      <c r="AK108" s="12">
        <f>IF(Tableau2[[#This Row],[sdom]]="5OUEST",1,0)</f>
        <v>0</v>
      </c>
      <c r="AL108" s="12">
        <f>VLOOKUP(Tableau2[[#This Row],[essence]],Tableau5[],17,FALSE)</f>
        <v>0</v>
      </c>
      <c r="AM108" s="12">
        <f>IF(Tableau2[[#This Row],[sdom]]="6EST",1,0)</f>
        <v>0</v>
      </c>
      <c r="AN108" s="12">
        <f>VLOOKUP(Tableau2[[#This Row],[essence]],Tableau5[],19,FALSE)</f>
        <v>6.6900000000000001E-2</v>
      </c>
      <c r="AO108" s="12">
        <f>IF(Tableau2[[#This Row],[priorecol]]="C",1,0)</f>
        <v>0</v>
      </c>
      <c r="AP108" s="12">
        <f>VLOOKUP(Tableau2[[#This Row],[essence]],Tableau5[],20,FALSE)</f>
        <v>4.3799999999999999E-2</v>
      </c>
      <c r="AQ108" s="12">
        <f>IF(Tableau2[[#This Row],[priorecol]]="R",1,0)</f>
        <v>1</v>
      </c>
      <c r="AR108" s="12">
        <f>VLOOKUP(Tableau2[[#This Row],[essence]],Tableau5[],21,FALSE)</f>
        <v>2.7900000000000001E-2</v>
      </c>
      <c r="AS108" s="12">
        <f>IF(Tableau2[[#This Row],[priorecol]]="S",1,0)</f>
        <v>0</v>
      </c>
      <c r="AT108" s="12">
        <f>VLOOKUP(Tableau2[[#This Row],[essence]],Tableau5[],22,FALSE)</f>
        <v>0</v>
      </c>
      <c r="AU108" s="12">
        <f>VLOOKUP(Tableau2[[#This Row],[essence]],Tableau5[],23,FALSE)</f>
        <v>1.73E-3</v>
      </c>
      <c r="AV108" s="12">
        <f>VLOOKUP(Tableau2[[#This Row],[essence]],Tableau5[],18,FALSE)</f>
        <v>0.1295</v>
      </c>
      <c r="AW10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2.7116500000000001</v>
      </c>
      <c r="AX108" s="12">
        <f>1/(1+EXP(-Tableau2[[#This Row],[xb_c]]))</f>
        <v>0.93771059382250954</v>
      </c>
      <c r="AY108" s="12" t="str">
        <f t="shared" si="2"/>
        <v>NA</v>
      </c>
      <c r="AZ108" s="12" t="str">
        <f t="shared" si="3"/>
        <v>NA</v>
      </c>
      <c r="BA108" s="12">
        <f>Tableau2[[#This Row],[prob_c]]</f>
        <v>0.93771059382250954</v>
      </c>
      <c r="BB108" s="12">
        <f>1-Tableau2[[#This Row],[prob_c]]</f>
        <v>6.2289406177490458E-2</v>
      </c>
    </row>
    <row r="109" spans="1:54" x14ac:dyDescent="0.25">
      <c r="A109" s="12">
        <v>5</v>
      </c>
      <c r="B109" s="12" t="s">
        <v>13</v>
      </c>
      <c r="C109" s="12">
        <v>2.1</v>
      </c>
      <c r="D109" s="12">
        <v>700</v>
      </c>
      <c r="E109" s="12">
        <v>20</v>
      </c>
      <c r="F109" s="12">
        <v>1</v>
      </c>
      <c r="G109" s="12">
        <v>12</v>
      </c>
      <c r="H109" s="12">
        <v>31</v>
      </c>
      <c r="I109" s="12" t="s">
        <v>22</v>
      </c>
      <c r="J109" s="12" t="s">
        <v>29</v>
      </c>
      <c r="K109" s="12">
        <f>VLOOKUP(Tableau2[[#This Row],[essence]],Tableau5[],2,FALSE)</f>
        <v>-0.54949999999999999</v>
      </c>
      <c r="L109" s="12">
        <f>VLOOKUP(Tableau2[[#This Row],[essence]],Tableau5[],3,FALSE)</f>
        <v>-0.14960000000000001</v>
      </c>
      <c r="M109" s="12">
        <f>IF(Tableau2[[#This Row],[priorecol]]="C",1,0)</f>
        <v>0</v>
      </c>
      <c r="N109" s="12">
        <f>VLOOKUP(Tableau2[[#This Row],[essence]],Tableau5[],4,FALSE)</f>
        <v>1.6746000000000001</v>
      </c>
      <c r="O109" s="12">
        <f>IF(Tableau2[[#This Row],[priorecol]]="R",1,0)</f>
        <v>0</v>
      </c>
      <c r="P109" s="12">
        <f>VLOOKUP(Tableau2[[#This Row],[essence]],Tableau5[],5,FALSE)</f>
        <v>0.65110000000000001</v>
      </c>
      <c r="Q109" s="12">
        <f>IF(Tableau2[[#This Row],[priorecol]]="S",1,0)</f>
        <v>1</v>
      </c>
      <c r="R109" s="12">
        <f>VLOOKUP(Tableau2[[#This Row],[essence]],Tableau5[],6,FALSE)</f>
        <v>-3.0599999999999999E-2</v>
      </c>
      <c r="S109" s="12">
        <f>VLOOKUP(Tableau2[[#This Row],[essence]],Tableau5[],15,FALSE)</f>
        <v>-3.8399999999999997E-2</v>
      </c>
      <c r="T109" s="12">
        <f>VLOOKUP(Tableau2[[#This Row],[essence]],Tableau5[],7,FALSE)</f>
        <v>1.2454000000000001</v>
      </c>
      <c r="U109" s="12">
        <f>IF(Tableau2[[#This Row],[sdom]]=1,1,0)</f>
        <v>0</v>
      </c>
      <c r="V109" s="12">
        <f>VLOOKUP(Tableau2[[#This Row],[essence]],Tableau5[],8,FALSE)</f>
        <v>0.85550000000000004</v>
      </c>
      <c r="W109" s="12">
        <f>IF(Tableau2[[#This Row],[sdom]]="2EST",1,0)</f>
        <v>0</v>
      </c>
      <c r="X109" s="12">
        <f>VLOOKUP(Tableau2[[#This Row],[essence]],Tableau5[],9,FALSE)</f>
        <v>1.2195</v>
      </c>
      <c r="Y109" s="12">
        <f>IF(Tableau2[[#This Row],[sdom]]="2OUEST",1,0)</f>
        <v>0</v>
      </c>
      <c r="Z109" s="12">
        <f>VLOOKUP(Tableau2[[#This Row],[essence]],Tableau5[],10,FALSE)</f>
        <v>0.94630000000000003</v>
      </c>
      <c r="AA109" s="12">
        <f>IF(Tableau2[[#This Row],[sdom]]="3EST",1,0)</f>
        <v>0</v>
      </c>
      <c r="AB109" s="12">
        <f>VLOOKUP(Tableau2[[#This Row],[essence]],Tableau5[],11,FALSE)</f>
        <v>0.64859999999999995</v>
      </c>
      <c r="AC109" s="12">
        <f>IF(Tableau2[[#This Row],[sdom]]="3OUEST",1,0)</f>
        <v>1</v>
      </c>
      <c r="AD109" s="12">
        <f>VLOOKUP(Tableau2[[#This Row],[essence]],Tableau5[],12,FALSE)</f>
        <v>0.91920000000000002</v>
      </c>
      <c r="AE109" s="12">
        <f>IF(Tableau2[[#This Row],[sdom]]="4EST",1,0)</f>
        <v>0</v>
      </c>
      <c r="AF109" s="12">
        <f>VLOOKUP(Tableau2[[#This Row],[essence]],Tableau5[],13,FALSE)</f>
        <v>0.67230000000000001</v>
      </c>
      <c r="AG109" s="12">
        <f>IF(Tableau2[[#This Row],[sdom]]="4OUEST",1,0)</f>
        <v>0</v>
      </c>
      <c r="AH109" s="12">
        <f>VLOOKUP(Tableau2[[#This Row],[essence]],Tableau5[],14,FALSE)</f>
        <v>0.43309999999999998</v>
      </c>
      <c r="AI109" s="12">
        <f>IF(Tableau2[[#This Row],[sdom]]="5EST",1,0)</f>
        <v>0</v>
      </c>
      <c r="AJ109" s="12">
        <f>VLOOKUP(Tableau2[[#This Row],[essence]],Tableau5[],16,FALSE)</f>
        <v>0</v>
      </c>
      <c r="AK109" s="12">
        <f>IF(Tableau2[[#This Row],[sdom]]="5OUEST",1,0)</f>
        <v>0</v>
      </c>
      <c r="AL109" s="12">
        <f>VLOOKUP(Tableau2[[#This Row],[essence]],Tableau5[],17,FALSE)</f>
        <v>0</v>
      </c>
      <c r="AM109" s="12">
        <f>IF(Tableau2[[#This Row],[sdom]]="6EST",1,0)</f>
        <v>0</v>
      </c>
      <c r="AN109" s="12">
        <f>VLOOKUP(Tableau2[[#This Row],[essence]],Tableau5[],19,FALSE)</f>
        <v>6.6900000000000001E-2</v>
      </c>
      <c r="AO109" s="12">
        <f>IF(Tableau2[[#This Row],[priorecol]]="C",1,0)</f>
        <v>0</v>
      </c>
      <c r="AP109" s="12">
        <f>VLOOKUP(Tableau2[[#This Row],[essence]],Tableau5[],20,FALSE)</f>
        <v>4.3799999999999999E-2</v>
      </c>
      <c r="AQ109" s="12">
        <f>IF(Tableau2[[#This Row],[priorecol]]="R",1,0)</f>
        <v>0</v>
      </c>
      <c r="AR109" s="12">
        <f>VLOOKUP(Tableau2[[#This Row],[essence]],Tableau5[],21,FALSE)</f>
        <v>2.7900000000000001E-2</v>
      </c>
      <c r="AS109" s="12">
        <f>IF(Tableau2[[#This Row],[priorecol]]="S",1,0)</f>
        <v>1</v>
      </c>
      <c r="AT109" s="12">
        <f>VLOOKUP(Tableau2[[#This Row],[essence]],Tableau5[],22,FALSE)</f>
        <v>0</v>
      </c>
      <c r="AU109" s="12">
        <f>VLOOKUP(Tableau2[[#This Row],[essence]],Tableau5[],23,FALSE)</f>
        <v>1.73E-3</v>
      </c>
      <c r="AV109" s="12">
        <f>VLOOKUP(Tableau2[[#This Row],[essence]],Tableau5[],18,FALSE)</f>
        <v>0.1295</v>
      </c>
      <c r="AW10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1.2430500000000002</v>
      </c>
      <c r="AX109" s="12">
        <f>1/(1+EXP(-Tableau2[[#This Row],[xb_c]]))</f>
        <v>0.77609446467590315</v>
      </c>
      <c r="AY109" s="12" t="str">
        <f t="shared" si="2"/>
        <v>NA</v>
      </c>
      <c r="AZ109" s="12" t="str">
        <f t="shared" si="3"/>
        <v>NA</v>
      </c>
      <c r="BA109" s="12">
        <f>Tableau2[[#This Row],[prob_c]]</f>
        <v>0.77609446467590315</v>
      </c>
      <c r="BB109" s="12">
        <f>1-Tableau2[[#This Row],[prob_c]]</f>
        <v>0.22390553532409685</v>
      </c>
    </row>
    <row r="110" spans="1:54" x14ac:dyDescent="0.25">
      <c r="A110" s="12">
        <v>5</v>
      </c>
      <c r="B110" s="12" t="s">
        <v>13</v>
      </c>
      <c r="C110" s="12">
        <v>2.1</v>
      </c>
      <c r="D110" s="12">
        <v>700</v>
      </c>
      <c r="E110" s="12">
        <v>20</v>
      </c>
      <c r="F110" s="12">
        <v>1</v>
      </c>
      <c r="G110" s="12">
        <v>13</v>
      </c>
      <c r="H110" s="12">
        <v>32</v>
      </c>
      <c r="I110" s="12" t="s">
        <v>23</v>
      </c>
      <c r="J110" s="12" t="s">
        <v>27</v>
      </c>
      <c r="K110" s="12">
        <f>VLOOKUP(Tableau2[[#This Row],[essence]],Tableau5[],2,FALSE)</f>
        <v>-1.5804</v>
      </c>
      <c r="L110" s="12">
        <f>VLOOKUP(Tableau2[[#This Row],[essence]],Tableau5[],3,FALSE)</f>
        <v>0.70079999999999998</v>
      </c>
      <c r="M110" s="12">
        <f>IF(Tableau2[[#This Row],[priorecol]]="C",1,0)</f>
        <v>1</v>
      </c>
      <c r="N110" s="12">
        <f>VLOOKUP(Tableau2[[#This Row],[essence]],Tableau5[],4,FALSE)</f>
        <v>0.1178</v>
      </c>
      <c r="O110" s="12">
        <f>IF(Tableau2[[#This Row],[priorecol]]="R",1,0)</f>
        <v>0</v>
      </c>
      <c r="P110" s="12">
        <f>VLOOKUP(Tableau2[[#This Row],[essence]],Tableau5[],5,FALSE)</f>
        <v>0.88300000000000001</v>
      </c>
      <c r="Q110" s="12">
        <f>IF(Tableau2[[#This Row],[priorecol]]="S",1,0)</f>
        <v>0</v>
      </c>
      <c r="R110" s="12">
        <f>VLOOKUP(Tableau2[[#This Row],[essence]],Tableau5[],6,FALSE)</f>
        <v>4.8599999999999997E-2</v>
      </c>
      <c r="S110" s="12">
        <f>VLOOKUP(Tableau2[[#This Row],[essence]],Tableau5[],15,FALSE)</f>
        <v>0</v>
      </c>
      <c r="T110" s="12">
        <f>VLOOKUP(Tableau2[[#This Row],[essence]],Tableau5[],7,FALSE)</f>
        <v>1.111</v>
      </c>
      <c r="U110" s="12">
        <f>IF(Tableau2[[#This Row],[sdom]]=1,1,0)</f>
        <v>0</v>
      </c>
      <c r="V110" s="12">
        <f>VLOOKUP(Tableau2[[#This Row],[essence]],Tableau5[],8,FALSE)</f>
        <v>0.68489999999999995</v>
      </c>
      <c r="W110" s="12">
        <f>IF(Tableau2[[#This Row],[sdom]]="2EST",1,0)</f>
        <v>0</v>
      </c>
      <c r="X110" s="12">
        <f>VLOOKUP(Tableau2[[#This Row],[essence]],Tableau5[],9,FALSE)</f>
        <v>0.72130000000000005</v>
      </c>
      <c r="Y110" s="12">
        <f>IF(Tableau2[[#This Row],[sdom]]="2OUEST",1,0)</f>
        <v>0</v>
      </c>
      <c r="Z110" s="12">
        <f>VLOOKUP(Tableau2[[#This Row],[essence]],Tableau5[],10,FALSE)</f>
        <v>0.83930000000000005</v>
      </c>
      <c r="AA110" s="12">
        <f>IF(Tableau2[[#This Row],[sdom]]="3EST",1,0)</f>
        <v>0</v>
      </c>
      <c r="AB110" s="12">
        <f>VLOOKUP(Tableau2[[#This Row],[essence]],Tableau5[],11,FALSE)</f>
        <v>0.6865</v>
      </c>
      <c r="AC110" s="12">
        <f>IF(Tableau2[[#This Row],[sdom]]="3OUEST",1,0)</f>
        <v>1</v>
      </c>
      <c r="AD110" s="12">
        <f>VLOOKUP(Tableau2[[#This Row],[essence]],Tableau5[],12,FALSE)</f>
        <v>0.79569999999999996</v>
      </c>
      <c r="AE110" s="12">
        <f>IF(Tableau2[[#This Row],[sdom]]="4EST",1,0)</f>
        <v>0</v>
      </c>
      <c r="AF110" s="12">
        <f>VLOOKUP(Tableau2[[#This Row],[essence]],Tableau5[],13,FALSE)</f>
        <v>0.54700000000000004</v>
      </c>
      <c r="AG110" s="12">
        <f>IF(Tableau2[[#This Row],[sdom]]="4OUEST",1,0)</f>
        <v>0</v>
      </c>
      <c r="AH110" s="12">
        <f>VLOOKUP(Tableau2[[#This Row],[essence]],Tableau5[],14,FALSE)</f>
        <v>0</v>
      </c>
      <c r="AI110" s="12">
        <f>IF(Tableau2[[#This Row],[sdom]]="5EST",1,0)</f>
        <v>0</v>
      </c>
      <c r="AJ110" s="12">
        <f>VLOOKUP(Tableau2[[#This Row],[essence]],Tableau5[],16,FALSE)</f>
        <v>0</v>
      </c>
      <c r="AK110" s="12">
        <f>IF(Tableau2[[#This Row],[sdom]]="5OUEST",1,0)</f>
        <v>0</v>
      </c>
      <c r="AL110" s="12">
        <f>VLOOKUP(Tableau2[[#This Row],[essence]],Tableau5[],17,FALSE)</f>
        <v>0</v>
      </c>
      <c r="AM110" s="12">
        <f>IF(Tableau2[[#This Row],[sdom]]="6EST",1,0)</f>
        <v>0</v>
      </c>
      <c r="AN110" s="12">
        <f>VLOOKUP(Tableau2[[#This Row],[essence]],Tableau5[],19,FALSE)</f>
        <v>4.2000000000000003E-2</v>
      </c>
      <c r="AO110" s="12">
        <f>IF(Tableau2[[#This Row],[priorecol]]="C",1,0)</f>
        <v>1</v>
      </c>
      <c r="AP110" s="12">
        <f>VLOOKUP(Tableau2[[#This Row],[essence]],Tableau5[],20,FALSE)</f>
        <v>0.111</v>
      </c>
      <c r="AQ110" s="12">
        <f>IF(Tableau2[[#This Row],[priorecol]]="R",1,0)</f>
        <v>0</v>
      </c>
      <c r="AR110" s="12">
        <f>VLOOKUP(Tableau2[[#This Row],[essence]],Tableau5[],21,FALSE)</f>
        <v>4.3600000000000002E-3</v>
      </c>
      <c r="AS110" s="12">
        <f>IF(Tableau2[[#This Row],[priorecol]]="S",1,0)</f>
        <v>0</v>
      </c>
      <c r="AT110" s="12">
        <f>VLOOKUP(Tableau2[[#This Row],[essence]],Tableau5[],22,FALSE)</f>
        <v>0</v>
      </c>
      <c r="AU110" s="12">
        <f>VLOOKUP(Tableau2[[#This Row],[essence]],Tableau5[],23,FALSE)</f>
        <v>0</v>
      </c>
      <c r="AV110" s="12">
        <f>VLOOKUP(Tableau2[[#This Row],[essence]],Tableau5[],18,FALSE)</f>
        <v>0</v>
      </c>
      <c r="AW11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2.7061000000000002</v>
      </c>
      <c r="AX110" s="12">
        <f>1/(1+EXP(-Tableau2[[#This Row],[xb_c]]))</f>
        <v>0.93738563286088705</v>
      </c>
      <c r="AY110" s="12" t="str">
        <f t="shared" si="2"/>
        <v>NA</v>
      </c>
      <c r="AZ110" s="12" t="str">
        <f t="shared" si="3"/>
        <v>NA</v>
      </c>
      <c r="BA110" s="12">
        <f>Tableau2[[#This Row],[prob_c]]</f>
        <v>0.93738563286088705</v>
      </c>
      <c r="BB110" s="12">
        <f>1-Tableau2[[#This Row],[prob_c]]</f>
        <v>6.2614367139112947E-2</v>
      </c>
    </row>
    <row r="111" spans="1:54" x14ac:dyDescent="0.25">
      <c r="A111" s="12">
        <v>5</v>
      </c>
      <c r="B111" s="12" t="s">
        <v>13</v>
      </c>
      <c r="C111" s="12">
        <v>2.1</v>
      </c>
      <c r="D111" s="12">
        <v>700</v>
      </c>
      <c r="E111" s="12">
        <v>20</v>
      </c>
      <c r="F111" s="12">
        <v>1</v>
      </c>
      <c r="G111" s="12">
        <v>14</v>
      </c>
      <c r="H111" s="12">
        <v>33</v>
      </c>
      <c r="I111" s="12" t="s">
        <v>23</v>
      </c>
      <c r="J111" s="12" t="s">
        <v>28</v>
      </c>
      <c r="K111" s="12">
        <f>VLOOKUP(Tableau2[[#This Row],[essence]],Tableau5[],2,FALSE)</f>
        <v>-1.5804</v>
      </c>
      <c r="L111" s="12">
        <f>VLOOKUP(Tableau2[[#This Row],[essence]],Tableau5[],3,FALSE)</f>
        <v>0.70079999999999998</v>
      </c>
      <c r="M111" s="12">
        <f>IF(Tableau2[[#This Row],[priorecol]]="C",1,0)</f>
        <v>0</v>
      </c>
      <c r="N111" s="12">
        <f>VLOOKUP(Tableau2[[#This Row],[essence]],Tableau5[],4,FALSE)</f>
        <v>0.1178</v>
      </c>
      <c r="O111" s="12">
        <f>IF(Tableau2[[#This Row],[priorecol]]="R",1,0)</f>
        <v>1</v>
      </c>
      <c r="P111" s="12">
        <f>VLOOKUP(Tableau2[[#This Row],[essence]],Tableau5[],5,FALSE)</f>
        <v>0.88300000000000001</v>
      </c>
      <c r="Q111" s="12">
        <f>IF(Tableau2[[#This Row],[priorecol]]="S",1,0)</f>
        <v>0</v>
      </c>
      <c r="R111" s="12">
        <f>VLOOKUP(Tableau2[[#This Row],[essence]],Tableau5[],6,FALSE)</f>
        <v>4.8599999999999997E-2</v>
      </c>
      <c r="S111" s="12">
        <f>VLOOKUP(Tableau2[[#This Row],[essence]],Tableau5[],15,FALSE)</f>
        <v>0</v>
      </c>
      <c r="T111" s="12">
        <f>VLOOKUP(Tableau2[[#This Row],[essence]],Tableau5[],7,FALSE)</f>
        <v>1.111</v>
      </c>
      <c r="U111" s="12">
        <f>IF(Tableau2[[#This Row],[sdom]]=1,1,0)</f>
        <v>0</v>
      </c>
      <c r="V111" s="12">
        <f>VLOOKUP(Tableau2[[#This Row],[essence]],Tableau5[],8,FALSE)</f>
        <v>0.68489999999999995</v>
      </c>
      <c r="W111" s="12">
        <f>IF(Tableau2[[#This Row],[sdom]]="2EST",1,0)</f>
        <v>0</v>
      </c>
      <c r="X111" s="12">
        <f>VLOOKUP(Tableau2[[#This Row],[essence]],Tableau5[],9,FALSE)</f>
        <v>0.72130000000000005</v>
      </c>
      <c r="Y111" s="12">
        <f>IF(Tableau2[[#This Row],[sdom]]="2OUEST",1,0)</f>
        <v>0</v>
      </c>
      <c r="Z111" s="12">
        <f>VLOOKUP(Tableau2[[#This Row],[essence]],Tableau5[],10,FALSE)</f>
        <v>0.83930000000000005</v>
      </c>
      <c r="AA111" s="12">
        <f>IF(Tableau2[[#This Row],[sdom]]="3EST",1,0)</f>
        <v>0</v>
      </c>
      <c r="AB111" s="12">
        <f>VLOOKUP(Tableau2[[#This Row],[essence]],Tableau5[],11,FALSE)</f>
        <v>0.6865</v>
      </c>
      <c r="AC111" s="12">
        <f>IF(Tableau2[[#This Row],[sdom]]="3OUEST",1,0)</f>
        <v>1</v>
      </c>
      <c r="AD111" s="12">
        <f>VLOOKUP(Tableau2[[#This Row],[essence]],Tableau5[],12,FALSE)</f>
        <v>0.79569999999999996</v>
      </c>
      <c r="AE111" s="12">
        <f>IF(Tableau2[[#This Row],[sdom]]="4EST",1,0)</f>
        <v>0</v>
      </c>
      <c r="AF111" s="12">
        <f>VLOOKUP(Tableau2[[#This Row],[essence]],Tableau5[],13,FALSE)</f>
        <v>0.54700000000000004</v>
      </c>
      <c r="AG111" s="12">
        <f>IF(Tableau2[[#This Row],[sdom]]="4OUEST",1,0)</f>
        <v>0</v>
      </c>
      <c r="AH111" s="12">
        <f>VLOOKUP(Tableau2[[#This Row],[essence]],Tableau5[],14,FALSE)</f>
        <v>0</v>
      </c>
      <c r="AI111" s="12">
        <f>IF(Tableau2[[#This Row],[sdom]]="5EST",1,0)</f>
        <v>0</v>
      </c>
      <c r="AJ111" s="12">
        <f>VLOOKUP(Tableau2[[#This Row],[essence]],Tableau5[],16,FALSE)</f>
        <v>0</v>
      </c>
      <c r="AK111" s="12">
        <f>IF(Tableau2[[#This Row],[sdom]]="5OUEST",1,0)</f>
        <v>0</v>
      </c>
      <c r="AL111" s="12">
        <f>VLOOKUP(Tableau2[[#This Row],[essence]],Tableau5[],17,FALSE)</f>
        <v>0</v>
      </c>
      <c r="AM111" s="12">
        <f>IF(Tableau2[[#This Row],[sdom]]="6EST",1,0)</f>
        <v>0</v>
      </c>
      <c r="AN111" s="12">
        <f>VLOOKUP(Tableau2[[#This Row],[essence]],Tableau5[],19,FALSE)</f>
        <v>4.2000000000000003E-2</v>
      </c>
      <c r="AO111" s="12">
        <f>IF(Tableau2[[#This Row],[priorecol]]="C",1,0)</f>
        <v>0</v>
      </c>
      <c r="AP111" s="12">
        <f>VLOOKUP(Tableau2[[#This Row],[essence]],Tableau5[],20,FALSE)</f>
        <v>0.111</v>
      </c>
      <c r="AQ111" s="12">
        <f>IF(Tableau2[[#This Row],[priorecol]]="R",1,0)</f>
        <v>1</v>
      </c>
      <c r="AR111" s="12">
        <f>VLOOKUP(Tableau2[[#This Row],[essence]],Tableau5[],21,FALSE)</f>
        <v>4.3600000000000002E-3</v>
      </c>
      <c r="AS111" s="12">
        <f>IF(Tableau2[[#This Row],[priorecol]]="S",1,0)</f>
        <v>0</v>
      </c>
      <c r="AT111" s="12">
        <f>VLOOKUP(Tableau2[[#This Row],[essence]],Tableau5[],22,FALSE)</f>
        <v>0</v>
      </c>
      <c r="AU111" s="12">
        <f>VLOOKUP(Tableau2[[#This Row],[essence]],Tableau5[],23,FALSE)</f>
        <v>0</v>
      </c>
      <c r="AV111" s="12">
        <f>VLOOKUP(Tableau2[[#This Row],[essence]],Tableau5[],18,FALSE)</f>
        <v>0</v>
      </c>
      <c r="AW11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4.4907000000000004</v>
      </c>
      <c r="AX111" s="12">
        <f>1/(1+EXP(-Tableau2[[#This Row],[xb_c]]))</f>
        <v>0.98891154048400465</v>
      </c>
      <c r="AY111" s="12" t="str">
        <f t="shared" si="2"/>
        <v>NA</v>
      </c>
      <c r="AZ111" s="12" t="str">
        <f t="shared" si="3"/>
        <v>NA</v>
      </c>
      <c r="BA111" s="12">
        <f>Tableau2[[#This Row],[prob_c]]</f>
        <v>0.98891154048400465</v>
      </c>
      <c r="BB111" s="12">
        <f>1-Tableau2[[#This Row],[prob_c]]</f>
        <v>1.1088459515995353E-2</v>
      </c>
    </row>
    <row r="112" spans="1:54" x14ac:dyDescent="0.25">
      <c r="A112" s="12">
        <v>5</v>
      </c>
      <c r="B112" s="12" t="s">
        <v>13</v>
      </c>
      <c r="C112" s="12">
        <v>2.1</v>
      </c>
      <c r="D112" s="12">
        <v>700</v>
      </c>
      <c r="E112" s="12">
        <v>20</v>
      </c>
      <c r="F112" s="12">
        <v>1</v>
      </c>
      <c r="G112" s="12">
        <v>15</v>
      </c>
      <c r="H112" s="12">
        <v>24</v>
      </c>
      <c r="I112" s="12" t="s">
        <v>23</v>
      </c>
      <c r="J112" s="12" t="s">
        <v>29</v>
      </c>
      <c r="K112" s="12">
        <f>VLOOKUP(Tableau2[[#This Row],[essence]],Tableau5[],2,FALSE)</f>
        <v>-1.5804</v>
      </c>
      <c r="L112" s="12">
        <f>VLOOKUP(Tableau2[[#This Row],[essence]],Tableau5[],3,FALSE)</f>
        <v>0.70079999999999998</v>
      </c>
      <c r="M112" s="12">
        <f>IF(Tableau2[[#This Row],[priorecol]]="C",1,0)</f>
        <v>0</v>
      </c>
      <c r="N112" s="12">
        <f>VLOOKUP(Tableau2[[#This Row],[essence]],Tableau5[],4,FALSE)</f>
        <v>0.1178</v>
      </c>
      <c r="O112" s="12">
        <f>IF(Tableau2[[#This Row],[priorecol]]="R",1,0)</f>
        <v>0</v>
      </c>
      <c r="P112" s="12">
        <f>VLOOKUP(Tableau2[[#This Row],[essence]],Tableau5[],5,FALSE)</f>
        <v>0.88300000000000001</v>
      </c>
      <c r="Q112" s="12">
        <f>IF(Tableau2[[#This Row],[priorecol]]="S",1,0)</f>
        <v>1</v>
      </c>
      <c r="R112" s="12">
        <f>VLOOKUP(Tableau2[[#This Row],[essence]],Tableau5[],6,FALSE)</f>
        <v>4.8599999999999997E-2</v>
      </c>
      <c r="S112" s="12">
        <f>VLOOKUP(Tableau2[[#This Row],[essence]],Tableau5[],15,FALSE)</f>
        <v>0</v>
      </c>
      <c r="T112" s="12">
        <f>VLOOKUP(Tableau2[[#This Row],[essence]],Tableau5[],7,FALSE)</f>
        <v>1.111</v>
      </c>
      <c r="U112" s="12">
        <f>IF(Tableau2[[#This Row],[sdom]]=1,1,0)</f>
        <v>0</v>
      </c>
      <c r="V112" s="12">
        <f>VLOOKUP(Tableau2[[#This Row],[essence]],Tableau5[],8,FALSE)</f>
        <v>0.68489999999999995</v>
      </c>
      <c r="W112" s="12">
        <f>IF(Tableau2[[#This Row],[sdom]]="2EST",1,0)</f>
        <v>0</v>
      </c>
      <c r="X112" s="12">
        <f>VLOOKUP(Tableau2[[#This Row],[essence]],Tableau5[],9,FALSE)</f>
        <v>0.72130000000000005</v>
      </c>
      <c r="Y112" s="12">
        <f>IF(Tableau2[[#This Row],[sdom]]="2OUEST",1,0)</f>
        <v>0</v>
      </c>
      <c r="Z112" s="12">
        <f>VLOOKUP(Tableau2[[#This Row],[essence]],Tableau5[],10,FALSE)</f>
        <v>0.83930000000000005</v>
      </c>
      <c r="AA112" s="12">
        <f>IF(Tableau2[[#This Row],[sdom]]="3EST",1,0)</f>
        <v>0</v>
      </c>
      <c r="AB112" s="12">
        <f>VLOOKUP(Tableau2[[#This Row],[essence]],Tableau5[],11,FALSE)</f>
        <v>0.6865</v>
      </c>
      <c r="AC112" s="12">
        <f>IF(Tableau2[[#This Row],[sdom]]="3OUEST",1,0)</f>
        <v>1</v>
      </c>
      <c r="AD112" s="12">
        <f>VLOOKUP(Tableau2[[#This Row],[essence]],Tableau5[],12,FALSE)</f>
        <v>0.79569999999999996</v>
      </c>
      <c r="AE112" s="12">
        <f>IF(Tableau2[[#This Row],[sdom]]="4EST",1,0)</f>
        <v>0</v>
      </c>
      <c r="AF112" s="12">
        <f>VLOOKUP(Tableau2[[#This Row],[essence]],Tableau5[],13,FALSE)</f>
        <v>0.54700000000000004</v>
      </c>
      <c r="AG112" s="12">
        <f>IF(Tableau2[[#This Row],[sdom]]="4OUEST",1,0)</f>
        <v>0</v>
      </c>
      <c r="AH112" s="12">
        <f>VLOOKUP(Tableau2[[#This Row],[essence]],Tableau5[],14,FALSE)</f>
        <v>0</v>
      </c>
      <c r="AI112" s="12">
        <f>IF(Tableau2[[#This Row],[sdom]]="5EST",1,0)</f>
        <v>0</v>
      </c>
      <c r="AJ112" s="12">
        <f>VLOOKUP(Tableau2[[#This Row],[essence]],Tableau5[],16,FALSE)</f>
        <v>0</v>
      </c>
      <c r="AK112" s="12">
        <f>IF(Tableau2[[#This Row],[sdom]]="5OUEST",1,0)</f>
        <v>0</v>
      </c>
      <c r="AL112" s="12">
        <f>VLOOKUP(Tableau2[[#This Row],[essence]],Tableau5[],17,FALSE)</f>
        <v>0</v>
      </c>
      <c r="AM112" s="12">
        <f>IF(Tableau2[[#This Row],[sdom]]="6EST",1,0)</f>
        <v>0</v>
      </c>
      <c r="AN112" s="12">
        <f>VLOOKUP(Tableau2[[#This Row],[essence]],Tableau5[],19,FALSE)</f>
        <v>4.2000000000000003E-2</v>
      </c>
      <c r="AO112" s="12">
        <f>IF(Tableau2[[#This Row],[priorecol]]="C",1,0)</f>
        <v>0</v>
      </c>
      <c r="AP112" s="12">
        <f>VLOOKUP(Tableau2[[#This Row],[essence]],Tableau5[],20,FALSE)</f>
        <v>0.111</v>
      </c>
      <c r="AQ112" s="12">
        <f>IF(Tableau2[[#This Row],[priorecol]]="R",1,0)</f>
        <v>0</v>
      </c>
      <c r="AR112" s="12">
        <f>VLOOKUP(Tableau2[[#This Row],[essence]],Tableau5[],21,FALSE)</f>
        <v>4.3600000000000002E-3</v>
      </c>
      <c r="AS112" s="12">
        <f>IF(Tableau2[[#This Row],[priorecol]]="S",1,0)</f>
        <v>1</v>
      </c>
      <c r="AT112" s="12">
        <f>VLOOKUP(Tableau2[[#This Row],[essence]],Tableau5[],22,FALSE)</f>
        <v>0</v>
      </c>
      <c r="AU112" s="12">
        <f>VLOOKUP(Tableau2[[#This Row],[essence]],Tableau5[],23,FALSE)</f>
        <v>0</v>
      </c>
      <c r="AV112" s="12">
        <f>VLOOKUP(Tableau2[[#This Row],[essence]],Tableau5[],18,FALSE)</f>
        <v>0</v>
      </c>
      <c r="AW11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1.26014</v>
      </c>
      <c r="AX112" s="12">
        <f>1/(1+EXP(-Tableau2[[#This Row],[xb_c]]))</f>
        <v>0.77905020705873174</v>
      </c>
      <c r="AY112" s="12" t="str">
        <f t="shared" si="2"/>
        <v>NA</v>
      </c>
      <c r="AZ112" s="12" t="str">
        <f t="shared" si="3"/>
        <v>NA</v>
      </c>
      <c r="BA112" s="12">
        <f>Tableau2[[#This Row],[prob_c]]</f>
        <v>0.77905020705873174</v>
      </c>
      <c r="BB112" s="12">
        <f>1-Tableau2[[#This Row],[prob_c]]</f>
        <v>0.22094979294126826</v>
      </c>
    </row>
    <row r="113" spans="1:54" x14ac:dyDescent="0.25">
      <c r="A113" s="12">
        <v>5</v>
      </c>
      <c r="B113" s="12" t="s">
        <v>13</v>
      </c>
      <c r="C113" s="12">
        <v>2.1</v>
      </c>
      <c r="D113" s="12">
        <v>700</v>
      </c>
      <c r="E113" s="12">
        <v>20</v>
      </c>
      <c r="F113" s="12">
        <v>1</v>
      </c>
      <c r="G113" s="12">
        <v>16</v>
      </c>
      <c r="H113" s="12">
        <v>25</v>
      </c>
      <c r="I113" s="12" t="s">
        <v>24</v>
      </c>
      <c r="J113" s="12" t="s">
        <v>27</v>
      </c>
      <c r="K113" s="12">
        <f>VLOOKUP(Tableau2[[#This Row],[essence]],Tableau5[],2,FALSE)</f>
        <v>1.9585999999999999</v>
      </c>
      <c r="L113" s="12">
        <f>VLOOKUP(Tableau2[[#This Row],[essence]],Tableau5[],3,FALSE)</f>
        <v>6.6000000000000003E-2</v>
      </c>
      <c r="M113" s="12">
        <f>IF(Tableau2[[#This Row],[priorecol]]="C",1,0)</f>
        <v>1</v>
      </c>
      <c r="N113" s="12">
        <f>VLOOKUP(Tableau2[[#This Row],[essence]],Tableau5[],4,FALSE)</f>
        <v>-1.9339999999999999</v>
      </c>
      <c r="O113" s="12">
        <f>IF(Tableau2[[#This Row],[priorecol]]="R",1,0)</f>
        <v>0</v>
      </c>
      <c r="P113" s="12">
        <f>VLOOKUP(Tableau2[[#This Row],[essence]],Tableau5[],5,FALSE)</f>
        <v>-4.4771999999999998</v>
      </c>
      <c r="Q113" s="12">
        <f>IF(Tableau2[[#This Row],[priorecol]]="S",1,0)</f>
        <v>0</v>
      </c>
      <c r="R113" s="12">
        <f>VLOOKUP(Tableau2[[#This Row],[essence]],Tableau5[],6,FALSE)</f>
        <v>-2.5499999999999998E-2</v>
      </c>
      <c r="S113" s="12">
        <f>VLOOKUP(Tableau2[[#This Row],[essence]],Tableau5[],15,FALSE)</f>
        <v>0</v>
      </c>
      <c r="T113" s="12">
        <f>VLOOKUP(Tableau2[[#This Row],[essence]],Tableau5[],7,FALSE)</f>
        <v>0</v>
      </c>
      <c r="U113" s="12">
        <f>IF(Tableau2[[#This Row],[sdom]]=1,1,0)</f>
        <v>0</v>
      </c>
      <c r="V113" s="12">
        <f>VLOOKUP(Tableau2[[#This Row],[essence]],Tableau5[],8,FALSE)</f>
        <v>0</v>
      </c>
      <c r="W113" s="12">
        <f>IF(Tableau2[[#This Row],[sdom]]="2EST",1,0)</f>
        <v>0</v>
      </c>
      <c r="X113" s="12">
        <f>VLOOKUP(Tableau2[[#This Row],[essence]],Tableau5[],9,FALSE)</f>
        <v>0</v>
      </c>
      <c r="Y113" s="12">
        <f>IF(Tableau2[[#This Row],[sdom]]="2OUEST",1,0)</f>
        <v>0</v>
      </c>
      <c r="Z113" s="12">
        <f>VLOOKUP(Tableau2[[#This Row],[essence]],Tableau5[],10,FALSE)</f>
        <v>0</v>
      </c>
      <c r="AA113" s="12">
        <f>IF(Tableau2[[#This Row],[sdom]]="3EST",1,0)</f>
        <v>0</v>
      </c>
      <c r="AB113" s="12">
        <f>VLOOKUP(Tableau2[[#This Row],[essence]],Tableau5[],11,FALSE)</f>
        <v>0</v>
      </c>
      <c r="AC113" s="12">
        <f>IF(Tableau2[[#This Row],[sdom]]="3OUEST",1,0)</f>
        <v>1</v>
      </c>
      <c r="AD113" s="12">
        <f>VLOOKUP(Tableau2[[#This Row],[essence]],Tableau5[],12,FALSE)</f>
        <v>0</v>
      </c>
      <c r="AE113" s="12">
        <f>IF(Tableau2[[#This Row],[sdom]]="4EST",1,0)</f>
        <v>0</v>
      </c>
      <c r="AF113" s="12">
        <f>VLOOKUP(Tableau2[[#This Row],[essence]],Tableau5[],13,FALSE)</f>
        <v>0</v>
      </c>
      <c r="AG113" s="12">
        <f>IF(Tableau2[[#This Row],[sdom]]="4OUEST",1,0)</f>
        <v>0</v>
      </c>
      <c r="AH113" s="12">
        <f>VLOOKUP(Tableau2[[#This Row],[essence]],Tableau5[],14,FALSE)</f>
        <v>0</v>
      </c>
      <c r="AI113" s="12">
        <f>IF(Tableau2[[#This Row],[sdom]]="5EST",1,0)</f>
        <v>0</v>
      </c>
      <c r="AJ113" s="12">
        <f>VLOOKUP(Tableau2[[#This Row],[essence]],Tableau5[],16,FALSE)</f>
        <v>0</v>
      </c>
      <c r="AK113" s="12">
        <f>IF(Tableau2[[#This Row],[sdom]]="5OUEST",1,0)</f>
        <v>0</v>
      </c>
      <c r="AL113" s="12">
        <f>VLOOKUP(Tableau2[[#This Row],[essence]],Tableau5[],17,FALSE)</f>
        <v>0</v>
      </c>
      <c r="AM113" s="12">
        <f>IF(Tableau2[[#This Row],[sdom]]="6EST",1,0)</f>
        <v>0</v>
      </c>
      <c r="AN113" s="12">
        <f>VLOOKUP(Tableau2[[#This Row],[essence]],Tableau5[],19,FALSE)</f>
        <v>4.2599999999999999E-2</v>
      </c>
      <c r="AO113" s="12">
        <f>IF(Tableau2[[#This Row],[priorecol]]="C",1,0)</f>
        <v>1</v>
      </c>
      <c r="AP113" s="12">
        <f>VLOOKUP(Tableau2[[#This Row],[essence]],Tableau5[],20,FALSE)</f>
        <v>0.17699999999999999</v>
      </c>
      <c r="AQ113" s="12">
        <f>IF(Tableau2[[#This Row],[priorecol]]="R",1,0)</f>
        <v>0</v>
      </c>
      <c r="AR113" s="12">
        <f>VLOOKUP(Tableau2[[#This Row],[essence]],Tableau5[],21,FALSE)</f>
        <v>0.19650000000000001</v>
      </c>
      <c r="AS113" s="12">
        <f>IF(Tableau2[[#This Row],[priorecol]]="S",1,0)</f>
        <v>0</v>
      </c>
      <c r="AT113" s="12">
        <f>VLOOKUP(Tableau2[[#This Row],[essence]],Tableau5[],22,FALSE)</f>
        <v>0</v>
      </c>
      <c r="AU113" s="12">
        <f>VLOOKUP(Tableau2[[#This Row],[essence]],Tableau5[],23,FALSE)</f>
        <v>0</v>
      </c>
      <c r="AV113" s="12">
        <f>VLOOKUP(Tableau2[[#This Row],[essence]],Tableau5[],18,FALSE)</f>
        <v>0</v>
      </c>
      <c r="AW11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2.4520999999999997</v>
      </c>
      <c r="AX113" s="12">
        <f>1/(1+EXP(-Tableau2[[#This Row],[xb_c]]))</f>
        <v>0.92071488418927827</v>
      </c>
      <c r="AY113" s="12" t="str">
        <f t="shared" si="2"/>
        <v>NA</v>
      </c>
      <c r="AZ113" s="12" t="str">
        <f t="shared" si="3"/>
        <v>NA</v>
      </c>
      <c r="BA113" s="12">
        <f>Tableau2[[#This Row],[prob_c]]</f>
        <v>0.92071488418927827</v>
      </c>
      <c r="BB113" s="12">
        <f>1-Tableau2[[#This Row],[prob_c]]</f>
        <v>7.9285115810721729E-2</v>
      </c>
    </row>
    <row r="114" spans="1:54" x14ac:dyDescent="0.25">
      <c r="A114" s="12">
        <v>5</v>
      </c>
      <c r="B114" s="12" t="s">
        <v>13</v>
      </c>
      <c r="C114" s="12">
        <v>2.1</v>
      </c>
      <c r="D114" s="12">
        <v>700</v>
      </c>
      <c r="E114" s="12">
        <v>20</v>
      </c>
      <c r="F114" s="12">
        <v>1</v>
      </c>
      <c r="G114" s="12">
        <v>17</v>
      </c>
      <c r="H114" s="12">
        <v>26</v>
      </c>
      <c r="I114" s="12" t="s">
        <v>24</v>
      </c>
      <c r="J114" s="12" t="s">
        <v>28</v>
      </c>
      <c r="K114" s="12">
        <f>VLOOKUP(Tableau2[[#This Row],[essence]],Tableau5[],2,FALSE)</f>
        <v>1.9585999999999999</v>
      </c>
      <c r="L114" s="12">
        <f>VLOOKUP(Tableau2[[#This Row],[essence]],Tableau5[],3,FALSE)</f>
        <v>6.6000000000000003E-2</v>
      </c>
      <c r="M114" s="12">
        <f>IF(Tableau2[[#This Row],[priorecol]]="C",1,0)</f>
        <v>0</v>
      </c>
      <c r="N114" s="12">
        <f>VLOOKUP(Tableau2[[#This Row],[essence]],Tableau5[],4,FALSE)</f>
        <v>-1.9339999999999999</v>
      </c>
      <c r="O114" s="12">
        <f>IF(Tableau2[[#This Row],[priorecol]]="R",1,0)</f>
        <v>1</v>
      </c>
      <c r="P114" s="12">
        <f>VLOOKUP(Tableau2[[#This Row],[essence]],Tableau5[],5,FALSE)</f>
        <v>-4.4771999999999998</v>
      </c>
      <c r="Q114" s="12">
        <f>IF(Tableau2[[#This Row],[priorecol]]="S",1,0)</f>
        <v>0</v>
      </c>
      <c r="R114" s="12">
        <f>VLOOKUP(Tableau2[[#This Row],[essence]],Tableau5[],6,FALSE)</f>
        <v>-2.5499999999999998E-2</v>
      </c>
      <c r="S114" s="12">
        <f>VLOOKUP(Tableau2[[#This Row],[essence]],Tableau5[],15,FALSE)</f>
        <v>0</v>
      </c>
      <c r="T114" s="12">
        <f>VLOOKUP(Tableau2[[#This Row],[essence]],Tableau5[],7,FALSE)</f>
        <v>0</v>
      </c>
      <c r="U114" s="12">
        <f>IF(Tableau2[[#This Row],[sdom]]=1,1,0)</f>
        <v>0</v>
      </c>
      <c r="V114" s="12">
        <f>VLOOKUP(Tableau2[[#This Row],[essence]],Tableau5[],8,FALSE)</f>
        <v>0</v>
      </c>
      <c r="W114" s="12">
        <f>IF(Tableau2[[#This Row],[sdom]]="2EST",1,0)</f>
        <v>0</v>
      </c>
      <c r="X114" s="12">
        <f>VLOOKUP(Tableau2[[#This Row],[essence]],Tableau5[],9,FALSE)</f>
        <v>0</v>
      </c>
      <c r="Y114" s="12">
        <f>IF(Tableau2[[#This Row],[sdom]]="2OUEST",1,0)</f>
        <v>0</v>
      </c>
      <c r="Z114" s="12">
        <f>VLOOKUP(Tableau2[[#This Row],[essence]],Tableau5[],10,FALSE)</f>
        <v>0</v>
      </c>
      <c r="AA114" s="12">
        <f>IF(Tableau2[[#This Row],[sdom]]="3EST",1,0)</f>
        <v>0</v>
      </c>
      <c r="AB114" s="12">
        <f>VLOOKUP(Tableau2[[#This Row],[essence]],Tableau5[],11,FALSE)</f>
        <v>0</v>
      </c>
      <c r="AC114" s="12">
        <f>IF(Tableau2[[#This Row],[sdom]]="3OUEST",1,0)</f>
        <v>1</v>
      </c>
      <c r="AD114" s="12">
        <f>VLOOKUP(Tableau2[[#This Row],[essence]],Tableau5[],12,FALSE)</f>
        <v>0</v>
      </c>
      <c r="AE114" s="12">
        <f>IF(Tableau2[[#This Row],[sdom]]="4EST",1,0)</f>
        <v>0</v>
      </c>
      <c r="AF114" s="12">
        <f>VLOOKUP(Tableau2[[#This Row],[essence]],Tableau5[],13,FALSE)</f>
        <v>0</v>
      </c>
      <c r="AG114" s="12">
        <f>IF(Tableau2[[#This Row],[sdom]]="4OUEST",1,0)</f>
        <v>0</v>
      </c>
      <c r="AH114" s="12">
        <f>VLOOKUP(Tableau2[[#This Row],[essence]],Tableau5[],14,FALSE)</f>
        <v>0</v>
      </c>
      <c r="AI114" s="12">
        <f>IF(Tableau2[[#This Row],[sdom]]="5EST",1,0)</f>
        <v>0</v>
      </c>
      <c r="AJ114" s="12">
        <f>VLOOKUP(Tableau2[[#This Row],[essence]],Tableau5[],16,FALSE)</f>
        <v>0</v>
      </c>
      <c r="AK114" s="12">
        <f>IF(Tableau2[[#This Row],[sdom]]="5OUEST",1,0)</f>
        <v>0</v>
      </c>
      <c r="AL114" s="12">
        <f>VLOOKUP(Tableau2[[#This Row],[essence]],Tableau5[],17,FALSE)</f>
        <v>0</v>
      </c>
      <c r="AM114" s="12">
        <f>IF(Tableau2[[#This Row],[sdom]]="6EST",1,0)</f>
        <v>0</v>
      </c>
      <c r="AN114" s="12">
        <f>VLOOKUP(Tableau2[[#This Row],[essence]],Tableau5[],19,FALSE)</f>
        <v>4.2599999999999999E-2</v>
      </c>
      <c r="AO114" s="12">
        <f>IF(Tableau2[[#This Row],[priorecol]]="C",1,0)</f>
        <v>0</v>
      </c>
      <c r="AP114" s="12">
        <f>VLOOKUP(Tableau2[[#This Row],[essence]],Tableau5[],20,FALSE)</f>
        <v>0.17699999999999999</v>
      </c>
      <c r="AQ114" s="12">
        <f>IF(Tableau2[[#This Row],[priorecol]]="R",1,0)</f>
        <v>1</v>
      </c>
      <c r="AR114" s="12">
        <f>VLOOKUP(Tableau2[[#This Row],[essence]],Tableau5[],21,FALSE)</f>
        <v>0.19650000000000001</v>
      </c>
      <c r="AS114" s="12">
        <f>IF(Tableau2[[#This Row],[priorecol]]="S",1,0)</f>
        <v>0</v>
      </c>
      <c r="AT114" s="12">
        <f>VLOOKUP(Tableau2[[#This Row],[essence]],Tableau5[],22,FALSE)</f>
        <v>0</v>
      </c>
      <c r="AU114" s="12">
        <f>VLOOKUP(Tableau2[[#This Row],[essence]],Tableau5[],23,FALSE)</f>
        <v>0</v>
      </c>
      <c r="AV114" s="12">
        <f>VLOOKUP(Tableau2[[#This Row],[essence]],Tableau5[],18,FALSE)</f>
        <v>0</v>
      </c>
      <c r="AW11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3.9635999999999996</v>
      </c>
      <c r="AX114" s="12">
        <f>1/(1+EXP(-Tableau2[[#This Row],[xb_c]]))</f>
        <v>0.98135945934743762</v>
      </c>
      <c r="AY114" s="12" t="str">
        <f t="shared" si="2"/>
        <v>NA</v>
      </c>
      <c r="AZ114" s="12" t="str">
        <f t="shared" si="3"/>
        <v>NA</v>
      </c>
      <c r="BA114" s="12">
        <f>Tableau2[[#This Row],[prob_c]]</f>
        <v>0.98135945934743762</v>
      </c>
      <c r="BB114" s="12">
        <f>1-Tableau2[[#This Row],[prob_c]]</f>
        <v>1.8640540652562376E-2</v>
      </c>
    </row>
    <row r="115" spans="1:54" x14ac:dyDescent="0.25">
      <c r="A115" s="12">
        <v>5</v>
      </c>
      <c r="B115" s="12" t="s">
        <v>13</v>
      </c>
      <c r="C115" s="12">
        <v>2.1</v>
      </c>
      <c r="D115" s="12">
        <v>700</v>
      </c>
      <c r="E115" s="12">
        <v>20</v>
      </c>
      <c r="F115" s="12">
        <v>1</v>
      </c>
      <c r="G115" s="12">
        <v>18</v>
      </c>
      <c r="H115" s="12">
        <v>27</v>
      </c>
      <c r="I115" s="12" t="s">
        <v>24</v>
      </c>
      <c r="J115" s="12" t="s">
        <v>29</v>
      </c>
      <c r="K115" s="12">
        <f>VLOOKUP(Tableau2[[#This Row],[essence]],Tableau5[],2,FALSE)</f>
        <v>1.9585999999999999</v>
      </c>
      <c r="L115" s="12">
        <f>VLOOKUP(Tableau2[[#This Row],[essence]],Tableau5[],3,FALSE)</f>
        <v>6.6000000000000003E-2</v>
      </c>
      <c r="M115" s="12">
        <f>IF(Tableau2[[#This Row],[priorecol]]="C",1,0)</f>
        <v>0</v>
      </c>
      <c r="N115" s="12">
        <f>VLOOKUP(Tableau2[[#This Row],[essence]],Tableau5[],4,FALSE)</f>
        <v>-1.9339999999999999</v>
      </c>
      <c r="O115" s="12">
        <f>IF(Tableau2[[#This Row],[priorecol]]="R",1,0)</f>
        <v>0</v>
      </c>
      <c r="P115" s="12">
        <f>VLOOKUP(Tableau2[[#This Row],[essence]],Tableau5[],5,FALSE)</f>
        <v>-4.4771999999999998</v>
      </c>
      <c r="Q115" s="12">
        <f>IF(Tableau2[[#This Row],[priorecol]]="S",1,0)</f>
        <v>1</v>
      </c>
      <c r="R115" s="12">
        <f>VLOOKUP(Tableau2[[#This Row],[essence]],Tableau5[],6,FALSE)</f>
        <v>-2.5499999999999998E-2</v>
      </c>
      <c r="S115" s="12">
        <f>VLOOKUP(Tableau2[[#This Row],[essence]],Tableau5[],15,FALSE)</f>
        <v>0</v>
      </c>
      <c r="T115" s="12">
        <f>VLOOKUP(Tableau2[[#This Row],[essence]],Tableau5[],7,FALSE)</f>
        <v>0</v>
      </c>
      <c r="U115" s="12">
        <f>IF(Tableau2[[#This Row],[sdom]]=1,1,0)</f>
        <v>0</v>
      </c>
      <c r="V115" s="12">
        <f>VLOOKUP(Tableau2[[#This Row],[essence]],Tableau5[],8,FALSE)</f>
        <v>0</v>
      </c>
      <c r="W115" s="12">
        <f>IF(Tableau2[[#This Row],[sdom]]="2EST",1,0)</f>
        <v>0</v>
      </c>
      <c r="X115" s="12">
        <f>VLOOKUP(Tableau2[[#This Row],[essence]],Tableau5[],9,FALSE)</f>
        <v>0</v>
      </c>
      <c r="Y115" s="12">
        <f>IF(Tableau2[[#This Row],[sdom]]="2OUEST",1,0)</f>
        <v>0</v>
      </c>
      <c r="Z115" s="12">
        <f>VLOOKUP(Tableau2[[#This Row],[essence]],Tableau5[],10,FALSE)</f>
        <v>0</v>
      </c>
      <c r="AA115" s="12">
        <f>IF(Tableau2[[#This Row],[sdom]]="3EST",1,0)</f>
        <v>0</v>
      </c>
      <c r="AB115" s="12">
        <f>VLOOKUP(Tableau2[[#This Row],[essence]],Tableau5[],11,FALSE)</f>
        <v>0</v>
      </c>
      <c r="AC115" s="12">
        <f>IF(Tableau2[[#This Row],[sdom]]="3OUEST",1,0)</f>
        <v>1</v>
      </c>
      <c r="AD115" s="12">
        <f>VLOOKUP(Tableau2[[#This Row],[essence]],Tableau5[],12,FALSE)</f>
        <v>0</v>
      </c>
      <c r="AE115" s="12">
        <f>IF(Tableau2[[#This Row],[sdom]]="4EST",1,0)</f>
        <v>0</v>
      </c>
      <c r="AF115" s="12">
        <f>VLOOKUP(Tableau2[[#This Row],[essence]],Tableau5[],13,FALSE)</f>
        <v>0</v>
      </c>
      <c r="AG115" s="12">
        <f>IF(Tableau2[[#This Row],[sdom]]="4OUEST",1,0)</f>
        <v>0</v>
      </c>
      <c r="AH115" s="12">
        <f>VLOOKUP(Tableau2[[#This Row],[essence]],Tableau5[],14,FALSE)</f>
        <v>0</v>
      </c>
      <c r="AI115" s="12">
        <f>IF(Tableau2[[#This Row],[sdom]]="5EST",1,0)</f>
        <v>0</v>
      </c>
      <c r="AJ115" s="12">
        <f>VLOOKUP(Tableau2[[#This Row],[essence]],Tableau5[],16,FALSE)</f>
        <v>0</v>
      </c>
      <c r="AK115" s="12">
        <f>IF(Tableau2[[#This Row],[sdom]]="5OUEST",1,0)</f>
        <v>0</v>
      </c>
      <c r="AL115" s="12">
        <f>VLOOKUP(Tableau2[[#This Row],[essence]],Tableau5[],17,FALSE)</f>
        <v>0</v>
      </c>
      <c r="AM115" s="12">
        <f>IF(Tableau2[[#This Row],[sdom]]="6EST",1,0)</f>
        <v>0</v>
      </c>
      <c r="AN115" s="12">
        <f>VLOOKUP(Tableau2[[#This Row],[essence]],Tableau5[],19,FALSE)</f>
        <v>4.2599999999999999E-2</v>
      </c>
      <c r="AO115" s="12">
        <f>IF(Tableau2[[#This Row],[priorecol]]="C",1,0)</f>
        <v>0</v>
      </c>
      <c r="AP115" s="12">
        <f>VLOOKUP(Tableau2[[#This Row],[essence]],Tableau5[],20,FALSE)</f>
        <v>0.17699999999999999</v>
      </c>
      <c r="AQ115" s="12">
        <f>IF(Tableau2[[#This Row],[priorecol]]="R",1,0)</f>
        <v>0</v>
      </c>
      <c r="AR115" s="12">
        <f>VLOOKUP(Tableau2[[#This Row],[essence]],Tableau5[],21,FALSE)</f>
        <v>0.19650000000000001</v>
      </c>
      <c r="AS115" s="12">
        <f>IF(Tableau2[[#This Row],[priorecol]]="S",1,0)</f>
        <v>1</v>
      </c>
      <c r="AT115" s="12">
        <f>VLOOKUP(Tableau2[[#This Row],[essence]],Tableau5[],22,FALSE)</f>
        <v>0</v>
      </c>
      <c r="AU115" s="12">
        <f>VLOOKUP(Tableau2[[#This Row],[essence]],Tableau5[],23,FALSE)</f>
        <v>0</v>
      </c>
      <c r="AV115" s="12">
        <f>VLOOKUP(Tableau2[[#This Row],[essence]],Tableau5[],18,FALSE)</f>
        <v>0</v>
      </c>
      <c r="AW11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2.0984000000000003</v>
      </c>
      <c r="AX115" s="12">
        <f>1/(1+EXP(-Tableau2[[#This Row],[xb_c]]))</f>
        <v>0.89074756998513127</v>
      </c>
      <c r="AY115" s="12" t="str">
        <f t="shared" si="2"/>
        <v>NA</v>
      </c>
      <c r="AZ115" s="12" t="str">
        <f t="shared" si="3"/>
        <v>NA</v>
      </c>
      <c r="BA115" s="12">
        <f>Tableau2[[#This Row],[prob_c]]</f>
        <v>0.89074756998513127</v>
      </c>
      <c r="BB115" s="12">
        <f>1-Tableau2[[#This Row],[prob_c]]</f>
        <v>0.10925243001486873</v>
      </c>
    </row>
    <row r="116" spans="1:54" x14ac:dyDescent="0.25">
      <c r="A116" s="12">
        <v>5</v>
      </c>
      <c r="B116" s="12" t="s">
        <v>13</v>
      </c>
      <c r="C116" s="12">
        <v>2.1</v>
      </c>
      <c r="D116" s="12">
        <v>700</v>
      </c>
      <c r="E116" s="12">
        <v>20</v>
      </c>
      <c r="F116" s="12">
        <v>1</v>
      </c>
      <c r="G116" s="12">
        <v>19</v>
      </c>
      <c r="H116" s="12">
        <v>28</v>
      </c>
      <c r="I116" s="12" t="s">
        <v>25</v>
      </c>
      <c r="J116" s="12" t="s">
        <v>27</v>
      </c>
      <c r="K116" s="12">
        <f>VLOOKUP(Tableau2[[#This Row],[essence]],Tableau5[],2,FALSE)</f>
        <v>-2.4066000000000001</v>
      </c>
      <c r="L116" s="12">
        <f>VLOOKUP(Tableau2[[#This Row],[essence]],Tableau5[],3,FALSE)</f>
        <v>1.0301</v>
      </c>
      <c r="M116" s="12">
        <f>IF(Tableau2[[#This Row],[priorecol]]="C",1,0)</f>
        <v>1</v>
      </c>
      <c r="N116" s="12">
        <f>VLOOKUP(Tableau2[[#This Row],[essence]],Tableau5[],4,FALSE)</f>
        <v>1.9907999999999999</v>
      </c>
      <c r="O116" s="12">
        <f>IF(Tableau2[[#This Row],[priorecol]]="R",1,0)</f>
        <v>0</v>
      </c>
      <c r="P116" s="12">
        <f>VLOOKUP(Tableau2[[#This Row],[essence]],Tableau5[],5,FALSE)</f>
        <v>1.1955</v>
      </c>
      <c r="Q116" s="12">
        <f>IF(Tableau2[[#This Row],[priorecol]]="S",1,0)</f>
        <v>0</v>
      </c>
      <c r="R116" s="12">
        <f>VLOOKUP(Tableau2[[#This Row],[essence]],Tableau5[],6,FALSE)</f>
        <v>4.2599999999999999E-2</v>
      </c>
      <c r="S116" s="12">
        <f>VLOOKUP(Tableau2[[#This Row],[essence]],Tableau5[],15,FALSE)</f>
        <v>1.3299999999999999E-2</v>
      </c>
      <c r="T116" s="12">
        <f>VLOOKUP(Tableau2[[#This Row],[essence]],Tableau5[],7,FALSE)</f>
        <v>0</v>
      </c>
      <c r="U116" s="12">
        <f>IF(Tableau2[[#This Row],[sdom]]=1,1,0)</f>
        <v>0</v>
      </c>
      <c r="V116" s="12">
        <f>VLOOKUP(Tableau2[[#This Row],[essence]],Tableau5[],8,FALSE)</f>
        <v>0.72299999999999998</v>
      </c>
      <c r="W116" s="12">
        <f>IF(Tableau2[[#This Row],[sdom]]="2EST",1,0)</f>
        <v>0</v>
      </c>
      <c r="X116" s="12">
        <f>VLOOKUP(Tableau2[[#This Row],[essence]],Tableau5[],9,FALSE)</f>
        <v>0.28749999999999998</v>
      </c>
      <c r="Y116" s="12">
        <f>IF(Tableau2[[#This Row],[sdom]]="2OUEST",1,0)</f>
        <v>0</v>
      </c>
      <c r="Z116" s="12">
        <f>VLOOKUP(Tableau2[[#This Row],[essence]],Tableau5[],10,FALSE)</f>
        <v>0.5746</v>
      </c>
      <c r="AA116" s="12">
        <f>IF(Tableau2[[#This Row],[sdom]]="3EST",1,0)</f>
        <v>0</v>
      </c>
      <c r="AB116" s="12">
        <f>VLOOKUP(Tableau2[[#This Row],[essence]],Tableau5[],11,FALSE)</f>
        <v>0.40360000000000001</v>
      </c>
      <c r="AC116" s="12">
        <f>IF(Tableau2[[#This Row],[sdom]]="3OUEST",1,0)</f>
        <v>1</v>
      </c>
      <c r="AD116" s="12">
        <f>VLOOKUP(Tableau2[[#This Row],[essence]],Tableau5[],12,FALSE)</f>
        <v>0</v>
      </c>
      <c r="AE116" s="12">
        <f>IF(Tableau2[[#This Row],[sdom]]="4EST",1,0)</f>
        <v>0</v>
      </c>
      <c r="AF116" s="12">
        <f>VLOOKUP(Tableau2[[#This Row],[essence]],Tableau5[],13,FALSE)</f>
        <v>0</v>
      </c>
      <c r="AG116" s="12">
        <f>IF(Tableau2[[#This Row],[sdom]]="4OUEST",1,0)</f>
        <v>0</v>
      </c>
      <c r="AH116" s="12">
        <f>VLOOKUP(Tableau2[[#This Row],[essence]],Tableau5[],14,FALSE)</f>
        <v>0</v>
      </c>
      <c r="AI116" s="12">
        <f>IF(Tableau2[[#This Row],[sdom]]="5EST",1,0)</f>
        <v>0</v>
      </c>
      <c r="AJ116" s="12">
        <f>VLOOKUP(Tableau2[[#This Row],[essence]],Tableau5[],16,FALSE)</f>
        <v>0</v>
      </c>
      <c r="AK116" s="12">
        <f>IF(Tableau2[[#This Row],[sdom]]="5OUEST",1,0)</f>
        <v>0</v>
      </c>
      <c r="AL116" s="12">
        <f>VLOOKUP(Tableau2[[#This Row],[essence]],Tableau5[],17,FALSE)</f>
        <v>0</v>
      </c>
      <c r="AM116" s="12">
        <f>IF(Tableau2[[#This Row],[sdom]]="6EST",1,0)</f>
        <v>0</v>
      </c>
      <c r="AN116" s="12">
        <f>VLOOKUP(Tableau2[[#This Row],[essence]],Tableau5[],19,FALSE)</f>
        <v>0</v>
      </c>
      <c r="AO116" s="12">
        <f>IF(Tableau2[[#This Row],[priorecol]]="C",1,0)</f>
        <v>1</v>
      </c>
      <c r="AP116" s="12">
        <f>VLOOKUP(Tableau2[[#This Row],[essence]],Tableau5[],20,FALSE)</f>
        <v>0</v>
      </c>
      <c r="AQ116" s="12">
        <f>IF(Tableau2[[#This Row],[priorecol]]="R",1,0)</f>
        <v>0</v>
      </c>
      <c r="AR116" s="12">
        <f>VLOOKUP(Tableau2[[#This Row],[essence]],Tableau5[],21,FALSE)</f>
        <v>0</v>
      </c>
      <c r="AS116" s="12">
        <f>IF(Tableau2[[#This Row],[priorecol]]="S",1,0)</f>
        <v>0</v>
      </c>
      <c r="AT116" s="12">
        <f>VLOOKUP(Tableau2[[#This Row],[essence]],Tableau5[],22,FALSE)</f>
        <v>0.36130000000000001</v>
      </c>
      <c r="AU116" s="12">
        <f>VLOOKUP(Tableau2[[#This Row],[essence]],Tableau5[],23,FALSE)</f>
        <v>0</v>
      </c>
      <c r="AV116" s="12">
        <f>VLOOKUP(Tableau2[[#This Row],[essence]],Tableau5[],18,FALSE)</f>
        <v>0</v>
      </c>
      <c r="AW11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0.84720000000000006</v>
      </c>
      <c r="AX116" s="12">
        <f>1/(1+EXP(-Tableau2[[#This Row],[xb_c]]))</f>
        <v>0.69997944891647623</v>
      </c>
      <c r="AY116" s="12" t="str">
        <f t="shared" si="2"/>
        <v>NA</v>
      </c>
      <c r="AZ116" s="12" t="str">
        <f t="shared" si="3"/>
        <v>NA</v>
      </c>
      <c r="BA116" s="12">
        <f>Tableau2[[#This Row],[prob_c]]</f>
        <v>0.69997944891647623</v>
      </c>
      <c r="BB116" s="12">
        <f>1-Tableau2[[#This Row],[prob_c]]</f>
        <v>0.30002055108352377</v>
      </c>
    </row>
    <row r="117" spans="1:54" x14ac:dyDescent="0.25">
      <c r="A117" s="12">
        <v>5</v>
      </c>
      <c r="B117" s="12" t="s">
        <v>13</v>
      </c>
      <c r="C117" s="12">
        <v>2.1</v>
      </c>
      <c r="D117" s="12">
        <v>700</v>
      </c>
      <c r="E117" s="12">
        <v>20</v>
      </c>
      <c r="F117" s="12">
        <v>1</v>
      </c>
      <c r="G117" s="12">
        <v>20</v>
      </c>
      <c r="H117" s="12">
        <v>29</v>
      </c>
      <c r="I117" s="12" t="s">
        <v>25</v>
      </c>
      <c r="J117" s="12" t="s">
        <v>28</v>
      </c>
      <c r="K117" s="12">
        <f>VLOOKUP(Tableau2[[#This Row],[essence]],Tableau5[],2,FALSE)</f>
        <v>-2.4066000000000001</v>
      </c>
      <c r="L117" s="12">
        <f>VLOOKUP(Tableau2[[#This Row],[essence]],Tableau5[],3,FALSE)</f>
        <v>1.0301</v>
      </c>
      <c r="M117" s="12">
        <f>IF(Tableau2[[#This Row],[priorecol]]="C",1,0)</f>
        <v>0</v>
      </c>
      <c r="N117" s="12">
        <f>VLOOKUP(Tableau2[[#This Row],[essence]],Tableau5[],4,FALSE)</f>
        <v>1.9907999999999999</v>
      </c>
      <c r="O117" s="12">
        <f>IF(Tableau2[[#This Row],[priorecol]]="R",1,0)</f>
        <v>1</v>
      </c>
      <c r="P117" s="12">
        <f>VLOOKUP(Tableau2[[#This Row],[essence]],Tableau5[],5,FALSE)</f>
        <v>1.1955</v>
      </c>
      <c r="Q117" s="12">
        <f>IF(Tableau2[[#This Row],[priorecol]]="S",1,0)</f>
        <v>0</v>
      </c>
      <c r="R117" s="12">
        <f>VLOOKUP(Tableau2[[#This Row],[essence]],Tableau5[],6,FALSE)</f>
        <v>4.2599999999999999E-2</v>
      </c>
      <c r="S117" s="12">
        <f>VLOOKUP(Tableau2[[#This Row],[essence]],Tableau5[],15,FALSE)</f>
        <v>1.3299999999999999E-2</v>
      </c>
      <c r="T117" s="12">
        <f>VLOOKUP(Tableau2[[#This Row],[essence]],Tableau5[],7,FALSE)</f>
        <v>0</v>
      </c>
      <c r="U117" s="12">
        <f>IF(Tableau2[[#This Row],[sdom]]=1,1,0)</f>
        <v>0</v>
      </c>
      <c r="V117" s="12">
        <f>VLOOKUP(Tableau2[[#This Row],[essence]],Tableau5[],8,FALSE)</f>
        <v>0.72299999999999998</v>
      </c>
      <c r="W117" s="12">
        <f>IF(Tableau2[[#This Row],[sdom]]="2EST",1,0)</f>
        <v>0</v>
      </c>
      <c r="X117" s="12">
        <f>VLOOKUP(Tableau2[[#This Row],[essence]],Tableau5[],9,FALSE)</f>
        <v>0.28749999999999998</v>
      </c>
      <c r="Y117" s="12">
        <f>IF(Tableau2[[#This Row],[sdom]]="2OUEST",1,0)</f>
        <v>0</v>
      </c>
      <c r="Z117" s="12">
        <f>VLOOKUP(Tableau2[[#This Row],[essence]],Tableau5[],10,FALSE)</f>
        <v>0.5746</v>
      </c>
      <c r="AA117" s="12">
        <f>IF(Tableau2[[#This Row],[sdom]]="3EST",1,0)</f>
        <v>0</v>
      </c>
      <c r="AB117" s="12">
        <f>VLOOKUP(Tableau2[[#This Row],[essence]],Tableau5[],11,FALSE)</f>
        <v>0.40360000000000001</v>
      </c>
      <c r="AC117" s="12">
        <f>IF(Tableau2[[#This Row],[sdom]]="3OUEST",1,0)</f>
        <v>1</v>
      </c>
      <c r="AD117" s="12">
        <f>VLOOKUP(Tableau2[[#This Row],[essence]],Tableau5[],12,FALSE)</f>
        <v>0</v>
      </c>
      <c r="AE117" s="12">
        <f>IF(Tableau2[[#This Row],[sdom]]="4EST",1,0)</f>
        <v>0</v>
      </c>
      <c r="AF117" s="12">
        <f>VLOOKUP(Tableau2[[#This Row],[essence]],Tableau5[],13,FALSE)</f>
        <v>0</v>
      </c>
      <c r="AG117" s="12">
        <f>IF(Tableau2[[#This Row],[sdom]]="4OUEST",1,0)</f>
        <v>0</v>
      </c>
      <c r="AH117" s="12">
        <f>VLOOKUP(Tableau2[[#This Row],[essence]],Tableau5[],14,FALSE)</f>
        <v>0</v>
      </c>
      <c r="AI117" s="12">
        <f>IF(Tableau2[[#This Row],[sdom]]="5EST",1,0)</f>
        <v>0</v>
      </c>
      <c r="AJ117" s="12">
        <f>VLOOKUP(Tableau2[[#This Row],[essence]],Tableau5[],16,FALSE)</f>
        <v>0</v>
      </c>
      <c r="AK117" s="12">
        <f>IF(Tableau2[[#This Row],[sdom]]="5OUEST",1,0)</f>
        <v>0</v>
      </c>
      <c r="AL117" s="12">
        <f>VLOOKUP(Tableau2[[#This Row],[essence]],Tableau5[],17,FALSE)</f>
        <v>0</v>
      </c>
      <c r="AM117" s="12">
        <f>IF(Tableau2[[#This Row],[sdom]]="6EST",1,0)</f>
        <v>0</v>
      </c>
      <c r="AN117" s="12">
        <f>VLOOKUP(Tableau2[[#This Row],[essence]],Tableau5[],19,FALSE)</f>
        <v>0</v>
      </c>
      <c r="AO117" s="12">
        <f>IF(Tableau2[[#This Row],[priorecol]]="C",1,0)</f>
        <v>0</v>
      </c>
      <c r="AP117" s="12">
        <f>VLOOKUP(Tableau2[[#This Row],[essence]],Tableau5[],20,FALSE)</f>
        <v>0</v>
      </c>
      <c r="AQ117" s="12">
        <f>IF(Tableau2[[#This Row],[priorecol]]="R",1,0)</f>
        <v>1</v>
      </c>
      <c r="AR117" s="12">
        <f>VLOOKUP(Tableau2[[#This Row],[essence]],Tableau5[],21,FALSE)</f>
        <v>0</v>
      </c>
      <c r="AS117" s="12">
        <f>IF(Tableau2[[#This Row],[priorecol]]="S",1,0)</f>
        <v>0</v>
      </c>
      <c r="AT117" s="12">
        <f>VLOOKUP(Tableau2[[#This Row],[essence]],Tableau5[],22,FALSE)</f>
        <v>0.36130000000000001</v>
      </c>
      <c r="AU117" s="12">
        <f>VLOOKUP(Tableau2[[#This Row],[essence]],Tableau5[],23,FALSE)</f>
        <v>0</v>
      </c>
      <c r="AV117" s="12">
        <f>VLOOKUP(Tableau2[[#This Row],[essence]],Tableau5[],18,FALSE)</f>
        <v>0</v>
      </c>
      <c r="AW11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1.8504999999999998</v>
      </c>
      <c r="AX117" s="12">
        <f>1/(1+EXP(-Tableau2[[#This Row],[xb_c]]))</f>
        <v>0.86418579802988937</v>
      </c>
      <c r="AY117" s="12" t="str">
        <f t="shared" si="2"/>
        <v>NA</v>
      </c>
      <c r="AZ117" s="12" t="str">
        <f t="shared" si="3"/>
        <v>NA</v>
      </c>
      <c r="BA117" s="12">
        <f>Tableau2[[#This Row],[prob_c]]</f>
        <v>0.86418579802988937</v>
      </c>
      <c r="BB117" s="12">
        <f>1-Tableau2[[#This Row],[prob_c]]</f>
        <v>0.13581420197011063</v>
      </c>
    </row>
    <row r="118" spans="1:54" x14ac:dyDescent="0.25">
      <c r="A118" s="12">
        <v>5</v>
      </c>
      <c r="B118" s="12" t="s">
        <v>13</v>
      </c>
      <c r="C118" s="12">
        <v>2.1</v>
      </c>
      <c r="D118" s="12">
        <v>700</v>
      </c>
      <c r="E118" s="12">
        <v>20</v>
      </c>
      <c r="F118" s="12">
        <v>1</v>
      </c>
      <c r="G118" s="12">
        <v>21</v>
      </c>
      <c r="H118" s="12">
        <v>30</v>
      </c>
      <c r="I118" s="12" t="s">
        <v>25</v>
      </c>
      <c r="J118" s="12" t="s">
        <v>29</v>
      </c>
      <c r="K118" s="12">
        <f>VLOOKUP(Tableau2[[#This Row],[essence]],Tableau5[],2,FALSE)</f>
        <v>-2.4066000000000001</v>
      </c>
      <c r="L118" s="12">
        <f>VLOOKUP(Tableau2[[#This Row],[essence]],Tableau5[],3,FALSE)</f>
        <v>1.0301</v>
      </c>
      <c r="M118" s="12">
        <f>IF(Tableau2[[#This Row],[priorecol]]="C",1,0)</f>
        <v>0</v>
      </c>
      <c r="N118" s="12">
        <f>VLOOKUP(Tableau2[[#This Row],[essence]],Tableau5[],4,FALSE)</f>
        <v>1.9907999999999999</v>
      </c>
      <c r="O118" s="12">
        <f>IF(Tableau2[[#This Row],[priorecol]]="R",1,0)</f>
        <v>0</v>
      </c>
      <c r="P118" s="12">
        <f>VLOOKUP(Tableau2[[#This Row],[essence]],Tableau5[],5,FALSE)</f>
        <v>1.1955</v>
      </c>
      <c r="Q118" s="12">
        <f>IF(Tableau2[[#This Row],[priorecol]]="S",1,0)</f>
        <v>1</v>
      </c>
      <c r="R118" s="12">
        <f>VLOOKUP(Tableau2[[#This Row],[essence]],Tableau5[],6,FALSE)</f>
        <v>4.2599999999999999E-2</v>
      </c>
      <c r="S118" s="12">
        <f>VLOOKUP(Tableau2[[#This Row],[essence]],Tableau5[],15,FALSE)</f>
        <v>1.3299999999999999E-2</v>
      </c>
      <c r="T118" s="12">
        <f>VLOOKUP(Tableau2[[#This Row],[essence]],Tableau5[],7,FALSE)</f>
        <v>0</v>
      </c>
      <c r="U118" s="12">
        <f>IF(Tableau2[[#This Row],[sdom]]=1,1,0)</f>
        <v>0</v>
      </c>
      <c r="V118" s="12">
        <f>VLOOKUP(Tableau2[[#This Row],[essence]],Tableau5[],8,FALSE)</f>
        <v>0.72299999999999998</v>
      </c>
      <c r="W118" s="12">
        <f>IF(Tableau2[[#This Row],[sdom]]="2EST",1,0)</f>
        <v>0</v>
      </c>
      <c r="X118" s="12">
        <f>VLOOKUP(Tableau2[[#This Row],[essence]],Tableau5[],9,FALSE)</f>
        <v>0.28749999999999998</v>
      </c>
      <c r="Y118" s="12">
        <f>IF(Tableau2[[#This Row],[sdom]]="2OUEST",1,0)</f>
        <v>0</v>
      </c>
      <c r="Z118" s="12">
        <f>VLOOKUP(Tableau2[[#This Row],[essence]],Tableau5[],10,FALSE)</f>
        <v>0.5746</v>
      </c>
      <c r="AA118" s="12">
        <f>IF(Tableau2[[#This Row],[sdom]]="3EST",1,0)</f>
        <v>0</v>
      </c>
      <c r="AB118" s="12">
        <f>VLOOKUP(Tableau2[[#This Row],[essence]],Tableau5[],11,FALSE)</f>
        <v>0.40360000000000001</v>
      </c>
      <c r="AC118" s="12">
        <f>IF(Tableau2[[#This Row],[sdom]]="3OUEST",1,0)</f>
        <v>1</v>
      </c>
      <c r="AD118" s="12">
        <f>VLOOKUP(Tableau2[[#This Row],[essence]],Tableau5[],12,FALSE)</f>
        <v>0</v>
      </c>
      <c r="AE118" s="12">
        <f>IF(Tableau2[[#This Row],[sdom]]="4EST",1,0)</f>
        <v>0</v>
      </c>
      <c r="AF118" s="12">
        <f>VLOOKUP(Tableau2[[#This Row],[essence]],Tableau5[],13,FALSE)</f>
        <v>0</v>
      </c>
      <c r="AG118" s="12">
        <f>IF(Tableau2[[#This Row],[sdom]]="4OUEST",1,0)</f>
        <v>0</v>
      </c>
      <c r="AH118" s="12">
        <f>VLOOKUP(Tableau2[[#This Row],[essence]],Tableau5[],14,FALSE)</f>
        <v>0</v>
      </c>
      <c r="AI118" s="12">
        <f>IF(Tableau2[[#This Row],[sdom]]="5EST",1,0)</f>
        <v>0</v>
      </c>
      <c r="AJ118" s="12">
        <f>VLOOKUP(Tableau2[[#This Row],[essence]],Tableau5[],16,FALSE)</f>
        <v>0</v>
      </c>
      <c r="AK118" s="12">
        <f>IF(Tableau2[[#This Row],[sdom]]="5OUEST",1,0)</f>
        <v>0</v>
      </c>
      <c r="AL118" s="12">
        <f>VLOOKUP(Tableau2[[#This Row],[essence]],Tableau5[],17,FALSE)</f>
        <v>0</v>
      </c>
      <c r="AM118" s="12">
        <f>IF(Tableau2[[#This Row],[sdom]]="6EST",1,0)</f>
        <v>0</v>
      </c>
      <c r="AN118" s="12">
        <f>VLOOKUP(Tableau2[[#This Row],[essence]],Tableau5[],19,FALSE)</f>
        <v>0</v>
      </c>
      <c r="AO118" s="12">
        <f>IF(Tableau2[[#This Row],[priorecol]]="C",1,0)</f>
        <v>0</v>
      </c>
      <c r="AP118" s="12">
        <f>VLOOKUP(Tableau2[[#This Row],[essence]],Tableau5[],20,FALSE)</f>
        <v>0</v>
      </c>
      <c r="AQ118" s="12">
        <f>IF(Tableau2[[#This Row],[priorecol]]="R",1,0)</f>
        <v>0</v>
      </c>
      <c r="AR118" s="12">
        <f>VLOOKUP(Tableau2[[#This Row],[essence]],Tableau5[],21,FALSE)</f>
        <v>0</v>
      </c>
      <c r="AS118" s="12">
        <f>IF(Tableau2[[#This Row],[priorecol]]="S",1,0)</f>
        <v>1</v>
      </c>
      <c r="AT118" s="12">
        <f>VLOOKUP(Tableau2[[#This Row],[essence]],Tableau5[],22,FALSE)</f>
        <v>0.36130000000000001</v>
      </c>
      <c r="AU118" s="12">
        <f>VLOOKUP(Tableau2[[#This Row],[essence]],Tableau5[],23,FALSE)</f>
        <v>0</v>
      </c>
      <c r="AV118" s="12">
        <f>VLOOKUP(Tableau2[[#This Row],[essence]],Tableau5[],18,FALSE)</f>
        <v>0</v>
      </c>
      <c r="AW11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1.0977999999999999</v>
      </c>
      <c r="AX118" s="12">
        <f>1/(1+EXP(-Tableau2[[#This Row],[xb_c]]))</f>
        <v>0.7498476649480964</v>
      </c>
      <c r="AY118" s="12" t="str">
        <f t="shared" si="2"/>
        <v>NA</v>
      </c>
      <c r="AZ118" s="12" t="str">
        <f t="shared" si="3"/>
        <v>NA</v>
      </c>
      <c r="BA118" s="12">
        <f>Tableau2[[#This Row],[prob_c]]</f>
        <v>0.7498476649480964</v>
      </c>
      <c r="BB118" s="12">
        <f>1-Tableau2[[#This Row],[prob_c]]</f>
        <v>0.2501523350519036</v>
      </c>
    </row>
    <row r="119" spans="1:54" x14ac:dyDescent="0.25">
      <c r="A119" s="12">
        <v>5</v>
      </c>
      <c r="B119" s="12" t="s">
        <v>13</v>
      </c>
      <c r="C119" s="12">
        <v>2.1</v>
      </c>
      <c r="D119" s="12">
        <v>700</v>
      </c>
      <c r="E119" s="12">
        <v>20</v>
      </c>
      <c r="F119" s="12">
        <v>1</v>
      </c>
      <c r="G119" s="12">
        <v>22</v>
      </c>
      <c r="H119" s="12">
        <v>31</v>
      </c>
      <c r="I119" s="12" t="s">
        <v>26</v>
      </c>
      <c r="J119" s="12" t="s">
        <v>27</v>
      </c>
      <c r="K119" s="12">
        <f>VLOOKUP(Tableau2[[#This Row],[essence]],Tableau5[],2,FALSE)</f>
        <v>-9.0399999999999994E-2</v>
      </c>
      <c r="L119" s="12">
        <f>VLOOKUP(Tableau2[[#This Row],[essence]],Tableau5[],3,FALSE)</f>
        <v>1.0844</v>
      </c>
      <c r="M119" s="12">
        <f>IF(Tableau2[[#This Row],[priorecol]]="C",1,0)</f>
        <v>1</v>
      </c>
      <c r="N119" s="12">
        <f>VLOOKUP(Tableau2[[#This Row],[essence]],Tableau5[],4,FALSE)</f>
        <v>-1.3041</v>
      </c>
      <c r="O119" s="12">
        <f>IF(Tableau2[[#This Row],[priorecol]]="R",1,0)</f>
        <v>0</v>
      </c>
      <c r="P119" s="12">
        <f>VLOOKUP(Tableau2[[#This Row],[essence]],Tableau5[],5,FALSE)</f>
        <v>-0.79790000000000005</v>
      </c>
      <c r="Q119" s="12">
        <f>IF(Tableau2[[#This Row],[priorecol]]="S",1,0)</f>
        <v>0</v>
      </c>
      <c r="R119" s="12">
        <f>VLOOKUP(Tableau2[[#This Row],[essence]],Tableau5[],6,FALSE)</f>
        <v>-5.3E-3</v>
      </c>
      <c r="S119" s="12">
        <f>VLOOKUP(Tableau2[[#This Row],[essence]],Tableau5[],15,FALSE)</f>
        <v>1.2500000000000001E-2</v>
      </c>
      <c r="T119" s="12">
        <f>VLOOKUP(Tableau2[[#This Row],[essence]],Tableau5[],7,FALSE)</f>
        <v>0</v>
      </c>
      <c r="U119" s="12">
        <f>IF(Tableau2[[#This Row],[sdom]]=1,1,0)</f>
        <v>0</v>
      </c>
      <c r="V119" s="12">
        <f>VLOOKUP(Tableau2[[#This Row],[essence]],Tableau5[],8,FALSE)</f>
        <v>0.1497</v>
      </c>
      <c r="W119" s="12">
        <f>IF(Tableau2[[#This Row],[sdom]]="2EST",1,0)</f>
        <v>0</v>
      </c>
      <c r="X119" s="12">
        <f>VLOOKUP(Tableau2[[#This Row],[essence]],Tableau5[],9,FALSE)</f>
        <v>0.4839</v>
      </c>
      <c r="Y119" s="12">
        <f>IF(Tableau2[[#This Row],[sdom]]="2OUEST",1,0)</f>
        <v>0</v>
      </c>
      <c r="Z119" s="12">
        <f>VLOOKUP(Tableau2[[#This Row],[essence]],Tableau5[],10,FALSE)</f>
        <v>-0.14019999999999999</v>
      </c>
      <c r="AA119" s="12">
        <f>IF(Tableau2[[#This Row],[sdom]]="3EST",1,0)</f>
        <v>0</v>
      </c>
      <c r="AB119" s="12">
        <f>VLOOKUP(Tableau2[[#This Row],[essence]],Tableau5[],11,FALSE)</f>
        <v>0.65649999999999997</v>
      </c>
      <c r="AC119" s="12">
        <f>IF(Tableau2[[#This Row],[sdom]]="3OUEST",1,0)</f>
        <v>1</v>
      </c>
      <c r="AD119" s="12">
        <f>VLOOKUP(Tableau2[[#This Row],[essence]],Tableau5[],12,FALSE)</f>
        <v>-1.21E-2</v>
      </c>
      <c r="AE119" s="12">
        <f>IF(Tableau2[[#This Row],[sdom]]="4EST",1,0)</f>
        <v>0</v>
      </c>
      <c r="AF119" s="12">
        <f>VLOOKUP(Tableau2[[#This Row],[essence]],Tableau5[],13,FALSE)</f>
        <v>0.52600000000000002</v>
      </c>
      <c r="AG119" s="12">
        <f>IF(Tableau2[[#This Row],[sdom]]="4OUEST",1,0)</f>
        <v>0</v>
      </c>
      <c r="AH119" s="12">
        <f>VLOOKUP(Tableau2[[#This Row],[essence]],Tableau5[],14,FALSE)</f>
        <v>-0.753</v>
      </c>
      <c r="AI119" s="12">
        <f>IF(Tableau2[[#This Row],[sdom]]="5EST",1,0)</f>
        <v>0</v>
      </c>
      <c r="AJ119" s="12">
        <f>VLOOKUP(Tableau2[[#This Row],[essence]],Tableau5[],16,FALSE)</f>
        <v>0</v>
      </c>
      <c r="AK119" s="12">
        <f>IF(Tableau2[[#This Row],[sdom]]="5OUEST",1,0)</f>
        <v>0</v>
      </c>
      <c r="AL119" s="12">
        <f>VLOOKUP(Tableau2[[#This Row],[essence]],Tableau5[],17,FALSE)</f>
        <v>0</v>
      </c>
      <c r="AM119" s="12">
        <f>IF(Tableau2[[#This Row],[sdom]]="6EST",1,0)</f>
        <v>0</v>
      </c>
      <c r="AN119" s="12">
        <f>VLOOKUP(Tableau2[[#This Row],[essence]],Tableau5[],19,FALSE)</f>
        <v>3.04E-2</v>
      </c>
      <c r="AO119" s="12">
        <f>IF(Tableau2[[#This Row],[priorecol]]="C",1,0)</f>
        <v>1</v>
      </c>
      <c r="AP119" s="12">
        <f>VLOOKUP(Tableau2[[#This Row],[essence]],Tableau5[],20,FALSE)</f>
        <v>0.14549999999999999</v>
      </c>
      <c r="AQ119" s="12">
        <f>IF(Tableau2[[#This Row],[priorecol]]="R",1,0)</f>
        <v>0</v>
      </c>
      <c r="AR119" s="12">
        <f>VLOOKUP(Tableau2[[#This Row],[essence]],Tableau5[],21,FALSE)</f>
        <v>7.8700000000000006E-2</v>
      </c>
      <c r="AS119" s="12">
        <f>IF(Tableau2[[#This Row],[priorecol]]="S",1,0)</f>
        <v>0</v>
      </c>
      <c r="AT119" s="12">
        <f>VLOOKUP(Tableau2[[#This Row],[essence]],Tableau5[],22,FALSE)</f>
        <v>0</v>
      </c>
      <c r="AU119" s="12">
        <f>VLOOKUP(Tableau2[[#This Row],[essence]],Tableau5[],23,FALSE)</f>
        <v>0</v>
      </c>
      <c r="AV119" s="12">
        <f>VLOOKUP(Tableau2[[#This Row],[essence]],Tableau5[],18,FALSE)</f>
        <v>0</v>
      </c>
      <c r="AW11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2.6785999999999999</v>
      </c>
      <c r="AX119" s="12">
        <f>1/(1+EXP(-Tableau2[[#This Row],[xb_c]]))</f>
        <v>0.93575200666016911</v>
      </c>
      <c r="AY119" s="12" t="str">
        <f t="shared" si="2"/>
        <v>NA</v>
      </c>
      <c r="AZ119" s="12" t="str">
        <f t="shared" si="3"/>
        <v>NA</v>
      </c>
      <c r="BA119" s="12">
        <f>Tableau2[[#This Row],[prob_c]]</f>
        <v>0.93575200666016911</v>
      </c>
      <c r="BB119" s="12">
        <f>1-Tableau2[[#This Row],[prob_c]]</f>
        <v>6.4247993339830889E-2</v>
      </c>
    </row>
    <row r="120" spans="1:54" x14ac:dyDescent="0.25">
      <c r="A120" s="12">
        <v>5</v>
      </c>
      <c r="B120" s="12" t="s">
        <v>13</v>
      </c>
      <c r="C120" s="12">
        <v>2.1</v>
      </c>
      <c r="D120" s="12">
        <v>700</v>
      </c>
      <c r="E120" s="12">
        <v>20</v>
      </c>
      <c r="F120" s="12">
        <v>1</v>
      </c>
      <c r="G120" s="12">
        <v>23</v>
      </c>
      <c r="H120" s="12">
        <v>32</v>
      </c>
      <c r="I120" s="12" t="s">
        <v>26</v>
      </c>
      <c r="J120" s="12" t="s">
        <v>28</v>
      </c>
      <c r="K120" s="12">
        <f>VLOOKUP(Tableau2[[#This Row],[essence]],Tableau5[],2,FALSE)</f>
        <v>-9.0399999999999994E-2</v>
      </c>
      <c r="L120" s="12">
        <f>VLOOKUP(Tableau2[[#This Row],[essence]],Tableau5[],3,FALSE)</f>
        <v>1.0844</v>
      </c>
      <c r="M120" s="12">
        <f>IF(Tableau2[[#This Row],[priorecol]]="C",1,0)</f>
        <v>0</v>
      </c>
      <c r="N120" s="12">
        <f>VLOOKUP(Tableau2[[#This Row],[essence]],Tableau5[],4,FALSE)</f>
        <v>-1.3041</v>
      </c>
      <c r="O120" s="12">
        <f>IF(Tableau2[[#This Row],[priorecol]]="R",1,0)</f>
        <v>1</v>
      </c>
      <c r="P120" s="12">
        <f>VLOOKUP(Tableau2[[#This Row],[essence]],Tableau5[],5,FALSE)</f>
        <v>-0.79790000000000005</v>
      </c>
      <c r="Q120" s="12">
        <f>IF(Tableau2[[#This Row],[priorecol]]="S",1,0)</f>
        <v>0</v>
      </c>
      <c r="R120" s="12">
        <f>VLOOKUP(Tableau2[[#This Row],[essence]],Tableau5[],6,FALSE)</f>
        <v>-5.3E-3</v>
      </c>
      <c r="S120" s="12">
        <f>VLOOKUP(Tableau2[[#This Row],[essence]],Tableau5[],15,FALSE)</f>
        <v>1.2500000000000001E-2</v>
      </c>
      <c r="T120" s="12">
        <f>VLOOKUP(Tableau2[[#This Row],[essence]],Tableau5[],7,FALSE)</f>
        <v>0</v>
      </c>
      <c r="U120" s="12">
        <f>IF(Tableau2[[#This Row],[sdom]]=1,1,0)</f>
        <v>0</v>
      </c>
      <c r="V120" s="12">
        <f>VLOOKUP(Tableau2[[#This Row],[essence]],Tableau5[],8,FALSE)</f>
        <v>0.1497</v>
      </c>
      <c r="W120" s="12">
        <f>IF(Tableau2[[#This Row],[sdom]]="2EST",1,0)</f>
        <v>0</v>
      </c>
      <c r="X120" s="12">
        <f>VLOOKUP(Tableau2[[#This Row],[essence]],Tableau5[],9,FALSE)</f>
        <v>0.4839</v>
      </c>
      <c r="Y120" s="12">
        <f>IF(Tableau2[[#This Row],[sdom]]="2OUEST",1,0)</f>
        <v>0</v>
      </c>
      <c r="Z120" s="12">
        <f>VLOOKUP(Tableau2[[#This Row],[essence]],Tableau5[],10,FALSE)</f>
        <v>-0.14019999999999999</v>
      </c>
      <c r="AA120" s="12">
        <f>IF(Tableau2[[#This Row],[sdom]]="3EST",1,0)</f>
        <v>0</v>
      </c>
      <c r="AB120" s="12">
        <f>VLOOKUP(Tableau2[[#This Row],[essence]],Tableau5[],11,FALSE)</f>
        <v>0.65649999999999997</v>
      </c>
      <c r="AC120" s="12">
        <f>IF(Tableau2[[#This Row],[sdom]]="3OUEST",1,0)</f>
        <v>1</v>
      </c>
      <c r="AD120" s="12">
        <f>VLOOKUP(Tableau2[[#This Row],[essence]],Tableau5[],12,FALSE)</f>
        <v>-1.21E-2</v>
      </c>
      <c r="AE120" s="12">
        <f>IF(Tableau2[[#This Row],[sdom]]="4EST",1,0)</f>
        <v>0</v>
      </c>
      <c r="AF120" s="12">
        <f>VLOOKUP(Tableau2[[#This Row],[essence]],Tableau5[],13,FALSE)</f>
        <v>0.52600000000000002</v>
      </c>
      <c r="AG120" s="12">
        <f>IF(Tableau2[[#This Row],[sdom]]="4OUEST",1,0)</f>
        <v>0</v>
      </c>
      <c r="AH120" s="12">
        <f>VLOOKUP(Tableau2[[#This Row],[essence]],Tableau5[],14,FALSE)</f>
        <v>-0.753</v>
      </c>
      <c r="AI120" s="12">
        <f>IF(Tableau2[[#This Row],[sdom]]="5EST",1,0)</f>
        <v>0</v>
      </c>
      <c r="AJ120" s="12">
        <f>VLOOKUP(Tableau2[[#This Row],[essence]],Tableau5[],16,FALSE)</f>
        <v>0</v>
      </c>
      <c r="AK120" s="12">
        <f>IF(Tableau2[[#This Row],[sdom]]="5OUEST",1,0)</f>
        <v>0</v>
      </c>
      <c r="AL120" s="12">
        <f>VLOOKUP(Tableau2[[#This Row],[essence]],Tableau5[],17,FALSE)</f>
        <v>0</v>
      </c>
      <c r="AM120" s="12">
        <f>IF(Tableau2[[#This Row],[sdom]]="6EST",1,0)</f>
        <v>0</v>
      </c>
      <c r="AN120" s="12">
        <f>VLOOKUP(Tableau2[[#This Row],[essence]],Tableau5[],19,FALSE)</f>
        <v>3.04E-2</v>
      </c>
      <c r="AO120" s="12">
        <f>IF(Tableau2[[#This Row],[priorecol]]="C",1,0)</f>
        <v>0</v>
      </c>
      <c r="AP120" s="12">
        <f>VLOOKUP(Tableau2[[#This Row],[essence]],Tableau5[],20,FALSE)</f>
        <v>0.14549999999999999</v>
      </c>
      <c r="AQ120" s="12">
        <f>IF(Tableau2[[#This Row],[priorecol]]="R",1,0)</f>
        <v>1</v>
      </c>
      <c r="AR120" s="12">
        <f>VLOOKUP(Tableau2[[#This Row],[essence]],Tableau5[],21,FALSE)</f>
        <v>7.8700000000000006E-2</v>
      </c>
      <c r="AS120" s="12">
        <f>IF(Tableau2[[#This Row],[priorecol]]="S",1,0)</f>
        <v>0</v>
      </c>
      <c r="AT120" s="12">
        <f>VLOOKUP(Tableau2[[#This Row],[essence]],Tableau5[],22,FALSE)</f>
        <v>0</v>
      </c>
      <c r="AU120" s="12">
        <f>VLOOKUP(Tableau2[[#This Row],[essence]],Tableau5[],23,FALSE)</f>
        <v>0</v>
      </c>
      <c r="AV120" s="12">
        <f>VLOOKUP(Tableau2[[#This Row],[essence]],Tableau5[],18,FALSE)</f>
        <v>0</v>
      </c>
      <c r="AW12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3.9983999999999997</v>
      </c>
      <c r="AX120" s="12">
        <f>1/(1+EXP(-Tableau2[[#This Row],[xb_c]]))</f>
        <v>0.98198550790219352</v>
      </c>
      <c r="AY120" s="12" t="str">
        <f t="shared" si="2"/>
        <v>NA</v>
      </c>
      <c r="AZ120" s="12" t="str">
        <f t="shared" si="3"/>
        <v>NA</v>
      </c>
      <c r="BA120" s="12">
        <f>Tableau2[[#This Row],[prob_c]]</f>
        <v>0.98198550790219352</v>
      </c>
      <c r="BB120" s="12">
        <f>1-Tableau2[[#This Row],[prob_c]]</f>
        <v>1.8014492097806478E-2</v>
      </c>
    </row>
    <row r="121" spans="1:54" x14ac:dyDescent="0.25">
      <c r="A121" s="12">
        <v>5</v>
      </c>
      <c r="B121" s="12" t="s">
        <v>13</v>
      </c>
      <c r="C121" s="12">
        <v>2.1</v>
      </c>
      <c r="D121" s="12">
        <v>700</v>
      </c>
      <c r="E121" s="12">
        <v>20</v>
      </c>
      <c r="F121" s="12">
        <v>1</v>
      </c>
      <c r="G121" s="12">
        <v>24</v>
      </c>
      <c r="H121" s="12">
        <v>33</v>
      </c>
      <c r="I121" s="12" t="s">
        <v>26</v>
      </c>
      <c r="J121" s="12" t="s">
        <v>29</v>
      </c>
      <c r="K121" s="12">
        <f>VLOOKUP(Tableau2[[#This Row],[essence]],Tableau5[],2,FALSE)</f>
        <v>-9.0399999999999994E-2</v>
      </c>
      <c r="L121" s="12">
        <f>VLOOKUP(Tableau2[[#This Row],[essence]],Tableau5[],3,FALSE)</f>
        <v>1.0844</v>
      </c>
      <c r="M121" s="12">
        <f>IF(Tableau2[[#This Row],[priorecol]]="C",1,0)</f>
        <v>0</v>
      </c>
      <c r="N121" s="12">
        <f>VLOOKUP(Tableau2[[#This Row],[essence]],Tableau5[],4,FALSE)</f>
        <v>-1.3041</v>
      </c>
      <c r="O121" s="12">
        <f>IF(Tableau2[[#This Row],[priorecol]]="R",1,0)</f>
        <v>0</v>
      </c>
      <c r="P121" s="12">
        <f>VLOOKUP(Tableau2[[#This Row],[essence]],Tableau5[],5,FALSE)</f>
        <v>-0.79790000000000005</v>
      </c>
      <c r="Q121" s="12">
        <f>IF(Tableau2[[#This Row],[priorecol]]="S",1,0)</f>
        <v>1</v>
      </c>
      <c r="R121" s="12">
        <f>VLOOKUP(Tableau2[[#This Row],[essence]],Tableau5[],6,FALSE)</f>
        <v>-5.3E-3</v>
      </c>
      <c r="S121" s="12">
        <f>VLOOKUP(Tableau2[[#This Row],[essence]],Tableau5[],15,FALSE)</f>
        <v>1.2500000000000001E-2</v>
      </c>
      <c r="T121" s="12">
        <f>VLOOKUP(Tableau2[[#This Row],[essence]],Tableau5[],7,FALSE)</f>
        <v>0</v>
      </c>
      <c r="U121" s="12">
        <f>IF(Tableau2[[#This Row],[sdom]]=1,1,0)</f>
        <v>0</v>
      </c>
      <c r="V121" s="12">
        <f>VLOOKUP(Tableau2[[#This Row],[essence]],Tableau5[],8,FALSE)</f>
        <v>0.1497</v>
      </c>
      <c r="W121" s="12">
        <f>IF(Tableau2[[#This Row],[sdom]]="2EST",1,0)</f>
        <v>0</v>
      </c>
      <c r="X121" s="12">
        <f>VLOOKUP(Tableau2[[#This Row],[essence]],Tableau5[],9,FALSE)</f>
        <v>0.4839</v>
      </c>
      <c r="Y121" s="12">
        <f>IF(Tableau2[[#This Row],[sdom]]="2OUEST",1,0)</f>
        <v>0</v>
      </c>
      <c r="Z121" s="12">
        <f>VLOOKUP(Tableau2[[#This Row],[essence]],Tableau5[],10,FALSE)</f>
        <v>-0.14019999999999999</v>
      </c>
      <c r="AA121" s="12">
        <f>IF(Tableau2[[#This Row],[sdom]]="3EST",1,0)</f>
        <v>0</v>
      </c>
      <c r="AB121" s="12">
        <f>VLOOKUP(Tableau2[[#This Row],[essence]],Tableau5[],11,FALSE)</f>
        <v>0.65649999999999997</v>
      </c>
      <c r="AC121" s="12">
        <f>IF(Tableau2[[#This Row],[sdom]]="3OUEST",1,0)</f>
        <v>1</v>
      </c>
      <c r="AD121" s="12">
        <f>VLOOKUP(Tableau2[[#This Row],[essence]],Tableau5[],12,FALSE)</f>
        <v>-1.21E-2</v>
      </c>
      <c r="AE121" s="12">
        <f>IF(Tableau2[[#This Row],[sdom]]="4EST",1,0)</f>
        <v>0</v>
      </c>
      <c r="AF121" s="12">
        <f>VLOOKUP(Tableau2[[#This Row],[essence]],Tableau5[],13,FALSE)</f>
        <v>0.52600000000000002</v>
      </c>
      <c r="AG121" s="12">
        <f>IF(Tableau2[[#This Row],[sdom]]="4OUEST",1,0)</f>
        <v>0</v>
      </c>
      <c r="AH121" s="12">
        <f>VLOOKUP(Tableau2[[#This Row],[essence]],Tableau5[],14,FALSE)</f>
        <v>-0.753</v>
      </c>
      <c r="AI121" s="12">
        <f>IF(Tableau2[[#This Row],[sdom]]="5EST",1,0)</f>
        <v>0</v>
      </c>
      <c r="AJ121" s="12">
        <f>VLOOKUP(Tableau2[[#This Row],[essence]],Tableau5[],16,FALSE)</f>
        <v>0</v>
      </c>
      <c r="AK121" s="12">
        <f>IF(Tableau2[[#This Row],[sdom]]="5OUEST",1,0)</f>
        <v>0</v>
      </c>
      <c r="AL121" s="12">
        <f>VLOOKUP(Tableau2[[#This Row],[essence]],Tableau5[],17,FALSE)</f>
        <v>0</v>
      </c>
      <c r="AM121" s="12">
        <f>IF(Tableau2[[#This Row],[sdom]]="6EST",1,0)</f>
        <v>0</v>
      </c>
      <c r="AN121" s="12">
        <f>VLOOKUP(Tableau2[[#This Row],[essence]],Tableau5[],19,FALSE)</f>
        <v>3.04E-2</v>
      </c>
      <c r="AO121" s="12">
        <f>IF(Tableau2[[#This Row],[priorecol]]="C",1,0)</f>
        <v>0</v>
      </c>
      <c r="AP121" s="12">
        <f>VLOOKUP(Tableau2[[#This Row],[essence]],Tableau5[],20,FALSE)</f>
        <v>0.14549999999999999</v>
      </c>
      <c r="AQ121" s="12">
        <f>IF(Tableau2[[#This Row],[priorecol]]="R",1,0)</f>
        <v>0</v>
      </c>
      <c r="AR121" s="12">
        <f>VLOOKUP(Tableau2[[#This Row],[essence]],Tableau5[],21,FALSE)</f>
        <v>7.8700000000000006E-2</v>
      </c>
      <c r="AS121" s="12">
        <f>IF(Tableau2[[#This Row],[priorecol]]="S",1,0)</f>
        <v>1</v>
      </c>
      <c r="AT121" s="12">
        <f>VLOOKUP(Tableau2[[#This Row],[essence]],Tableau5[],22,FALSE)</f>
        <v>0</v>
      </c>
      <c r="AU121" s="12">
        <f>VLOOKUP(Tableau2[[#This Row],[essence]],Tableau5[],23,FALSE)</f>
        <v>0</v>
      </c>
      <c r="AV121" s="12">
        <f>VLOOKUP(Tableau2[[#This Row],[essence]],Tableau5[],18,FALSE)</f>
        <v>0</v>
      </c>
      <c r="AW12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2.4403999999999999</v>
      </c>
      <c r="AX121" s="12">
        <f>1/(1+EXP(-Tableau2[[#This Row],[xb_c]]))</f>
        <v>0.91985658096051848</v>
      </c>
      <c r="AY121" s="12" t="str">
        <f t="shared" si="2"/>
        <v>NA</v>
      </c>
      <c r="AZ121" s="12" t="str">
        <f t="shared" si="3"/>
        <v>NA</v>
      </c>
      <c r="BA121" s="12">
        <f>Tableau2[[#This Row],[prob_c]]</f>
        <v>0.91985658096051848</v>
      </c>
      <c r="BB121" s="12">
        <f>1-Tableau2[[#This Row],[prob_c]]</f>
        <v>8.0143419039481523E-2</v>
      </c>
    </row>
    <row r="122" spans="1:54" x14ac:dyDescent="0.25">
      <c r="A122" s="12">
        <v>6</v>
      </c>
      <c r="B122" s="12" t="s">
        <v>14</v>
      </c>
      <c r="C122" s="12">
        <v>1.2</v>
      </c>
      <c r="D122" s="12">
        <v>1022</v>
      </c>
      <c r="E122" s="12">
        <v>25</v>
      </c>
      <c r="F122" s="12">
        <v>1</v>
      </c>
      <c r="G122" s="12">
        <v>1</v>
      </c>
      <c r="H122" s="12">
        <v>24</v>
      </c>
      <c r="I122" s="12" t="s">
        <v>19</v>
      </c>
      <c r="J122" s="12" t="s">
        <v>27</v>
      </c>
      <c r="K122" s="12">
        <f>VLOOKUP(Tableau2[[#This Row],[essence]],Tableau5[],2,FALSE)</f>
        <v>-1.806</v>
      </c>
      <c r="L122" s="12">
        <f>VLOOKUP(Tableau2[[#This Row],[essence]],Tableau5[],3,FALSE)</f>
        <v>1.2398</v>
      </c>
      <c r="M122" s="12">
        <f>IF(Tableau2[[#This Row],[priorecol]]="C",1,0)</f>
        <v>1</v>
      </c>
      <c r="N122" s="12">
        <f>VLOOKUP(Tableau2[[#This Row],[essence]],Tableau5[],4,FALSE)</f>
        <v>2.6488</v>
      </c>
      <c r="O122" s="12">
        <f>IF(Tableau2[[#This Row],[priorecol]]="R",1,0)</f>
        <v>0</v>
      </c>
      <c r="P122" s="12">
        <f>VLOOKUP(Tableau2[[#This Row],[essence]],Tableau5[],5,FALSE)</f>
        <v>0.61070000000000002</v>
      </c>
      <c r="Q122" s="12">
        <f>IF(Tableau2[[#This Row],[priorecol]]="S",1,0)</f>
        <v>0</v>
      </c>
      <c r="R122" s="12">
        <f>VLOOKUP(Tableau2[[#This Row],[essence]],Tableau5[],6,FALSE)</f>
        <v>5.67E-2</v>
      </c>
      <c r="S122" s="12">
        <f>VLOOKUP(Tableau2[[#This Row],[essence]],Tableau5[],15,FALSE)</f>
        <v>1.35E-2</v>
      </c>
      <c r="T122" s="12">
        <f>VLOOKUP(Tableau2[[#This Row],[essence]],Tableau5[],7,FALSE)</f>
        <v>0.95779999999999998</v>
      </c>
      <c r="U122" s="12">
        <f>IF(Tableau2[[#This Row],[sdom]]=1,1,0)</f>
        <v>0</v>
      </c>
      <c r="V122" s="12">
        <f>VLOOKUP(Tableau2[[#This Row],[essence]],Tableau5[],8,FALSE)</f>
        <v>0.66500000000000004</v>
      </c>
      <c r="W122" s="12">
        <f>IF(Tableau2[[#This Row],[sdom]]="2EST",1,0)</f>
        <v>0</v>
      </c>
      <c r="X122" s="12">
        <f>VLOOKUP(Tableau2[[#This Row],[essence]],Tableau5[],9,FALSE)</f>
        <v>0.32479999999999998</v>
      </c>
      <c r="Y122" s="12">
        <f>IF(Tableau2[[#This Row],[sdom]]="2OUEST",1,0)</f>
        <v>0</v>
      </c>
      <c r="Z122" s="12">
        <f>VLOOKUP(Tableau2[[#This Row],[essence]],Tableau5[],10,FALSE)</f>
        <v>0.62949999999999995</v>
      </c>
      <c r="AA122" s="12">
        <f>IF(Tableau2[[#This Row],[sdom]]="3EST",1,0)</f>
        <v>0</v>
      </c>
      <c r="AB122" s="12">
        <f>VLOOKUP(Tableau2[[#This Row],[essence]],Tableau5[],11,FALSE)</f>
        <v>0.56679999999999997</v>
      </c>
      <c r="AC122" s="12">
        <f>IF(Tableau2[[#This Row],[sdom]]="3OUEST",1,0)</f>
        <v>0</v>
      </c>
      <c r="AD122" s="12">
        <f>VLOOKUP(Tableau2[[#This Row],[essence]],Tableau5[],12,FALSE)</f>
        <v>0.21729999999999999</v>
      </c>
      <c r="AE122" s="12">
        <f>IF(Tableau2[[#This Row],[sdom]]="4EST",1,0)</f>
        <v>1</v>
      </c>
      <c r="AF122" s="12">
        <f>VLOOKUP(Tableau2[[#This Row],[essence]],Tableau5[],13,FALSE)</f>
        <v>0.39939999999999998</v>
      </c>
      <c r="AG122" s="12">
        <f>IF(Tableau2[[#This Row],[sdom]]="4OUEST",1,0)</f>
        <v>0</v>
      </c>
      <c r="AH122" s="12">
        <f>VLOOKUP(Tableau2[[#This Row],[essence]],Tableau5[],14,FALSE)</f>
        <v>6.5299999999999997E-2</v>
      </c>
      <c r="AI122" s="12">
        <f>IF(Tableau2[[#This Row],[sdom]]="5EST",1,0)</f>
        <v>0</v>
      </c>
      <c r="AJ122" s="12">
        <f>VLOOKUP(Tableau2[[#This Row],[essence]],Tableau5[],16,FALSE)</f>
        <v>0</v>
      </c>
      <c r="AK122" s="12">
        <f>IF(Tableau2[[#This Row],[sdom]]="5OUEST",1,0)</f>
        <v>0</v>
      </c>
      <c r="AL122" s="12">
        <f>VLOOKUP(Tableau2[[#This Row],[essence]],Tableau5[],17,FALSE)</f>
        <v>0</v>
      </c>
      <c r="AM122" s="12">
        <f>IF(Tableau2[[#This Row],[sdom]]="6EST",1,0)</f>
        <v>0</v>
      </c>
      <c r="AN122" s="12">
        <f>VLOOKUP(Tableau2[[#This Row],[essence]],Tableau5[],19,FALSE)</f>
        <v>0</v>
      </c>
      <c r="AO122" s="12">
        <f>IF(Tableau2[[#This Row],[priorecol]]="C",1,0)</f>
        <v>1</v>
      </c>
      <c r="AP122" s="12">
        <f>VLOOKUP(Tableau2[[#This Row],[essence]],Tableau5[],20,FALSE)</f>
        <v>0</v>
      </c>
      <c r="AQ122" s="12">
        <f>IF(Tableau2[[#This Row],[priorecol]]="R",1,0)</f>
        <v>0</v>
      </c>
      <c r="AR122" s="12">
        <f>VLOOKUP(Tableau2[[#This Row],[essence]],Tableau5[],21,FALSE)</f>
        <v>0</v>
      </c>
      <c r="AS122" s="12">
        <f>IF(Tableau2[[#This Row],[priorecol]]="S",1,0)</f>
        <v>0</v>
      </c>
      <c r="AT122" s="12">
        <f>VLOOKUP(Tableau2[[#This Row],[essence]],Tableau5[],22,FALSE)</f>
        <v>0</v>
      </c>
      <c r="AU122" s="12">
        <f>VLOOKUP(Tableau2[[#This Row],[essence]],Tableau5[],23,FALSE)</f>
        <v>0</v>
      </c>
      <c r="AV122" s="12">
        <f>VLOOKUP(Tableau2[[#This Row],[essence]],Tableau5[],18,FALSE)</f>
        <v>0</v>
      </c>
      <c r="AW12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1.3493999999999999</v>
      </c>
      <c r="AX122" s="12">
        <f>1/(1+EXP(-Tableau2[[#This Row],[xb_c]]))</f>
        <v>0.79403151823067752</v>
      </c>
      <c r="AY122" s="12" t="str">
        <f t="shared" si="2"/>
        <v>NA</v>
      </c>
      <c r="AZ122" s="12" t="str">
        <f t="shared" si="3"/>
        <v>NA</v>
      </c>
      <c r="BA122" s="12">
        <f>Tableau2[[#This Row],[prob_c]]</f>
        <v>0.79403151823067752</v>
      </c>
      <c r="BB122" s="12">
        <f>1-Tableau2[[#This Row],[prob_c]]</f>
        <v>0.20596848176932248</v>
      </c>
    </row>
    <row r="123" spans="1:54" x14ac:dyDescent="0.25">
      <c r="A123" s="12">
        <v>6</v>
      </c>
      <c r="B123" s="12" t="s">
        <v>14</v>
      </c>
      <c r="C123" s="12">
        <v>1.2</v>
      </c>
      <c r="D123" s="12">
        <v>1022</v>
      </c>
      <c r="E123" s="12">
        <v>25</v>
      </c>
      <c r="F123" s="12">
        <v>1</v>
      </c>
      <c r="G123" s="12">
        <v>2</v>
      </c>
      <c r="H123" s="12">
        <v>25</v>
      </c>
      <c r="I123" s="12" t="s">
        <v>19</v>
      </c>
      <c r="J123" s="12" t="s">
        <v>28</v>
      </c>
      <c r="K123" s="12">
        <f>VLOOKUP(Tableau2[[#This Row],[essence]],Tableau5[],2,FALSE)</f>
        <v>-1.806</v>
      </c>
      <c r="L123" s="12">
        <f>VLOOKUP(Tableau2[[#This Row],[essence]],Tableau5[],3,FALSE)</f>
        <v>1.2398</v>
      </c>
      <c r="M123" s="12">
        <f>IF(Tableau2[[#This Row],[priorecol]]="C",1,0)</f>
        <v>0</v>
      </c>
      <c r="N123" s="12">
        <f>VLOOKUP(Tableau2[[#This Row],[essence]],Tableau5[],4,FALSE)</f>
        <v>2.6488</v>
      </c>
      <c r="O123" s="12">
        <f>IF(Tableau2[[#This Row],[priorecol]]="R",1,0)</f>
        <v>1</v>
      </c>
      <c r="P123" s="12">
        <f>VLOOKUP(Tableau2[[#This Row],[essence]],Tableau5[],5,FALSE)</f>
        <v>0.61070000000000002</v>
      </c>
      <c r="Q123" s="12">
        <f>IF(Tableau2[[#This Row],[priorecol]]="S",1,0)</f>
        <v>0</v>
      </c>
      <c r="R123" s="12">
        <f>VLOOKUP(Tableau2[[#This Row],[essence]],Tableau5[],6,FALSE)</f>
        <v>5.67E-2</v>
      </c>
      <c r="S123" s="12">
        <f>VLOOKUP(Tableau2[[#This Row],[essence]],Tableau5[],15,FALSE)</f>
        <v>1.35E-2</v>
      </c>
      <c r="T123" s="12">
        <f>VLOOKUP(Tableau2[[#This Row],[essence]],Tableau5[],7,FALSE)</f>
        <v>0.95779999999999998</v>
      </c>
      <c r="U123" s="12">
        <f>IF(Tableau2[[#This Row],[sdom]]=1,1,0)</f>
        <v>0</v>
      </c>
      <c r="V123" s="12">
        <f>VLOOKUP(Tableau2[[#This Row],[essence]],Tableau5[],8,FALSE)</f>
        <v>0.66500000000000004</v>
      </c>
      <c r="W123" s="12">
        <f>IF(Tableau2[[#This Row],[sdom]]="2EST",1,0)</f>
        <v>0</v>
      </c>
      <c r="X123" s="12">
        <f>VLOOKUP(Tableau2[[#This Row],[essence]],Tableau5[],9,FALSE)</f>
        <v>0.32479999999999998</v>
      </c>
      <c r="Y123" s="12">
        <f>IF(Tableau2[[#This Row],[sdom]]="2OUEST",1,0)</f>
        <v>0</v>
      </c>
      <c r="Z123" s="12">
        <f>VLOOKUP(Tableau2[[#This Row],[essence]],Tableau5[],10,FALSE)</f>
        <v>0.62949999999999995</v>
      </c>
      <c r="AA123" s="12">
        <f>IF(Tableau2[[#This Row],[sdom]]="3EST",1,0)</f>
        <v>0</v>
      </c>
      <c r="AB123" s="12">
        <f>VLOOKUP(Tableau2[[#This Row],[essence]],Tableau5[],11,FALSE)</f>
        <v>0.56679999999999997</v>
      </c>
      <c r="AC123" s="12">
        <f>IF(Tableau2[[#This Row],[sdom]]="3OUEST",1,0)</f>
        <v>0</v>
      </c>
      <c r="AD123" s="12">
        <f>VLOOKUP(Tableau2[[#This Row],[essence]],Tableau5[],12,FALSE)</f>
        <v>0.21729999999999999</v>
      </c>
      <c r="AE123" s="12">
        <f>IF(Tableau2[[#This Row],[sdom]]="4EST",1,0)</f>
        <v>1</v>
      </c>
      <c r="AF123" s="12">
        <f>VLOOKUP(Tableau2[[#This Row],[essence]],Tableau5[],13,FALSE)</f>
        <v>0.39939999999999998</v>
      </c>
      <c r="AG123" s="12">
        <f>IF(Tableau2[[#This Row],[sdom]]="4OUEST",1,0)</f>
        <v>0</v>
      </c>
      <c r="AH123" s="12">
        <f>VLOOKUP(Tableau2[[#This Row],[essence]],Tableau5[],14,FALSE)</f>
        <v>6.5299999999999997E-2</v>
      </c>
      <c r="AI123" s="12">
        <f>IF(Tableau2[[#This Row],[sdom]]="5EST",1,0)</f>
        <v>0</v>
      </c>
      <c r="AJ123" s="12">
        <f>VLOOKUP(Tableau2[[#This Row],[essence]],Tableau5[],16,FALSE)</f>
        <v>0</v>
      </c>
      <c r="AK123" s="12">
        <f>IF(Tableau2[[#This Row],[sdom]]="5OUEST",1,0)</f>
        <v>0</v>
      </c>
      <c r="AL123" s="12">
        <f>VLOOKUP(Tableau2[[#This Row],[essence]],Tableau5[],17,FALSE)</f>
        <v>0</v>
      </c>
      <c r="AM123" s="12">
        <f>IF(Tableau2[[#This Row],[sdom]]="6EST",1,0)</f>
        <v>0</v>
      </c>
      <c r="AN123" s="12">
        <f>VLOOKUP(Tableau2[[#This Row],[essence]],Tableau5[],19,FALSE)</f>
        <v>0</v>
      </c>
      <c r="AO123" s="12">
        <f>IF(Tableau2[[#This Row],[priorecol]]="C",1,0)</f>
        <v>0</v>
      </c>
      <c r="AP123" s="12">
        <f>VLOOKUP(Tableau2[[#This Row],[essence]],Tableau5[],20,FALSE)</f>
        <v>0</v>
      </c>
      <c r="AQ123" s="12">
        <f>IF(Tableau2[[#This Row],[priorecol]]="R",1,0)</f>
        <v>1</v>
      </c>
      <c r="AR123" s="12">
        <f>VLOOKUP(Tableau2[[#This Row],[essence]],Tableau5[],21,FALSE)</f>
        <v>0</v>
      </c>
      <c r="AS123" s="12">
        <f>IF(Tableau2[[#This Row],[priorecol]]="S",1,0)</f>
        <v>0</v>
      </c>
      <c r="AT123" s="12">
        <f>VLOOKUP(Tableau2[[#This Row],[essence]],Tableau5[],22,FALSE)</f>
        <v>0</v>
      </c>
      <c r="AU123" s="12">
        <f>VLOOKUP(Tableau2[[#This Row],[essence]],Tableau5[],23,FALSE)</f>
        <v>0</v>
      </c>
      <c r="AV123" s="12">
        <f>VLOOKUP(Tableau2[[#This Row],[essence]],Tableau5[],18,FALSE)</f>
        <v>0</v>
      </c>
      <c r="AW12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2.8150999999999997</v>
      </c>
      <c r="AX123" s="12">
        <f>1/(1+EXP(-Tableau2[[#This Row],[xb_c]]))</f>
        <v>0.94348636624114712</v>
      </c>
      <c r="AY123" s="12" t="str">
        <f t="shared" si="2"/>
        <v>NA</v>
      </c>
      <c r="AZ123" s="12" t="str">
        <f t="shared" si="3"/>
        <v>NA</v>
      </c>
      <c r="BA123" s="12">
        <f>Tableau2[[#This Row],[prob_c]]</f>
        <v>0.94348636624114712</v>
      </c>
      <c r="BB123" s="12">
        <f>1-Tableau2[[#This Row],[prob_c]]</f>
        <v>5.6513633758852877E-2</v>
      </c>
    </row>
    <row r="124" spans="1:54" x14ac:dyDescent="0.25">
      <c r="A124" s="12">
        <v>6</v>
      </c>
      <c r="B124" s="12" t="s">
        <v>14</v>
      </c>
      <c r="C124" s="12">
        <v>1.2</v>
      </c>
      <c r="D124" s="12">
        <v>1022</v>
      </c>
      <c r="E124" s="12">
        <v>25</v>
      </c>
      <c r="F124" s="12">
        <v>1</v>
      </c>
      <c r="G124" s="12">
        <v>3</v>
      </c>
      <c r="H124" s="12">
        <v>26</v>
      </c>
      <c r="I124" s="12" t="s">
        <v>19</v>
      </c>
      <c r="J124" s="12" t="s">
        <v>29</v>
      </c>
      <c r="K124" s="12">
        <f>VLOOKUP(Tableau2[[#This Row],[essence]],Tableau5[],2,FALSE)</f>
        <v>-1.806</v>
      </c>
      <c r="L124" s="12">
        <f>VLOOKUP(Tableau2[[#This Row],[essence]],Tableau5[],3,FALSE)</f>
        <v>1.2398</v>
      </c>
      <c r="M124" s="12">
        <f>IF(Tableau2[[#This Row],[priorecol]]="C",1,0)</f>
        <v>0</v>
      </c>
      <c r="N124" s="12">
        <f>VLOOKUP(Tableau2[[#This Row],[essence]],Tableau5[],4,FALSE)</f>
        <v>2.6488</v>
      </c>
      <c r="O124" s="12">
        <f>IF(Tableau2[[#This Row],[priorecol]]="R",1,0)</f>
        <v>0</v>
      </c>
      <c r="P124" s="12">
        <f>VLOOKUP(Tableau2[[#This Row],[essence]],Tableau5[],5,FALSE)</f>
        <v>0.61070000000000002</v>
      </c>
      <c r="Q124" s="12">
        <f>IF(Tableau2[[#This Row],[priorecol]]="S",1,0)</f>
        <v>1</v>
      </c>
      <c r="R124" s="12">
        <f>VLOOKUP(Tableau2[[#This Row],[essence]],Tableau5[],6,FALSE)</f>
        <v>5.67E-2</v>
      </c>
      <c r="S124" s="12">
        <f>VLOOKUP(Tableau2[[#This Row],[essence]],Tableau5[],15,FALSE)</f>
        <v>1.35E-2</v>
      </c>
      <c r="T124" s="12">
        <f>VLOOKUP(Tableau2[[#This Row],[essence]],Tableau5[],7,FALSE)</f>
        <v>0.95779999999999998</v>
      </c>
      <c r="U124" s="12">
        <f>IF(Tableau2[[#This Row],[sdom]]=1,1,0)</f>
        <v>0</v>
      </c>
      <c r="V124" s="12">
        <f>VLOOKUP(Tableau2[[#This Row],[essence]],Tableau5[],8,FALSE)</f>
        <v>0.66500000000000004</v>
      </c>
      <c r="W124" s="12">
        <f>IF(Tableau2[[#This Row],[sdom]]="2EST",1,0)</f>
        <v>0</v>
      </c>
      <c r="X124" s="12">
        <f>VLOOKUP(Tableau2[[#This Row],[essence]],Tableau5[],9,FALSE)</f>
        <v>0.32479999999999998</v>
      </c>
      <c r="Y124" s="12">
        <f>IF(Tableau2[[#This Row],[sdom]]="2OUEST",1,0)</f>
        <v>0</v>
      </c>
      <c r="Z124" s="12">
        <f>VLOOKUP(Tableau2[[#This Row],[essence]],Tableau5[],10,FALSE)</f>
        <v>0.62949999999999995</v>
      </c>
      <c r="AA124" s="12">
        <f>IF(Tableau2[[#This Row],[sdom]]="3EST",1,0)</f>
        <v>0</v>
      </c>
      <c r="AB124" s="12">
        <f>VLOOKUP(Tableau2[[#This Row],[essence]],Tableau5[],11,FALSE)</f>
        <v>0.56679999999999997</v>
      </c>
      <c r="AC124" s="12">
        <f>IF(Tableau2[[#This Row],[sdom]]="3OUEST",1,0)</f>
        <v>0</v>
      </c>
      <c r="AD124" s="12">
        <f>VLOOKUP(Tableau2[[#This Row],[essence]],Tableau5[],12,FALSE)</f>
        <v>0.21729999999999999</v>
      </c>
      <c r="AE124" s="12">
        <f>IF(Tableau2[[#This Row],[sdom]]="4EST",1,0)</f>
        <v>1</v>
      </c>
      <c r="AF124" s="12">
        <f>VLOOKUP(Tableau2[[#This Row],[essence]],Tableau5[],13,FALSE)</f>
        <v>0.39939999999999998</v>
      </c>
      <c r="AG124" s="12">
        <f>IF(Tableau2[[#This Row],[sdom]]="4OUEST",1,0)</f>
        <v>0</v>
      </c>
      <c r="AH124" s="12">
        <f>VLOOKUP(Tableau2[[#This Row],[essence]],Tableau5[],14,FALSE)</f>
        <v>6.5299999999999997E-2</v>
      </c>
      <c r="AI124" s="12">
        <f>IF(Tableau2[[#This Row],[sdom]]="5EST",1,0)</f>
        <v>0</v>
      </c>
      <c r="AJ124" s="12">
        <f>VLOOKUP(Tableau2[[#This Row],[essence]],Tableau5[],16,FALSE)</f>
        <v>0</v>
      </c>
      <c r="AK124" s="12">
        <f>IF(Tableau2[[#This Row],[sdom]]="5OUEST",1,0)</f>
        <v>0</v>
      </c>
      <c r="AL124" s="12">
        <f>VLOOKUP(Tableau2[[#This Row],[essence]],Tableau5[],17,FALSE)</f>
        <v>0</v>
      </c>
      <c r="AM124" s="12">
        <f>IF(Tableau2[[#This Row],[sdom]]="6EST",1,0)</f>
        <v>0</v>
      </c>
      <c r="AN124" s="12">
        <f>VLOOKUP(Tableau2[[#This Row],[essence]],Tableau5[],19,FALSE)</f>
        <v>0</v>
      </c>
      <c r="AO124" s="12">
        <f>IF(Tableau2[[#This Row],[priorecol]]="C",1,0)</f>
        <v>0</v>
      </c>
      <c r="AP124" s="12">
        <f>VLOOKUP(Tableau2[[#This Row],[essence]],Tableau5[],20,FALSE)</f>
        <v>0</v>
      </c>
      <c r="AQ124" s="12">
        <f>IF(Tableau2[[#This Row],[priorecol]]="R",1,0)</f>
        <v>0</v>
      </c>
      <c r="AR124" s="12">
        <f>VLOOKUP(Tableau2[[#This Row],[essence]],Tableau5[],21,FALSE)</f>
        <v>0</v>
      </c>
      <c r="AS124" s="12">
        <f>IF(Tableau2[[#This Row],[priorecol]]="S",1,0)</f>
        <v>1</v>
      </c>
      <c r="AT124" s="12">
        <f>VLOOKUP(Tableau2[[#This Row],[essence]],Tableau5[],22,FALSE)</f>
        <v>0</v>
      </c>
      <c r="AU124" s="12">
        <f>VLOOKUP(Tableau2[[#This Row],[essence]],Tableau5[],23,FALSE)</f>
        <v>0</v>
      </c>
      <c r="AV124" s="12">
        <f>VLOOKUP(Tableau2[[#This Row],[essence]],Tableau5[],18,FALSE)</f>
        <v>0</v>
      </c>
      <c r="AW12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0.83369999999999989</v>
      </c>
      <c r="AX124" s="12">
        <f>1/(1+EXP(-Tableau2[[#This Row],[xb_c]]))</f>
        <v>0.6971367065045232</v>
      </c>
      <c r="AY124" s="12" t="str">
        <f t="shared" si="2"/>
        <v>NA</v>
      </c>
      <c r="AZ124" s="12" t="str">
        <f t="shared" si="3"/>
        <v>NA</v>
      </c>
      <c r="BA124" s="12">
        <f>Tableau2[[#This Row],[prob_c]]</f>
        <v>0.6971367065045232</v>
      </c>
      <c r="BB124" s="12">
        <f>1-Tableau2[[#This Row],[prob_c]]</f>
        <v>0.3028632934954768</v>
      </c>
    </row>
    <row r="125" spans="1:54" x14ac:dyDescent="0.25">
      <c r="A125" s="12">
        <v>6</v>
      </c>
      <c r="B125" s="12" t="s">
        <v>14</v>
      </c>
      <c r="C125" s="12">
        <v>1.2</v>
      </c>
      <c r="D125" s="12">
        <v>1022</v>
      </c>
      <c r="E125" s="12">
        <v>25</v>
      </c>
      <c r="F125" s="12">
        <v>1</v>
      </c>
      <c r="G125" s="12">
        <v>4</v>
      </c>
      <c r="H125" s="12">
        <v>27</v>
      </c>
      <c r="I125" s="12" t="s">
        <v>20</v>
      </c>
      <c r="J125" s="12" t="s">
        <v>27</v>
      </c>
      <c r="K125" s="12">
        <f>VLOOKUP(Tableau2[[#This Row],[essence]],Tableau5[],2,FALSE)</f>
        <v>0.69510000000000005</v>
      </c>
      <c r="L125" s="12">
        <f>VLOOKUP(Tableau2[[#This Row],[essence]],Tableau5[],3,FALSE)</f>
        <v>-0.51849999999999996</v>
      </c>
      <c r="M125" s="12">
        <f>IF(Tableau2[[#This Row],[priorecol]]="C",1,0)</f>
        <v>1</v>
      </c>
      <c r="N125" s="12">
        <f>VLOOKUP(Tableau2[[#This Row],[essence]],Tableau5[],4,FALSE)</f>
        <v>0.52129999999999999</v>
      </c>
      <c r="O125" s="12">
        <f>IF(Tableau2[[#This Row],[priorecol]]="R",1,0)</f>
        <v>0</v>
      </c>
      <c r="P125" s="12">
        <f>VLOOKUP(Tableau2[[#This Row],[essence]],Tableau5[],5,FALSE)</f>
        <v>-0.37890000000000001</v>
      </c>
      <c r="Q125" s="12">
        <f>IF(Tableau2[[#This Row],[priorecol]]="S",1,0)</f>
        <v>0</v>
      </c>
      <c r="R125" s="12">
        <f>VLOOKUP(Tableau2[[#This Row],[essence]],Tableau5[],6,FALSE)</f>
        <v>-5.5999999999999995E-4</v>
      </c>
      <c r="S125" s="12">
        <f>VLOOKUP(Tableau2[[#This Row],[essence]],Tableau5[],15,FALSE)</f>
        <v>1.52E-2</v>
      </c>
      <c r="T125" s="12">
        <f>VLOOKUP(Tableau2[[#This Row],[essence]],Tableau5[],7,FALSE)</f>
        <v>0</v>
      </c>
      <c r="U125" s="12">
        <f>IF(Tableau2[[#This Row],[sdom]]=1,1,0)</f>
        <v>0</v>
      </c>
      <c r="V125" s="12">
        <f>VLOOKUP(Tableau2[[#This Row],[essence]],Tableau5[],8,FALSE)</f>
        <v>-8.7900000000000006E-2</v>
      </c>
      <c r="W125" s="12">
        <f>IF(Tableau2[[#This Row],[sdom]]="2EST",1,0)</f>
        <v>0</v>
      </c>
      <c r="X125" s="12">
        <f>VLOOKUP(Tableau2[[#This Row],[essence]],Tableau5[],9,FALSE)</f>
        <v>0.42620000000000002</v>
      </c>
      <c r="Y125" s="12">
        <f>IF(Tableau2[[#This Row],[sdom]]="2OUEST",1,0)</f>
        <v>0</v>
      </c>
      <c r="Z125" s="12">
        <f>VLOOKUP(Tableau2[[#This Row],[essence]],Tableau5[],10,FALSE)</f>
        <v>0.54149999999999998</v>
      </c>
      <c r="AA125" s="12">
        <f>IF(Tableau2[[#This Row],[sdom]]="3EST",1,0)</f>
        <v>0</v>
      </c>
      <c r="AB125" s="12">
        <f>VLOOKUP(Tableau2[[#This Row],[essence]],Tableau5[],11,FALSE)</f>
        <v>0.50339999999999996</v>
      </c>
      <c r="AC125" s="12">
        <f>IF(Tableau2[[#This Row],[sdom]]="3OUEST",1,0)</f>
        <v>0</v>
      </c>
      <c r="AD125" s="12">
        <f>VLOOKUP(Tableau2[[#This Row],[essence]],Tableau5[],12,FALSE)</f>
        <v>-3.0599999999999999E-2</v>
      </c>
      <c r="AE125" s="12">
        <f>IF(Tableau2[[#This Row],[sdom]]="4EST",1,0)</f>
        <v>1</v>
      </c>
      <c r="AF125" s="12">
        <f>VLOOKUP(Tableau2[[#This Row],[essence]],Tableau5[],13,FALSE)</f>
        <v>0.1583</v>
      </c>
      <c r="AG125" s="12">
        <f>IF(Tableau2[[#This Row],[sdom]]="4OUEST",1,0)</f>
        <v>0</v>
      </c>
      <c r="AH125" s="12">
        <f>VLOOKUP(Tableau2[[#This Row],[essence]],Tableau5[],14,FALSE)</f>
        <v>3.9800000000000002E-2</v>
      </c>
      <c r="AI125" s="12">
        <f>IF(Tableau2[[#This Row],[sdom]]="5EST",1,0)</f>
        <v>0</v>
      </c>
      <c r="AJ125" s="12">
        <f>VLOOKUP(Tableau2[[#This Row],[essence]],Tableau5[],16,FALSE)</f>
        <v>0.13650000000000001</v>
      </c>
      <c r="AK125" s="12">
        <f>IF(Tableau2[[#This Row],[sdom]]="5OUEST",1,0)</f>
        <v>0</v>
      </c>
      <c r="AL125" s="12">
        <f>VLOOKUP(Tableau2[[#This Row],[essence]],Tableau5[],17,FALSE)</f>
        <v>-0.39140000000000003</v>
      </c>
      <c r="AM125" s="12">
        <f>IF(Tableau2[[#This Row],[sdom]]="6EST",1,0)</f>
        <v>0</v>
      </c>
      <c r="AN125" s="12">
        <f>VLOOKUP(Tableau2[[#This Row],[essence]],Tableau5[],19,FALSE)</f>
        <v>5.8000000000000003E-2</v>
      </c>
      <c r="AO125" s="12">
        <f>IF(Tableau2[[#This Row],[priorecol]]="C",1,0)</f>
        <v>1</v>
      </c>
      <c r="AP125" s="12">
        <f>VLOOKUP(Tableau2[[#This Row],[essence]],Tableau5[],20,FALSE)</f>
        <v>4.7500000000000001E-2</v>
      </c>
      <c r="AQ125" s="12">
        <f>IF(Tableau2[[#This Row],[priorecol]]="R",1,0)</f>
        <v>0</v>
      </c>
      <c r="AR125" s="12">
        <f>VLOOKUP(Tableau2[[#This Row],[essence]],Tableau5[],21,FALSE)</f>
        <v>4.87E-2</v>
      </c>
      <c r="AS125" s="12">
        <f>IF(Tableau2[[#This Row],[priorecol]]="S",1,0)</f>
        <v>0</v>
      </c>
      <c r="AT125" s="12">
        <f>VLOOKUP(Tableau2[[#This Row],[essence]],Tableau5[],22,FALSE)</f>
        <v>0</v>
      </c>
      <c r="AU125" s="12">
        <f>VLOOKUP(Tableau2[[#This Row],[essence]],Tableau5[],23,FALSE)</f>
        <v>0</v>
      </c>
      <c r="AV125" s="12">
        <f>VLOOKUP(Tableau2[[#This Row],[essence]],Tableau5[],18,FALSE)</f>
        <v>-0.112</v>
      </c>
      <c r="AW12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1.94248</v>
      </c>
      <c r="AX125" s="12">
        <f>1/(1+EXP(-Tableau2[[#This Row],[xb_c]]))</f>
        <v>0.8746243446076567</v>
      </c>
      <c r="AY125" s="12" t="str">
        <f t="shared" si="2"/>
        <v>NA</v>
      </c>
      <c r="AZ125" s="12" t="str">
        <f t="shared" si="3"/>
        <v>NA</v>
      </c>
      <c r="BA125" s="12">
        <f>Tableau2[[#This Row],[prob_c]]</f>
        <v>0.8746243446076567</v>
      </c>
      <c r="BB125" s="12">
        <f>1-Tableau2[[#This Row],[prob_c]]</f>
        <v>0.1253756553923433</v>
      </c>
    </row>
    <row r="126" spans="1:54" x14ac:dyDescent="0.25">
      <c r="A126" s="12">
        <v>6</v>
      </c>
      <c r="B126" s="12" t="s">
        <v>14</v>
      </c>
      <c r="C126" s="12">
        <v>1.2</v>
      </c>
      <c r="D126" s="12">
        <v>1022</v>
      </c>
      <c r="E126" s="12">
        <v>25</v>
      </c>
      <c r="F126" s="12">
        <v>1</v>
      </c>
      <c r="G126" s="12">
        <v>5</v>
      </c>
      <c r="H126" s="12">
        <v>28</v>
      </c>
      <c r="I126" s="12" t="s">
        <v>20</v>
      </c>
      <c r="J126" s="12" t="s">
        <v>28</v>
      </c>
      <c r="K126" s="12">
        <f>VLOOKUP(Tableau2[[#This Row],[essence]],Tableau5[],2,FALSE)</f>
        <v>0.69510000000000005</v>
      </c>
      <c r="L126" s="12">
        <f>VLOOKUP(Tableau2[[#This Row],[essence]],Tableau5[],3,FALSE)</f>
        <v>-0.51849999999999996</v>
      </c>
      <c r="M126" s="12">
        <f>IF(Tableau2[[#This Row],[priorecol]]="C",1,0)</f>
        <v>0</v>
      </c>
      <c r="N126" s="12">
        <f>VLOOKUP(Tableau2[[#This Row],[essence]],Tableau5[],4,FALSE)</f>
        <v>0.52129999999999999</v>
      </c>
      <c r="O126" s="12">
        <f>IF(Tableau2[[#This Row],[priorecol]]="R",1,0)</f>
        <v>1</v>
      </c>
      <c r="P126" s="12">
        <f>VLOOKUP(Tableau2[[#This Row],[essence]],Tableau5[],5,FALSE)</f>
        <v>-0.37890000000000001</v>
      </c>
      <c r="Q126" s="12">
        <f>IF(Tableau2[[#This Row],[priorecol]]="S",1,0)</f>
        <v>0</v>
      </c>
      <c r="R126" s="12">
        <f>VLOOKUP(Tableau2[[#This Row],[essence]],Tableau5[],6,FALSE)</f>
        <v>-5.5999999999999995E-4</v>
      </c>
      <c r="S126" s="12">
        <f>VLOOKUP(Tableau2[[#This Row],[essence]],Tableau5[],15,FALSE)</f>
        <v>1.52E-2</v>
      </c>
      <c r="T126" s="12">
        <f>VLOOKUP(Tableau2[[#This Row],[essence]],Tableau5[],7,FALSE)</f>
        <v>0</v>
      </c>
      <c r="U126" s="12">
        <f>IF(Tableau2[[#This Row],[sdom]]=1,1,0)</f>
        <v>0</v>
      </c>
      <c r="V126" s="12">
        <f>VLOOKUP(Tableau2[[#This Row],[essence]],Tableau5[],8,FALSE)</f>
        <v>-8.7900000000000006E-2</v>
      </c>
      <c r="W126" s="12">
        <f>IF(Tableau2[[#This Row],[sdom]]="2EST",1,0)</f>
        <v>0</v>
      </c>
      <c r="X126" s="12">
        <f>VLOOKUP(Tableau2[[#This Row],[essence]],Tableau5[],9,FALSE)</f>
        <v>0.42620000000000002</v>
      </c>
      <c r="Y126" s="12">
        <f>IF(Tableau2[[#This Row],[sdom]]="2OUEST",1,0)</f>
        <v>0</v>
      </c>
      <c r="Z126" s="12">
        <f>VLOOKUP(Tableau2[[#This Row],[essence]],Tableau5[],10,FALSE)</f>
        <v>0.54149999999999998</v>
      </c>
      <c r="AA126" s="12">
        <f>IF(Tableau2[[#This Row],[sdom]]="3EST",1,0)</f>
        <v>0</v>
      </c>
      <c r="AB126" s="12">
        <f>VLOOKUP(Tableau2[[#This Row],[essence]],Tableau5[],11,FALSE)</f>
        <v>0.50339999999999996</v>
      </c>
      <c r="AC126" s="12">
        <f>IF(Tableau2[[#This Row],[sdom]]="3OUEST",1,0)</f>
        <v>0</v>
      </c>
      <c r="AD126" s="12">
        <f>VLOOKUP(Tableau2[[#This Row],[essence]],Tableau5[],12,FALSE)</f>
        <v>-3.0599999999999999E-2</v>
      </c>
      <c r="AE126" s="12">
        <f>IF(Tableau2[[#This Row],[sdom]]="4EST",1,0)</f>
        <v>1</v>
      </c>
      <c r="AF126" s="12">
        <f>VLOOKUP(Tableau2[[#This Row],[essence]],Tableau5[],13,FALSE)</f>
        <v>0.1583</v>
      </c>
      <c r="AG126" s="12">
        <f>IF(Tableau2[[#This Row],[sdom]]="4OUEST",1,0)</f>
        <v>0</v>
      </c>
      <c r="AH126" s="12">
        <f>VLOOKUP(Tableau2[[#This Row],[essence]],Tableau5[],14,FALSE)</f>
        <v>3.9800000000000002E-2</v>
      </c>
      <c r="AI126" s="12">
        <f>IF(Tableau2[[#This Row],[sdom]]="5EST",1,0)</f>
        <v>0</v>
      </c>
      <c r="AJ126" s="12">
        <f>VLOOKUP(Tableau2[[#This Row],[essence]],Tableau5[],16,FALSE)</f>
        <v>0.13650000000000001</v>
      </c>
      <c r="AK126" s="12">
        <f>IF(Tableau2[[#This Row],[sdom]]="5OUEST",1,0)</f>
        <v>0</v>
      </c>
      <c r="AL126" s="12">
        <f>VLOOKUP(Tableau2[[#This Row],[essence]],Tableau5[],17,FALSE)</f>
        <v>-0.39140000000000003</v>
      </c>
      <c r="AM126" s="12">
        <f>IF(Tableau2[[#This Row],[sdom]]="6EST",1,0)</f>
        <v>0</v>
      </c>
      <c r="AN126" s="12">
        <f>VLOOKUP(Tableau2[[#This Row],[essence]],Tableau5[],19,FALSE)</f>
        <v>5.8000000000000003E-2</v>
      </c>
      <c r="AO126" s="12">
        <f>IF(Tableau2[[#This Row],[priorecol]]="C",1,0)</f>
        <v>0</v>
      </c>
      <c r="AP126" s="12">
        <f>VLOOKUP(Tableau2[[#This Row],[essence]],Tableau5[],20,FALSE)</f>
        <v>4.7500000000000001E-2</v>
      </c>
      <c r="AQ126" s="12">
        <f>IF(Tableau2[[#This Row],[priorecol]]="R",1,0)</f>
        <v>1</v>
      </c>
      <c r="AR126" s="12">
        <f>VLOOKUP(Tableau2[[#This Row],[essence]],Tableau5[],21,FALSE)</f>
        <v>4.87E-2</v>
      </c>
      <c r="AS126" s="12">
        <f>IF(Tableau2[[#This Row],[priorecol]]="S",1,0)</f>
        <v>0</v>
      </c>
      <c r="AT126" s="12">
        <f>VLOOKUP(Tableau2[[#This Row],[essence]],Tableau5[],22,FALSE)</f>
        <v>0</v>
      </c>
      <c r="AU126" s="12">
        <f>VLOOKUP(Tableau2[[#This Row],[essence]],Tableau5[],23,FALSE)</f>
        <v>0</v>
      </c>
      <c r="AV126" s="12">
        <f>VLOOKUP(Tableau2[[#This Row],[essence]],Tableau5[],18,FALSE)</f>
        <v>-0.112</v>
      </c>
      <c r="AW12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2.7457200000000008</v>
      </c>
      <c r="AX126" s="12">
        <f>1/(1+EXP(-Tableau2[[#This Row],[xb_c]]))</f>
        <v>0.93967117589646809</v>
      </c>
      <c r="AY126" s="12" t="str">
        <f t="shared" si="2"/>
        <v>NA</v>
      </c>
      <c r="AZ126" s="12" t="str">
        <f t="shared" si="3"/>
        <v>NA</v>
      </c>
      <c r="BA126" s="12">
        <f>Tableau2[[#This Row],[prob_c]]</f>
        <v>0.93967117589646809</v>
      </c>
      <c r="BB126" s="12">
        <f>1-Tableau2[[#This Row],[prob_c]]</f>
        <v>6.0328824103531908E-2</v>
      </c>
    </row>
    <row r="127" spans="1:54" x14ac:dyDescent="0.25">
      <c r="A127" s="12">
        <v>6</v>
      </c>
      <c r="B127" s="12" t="s">
        <v>14</v>
      </c>
      <c r="C127" s="12">
        <v>1.2</v>
      </c>
      <c r="D127" s="12">
        <v>1022</v>
      </c>
      <c r="E127" s="12">
        <v>25</v>
      </c>
      <c r="F127" s="12">
        <v>1</v>
      </c>
      <c r="G127" s="12">
        <v>6</v>
      </c>
      <c r="H127" s="12">
        <v>29</v>
      </c>
      <c r="I127" s="12" t="s">
        <v>20</v>
      </c>
      <c r="J127" s="12" t="s">
        <v>29</v>
      </c>
      <c r="K127" s="12">
        <f>VLOOKUP(Tableau2[[#This Row],[essence]],Tableau5[],2,FALSE)</f>
        <v>0.69510000000000005</v>
      </c>
      <c r="L127" s="12">
        <f>VLOOKUP(Tableau2[[#This Row],[essence]],Tableau5[],3,FALSE)</f>
        <v>-0.51849999999999996</v>
      </c>
      <c r="M127" s="12">
        <f>IF(Tableau2[[#This Row],[priorecol]]="C",1,0)</f>
        <v>0</v>
      </c>
      <c r="N127" s="12">
        <f>VLOOKUP(Tableau2[[#This Row],[essence]],Tableau5[],4,FALSE)</f>
        <v>0.52129999999999999</v>
      </c>
      <c r="O127" s="12">
        <f>IF(Tableau2[[#This Row],[priorecol]]="R",1,0)</f>
        <v>0</v>
      </c>
      <c r="P127" s="12">
        <f>VLOOKUP(Tableau2[[#This Row],[essence]],Tableau5[],5,FALSE)</f>
        <v>-0.37890000000000001</v>
      </c>
      <c r="Q127" s="12">
        <f>IF(Tableau2[[#This Row],[priorecol]]="S",1,0)</f>
        <v>1</v>
      </c>
      <c r="R127" s="12">
        <f>VLOOKUP(Tableau2[[#This Row],[essence]],Tableau5[],6,FALSE)</f>
        <v>-5.5999999999999995E-4</v>
      </c>
      <c r="S127" s="12">
        <f>VLOOKUP(Tableau2[[#This Row],[essence]],Tableau5[],15,FALSE)</f>
        <v>1.52E-2</v>
      </c>
      <c r="T127" s="12">
        <f>VLOOKUP(Tableau2[[#This Row],[essence]],Tableau5[],7,FALSE)</f>
        <v>0</v>
      </c>
      <c r="U127" s="12">
        <f>IF(Tableau2[[#This Row],[sdom]]=1,1,0)</f>
        <v>0</v>
      </c>
      <c r="V127" s="12">
        <f>VLOOKUP(Tableau2[[#This Row],[essence]],Tableau5[],8,FALSE)</f>
        <v>-8.7900000000000006E-2</v>
      </c>
      <c r="W127" s="12">
        <f>IF(Tableau2[[#This Row],[sdom]]="2EST",1,0)</f>
        <v>0</v>
      </c>
      <c r="X127" s="12">
        <f>VLOOKUP(Tableau2[[#This Row],[essence]],Tableau5[],9,FALSE)</f>
        <v>0.42620000000000002</v>
      </c>
      <c r="Y127" s="12">
        <f>IF(Tableau2[[#This Row],[sdom]]="2OUEST",1,0)</f>
        <v>0</v>
      </c>
      <c r="Z127" s="12">
        <f>VLOOKUP(Tableau2[[#This Row],[essence]],Tableau5[],10,FALSE)</f>
        <v>0.54149999999999998</v>
      </c>
      <c r="AA127" s="12">
        <f>IF(Tableau2[[#This Row],[sdom]]="3EST",1,0)</f>
        <v>0</v>
      </c>
      <c r="AB127" s="12">
        <f>VLOOKUP(Tableau2[[#This Row],[essence]],Tableau5[],11,FALSE)</f>
        <v>0.50339999999999996</v>
      </c>
      <c r="AC127" s="12">
        <f>IF(Tableau2[[#This Row],[sdom]]="3OUEST",1,0)</f>
        <v>0</v>
      </c>
      <c r="AD127" s="12">
        <f>VLOOKUP(Tableau2[[#This Row],[essence]],Tableau5[],12,FALSE)</f>
        <v>-3.0599999999999999E-2</v>
      </c>
      <c r="AE127" s="12">
        <f>IF(Tableau2[[#This Row],[sdom]]="4EST",1,0)</f>
        <v>1</v>
      </c>
      <c r="AF127" s="12">
        <f>VLOOKUP(Tableau2[[#This Row],[essence]],Tableau5[],13,FALSE)</f>
        <v>0.1583</v>
      </c>
      <c r="AG127" s="12">
        <f>IF(Tableau2[[#This Row],[sdom]]="4OUEST",1,0)</f>
        <v>0</v>
      </c>
      <c r="AH127" s="12">
        <f>VLOOKUP(Tableau2[[#This Row],[essence]],Tableau5[],14,FALSE)</f>
        <v>3.9800000000000002E-2</v>
      </c>
      <c r="AI127" s="12">
        <f>IF(Tableau2[[#This Row],[sdom]]="5EST",1,0)</f>
        <v>0</v>
      </c>
      <c r="AJ127" s="12">
        <f>VLOOKUP(Tableau2[[#This Row],[essence]],Tableau5[],16,FALSE)</f>
        <v>0.13650000000000001</v>
      </c>
      <c r="AK127" s="12">
        <f>IF(Tableau2[[#This Row],[sdom]]="5OUEST",1,0)</f>
        <v>0</v>
      </c>
      <c r="AL127" s="12">
        <f>VLOOKUP(Tableau2[[#This Row],[essence]],Tableau5[],17,FALSE)</f>
        <v>-0.39140000000000003</v>
      </c>
      <c r="AM127" s="12">
        <f>IF(Tableau2[[#This Row],[sdom]]="6EST",1,0)</f>
        <v>0</v>
      </c>
      <c r="AN127" s="12">
        <f>VLOOKUP(Tableau2[[#This Row],[essence]],Tableau5[],19,FALSE)</f>
        <v>5.8000000000000003E-2</v>
      </c>
      <c r="AO127" s="12">
        <f>IF(Tableau2[[#This Row],[priorecol]]="C",1,0)</f>
        <v>0</v>
      </c>
      <c r="AP127" s="12">
        <f>VLOOKUP(Tableau2[[#This Row],[essence]],Tableau5[],20,FALSE)</f>
        <v>4.7500000000000001E-2</v>
      </c>
      <c r="AQ127" s="12">
        <f>IF(Tableau2[[#This Row],[priorecol]]="R",1,0)</f>
        <v>0</v>
      </c>
      <c r="AR127" s="12">
        <f>VLOOKUP(Tableau2[[#This Row],[essence]],Tableau5[],21,FALSE)</f>
        <v>4.87E-2</v>
      </c>
      <c r="AS127" s="12">
        <f>IF(Tableau2[[#This Row],[priorecol]]="S",1,0)</f>
        <v>1</v>
      </c>
      <c r="AT127" s="12">
        <f>VLOOKUP(Tableau2[[#This Row],[essence]],Tableau5[],22,FALSE)</f>
        <v>0</v>
      </c>
      <c r="AU127" s="12">
        <f>VLOOKUP(Tableau2[[#This Row],[essence]],Tableau5[],23,FALSE)</f>
        <v>0</v>
      </c>
      <c r="AV127" s="12">
        <f>VLOOKUP(Tableau2[[#This Row],[essence]],Tableau5[],18,FALSE)</f>
        <v>-0.112</v>
      </c>
      <c r="AW12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1.9272600000000002</v>
      </c>
      <c r="AX127" s="12">
        <f>1/(1+EXP(-Tableau2[[#This Row],[xb_c]]))</f>
        <v>0.87294583304316531</v>
      </c>
      <c r="AY127" s="12" t="str">
        <f t="shared" si="2"/>
        <v>NA</v>
      </c>
      <c r="AZ127" s="12" t="str">
        <f t="shared" si="3"/>
        <v>NA</v>
      </c>
      <c r="BA127" s="12">
        <f>Tableau2[[#This Row],[prob_c]]</f>
        <v>0.87294583304316531</v>
      </c>
      <c r="BB127" s="12">
        <f>1-Tableau2[[#This Row],[prob_c]]</f>
        <v>0.12705416695683469</v>
      </c>
    </row>
    <row r="128" spans="1:54" x14ac:dyDescent="0.25">
      <c r="A128" s="12">
        <v>6</v>
      </c>
      <c r="B128" s="12" t="s">
        <v>14</v>
      </c>
      <c r="C128" s="12">
        <v>1.2</v>
      </c>
      <c r="D128" s="12">
        <v>1022</v>
      </c>
      <c r="E128" s="12">
        <v>25</v>
      </c>
      <c r="F128" s="12">
        <v>1</v>
      </c>
      <c r="G128" s="12">
        <v>7</v>
      </c>
      <c r="H128" s="12">
        <v>30</v>
      </c>
      <c r="I128" s="12" t="s">
        <v>21</v>
      </c>
      <c r="J128" s="12" t="s">
        <v>27</v>
      </c>
      <c r="K128" s="12">
        <f>VLOOKUP(Tableau2[[#This Row],[essence]],Tableau5[],2,FALSE)</f>
        <v>5.0801999999999996</v>
      </c>
      <c r="L128" s="12">
        <f>VLOOKUP(Tableau2[[#This Row],[essence]],Tableau5[],3,FALSE)</f>
        <v>1.7765</v>
      </c>
      <c r="M128" s="12">
        <f>IF(Tableau2[[#This Row],[priorecol]]="C",1,0)</f>
        <v>1</v>
      </c>
      <c r="N128" s="12">
        <f>VLOOKUP(Tableau2[[#This Row],[essence]],Tableau5[],4,FALSE)</f>
        <v>3.3664000000000001</v>
      </c>
      <c r="O128" s="12">
        <f>IF(Tableau2[[#This Row],[priorecol]]="R",1,0)</f>
        <v>0</v>
      </c>
      <c r="P128" s="12">
        <f>VLOOKUP(Tableau2[[#This Row],[essence]],Tableau5[],5,FALSE)</f>
        <v>0.57940000000000003</v>
      </c>
      <c r="Q128" s="12">
        <f>IF(Tableau2[[#This Row],[priorecol]]="S",1,0)</f>
        <v>0</v>
      </c>
      <c r="R128" s="12">
        <f>VLOOKUP(Tableau2[[#This Row],[essence]],Tableau5[],6,FALSE)</f>
        <v>-0.2109</v>
      </c>
      <c r="S128" s="12">
        <f>VLOOKUP(Tableau2[[#This Row],[essence]],Tableau5[],15,FALSE)</f>
        <v>-0.2429</v>
      </c>
      <c r="T128" s="12">
        <f>VLOOKUP(Tableau2[[#This Row],[essence]],Tableau5[],7,FALSE)</f>
        <v>0</v>
      </c>
      <c r="U128" s="12">
        <f>IF(Tableau2[[#This Row],[sdom]]=1,1,0)</f>
        <v>0</v>
      </c>
      <c r="V128" s="12">
        <f>VLOOKUP(Tableau2[[#This Row],[essence]],Tableau5[],8,FALSE)</f>
        <v>0</v>
      </c>
      <c r="W128" s="12">
        <f>IF(Tableau2[[#This Row],[sdom]]="2EST",1,0)</f>
        <v>0</v>
      </c>
      <c r="X128" s="12">
        <f>VLOOKUP(Tableau2[[#This Row],[essence]],Tableau5[],9,FALSE)</f>
        <v>0</v>
      </c>
      <c r="Y128" s="12">
        <f>IF(Tableau2[[#This Row],[sdom]]="2OUEST",1,0)</f>
        <v>0</v>
      </c>
      <c r="Z128" s="12">
        <f>VLOOKUP(Tableau2[[#This Row],[essence]],Tableau5[],10,FALSE)</f>
        <v>0</v>
      </c>
      <c r="AA128" s="12">
        <f>IF(Tableau2[[#This Row],[sdom]]="3EST",1,0)</f>
        <v>0</v>
      </c>
      <c r="AB128" s="12">
        <f>VLOOKUP(Tableau2[[#This Row],[essence]],Tableau5[],11,FALSE)</f>
        <v>0</v>
      </c>
      <c r="AC128" s="12">
        <f>IF(Tableau2[[#This Row],[sdom]]="3OUEST",1,0)</f>
        <v>0</v>
      </c>
      <c r="AD128" s="12">
        <f>VLOOKUP(Tableau2[[#This Row],[essence]],Tableau5[],12,FALSE)</f>
        <v>0</v>
      </c>
      <c r="AE128" s="12">
        <f>IF(Tableau2[[#This Row],[sdom]]="4EST",1,0)</f>
        <v>1</v>
      </c>
      <c r="AF128" s="12">
        <f>VLOOKUP(Tableau2[[#This Row],[essence]],Tableau5[],13,FALSE)</f>
        <v>0</v>
      </c>
      <c r="AG128" s="12">
        <f>IF(Tableau2[[#This Row],[sdom]]="4OUEST",1,0)</f>
        <v>0</v>
      </c>
      <c r="AH128" s="12">
        <f>VLOOKUP(Tableau2[[#This Row],[essence]],Tableau5[],14,FALSE)</f>
        <v>0</v>
      </c>
      <c r="AI128" s="12">
        <f>IF(Tableau2[[#This Row],[sdom]]="5EST",1,0)</f>
        <v>0</v>
      </c>
      <c r="AJ128" s="12">
        <f>VLOOKUP(Tableau2[[#This Row],[essence]],Tableau5[],16,FALSE)</f>
        <v>0</v>
      </c>
      <c r="AK128" s="12">
        <f>IF(Tableau2[[#This Row],[sdom]]="5OUEST",1,0)</f>
        <v>0</v>
      </c>
      <c r="AL128" s="12">
        <f>VLOOKUP(Tableau2[[#This Row],[essence]],Tableau5[],17,FALSE)</f>
        <v>0</v>
      </c>
      <c r="AM128" s="12">
        <f>IF(Tableau2[[#This Row],[sdom]]="6EST",1,0)</f>
        <v>0</v>
      </c>
      <c r="AN128" s="12">
        <f>VLOOKUP(Tableau2[[#This Row],[essence]],Tableau5[],19,FALSE)</f>
        <v>0</v>
      </c>
      <c r="AO128" s="12">
        <f>IF(Tableau2[[#This Row],[priorecol]]="C",1,0)</f>
        <v>1</v>
      </c>
      <c r="AP128" s="12">
        <f>VLOOKUP(Tableau2[[#This Row],[essence]],Tableau5[],20,FALSE)</f>
        <v>0</v>
      </c>
      <c r="AQ128" s="12">
        <f>IF(Tableau2[[#This Row],[priorecol]]="R",1,0)</f>
        <v>0</v>
      </c>
      <c r="AR128" s="12">
        <f>VLOOKUP(Tableau2[[#This Row],[essence]],Tableau5[],21,FALSE)</f>
        <v>0</v>
      </c>
      <c r="AS128" s="12">
        <f>IF(Tableau2[[#This Row],[priorecol]]="S",1,0)</f>
        <v>0</v>
      </c>
      <c r="AT128" s="12">
        <f>VLOOKUP(Tableau2[[#This Row],[essence]],Tableau5[],22,FALSE)</f>
        <v>1.1384000000000001</v>
      </c>
      <c r="AU128" s="12">
        <f>VLOOKUP(Tableau2[[#This Row],[essence]],Tableau5[],23,FALSE)</f>
        <v>1.0699999999999999E-2</v>
      </c>
      <c r="AV128" s="12">
        <f>VLOOKUP(Tableau2[[#This Row],[essence]],Tableau5[],18,FALSE)</f>
        <v>0</v>
      </c>
      <c r="AW12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3.6205999999999987</v>
      </c>
      <c r="AX128" s="12">
        <f>1/(1+EXP(-Tableau2[[#This Row],[xb_c]]))</f>
        <v>0.97393116273797642</v>
      </c>
      <c r="AY128" s="12" t="str">
        <f t="shared" si="2"/>
        <v>NA</v>
      </c>
      <c r="AZ128" s="12" t="str">
        <f t="shared" si="3"/>
        <v>NA</v>
      </c>
      <c r="BA128" s="12">
        <f>Tableau2[[#This Row],[prob_c]]</f>
        <v>0.97393116273797642</v>
      </c>
      <c r="BB128" s="12">
        <f>1-Tableau2[[#This Row],[prob_c]]</f>
        <v>2.6068837262023581E-2</v>
      </c>
    </row>
    <row r="129" spans="1:54" x14ac:dyDescent="0.25">
      <c r="A129" s="12">
        <v>6</v>
      </c>
      <c r="B129" s="12" t="s">
        <v>14</v>
      </c>
      <c r="C129" s="12">
        <v>1.2</v>
      </c>
      <c r="D129" s="12">
        <v>1022</v>
      </c>
      <c r="E129" s="12">
        <v>25</v>
      </c>
      <c r="F129" s="12">
        <v>1</v>
      </c>
      <c r="G129" s="12">
        <v>8</v>
      </c>
      <c r="H129" s="12">
        <v>31</v>
      </c>
      <c r="I129" s="12" t="s">
        <v>21</v>
      </c>
      <c r="J129" s="12" t="s">
        <v>28</v>
      </c>
      <c r="K129" s="12">
        <f>VLOOKUP(Tableau2[[#This Row],[essence]],Tableau5[],2,FALSE)</f>
        <v>5.0801999999999996</v>
      </c>
      <c r="L129" s="12">
        <f>VLOOKUP(Tableau2[[#This Row],[essence]],Tableau5[],3,FALSE)</f>
        <v>1.7765</v>
      </c>
      <c r="M129" s="12">
        <f>IF(Tableau2[[#This Row],[priorecol]]="C",1,0)</f>
        <v>0</v>
      </c>
      <c r="N129" s="12">
        <f>VLOOKUP(Tableau2[[#This Row],[essence]],Tableau5[],4,FALSE)</f>
        <v>3.3664000000000001</v>
      </c>
      <c r="O129" s="12">
        <f>IF(Tableau2[[#This Row],[priorecol]]="R",1,0)</f>
        <v>1</v>
      </c>
      <c r="P129" s="12">
        <f>VLOOKUP(Tableau2[[#This Row],[essence]],Tableau5[],5,FALSE)</f>
        <v>0.57940000000000003</v>
      </c>
      <c r="Q129" s="12">
        <f>IF(Tableau2[[#This Row],[priorecol]]="S",1,0)</f>
        <v>0</v>
      </c>
      <c r="R129" s="12">
        <f>VLOOKUP(Tableau2[[#This Row],[essence]],Tableau5[],6,FALSE)</f>
        <v>-0.2109</v>
      </c>
      <c r="S129" s="12">
        <f>VLOOKUP(Tableau2[[#This Row],[essence]],Tableau5[],15,FALSE)</f>
        <v>-0.2429</v>
      </c>
      <c r="T129" s="12">
        <f>VLOOKUP(Tableau2[[#This Row],[essence]],Tableau5[],7,FALSE)</f>
        <v>0</v>
      </c>
      <c r="U129" s="12">
        <f>IF(Tableau2[[#This Row],[sdom]]=1,1,0)</f>
        <v>0</v>
      </c>
      <c r="V129" s="12">
        <f>VLOOKUP(Tableau2[[#This Row],[essence]],Tableau5[],8,FALSE)</f>
        <v>0</v>
      </c>
      <c r="W129" s="12">
        <f>IF(Tableau2[[#This Row],[sdom]]="2EST",1,0)</f>
        <v>0</v>
      </c>
      <c r="X129" s="12">
        <f>VLOOKUP(Tableau2[[#This Row],[essence]],Tableau5[],9,FALSE)</f>
        <v>0</v>
      </c>
      <c r="Y129" s="12">
        <f>IF(Tableau2[[#This Row],[sdom]]="2OUEST",1,0)</f>
        <v>0</v>
      </c>
      <c r="Z129" s="12">
        <f>VLOOKUP(Tableau2[[#This Row],[essence]],Tableau5[],10,FALSE)</f>
        <v>0</v>
      </c>
      <c r="AA129" s="12">
        <f>IF(Tableau2[[#This Row],[sdom]]="3EST",1,0)</f>
        <v>0</v>
      </c>
      <c r="AB129" s="12">
        <f>VLOOKUP(Tableau2[[#This Row],[essence]],Tableau5[],11,FALSE)</f>
        <v>0</v>
      </c>
      <c r="AC129" s="12">
        <f>IF(Tableau2[[#This Row],[sdom]]="3OUEST",1,0)</f>
        <v>0</v>
      </c>
      <c r="AD129" s="12">
        <f>VLOOKUP(Tableau2[[#This Row],[essence]],Tableau5[],12,FALSE)</f>
        <v>0</v>
      </c>
      <c r="AE129" s="12">
        <f>IF(Tableau2[[#This Row],[sdom]]="4EST",1,0)</f>
        <v>1</v>
      </c>
      <c r="AF129" s="12">
        <f>VLOOKUP(Tableau2[[#This Row],[essence]],Tableau5[],13,FALSE)</f>
        <v>0</v>
      </c>
      <c r="AG129" s="12">
        <f>IF(Tableau2[[#This Row],[sdom]]="4OUEST",1,0)</f>
        <v>0</v>
      </c>
      <c r="AH129" s="12">
        <f>VLOOKUP(Tableau2[[#This Row],[essence]],Tableau5[],14,FALSE)</f>
        <v>0</v>
      </c>
      <c r="AI129" s="12">
        <f>IF(Tableau2[[#This Row],[sdom]]="5EST",1,0)</f>
        <v>0</v>
      </c>
      <c r="AJ129" s="12">
        <f>VLOOKUP(Tableau2[[#This Row],[essence]],Tableau5[],16,FALSE)</f>
        <v>0</v>
      </c>
      <c r="AK129" s="12">
        <f>IF(Tableau2[[#This Row],[sdom]]="5OUEST",1,0)</f>
        <v>0</v>
      </c>
      <c r="AL129" s="12">
        <f>VLOOKUP(Tableau2[[#This Row],[essence]],Tableau5[],17,FALSE)</f>
        <v>0</v>
      </c>
      <c r="AM129" s="12">
        <f>IF(Tableau2[[#This Row],[sdom]]="6EST",1,0)</f>
        <v>0</v>
      </c>
      <c r="AN129" s="12">
        <f>VLOOKUP(Tableau2[[#This Row],[essence]],Tableau5[],19,FALSE)</f>
        <v>0</v>
      </c>
      <c r="AO129" s="12">
        <f>IF(Tableau2[[#This Row],[priorecol]]="C",1,0)</f>
        <v>0</v>
      </c>
      <c r="AP129" s="12">
        <f>VLOOKUP(Tableau2[[#This Row],[essence]],Tableau5[],20,FALSE)</f>
        <v>0</v>
      </c>
      <c r="AQ129" s="12">
        <f>IF(Tableau2[[#This Row],[priorecol]]="R",1,0)</f>
        <v>1</v>
      </c>
      <c r="AR129" s="12">
        <f>VLOOKUP(Tableau2[[#This Row],[essence]],Tableau5[],21,FALSE)</f>
        <v>0</v>
      </c>
      <c r="AS129" s="12">
        <f>IF(Tableau2[[#This Row],[priorecol]]="S",1,0)</f>
        <v>0</v>
      </c>
      <c r="AT129" s="12">
        <f>VLOOKUP(Tableau2[[#This Row],[essence]],Tableau5[],22,FALSE)</f>
        <v>1.1384000000000001</v>
      </c>
      <c r="AU129" s="12">
        <f>VLOOKUP(Tableau2[[#This Row],[essence]],Tableau5[],23,FALSE)</f>
        <v>1.0699999999999999E-2</v>
      </c>
      <c r="AV129" s="12">
        <f>VLOOKUP(Tableau2[[#This Row],[essence]],Tableau5[],18,FALSE)</f>
        <v>0</v>
      </c>
      <c r="AW12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5.2670999999999983</v>
      </c>
      <c r="AX129" s="12">
        <f>1/(1+EXP(-Tableau2[[#This Row],[xb_c]]))</f>
        <v>0.99486792536341373</v>
      </c>
      <c r="AY129" s="12" t="str">
        <f t="shared" si="2"/>
        <v>NA</v>
      </c>
      <c r="AZ129" s="12" t="str">
        <f t="shared" si="3"/>
        <v>NA</v>
      </c>
      <c r="BA129" s="12">
        <f>Tableau2[[#This Row],[prob_c]]</f>
        <v>0.99486792536341373</v>
      </c>
      <c r="BB129" s="12">
        <f>1-Tableau2[[#This Row],[prob_c]]</f>
        <v>5.1320746365862702E-3</v>
      </c>
    </row>
    <row r="130" spans="1:54" x14ac:dyDescent="0.25">
      <c r="A130" s="12">
        <v>6</v>
      </c>
      <c r="B130" s="12" t="s">
        <v>14</v>
      </c>
      <c r="C130" s="12">
        <v>1.2</v>
      </c>
      <c r="D130" s="12">
        <v>1022</v>
      </c>
      <c r="E130" s="12">
        <v>25</v>
      </c>
      <c r="F130" s="12">
        <v>1</v>
      </c>
      <c r="G130" s="12">
        <v>9</v>
      </c>
      <c r="H130" s="12">
        <v>32</v>
      </c>
      <c r="I130" s="12" t="s">
        <v>21</v>
      </c>
      <c r="J130" s="12" t="s">
        <v>29</v>
      </c>
      <c r="K130" s="12">
        <f>VLOOKUP(Tableau2[[#This Row],[essence]],Tableau5[],2,FALSE)</f>
        <v>5.0801999999999996</v>
      </c>
      <c r="L130" s="12">
        <f>VLOOKUP(Tableau2[[#This Row],[essence]],Tableau5[],3,FALSE)</f>
        <v>1.7765</v>
      </c>
      <c r="M130" s="12">
        <f>IF(Tableau2[[#This Row],[priorecol]]="C",1,0)</f>
        <v>0</v>
      </c>
      <c r="N130" s="12">
        <f>VLOOKUP(Tableau2[[#This Row],[essence]],Tableau5[],4,FALSE)</f>
        <v>3.3664000000000001</v>
      </c>
      <c r="O130" s="12">
        <f>IF(Tableau2[[#This Row],[priorecol]]="R",1,0)</f>
        <v>0</v>
      </c>
      <c r="P130" s="12">
        <f>VLOOKUP(Tableau2[[#This Row],[essence]],Tableau5[],5,FALSE)</f>
        <v>0.57940000000000003</v>
      </c>
      <c r="Q130" s="12">
        <f>IF(Tableau2[[#This Row],[priorecol]]="S",1,0)</f>
        <v>1</v>
      </c>
      <c r="R130" s="12">
        <f>VLOOKUP(Tableau2[[#This Row],[essence]],Tableau5[],6,FALSE)</f>
        <v>-0.2109</v>
      </c>
      <c r="S130" s="12">
        <f>VLOOKUP(Tableau2[[#This Row],[essence]],Tableau5[],15,FALSE)</f>
        <v>-0.2429</v>
      </c>
      <c r="T130" s="12">
        <f>VLOOKUP(Tableau2[[#This Row],[essence]],Tableau5[],7,FALSE)</f>
        <v>0</v>
      </c>
      <c r="U130" s="12">
        <f>IF(Tableau2[[#This Row],[sdom]]=1,1,0)</f>
        <v>0</v>
      </c>
      <c r="V130" s="12">
        <f>VLOOKUP(Tableau2[[#This Row],[essence]],Tableau5[],8,FALSE)</f>
        <v>0</v>
      </c>
      <c r="W130" s="12">
        <f>IF(Tableau2[[#This Row],[sdom]]="2EST",1,0)</f>
        <v>0</v>
      </c>
      <c r="X130" s="12">
        <f>VLOOKUP(Tableau2[[#This Row],[essence]],Tableau5[],9,FALSE)</f>
        <v>0</v>
      </c>
      <c r="Y130" s="12">
        <f>IF(Tableau2[[#This Row],[sdom]]="2OUEST",1,0)</f>
        <v>0</v>
      </c>
      <c r="Z130" s="12">
        <f>VLOOKUP(Tableau2[[#This Row],[essence]],Tableau5[],10,FALSE)</f>
        <v>0</v>
      </c>
      <c r="AA130" s="12">
        <f>IF(Tableau2[[#This Row],[sdom]]="3EST",1,0)</f>
        <v>0</v>
      </c>
      <c r="AB130" s="12">
        <f>VLOOKUP(Tableau2[[#This Row],[essence]],Tableau5[],11,FALSE)</f>
        <v>0</v>
      </c>
      <c r="AC130" s="12">
        <f>IF(Tableau2[[#This Row],[sdom]]="3OUEST",1,0)</f>
        <v>0</v>
      </c>
      <c r="AD130" s="12">
        <f>VLOOKUP(Tableau2[[#This Row],[essence]],Tableau5[],12,FALSE)</f>
        <v>0</v>
      </c>
      <c r="AE130" s="12">
        <f>IF(Tableau2[[#This Row],[sdom]]="4EST",1,0)</f>
        <v>1</v>
      </c>
      <c r="AF130" s="12">
        <f>VLOOKUP(Tableau2[[#This Row],[essence]],Tableau5[],13,FALSE)</f>
        <v>0</v>
      </c>
      <c r="AG130" s="12">
        <f>IF(Tableau2[[#This Row],[sdom]]="4OUEST",1,0)</f>
        <v>0</v>
      </c>
      <c r="AH130" s="12">
        <f>VLOOKUP(Tableau2[[#This Row],[essence]],Tableau5[],14,FALSE)</f>
        <v>0</v>
      </c>
      <c r="AI130" s="12">
        <f>IF(Tableau2[[#This Row],[sdom]]="5EST",1,0)</f>
        <v>0</v>
      </c>
      <c r="AJ130" s="12">
        <f>VLOOKUP(Tableau2[[#This Row],[essence]],Tableau5[],16,FALSE)</f>
        <v>0</v>
      </c>
      <c r="AK130" s="12">
        <f>IF(Tableau2[[#This Row],[sdom]]="5OUEST",1,0)</f>
        <v>0</v>
      </c>
      <c r="AL130" s="12">
        <f>VLOOKUP(Tableau2[[#This Row],[essence]],Tableau5[],17,FALSE)</f>
        <v>0</v>
      </c>
      <c r="AM130" s="12">
        <f>IF(Tableau2[[#This Row],[sdom]]="6EST",1,0)</f>
        <v>0</v>
      </c>
      <c r="AN130" s="12">
        <f>VLOOKUP(Tableau2[[#This Row],[essence]],Tableau5[],19,FALSE)</f>
        <v>0</v>
      </c>
      <c r="AO130" s="12">
        <f>IF(Tableau2[[#This Row],[priorecol]]="C",1,0)</f>
        <v>0</v>
      </c>
      <c r="AP130" s="12">
        <f>VLOOKUP(Tableau2[[#This Row],[essence]],Tableau5[],20,FALSE)</f>
        <v>0</v>
      </c>
      <c r="AQ130" s="12">
        <f>IF(Tableau2[[#This Row],[priorecol]]="R",1,0)</f>
        <v>0</v>
      </c>
      <c r="AR130" s="12">
        <f>VLOOKUP(Tableau2[[#This Row],[essence]],Tableau5[],21,FALSE)</f>
        <v>0</v>
      </c>
      <c r="AS130" s="12">
        <f>IF(Tableau2[[#This Row],[priorecol]]="S",1,0)</f>
        <v>1</v>
      </c>
      <c r="AT130" s="12">
        <f>VLOOKUP(Tableau2[[#This Row],[essence]],Tableau5[],22,FALSE)</f>
        <v>1.1384000000000001</v>
      </c>
      <c r="AU130" s="12">
        <f>VLOOKUP(Tableau2[[#This Row],[essence]],Tableau5[],23,FALSE)</f>
        <v>1.0699999999999999E-2</v>
      </c>
      <c r="AV130" s="12">
        <f>VLOOKUP(Tableau2[[#This Row],[essence]],Tableau5[],18,FALSE)</f>
        <v>0</v>
      </c>
      <c r="AW13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2.536699999999998</v>
      </c>
      <c r="AX130" s="12">
        <f>1/(1+EXP(-Tableau2[[#This Row],[xb_c]]))</f>
        <v>0.92667491194431328</v>
      </c>
      <c r="AY130" s="12" t="str">
        <f t="shared" ref="AY130:AY193" si="4">"NA"</f>
        <v>NA</v>
      </c>
      <c r="AZ130" s="12" t="str">
        <f t="shared" ref="AZ130:AZ193" si="5">"NA"</f>
        <v>NA</v>
      </c>
      <c r="BA130" s="12">
        <f>Tableau2[[#This Row],[prob_c]]</f>
        <v>0.92667491194431328</v>
      </c>
      <c r="BB130" s="12">
        <f>1-Tableau2[[#This Row],[prob_c]]</f>
        <v>7.3325088055686716E-2</v>
      </c>
    </row>
    <row r="131" spans="1:54" x14ac:dyDescent="0.25">
      <c r="A131" s="12">
        <v>6</v>
      </c>
      <c r="B131" s="12" t="s">
        <v>14</v>
      </c>
      <c r="C131" s="12">
        <v>1.2</v>
      </c>
      <c r="D131" s="12">
        <v>1022</v>
      </c>
      <c r="E131" s="12">
        <v>25</v>
      </c>
      <c r="F131" s="12">
        <v>1</v>
      </c>
      <c r="G131" s="12">
        <v>10</v>
      </c>
      <c r="H131" s="12">
        <v>33</v>
      </c>
      <c r="I131" s="12" t="s">
        <v>22</v>
      </c>
      <c r="J131" s="12" t="s">
        <v>27</v>
      </c>
      <c r="K131" s="12">
        <f>VLOOKUP(Tableau2[[#This Row],[essence]],Tableau5[],2,FALSE)</f>
        <v>-0.54949999999999999</v>
      </c>
      <c r="L131" s="12">
        <f>VLOOKUP(Tableau2[[#This Row],[essence]],Tableau5[],3,FALSE)</f>
        <v>-0.14960000000000001</v>
      </c>
      <c r="M131" s="12">
        <f>IF(Tableau2[[#This Row],[priorecol]]="C",1,0)</f>
        <v>1</v>
      </c>
      <c r="N131" s="12">
        <f>VLOOKUP(Tableau2[[#This Row],[essence]],Tableau5[],4,FALSE)</f>
        <v>1.6746000000000001</v>
      </c>
      <c r="O131" s="12">
        <f>IF(Tableau2[[#This Row],[priorecol]]="R",1,0)</f>
        <v>0</v>
      </c>
      <c r="P131" s="12">
        <f>VLOOKUP(Tableau2[[#This Row],[essence]],Tableau5[],5,FALSE)</f>
        <v>0.65110000000000001</v>
      </c>
      <c r="Q131" s="12">
        <f>IF(Tableau2[[#This Row],[priorecol]]="S",1,0)</f>
        <v>0</v>
      </c>
      <c r="R131" s="12">
        <f>VLOOKUP(Tableau2[[#This Row],[essence]],Tableau5[],6,FALSE)</f>
        <v>-3.0599999999999999E-2</v>
      </c>
      <c r="S131" s="12">
        <f>VLOOKUP(Tableau2[[#This Row],[essence]],Tableau5[],15,FALSE)</f>
        <v>-3.8399999999999997E-2</v>
      </c>
      <c r="T131" s="12">
        <f>VLOOKUP(Tableau2[[#This Row],[essence]],Tableau5[],7,FALSE)</f>
        <v>1.2454000000000001</v>
      </c>
      <c r="U131" s="12">
        <f>IF(Tableau2[[#This Row],[sdom]]=1,1,0)</f>
        <v>0</v>
      </c>
      <c r="V131" s="12">
        <f>VLOOKUP(Tableau2[[#This Row],[essence]],Tableau5[],8,FALSE)</f>
        <v>0.85550000000000004</v>
      </c>
      <c r="W131" s="12">
        <f>IF(Tableau2[[#This Row],[sdom]]="2EST",1,0)</f>
        <v>0</v>
      </c>
      <c r="X131" s="12">
        <f>VLOOKUP(Tableau2[[#This Row],[essence]],Tableau5[],9,FALSE)</f>
        <v>1.2195</v>
      </c>
      <c r="Y131" s="12">
        <f>IF(Tableau2[[#This Row],[sdom]]="2OUEST",1,0)</f>
        <v>0</v>
      </c>
      <c r="Z131" s="12">
        <f>VLOOKUP(Tableau2[[#This Row],[essence]],Tableau5[],10,FALSE)</f>
        <v>0.94630000000000003</v>
      </c>
      <c r="AA131" s="12">
        <f>IF(Tableau2[[#This Row],[sdom]]="3EST",1,0)</f>
        <v>0</v>
      </c>
      <c r="AB131" s="12">
        <f>VLOOKUP(Tableau2[[#This Row],[essence]],Tableau5[],11,FALSE)</f>
        <v>0.64859999999999995</v>
      </c>
      <c r="AC131" s="12">
        <f>IF(Tableau2[[#This Row],[sdom]]="3OUEST",1,0)</f>
        <v>0</v>
      </c>
      <c r="AD131" s="12">
        <f>VLOOKUP(Tableau2[[#This Row],[essence]],Tableau5[],12,FALSE)</f>
        <v>0.91920000000000002</v>
      </c>
      <c r="AE131" s="12">
        <f>IF(Tableau2[[#This Row],[sdom]]="4EST",1,0)</f>
        <v>1</v>
      </c>
      <c r="AF131" s="12">
        <f>VLOOKUP(Tableau2[[#This Row],[essence]],Tableau5[],13,FALSE)</f>
        <v>0.67230000000000001</v>
      </c>
      <c r="AG131" s="12">
        <f>IF(Tableau2[[#This Row],[sdom]]="4OUEST",1,0)</f>
        <v>0</v>
      </c>
      <c r="AH131" s="12">
        <f>VLOOKUP(Tableau2[[#This Row],[essence]],Tableau5[],14,FALSE)</f>
        <v>0.43309999999999998</v>
      </c>
      <c r="AI131" s="12">
        <f>IF(Tableau2[[#This Row],[sdom]]="5EST",1,0)</f>
        <v>0</v>
      </c>
      <c r="AJ131" s="12">
        <f>VLOOKUP(Tableau2[[#This Row],[essence]],Tableau5[],16,FALSE)</f>
        <v>0</v>
      </c>
      <c r="AK131" s="12">
        <f>IF(Tableau2[[#This Row],[sdom]]="5OUEST",1,0)</f>
        <v>0</v>
      </c>
      <c r="AL131" s="12">
        <f>VLOOKUP(Tableau2[[#This Row],[essence]],Tableau5[],17,FALSE)</f>
        <v>0</v>
      </c>
      <c r="AM131" s="12">
        <f>IF(Tableau2[[#This Row],[sdom]]="6EST",1,0)</f>
        <v>0</v>
      </c>
      <c r="AN131" s="12">
        <f>VLOOKUP(Tableau2[[#This Row],[essence]],Tableau5[],19,FALSE)</f>
        <v>6.6900000000000001E-2</v>
      </c>
      <c r="AO131" s="12">
        <f>IF(Tableau2[[#This Row],[priorecol]]="C",1,0)</f>
        <v>1</v>
      </c>
      <c r="AP131" s="12">
        <f>VLOOKUP(Tableau2[[#This Row],[essence]],Tableau5[],20,FALSE)</f>
        <v>4.3799999999999999E-2</v>
      </c>
      <c r="AQ131" s="12">
        <f>IF(Tableau2[[#This Row],[priorecol]]="R",1,0)</f>
        <v>0</v>
      </c>
      <c r="AR131" s="12">
        <f>VLOOKUP(Tableau2[[#This Row],[essence]],Tableau5[],21,FALSE)</f>
        <v>2.7900000000000001E-2</v>
      </c>
      <c r="AS131" s="12">
        <f>IF(Tableau2[[#This Row],[priorecol]]="S",1,0)</f>
        <v>0</v>
      </c>
      <c r="AT131" s="12">
        <f>VLOOKUP(Tableau2[[#This Row],[essence]],Tableau5[],22,FALSE)</f>
        <v>0</v>
      </c>
      <c r="AU131" s="12">
        <f>VLOOKUP(Tableau2[[#This Row],[essence]],Tableau5[],23,FALSE)</f>
        <v>1.73E-3</v>
      </c>
      <c r="AV131" s="12">
        <f>VLOOKUP(Tableau2[[#This Row],[essence]],Tableau5[],18,FALSE)</f>
        <v>0.1295</v>
      </c>
      <c r="AW13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2.0406500000000003</v>
      </c>
      <c r="AX131" s="12">
        <f>1/(1+EXP(-Tableau2[[#This Row],[xb_c]]))</f>
        <v>0.88499943854229535</v>
      </c>
      <c r="AY131" s="12" t="str">
        <f t="shared" si="4"/>
        <v>NA</v>
      </c>
      <c r="AZ131" s="12" t="str">
        <f t="shared" si="5"/>
        <v>NA</v>
      </c>
      <c r="BA131" s="12">
        <f>Tableau2[[#This Row],[prob_c]]</f>
        <v>0.88499943854229535</v>
      </c>
      <c r="BB131" s="12">
        <f>1-Tableau2[[#This Row],[prob_c]]</f>
        <v>0.11500056145770465</v>
      </c>
    </row>
    <row r="132" spans="1:54" x14ac:dyDescent="0.25">
      <c r="A132" s="12">
        <v>6</v>
      </c>
      <c r="B132" s="12" t="s">
        <v>14</v>
      </c>
      <c r="C132" s="12">
        <v>1.2</v>
      </c>
      <c r="D132" s="12">
        <v>1022</v>
      </c>
      <c r="E132" s="12">
        <v>25</v>
      </c>
      <c r="F132" s="12">
        <v>1</v>
      </c>
      <c r="G132" s="12">
        <v>11</v>
      </c>
      <c r="H132" s="12">
        <v>24</v>
      </c>
      <c r="I132" s="12" t="s">
        <v>22</v>
      </c>
      <c r="J132" s="12" t="s">
        <v>28</v>
      </c>
      <c r="K132" s="12">
        <f>VLOOKUP(Tableau2[[#This Row],[essence]],Tableau5[],2,FALSE)</f>
        <v>-0.54949999999999999</v>
      </c>
      <c r="L132" s="12">
        <f>VLOOKUP(Tableau2[[#This Row],[essence]],Tableau5[],3,FALSE)</f>
        <v>-0.14960000000000001</v>
      </c>
      <c r="M132" s="12">
        <f>IF(Tableau2[[#This Row],[priorecol]]="C",1,0)</f>
        <v>0</v>
      </c>
      <c r="N132" s="12">
        <f>VLOOKUP(Tableau2[[#This Row],[essence]],Tableau5[],4,FALSE)</f>
        <v>1.6746000000000001</v>
      </c>
      <c r="O132" s="12">
        <f>IF(Tableau2[[#This Row],[priorecol]]="R",1,0)</f>
        <v>1</v>
      </c>
      <c r="P132" s="12">
        <f>VLOOKUP(Tableau2[[#This Row],[essence]],Tableau5[],5,FALSE)</f>
        <v>0.65110000000000001</v>
      </c>
      <c r="Q132" s="12">
        <f>IF(Tableau2[[#This Row],[priorecol]]="S",1,0)</f>
        <v>0</v>
      </c>
      <c r="R132" s="12">
        <f>VLOOKUP(Tableau2[[#This Row],[essence]],Tableau5[],6,FALSE)</f>
        <v>-3.0599999999999999E-2</v>
      </c>
      <c r="S132" s="12">
        <f>VLOOKUP(Tableau2[[#This Row],[essence]],Tableau5[],15,FALSE)</f>
        <v>-3.8399999999999997E-2</v>
      </c>
      <c r="T132" s="12">
        <f>VLOOKUP(Tableau2[[#This Row],[essence]],Tableau5[],7,FALSE)</f>
        <v>1.2454000000000001</v>
      </c>
      <c r="U132" s="12">
        <f>IF(Tableau2[[#This Row],[sdom]]=1,1,0)</f>
        <v>0</v>
      </c>
      <c r="V132" s="12">
        <f>VLOOKUP(Tableau2[[#This Row],[essence]],Tableau5[],8,FALSE)</f>
        <v>0.85550000000000004</v>
      </c>
      <c r="W132" s="12">
        <f>IF(Tableau2[[#This Row],[sdom]]="2EST",1,0)</f>
        <v>0</v>
      </c>
      <c r="X132" s="12">
        <f>VLOOKUP(Tableau2[[#This Row],[essence]],Tableau5[],9,FALSE)</f>
        <v>1.2195</v>
      </c>
      <c r="Y132" s="12">
        <f>IF(Tableau2[[#This Row],[sdom]]="2OUEST",1,0)</f>
        <v>0</v>
      </c>
      <c r="Z132" s="12">
        <f>VLOOKUP(Tableau2[[#This Row],[essence]],Tableau5[],10,FALSE)</f>
        <v>0.94630000000000003</v>
      </c>
      <c r="AA132" s="12">
        <f>IF(Tableau2[[#This Row],[sdom]]="3EST",1,0)</f>
        <v>0</v>
      </c>
      <c r="AB132" s="12">
        <f>VLOOKUP(Tableau2[[#This Row],[essence]],Tableau5[],11,FALSE)</f>
        <v>0.64859999999999995</v>
      </c>
      <c r="AC132" s="12">
        <f>IF(Tableau2[[#This Row],[sdom]]="3OUEST",1,0)</f>
        <v>0</v>
      </c>
      <c r="AD132" s="12">
        <f>VLOOKUP(Tableau2[[#This Row],[essence]],Tableau5[],12,FALSE)</f>
        <v>0.91920000000000002</v>
      </c>
      <c r="AE132" s="12">
        <f>IF(Tableau2[[#This Row],[sdom]]="4EST",1,0)</f>
        <v>1</v>
      </c>
      <c r="AF132" s="12">
        <f>VLOOKUP(Tableau2[[#This Row],[essence]],Tableau5[],13,FALSE)</f>
        <v>0.67230000000000001</v>
      </c>
      <c r="AG132" s="12">
        <f>IF(Tableau2[[#This Row],[sdom]]="4OUEST",1,0)</f>
        <v>0</v>
      </c>
      <c r="AH132" s="12">
        <f>VLOOKUP(Tableau2[[#This Row],[essence]],Tableau5[],14,FALSE)</f>
        <v>0.43309999999999998</v>
      </c>
      <c r="AI132" s="12">
        <f>IF(Tableau2[[#This Row],[sdom]]="5EST",1,0)</f>
        <v>0</v>
      </c>
      <c r="AJ132" s="12">
        <f>VLOOKUP(Tableau2[[#This Row],[essence]],Tableau5[],16,FALSE)</f>
        <v>0</v>
      </c>
      <c r="AK132" s="12">
        <f>IF(Tableau2[[#This Row],[sdom]]="5OUEST",1,0)</f>
        <v>0</v>
      </c>
      <c r="AL132" s="12">
        <f>VLOOKUP(Tableau2[[#This Row],[essence]],Tableau5[],17,FALSE)</f>
        <v>0</v>
      </c>
      <c r="AM132" s="12">
        <f>IF(Tableau2[[#This Row],[sdom]]="6EST",1,0)</f>
        <v>0</v>
      </c>
      <c r="AN132" s="12">
        <f>VLOOKUP(Tableau2[[#This Row],[essence]],Tableau5[],19,FALSE)</f>
        <v>6.6900000000000001E-2</v>
      </c>
      <c r="AO132" s="12">
        <f>IF(Tableau2[[#This Row],[priorecol]]="C",1,0)</f>
        <v>0</v>
      </c>
      <c r="AP132" s="12">
        <f>VLOOKUP(Tableau2[[#This Row],[essence]],Tableau5[],20,FALSE)</f>
        <v>4.3799999999999999E-2</v>
      </c>
      <c r="AQ132" s="12">
        <f>IF(Tableau2[[#This Row],[priorecol]]="R",1,0)</f>
        <v>1</v>
      </c>
      <c r="AR132" s="12">
        <f>VLOOKUP(Tableau2[[#This Row],[essence]],Tableau5[],21,FALSE)</f>
        <v>2.7900000000000001E-2</v>
      </c>
      <c r="AS132" s="12">
        <f>IF(Tableau2[[#This Row],[priorecol]]="S",1,0)</f>
        <v>0</v>
      </c>
      <c r="AT132" s="12">
        <f>VLOOKUP(Tableau2[[#This Row],[essence]],Tableau5[],22,FALSE)</f>
        <v>0</v>
      </c>
      <c r="AU132" s="12">
        <f>VLOOKUP(Tableau2[[#This Row],[essence]],Tableau5[],23,FALSE)</f>
        <v>1.73E-3</v>
      </c>
      <c r="AV132" s="12">
        <f>VLOOKUP(Tableau2[[#This Row],[essence]],Tableau5[],18,FALSE)</f>
        <v>0.1295</v>
      </c>
      <c r="AW13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2.5945</v>
      </c>
      <c r="AX132" s="12">
        <f>1/(1+EXP(-Tableau2[[#This Row],[xb_c]]))</f>
        <v>0.93050676909729479</v>
      </c>
      <c r="AY132" s="12" t="str">
        <f t="shared" si="4"/>
        <v>NA</v>
      </c>
      <c r="AZ132" s="12" t="str">
        <f t="shared" si="5"/>
        <v>NA</v>
      </c>
      <c r="BA132" s="12">
        <f>Tableau2[[#This Row],[prob_c]]</f>
        <v>0.93050676909729479</v>
      </c>
      <c r="BB132" s="12">
        <f>1-Tableau2[[#This Row],[prob_c]]</f>
        <v>6.9493230902705205E-2</v>
      </c>
    </row>
    <row r="133" spans="1:54" x14ac:dyDescent="0.25">
      <c r="A133" s="12">
        <v>6</v>
      </c>
      <c r="B133" s="12" t="s">
        <v>14</v>
      </c>
      <c r="C133" s="12">
        <v>1.2</v>
      </c>
      <c r="D133" s="12">
        <v>1022</v>
      </c>
      <c r="E133" s="12">
        <v>25</v>
      </c>
      <c r="F133" s="12">
        <v>1</v>
      </c>
      <c r="G133" s="12">
        <v>12</v>
      </c>
      <c r="H133" s="12">
        <v>25</v>
      </c>
      <c r="I133" s="12" t="s">
        <v>22</v>
      </c>
      <c r="J133" s="12" t="s">
        <v>29</v>
      </c>
      <c r="K133" s="12">
        <f>VLOOKUP(Tableau2[[#This Row],[essence]],Tableau5[],2,FALSE)</f>
        <v>-0.54949999999999999</v>
      </c>
      <c r="L133" s="12">
        <f>VLOOKUP(Tableau2[[#This Row],[essence]],Tableau5[],3,FALSE)</f>
        <v>-0.14960000000000001</v>
      </c>
      <c r="M133" s="12">
        <f>IF(Tableau2[[#This Row],[priorecol]]="C",1,0)</f>
        <v>0</v>
      </c>
      <c r="N133" s="12">
        <f>VLOOKUP(Tableau2[[#This Row],[essence]],Tableau5[],4,FALSE)</f>
        <v>1.6746000000000001</v>
      </c>
      <c r="O133" s="12">
        <f>IF(Tableau2[[#This Row],[priorecol]]="R",1,0)</f>
        <v>0</v>
      </c>
      <c r="P133" s="12">
        <f>VLOOKUP(Tableau2[[#This Row],[essence]],Tableau5[],5,FALSE)</f>
        <v>0.65110000000000001</v>
      </c>
      <c r="Q133" s="12">
        <f>IF(Tableau2[[#This Row],[priorecol]]="S",1,0)</f>
        <v>1</v>
      </c>
      <c r="R133" s="12">
        <f>VLOOKUP(Tableau2[[#This Row],[essence]],Tableau5[],6,FALSE)</f>
        <v>-3.0599999999999999E-2</v>
      </c>
      <c r="S133" s="12">
        <f>VLOOKUP(Tableau2[[#This Row],[essence]],Tableau5[],15,FALSE)</f>
        <v>-3.8399999999999997E-2</v>
      </c>
      <c r="T133" s="12">
        <f>VLOOKUP(Tableau2[[#This Row],[essence]],Tableau5[],7,FALSE)</f>
        <v>1.2454000000000001</v>
      </c>
      <c r="U133" s="12">
        <f>IF(Tableau2[[#This Row],[sdom]]=1,1,0)</f>
        <v>0</v>
      </c>
      <c r="V133" s="12">
        <f>VLOOKUP(Tableau2[[#This Row],[essence]],Tableau5[],8,FALSE)</f>
        <v>0.85550000000000004</v>
      </c>
      <c r="W133" s="12">
        <f>IF(Tableau2[[#This Row],[sdom]]="2EST",1,0)</f>
        <v>0</v>
      </c>
      <c r="X133" s="12">
        <f>VLOOKUP(Tableau2[[#This Row],[essence]],Tableau5[],9,FALSE)</f>
        <v>1.2195</v>
      </c>
      <c r="Y133" s="12">
        <f>IF(Tableau2[[#This Row],[sdom]]="2OUEST",1,0)</f>
        <v>0</v>
      </c>
      <c r="Z133" s="12">
        <f>VLOOKUP(Tableau2[[#This Row],[essence]],Tableau5[],10,FALSE)</f>
        <v>0.94630000000000003</v>
      </c>
      <c r="AA133" s="12">
        <f>IF(Tableau2[[#This Row],[sdom]]="3EST",1,0)</f>
        <v>0</v>
      </c>
      <c r="AB133" s="12">
        <f>VLOOKUP(Tableau2[[#This Row],[essence]],Tableau5[],11,FALSE)</f>
        <v>0.64859999999999995</v>
      </c>
      <c r="AC133" s="12">
        <f>IF(Tableau2[[#This Row],[sdom]]="3OUEST",1,0)</f>
        <v>0</v>
      </c>
      <c r="AD133" s="12">
        <f>VLOOKUP(Tableau2[[#This Row],[essence]],Tableau5[],12,FALSE)</f>
        <v>0.91920000000000002</v>
      </c>
      <c r="AE133" s="12">
        <f>IF(Tableau2[[#This Row],[sdom]]="4EST",1,0)</f>
        <v>1</v>
      </c>
      <c r="AF133" s="12">
        <f>VLOOKUP(Tableau2[[#This Row],[essence]],Tableau5[],13,FALSE)</f>
        <v>0.67230000000000001</v>
      </c>
      <c r="AG133" s="12">
        <f>IF(Tableau2[[#This Row],[sdom]]="4OUEST",1,0)</f>
        <v>0</v>
      </c>
      <c r="AH133" s="12">
        <f>VLOOKUP(Tableau2[[#This Row],[essence]],Tableau5[],14,FALSE)</f>
        <v>0.43309999999999998</v>
      </c>
      <c r="AI133" s="12">
        <f>IF(Tableau2[[#This Row],[sdom]]="5EST",1,0)</f>
        <v>0</v>
      </c>
      <c r="AJ133" s="12">
        <f>VLOOKUP(Tableau2[[#This Row],[essence]],Tableau5[],16,FALSE)</f>
        <v>0</v>
      </c>
      <c r="AK133" s="12">
        <f>IF(Tableau2[[#This Row],[sdom]]="5OUEST",1,0)</f>
        <v>0</v>
      </c>
      <c r="AL133" s="12">
        <f>VLOOKUP(Tableau2[[#This Row],[essence]],Tableau5[],17,FALSE)</f>
        <v>0</v>
      </c>
      <c r="AM133" s="12">
        <f>IF(Tableau2[[#This Row],[sdom]]="6EST",1,0)</f>
        <v>0</v>
      </c>
      <c r="AN133" s="12">
        <f>VLOOKUP(Tableau2[[#This Row],[essence]],Tableau5[],19,FALSE)</f>
        <v>6.6900000000000001E-2</v>
      </c>
      <c r="AO133" s="12">
        <f>IF(Tableau2[[#This Row],[priorecol]]="C",1,0)</f>
        <v>0</v>
      </c>
      <c r="AP133" s="12">
        <f>VLOOKUP(Tableau2[[#This Row],[essence]],Tableau5[],20,FALSE)</f>
        <v>4.3799999999999999E-2</v>
      </c>
      <c r="AQ133" s="12">
        <f>IF(Tableau2[[#This Row],[priorecol]]="R",1,0)</f>
        <v>0</v>
      </c>
      <c r="AR133" s="12">
        <f>VLOOKUP(Tableau2[[#This Row],[essence]],Tableau5[],21,FALSE)</f>
        <v>2.7900000000000001E-2</v>
      </c>
      <c r="AS133" s="12">
        <f>IF(Tableau2[[#This Row],[priorecol]]="S",1,0)</f>
        <v>1</v>
      </c>
      <c r="AT133" s="12">
        <f>VLOOKUP(Tableau2[[#This Row],[essence]],Tableau5[],22,FALSE)</f>
        <v>0</v>
      </c>
      <c r="AU133" s="12">
        <f>VLOOKUP(Tableau2[[#This Row],[essence]],Tableau5[],23,FALSE)</f>
        <v>1.73E-3</v>
      </c>
      <c r="AV133" s="12">
        <f>VLOOKUP(Tableau2[[#This Row],[essence]],Tableau5[],18,FALSE)</f>
        <v>0.1295</v>
      </c>
      <c r="AW13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1.2299499999999999</v>
      </c>
      <c r="AX133" s="12">
        <f>1/(1+EXP(-Tableau2[[#This Row],[xb_c]]))</f>
        <v>0.77380982298022305</v>
      </c>
      <c r="AY133" s="12" t="str">
        <f t="shared" si="4"/>
        <v>NA</v>
      </c>
      <c r="AZ133" s="12" t="str">
        <f t="shared" si="5"/>
        <v>NA</v>
      </c>
      <c r="BA133" s="12">
        <f>Tableau2[[#This Row],[prob_c]]</f>
        <v>0.77380982298022305</v>
      </c>
      <c r="BB133" s="12">
        <f>1-Tableau2[[#This Row],[prob_c]]</f>
        <v>0.22619017701977695</v>
      </c>
    </row>
    <row r="134" spans="1:54" x14ac:dyDescent="0.25">
      <c r="A134" s="12">
        <v>6</v>
      </c>
      <c r="B134" s="12" t="s">
        <v>14</v>
      </c>
      <c r="C134" s="12">
        <v>1.2</v>
      </c>
      <c r="D134" s="12">
        <v>1022</v>
      </c>
      <c r="E134" s="12">
        <v>25</v>
      </c>
      <c r="F134" s="12">
        <v>1</v>
      </c>
      <c r="G134" s="12">
        <v>13</v>
      </c>
      <c r="H134" s="12">
        <v>26</v>
      </c>
      <c r="I134" s="12" t="s">
        <v>23</v>
      </c>
      <c r="J134" s="12" t="s">
        <v>27</v>
      </c>
      <c r="K134" s="12">
        <f>VLOOKUP(Tableau2[[#This Row],[essence]],Tableau5[],2,FALSE)</f>
        <v>-1.5804</v>
      </c>
      <c r="L134" s="12">
        <f>VLOOKUP(Tableau2[[#This Row],[essence]],Tableau5[],3,FALSE)</f>
        <v>0.70079999999999998</v>
      </c>
      <c r="M134" s="12">
        <f>IF(Tableau2[[#This Row],[priorecol]]="C",1,0)</f>
        <v>1</v>
      </c>
      <c r="N134" s="12">
        <f>VLOOKUP(Tableau2[[#This Row],[essence]],Tableau5[],4,FALSE)</f>
        <v>0.1178</v>
      </c>
      <c r="O134" s="12">
        <f>IF(Tableau2[[#This Row],[priorecol]]="R",1,0)</f>
        <v>0</v>
      </c>
      <c r="P134" s="12">
        <f>VLOOKUP(Tableau2[[#This Row],[essence]],Tableau5[],5,FALSE)</f>
        <v>0.88300000000000001</v>
      </c>
      <c r="Q134" s="12">
        <f>IF(Tableau2[[#This Row],[priorecol]]="S",1,0)</f>
        <v>0</v>
      </c>
      <c r="R134" s="12">
        <f>VLOOKUP(Tableau2[[#This Row],[essence]],Tableau5[],6,FALSE)</f>
        <v>4.8599999999999997E-2</v>
      </c>
      <c r="S134" s="12">
        <f>VLOOKUP(Tableau2[[#This Row],[essence]],Tableau5[],15,FALSE)</f>
        <v>0</v>
      </c>
      <c r="T134" s="12">
        <f>VLOOKUP(Tableau2[[#This Row],[essence]],Tableau5[],7,FALSE)</f>
        <v>1.111</v>
      </c>
      <c r="U134" s="12">
        <f>IF(Tableau2[[#This Row],[sdom]]=1,1,0)</f>
        <v>0</v>
      </c>
      <c r="V134" s="12">
        <f>VLOOKUP(Tableau2[[#This Row],[essence]],Tableau5[],8,FALSE)</f>
        <v>0.68489999999999995</v>
      </c>
      <c r="W134" s="12">
        <f>IF(Tableau2[[#This Row],[sdom]]="2EST",1,0)</f>
        <v>0</v>
      </c>
      <c r="X134" s="12">
        <f>VLOOKUP(Tableau2[[#This Row],[essence]],Tableau5[],9,FALSE)</f>
        <v>0.72130000000000005</v>
      </c>
      <c r="Y134" s="12">
        <f>IF(Tableau2[[#This Row],[sdom]]="2OUEST",1,0)</f>
        <v>0</v>
      </c>
      <c r="Z134" s="12">
        <f>VLOOKUP(Tableau2[[#This Row],[essence]],Tableau5[],10,FALSE)</f>
        <v>0.83930000000000005</v>
      </c>
      <c r="AA134" s="12">
        <f>IF(Tableau2[[#This Row],[sdom]]="3EST",1,0)</f>
        <v>0</v>
      </c>
      <c r="AB134" s="12">
        <f>VLOOKUP(Tableau2[[#This Row],[essence]],Tableau5[],11,FALSE)</f>
        <v>0.6865</v>
      </c>
      <c r="AC134" s="12">
        <f>IF(Tableau2[[#This Row],[sdom]]="3OUEST",1,0)</f>
        <v>0</v>
      </c>
      <c r="AD134" s="12">
        <f>VLOOKUP(Tableau2[[#This Row],[essence]],Tableau5[],12,FALSE)</f>
        <v>0.79569999999999996</v>
      </c>
      <c r="AE134" s="12">
        <f>IF(Tableau2[[#This Row],[sdom]]="4EST",1,0)</f>
        <v>1</v>
      </c>
      <c r="AF134" s="12">
        <f>VLOOKUP(Tableau2[[#This Row],[essence]],Tableau5[],13,FALSE)</f>
        <v>0.54700000000000004</v>
      </c>
      <c r="AG134" s="12">
        <f>IF(Tableau2[[#This Row],[sdom]]="4OUEST",1,0)</f>
        <v>0</v>
      </c>
      <c r="AH134" s="12">
        <f>VLOOKUP(Tableau2[[#This Row],[essence]],Tableau5[],14,FALSE)</f>
        <v>0</v>
      </c>
      <c r="AI134" s="12">
        <f>IF(Tableau2[[#This Row],[sdom]]="5EST",1,0)</f>
        <v>0</v>
      </c>
      <c r="AJ134" s="12">
        <f>VLOOKUP(Tableau2[[#This Row],[essence]],Tableau5[],16,FALSE)</f>
        <v>0</v>
      </c>
      <c r="AK134" s="12">
        <f>IF(Tableau2[[#This Row],[sdom]]="5OUEST",1,0)</f>
        <v>0</v>
      </c>
      <c r="AL134" s="12">
        <f>VLOOKUP(Tableau2[[#This Row],[essence]],Tableau5[],17,FALSE)</f>
        <v>0</v>
      </c>
      <c r="AM134" s="12">
        <f>IF(Tableau2[[#This Row],[sdom]]="6EST",1,0)</f>
        <v>0</v>
      </c>
      <c r="AN134" s="12">
        <f>VLOOKUP(Tableau2[[#This Row],[essence]],Tableau5[],19,FALSE)</f>
        <v>4.2000000000000003E-2</v>
      </c>
      <c r="AO134" s="12">
        <f>IF(Tableau2[[#This Row],[priorecol]]="C",1,0)</f>
        <v>1</v>
      </c>
      <c r="AP134" s="12">
        <f>VLOOKUP(Tableau2[[#This Row],[essence]],Tableau5[],20,FALSE)</f>
        <v>0.111</v>
      </c>
      <c r="AQ134" s="12">
        <f>IF(Tableau2[[#This Row],[priorecol]]="R",1,0)</f>
        <v>0</v>
      </c>
      <c r="AR134" s="12">
        <f>VLOOKUP(Tableau2[[#This Row],[essence]],Tableau5[],21,FALSE)</f>
        <v>4.3600000000000002E-3</v>
      </c>
      <c r="AS134" s="12">
        <f>IF(Tableau2[[#This Row],[priorecol]]="S",1,0)</f>
        <v>0</v>
      </c>
      <c r="AT134" s="12">
        <f>VLOOKUP(Tableau2[[#This Row],[essence]],Tableau5[],22,FALSE)</f>
        <v>0</v>
      </c>
      <c r="AU134" s="12">
        <f>VLOOKUP(Tableau2[[#This Row],[essence]],Tableau5[],23,FALSE)</f>
        <v>0</v>
      </c>
      <c r="AV134" s="12">
        <f>VLOOKUP(Tableau2[[#This Row],[essence]],Tableau5[],18,FALSE)</f>
        <v>0</v>
      </c>
      <c r="AW13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2.2717000000000001</v>
      </c>
      <c r="AX134" s="12">
        <f>1/(1+EXP(-Tableau2[[#This Row],[xb_c]]))</f>
        <v>0.9065059672918131</v>
      </c>
      <c r="AY134" s="12" t="str">
        <f t="shared" si="4"/>
        <v>NA</v>
      </c>
      <c r="AZ134" s="12" t="str">
        <f t="shared" si="5"/>
        <v>NA</v>
      </c>
      <c r="BA134" s="12">
        <f>Tableau2[[#This Row],[prob_c]]</f>
        <v>0.9065059672918131</v>
      </c>
      <c r="BB134" s="12">
        <f>1-Tableau2[[#This Row],[prob_c]]</f>
        <v>9.3494032708186903E-2</v>
      </c>
    </row>
    <row r="135" spans="1:54" x14ac:dyDescent="0.25">
      <c r="A135" s="12">
        <v>6</v>
      </c>
      <c r="B135" s="12" t="s">
        <v>14</v>
      </c>
      <c r="C135" s="12">
        <v>1.2</v>
      </c>
      <c r="D135" s="12">
        <v>1022</v>
      </c>
      <c r="E135" s="12">
        <v>25</v>
      </c>
      <c r="F135" s="12">
        <v>1</v>
      </c>
      <c r="G135" s="12">
        <v>14</v>
      </c>
      <c r="H135" s="12">
        <v>27</v>
      </c>
      <c r="I135" s="12" t="s">
        <v>23</v>
      </c>
      <c r="J135" s="12" t="s">
        <v>28</v>
      </c>
      <c r="K135" s="12">
        <f>VLOOKUP(Tableau2[[#This Row],[essence]],Tableau5[],2,FALSE)</f>
        <v>-1.5804</v>
      </c>
      <c r="L135" s="12">
        <f>VLOOKUP(Tableau2[[#This Row],[essence]],Tableau5[],3,FALSE)</f>
        <v>0.70079999999999998</v>
      </c>
      <c r="M135" s="12">
        <f>IF(Tableau2[[#This Row],[priorecol]]="C",1,0)</f>
        <v>0</v>
      </c>
      <c r="N135" s="12">
        <f>VLOOKUP(Tableau2[[#This Row],[essence]],Tableau5[],4,FALSE)</f>
        <v>0.1178</v>
      </c>
      <c r="O135" s="12">
        <f>IF(Tableau2[[#This Row],[priorecol]]="R",1,0)</f>
        <v>1</v>
      </c>
      <c r="P135" s="12">
        <f>VLOOKUP(Tableau2[[#This Row],[essence]],Tableau5[],5,FALSE)</f>
        <v>0.88300000000000001</v>
      </c>
      <c r="Q135" s="12">
        <f>IF(Tableau2[[#This Row],[priorecol]]="S",1,0)</f>
        <v>0</v>
      </c>
      <c r="R135" s="12">
        <f>VLOOKUP(Tableau2[[#This Row],[essence]],Tableau5[],6,FALSE)</f>
        <v>4.8599999999999997E-2</v>
      </c>
      <c r="S135" s="12">
        <f>VLOOKUP(Tableau2[[#This Row],[essence]],Tableau5[],15,FALSE)</f>
        <v>0</v>
      </c>
      <c r="T135" s="12">
        <f>VLOOKUP(Tableau2[[#This Row],[essence]],Tableau5[],7,FALSE)</f>
        <v>1.111</v>
      </c>
      <c r="U135" s="12">
        <f>IF(Tableau2[[#This Row],[sdom]]=1,1,0)</f>
        <v>0</v>
      </c>
      <c r="V135" s="12">
        <f>VLOOKUP(Tableau2[[#This Row],[essence]],Tableau5[],8,FALSE)</f>
        <v>0.68489999999999995</v>
      </c>
      <c r="W135" s="12">
        <f>IF(Tableau2[[#This Row],[sdom]]="2EST",1,0)</f>
        <v>0</v>
      </c>
      <c r="X135" s="12">
        <f>VLOOKUP(Tableau2[[#This Row],[essence]],Tableau5[],9,FALSE)</f>
        <v>0.72130000000000005</v>
      </c>
      <c r="Y135" s="12">
        <f>IF(Tableau2[[#This Row],[sdom]]="2OUEST",1,0)</f>
        <v>0</v>
      </c>
      <c r="Z135" s="12">
        <f>VLOOKUP(Tableau2[[#This Row],[essence]],Tableau5[],10,FALSE)</f>
        <v>0.83930000000000005</v>
      </c>
      <c r="AA135" s="12">
        <f>IF(Tableau2[[#This Row],[sdom]]="3EST",1,0)</f>
        <v>0</v>
      </c>
      <c r="AB135" s="12">
        <f>VLOOKUP(Tableau2[[#This Row],[essence]],Tableau5[],11,FALSE)</f>
        <v>0.6865</v>
      </c>
      <c r="AC135" s="12">
        <f>IF(Tableau2[[#This Row],[sdom]]="3OUEST",1,0)</f>
        <v>0</v>
      </c>
      <c r="AD135" s="12">
        <f>VLOOKUP(Tableau2[[#This Row],[essence]],Tableau5[],12,FALSE)</f>
        <v>0.79569999999999996</v>
      </c>
      <c r="AE135" s="12">
        <f>IF(Tableau2[[#This Row],[sdom]]="4EST",1,0)</f>
        <v>1</v>
      </c>
      <c r="AF135" s="12">
        <f>VLOOKUP(Tableau2[[#This Row],[essence]],Tableau5[],13,FALSE)</f>
        <v>0.54700000000000004</v>
      </c>
      <c r="AG135" s="12">
        <f>IF(Tableau2[[#This Row],[sdom]]="4OUEST",1,0)</f>
        <v>0</v>
      </c>
      <c r="AH135" s="12">
        <f>VLOOKUP(Tableau2[[#This Row],[essence]],Tableau5[],14,FALSE)</f>
        <v>0</v>
      </c>
      <c r="AI135" s="12">
        <f>IF(Tableau2[[#This Row],[sdom]]="5EST",1,0)</f>
        <v>0</v>
      </c>
      <c r="AJ135" s="12">
        <f>VLOOKUP(Tableau2[[#This Row],[essence]],Tableau5[],16,FALSE)</f>
        <v>0</v>
      </c>
      <c r="AK135" s="12">
        <f>IF(Tableau2[[#This Row],[sdom]]="5OUEST",1,0)</f>
        <v>0</v>
      </c>
      <c r="AL135" s="12">
        <f>VLOOKUP(Tableau2[[#This Row],[essence]],Tableau5[],17,FALSE)</f>
        <v>0</v>
      </c>
      <c r="AM135" s="12">
        <f>IF(Tableau2[[#This Row],[sdom]]="6EST",1,0)</f>
        <v>0</v>
      </c>
      <c r="AN135" s="12">
        <f>VLOOKUP(Tableau2[[#This Row],[essence]],Tableau5[],19,FALSE)</f>
        <v>4.2000000000000003E-2</v>
      </c>
      <c r="AO135" s="12">
        <f>IF(Tableau2[[#This Row],[priorecol]]="C",1,0)</f>
        <v>0</v>
      </c>
      <c r="AP135" s="12">
        <f>VLOOKUP(Tableau2[[#This Row],[essence]],Tableau5[],20,FALSE)</f>
        <v>0.111</v>
      </c>
      <c r="AQ135" s="12">
        <f>IF(Tableau2[[#This Row],[priorecol]]="R",1,0)</f>
        <v>1</v>
      </c>
      <c r="AR135" s="12">
        <f>VLOOKUP(Tableau2[[#This Row],[essence]],Tableau5[],21,FALSE)</f>
        <v>4.3600000000000002E-3</v>
      </c>
      <c r="AS135" s="12">
        <f>IF(Tableau2[[#This Row],[priorecol]]="S",1,0)</f>
        <v>0</v>
      </c>
      <c r="AT135" s="12">
        <f>VLOOKUP(Tableau2[[#This Row],[essence]],Tableau5[],22,FALSE)</f>
        <v>0</v>
      </c>
      <c r="AU135" s="12">
        <f>VLOOKUP(Tableau2[[#This Row],[essence]],Tableau5[],23,FALSE)</f>
        <v>0</v>
      </c>
      <c r="AV135" s="12">
        <f>VLOOKUP(Tableau2[[#This Row],[essence]],Tableau5[],18,FALSE)</f>
        <v>0</v>
      </c>
      <c r="AW13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3.6422999999999996</v>
      </c>
      <c r="AX135" s="12">
        <f>1/(1+EXP(-Tableau2[[#This Row],[xb_c]]))</f>
        <v>0.97447647992033948</v>
      </c>
      <c r="AY135" s="12" t="str">
        <f t="shared" si="4"/>
        <v>NA</v>
      </c>
      <c r="AZ135" s="12" t="str">
        <f t="shared" si="5"/>
        <v>NA</v>
      </c>
      <c r="BA135" s="12">
        <f>Tableau2[[#This Row],[prob_c]]</f>
        <v>0.97447647992033948</v>
      </c>
      <c r="BB135" s="12">
        <f>1-Tableau2[[#This Row],[prob_c]]</f>
        <v>2.5523520079660522E-2</v>
      </c>
    </row>
    <row r="136" spans="1:54" x14ac:dyDescent="0.25">
      <c r="A136" s="12">
        <v>6</v>
      </c>
      <c r="B136" s="12" t="s">
        <v>14</v>
      </c>
      <c r="C136" s="12">
        <v>1.2</v>
      </c>
      <c r="D136" s="12">
        <v>1022</v>
      </c>
      <c r="E136" s="12">
        <v>25</v>
      </c>
      <c r="F136" s="12">
        <v>1</v>
      </c>
      <c r="G136" s="12">
        <v>15</v>
      </c>
      <c r="H136" s="12">
        <v>28</v>
      </c>
      <c r="I136" s="12" t="s">
        <v>23</v>
      </c>
      <c r="J136" s="12" t="s">
        <v>29</v>
      </c>
      <c r="K136" s="12">
        <f>VLOOKUP(Tableau2[[#This Row],[essence]],Tableau5[],2,FALSE)</f>
        <v>-1.5804</v>
      </c>
      <c r="L136" s="12">
        <f>VLOOKUP(Tableau2[[#This Row],[essence]],Tableau5[],3,FALSE)</f>
        <v>0.70079999999999998</v>
      </c>
      <c r="M136" s="12">
        <f>IF(Tableau2[[#This Row],[priorecol]]="C",1,0)</f>
        <v>0</v>
      </c>
      <c r="N136" s="12">
        <f>VLOOKUP(Tableau2[[#This Row],[essence]],Tableau5[],4,FALSE)</f>
        <v>0.1178</v>
      </c>
      <c r="O136" s="12">
        <f>IF(Tableau2[[#This Row],[priorecol]]="R",1,0)</f>
        <v>0</v>
      </c>
      <c r="P136" s="12">
        <f>VLOOKUP(Tableau2[[#This Row],[essence]],Tableau5[],5,FALSE)</f>
        <v>0.88300000000000001</v>
      </c>
      <c r="Q136" s="12">
        <f>IF(Tableau2[[#This Row],[priorecol]]="S",1,0)</f>
        <v>1</v>
      </c>
      <c r="R136" s="12">
        <f>VLOOKUP(Tableau2[[#This Row],[essence]],Tableau5[],6,FALSE)</f>
        <v>4.8599999999999997E-2</v>
      </c>
      <c r="S136" s="12">
        <f>VLOOKUP(Tableau2[[#This Row],[essence]],Tableau5[],15,FALSE)</f>
        <v>0</v>
      </c>
      <c r="T136" s="12">
        <f>VLOOKUP(Tableau2[[#This Row],[essence]],Tableau5[],7,FALSE)</f>
        <v>1.111</v>
      </c>
      <c r="U136" s="12">
        <f>IF(Tableau2[[#This Row],[sdom]]=1,1,0)</f>
        <v>0</v>
      </c>
      <c r="V136" s="12">
        <f>VLOOKUP(Tableau2[[#This Row],[essence]],Tableau5[],8,FALSE)</f>
        <v>0.68489999999999995</v>
      </c>
      <c r="W136" s="12">
        <f>IF(Tableau2[[#This Row],[sdom]]="2EST",1,0)</f>
        <v>0</v>
      </c>
      <c r="X136" s="12">
        <f>VLOOKUP(Tableau2[[#This Row],[essence]],Tableau5[],9,FALSE)</f>
        <v>0.72130000000000005</v>
      </c>
      <c r="Y136" s="12">
        <f>IF(Tableau2[[#This Row],[sdom]]="2OUEST",1,0)</f>
        <v>0</v>
      </c>
      <c r="Z136" s="12">
        <f>VLOOKUP(Tableau2[[#This Row],[essence]],Tableau5[],10,FALSE)</f>
        <v>0.83930000000000005</v>
      </c>
      <c r="AA136" s="12">
        <f>IF(Tableau2[[#This Row],[sdom]]="3EST",1,0)</f>
        <v>0</v>
      </c>
      <c r="AB136" s="12">
        <f>VLOOKUP(Tableau2[[#This Row],[essence]],Tableau5[],11,FALSE)</f>
        <v>0.6865</v>
      </c>
      <c r="AC136" s="12">
        <f>IF(Tableau2[[#This Row],[sdom]]="3OUEST",1,0)</f>
        <v>0</v>
      </c>
      <c r="AD136" s="12">
        <f>VLOOKUP(Tableau2[[#This Row],[essence]],Tableau5[],12,FALSE)</f>
        <v>0.79569999999999996</v>
      </c>
      <c r="AE136" s="12">
        <f>IF(Tableau2[[#This Row],[sdom]]="4EST",1,0)</f>
        <v>1</v>
      </c>
      <c r="AF136" s="12">
        <f>VLOOKUP(Tableau2[[#This Row],[essence]],Tableau5[],13,FALSE)</f>
        <v>0.54700000000000004</v>
      </c>
      <c r="AG136" s="12">
        <f>IF(Tableau2[[#This Row],[sdom]]="4OUEST",1,0)</f>
        <v>0</v>
      </c>
      <c r="AH136" s="12">
        <f>VLOOKUP(Tableau2[[#This Row],[essence]],Tableau5[],14,FALSE)</f>
        <v>0</v>
      </c>
      <c r="AI136" s="12">
        <f>IF(Tableau2[[#This Row],[sdom]]="5EST",1,0)</f>
        <v>0</v>
      </c>
      <c r="AJ136" s="12">
        <f>VLOOKUP(Tableau2[[#This Row],[essence]],Tableau5[],16,FALSE)</f>
        <v>0</v>
      </c>
      <c r="AK136" s="12">
        <f>IF(Tableau2[[#This Row],[sdom]]="5OUEST",1,0)</f>
        <v>0</v>
      </c>
      <c r="AL136" s="12">
        <f>VLOOKUP(Tableau2[[#This Row],[essence]],Tableau5[],17,FALSE)</f>
        <v>0</v>
      </c>
      <c r="AM136" s="12">
        <f>IF(Tableau2[[#This Row],[sdom]]="6EST",1,0)</f>
        <v>0</v>
      </c>
      <c r="AN136" s="12">
        <f>VLOOKUP(Tableau2[[#This Row],[essence]],Tableau5[],19,FALSE)</f>
        <v>4.2000000000000003E-2</v>
      </c>
      <c r="AO136" s="12">
        <f>IF(Tableau2[[#This Row],[priorecol]]="C",1,0)</f>
        <v>0</v>
      </c>
      <c r="AP136" s="12">
        <f>VLOOKUP(Tableau2[[#This Row],[essence]],Tableau5[],20,FALSE)</f>
        <v>0.111</v>
      </c>
      <c r="AQ136" s="12">
        <f>IF(Tableau2[[#This Row],[priorecol]]="R",1,0)</f>
        <v>0</v>
      </c>
      <c r="AR136" s="12">
        <f>VLOOKUP(Tableau2[[#This Row],[essence]],Tableau5[],21,FALSE)</f>
        <v>4.3600000000000002E-3</v>
      </c>
      <c r="AS136" s="12">
        <f>IF(Tableau2[[#This Row],[priorecol]]="S",1,0)</f>
        <v>1</v>
      </c>
      <c r="AT136" s="12">
        <f>VLOOKUP(Tableau2[[#This Row],[essence]],Tableau5[],22,FALSE)</f>
        <v>0</v>
      </c>
      <c r="AU136" s="12">
        <f>VLOOKUP(Tableau2[[#This Row],[essence]],Tableau5[],23,FALSE)</f>
        <v>0</v>
      </c>
      <c r="AV136" s="12">
        <f>VLOOKUP(Tableau2[[#This Row],[essence]],Tableau5[],18,FALSE)</f>
        <v>0</v>
      </c>
      <c r="AW13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1.5811799999999998</v>
      </c>
      <c r="AX136" s="12">
        <f>1/(1+EXP(-Tableau2[[#This Row],[xb_c]]))</f>
        <v>0.82937156983975802</v>
      </c>
      <c r="AY136" s="12" t="str">
        <f t="shared" si="4"/>
        <v>NA</v>
      </c>
      <c r="AZ136" s="12" t="str">
        <f t="shared" si="5"/>
        <v>NA</v>
      </c>
      <c r="BA136" s="12">
        <f>Tableau2[[#This Row],[prob_c]]</f>
        <v>0.82937156983975802</v>
      </c>
      <c r="BB136" s="12">
        <f>1-Tableau2[[#This Row],[prob_c]]</f>
        <v>0.17062843016024198</v>
      </c>
    </row>
    <row r="137" spans="1:54" x14ac:dyDescent="0.25">
      <c r="A137" s="12">
        <v>6</v>
      </c>
      <c r="B137" s="12" t="s">
        <v>14</v>
      </c>
      <c r="C137" s="12">
        <v>1.2</v>
      </c>
      <c r="D137" s="12">
        <v>1022</v>
      </c>
      <c r="E137" s="12">
        <v>25</v>
      </c>
      <c r="F137" s="12">
        <v>1</v>
      </c>
      <c r="G137" s="12">
        <v>16</v>
      </c>
      <c r="H137" s="12">
        <v>29</v>
      </c>
      <c r="I137" s="12" t="s">
        <v>24</v>
      </c>
      <c r="J137" s="12" t="s">
        <v>27</v>
      </c>
      <c r="K137" s="12">
        <f>VLOOKUP(Tableau2[[#This Row],[essence]],Tableau5[],2,FALSE)</f>
        <v>1.9585999999999999</v>
      </c>
      <c r="L137" s="12">
        <f>VLOOKUP(Tableau2[[#This Row],[essence]],Tableau5[],3,FALSE)</f>
        <v>6.6000000000000003E-2</v>
      </c>
      <c r="M137" s="12">
        <f>IF(Tableau2[[#This Row],[priorecol]]="C",1,0)</f>
        <v>1</v>
      </c>
      <c r="N137" s="12">
        <f>VLOOKUP(Tableau2[[#This Row],[essence]],Tableau5[],4,FALSE)</f>
        <v>-1.9339999999999999</v>
      </c>
      <c r="O137" s="12">
        <f>IF(Tableau2[[#This Row],[priorecol]]="R",1,0)</f>
        <v>0</v>
      </c>
      <c r="P137" s="12">
        <f>VLOOKUP(Tableau2[[#This Row],[essence]],Tableau5[],5,FALSE)</f>
        <v>-4.4771999999999998</v>
      </c>
      <c r="Q137" s="12">
        <f>IF(Tableau2[[#This Row],[priorecol]]="S",1,0)</f>
        <v>0</v>
      </c>
      <c r="R137" s="12">
        <f>VLOOKUP(Tableau2[[#This Row],[essence]],Tableau5[],6,FALSE)</f>
        <v>-2.5499999999999998E-2</v>
      </c>
      <c r="S137" s="12">
        <f>VLOOKUP(Tableau2[[#This Row],[essence]],Tableau5[],15,FALSE)</f>
        <v>0</v>
      </c>
      <c r="T137" s="12">
        <f>VLOOKUP(Tableau2[[#This Row],[essence]],Tableau5[],7,FALSE)</f>
        <v>0</v>
      </c>
      <c r="U137" s="12">
        <f>IF(Tableau2[[#This Row],[sdom]]=1,1,0)</f>
        <v>0</v>
      </c>
      <c r="V137" s="12">
        <f>VLOOKUP(Tableau2[[#This Row],[essence]],Tableau5[],8,FALSE)</f>
        <v>0</v>
      </c>
      <c r="W137" s="12">
        <f>IF(Tableau2[[#This Row],[sdom]]="2EST",1,0)</f>
        <v>0</v>
      </c>
      <c r="X137" s="12">
        <f>VLOOKUP(Tableau2[[#This Row],[essence]],Tableau5[],9,FALSE)</f>
        <v>0</v>
      </c>
      <c r="Y137" s="12">
        <f>IF(Tableau2[[#This Row],[sdom]]="2OUEST",1,0)</f>
        <v>0</v>
      </c>
      <c r="Z137" s="12">
        <f>VLOOKUP(Tableau2[[#This Row],[essence]],Tableau5[],10,FALSE)</f>
        <v>0</v>
      </c>
      <c r="AA137" s="12">
        <f>IF(Tableau2[[#This Row],[sdom]]="3EST",1,0)</f>
        <v>0</v>
      </c>
      <c r="AB137" s="12">
        <f>VLOOKUP(Tableau2[[#This Row],[essence]],Tableau5[],11,FALSE)</f>
        <v>0</v>
      </c>
      <c r="AC137" s="12">
        <f>IF(Tableau2[[#This Row],[sdom]]="3OUEST",1,0)</f>
        <v>0</v>
      </c>
      <c r="AD137" s="12">
        <f>VLOOKUP(Tableau2[[#This Row],[essence]],Tableau5[],12,FALSE)</f>
        <v>0</v>
      </c>
      <c r="AE137" s="12">
        <f>IF(Tableau2[[#This Row],[sdom]]="4EST",1,0)</f>
        <v>1</v>
      </c>
      <c r="AF137" s="12">
        <f>VLOOKUP(Tableau2[[#This Row],[essence]],Tableau5[],13,FALSE)</f>
        <v>0</v>
      </c>
      <c r="AG137" s="12">
        <f>IF(Tableau2[[#This Row],[sdom]]="4OUEST",1,0)</f>
        <v>0</v>
      </c>
      <c r="AH137" s="12">
        <f>VLOOKUP(Tableau2[[#This Row],[essence]],Tableau5[],14,FALSE)</f>
        <v>0</v>
      </c>
      <c r="AI137" s="12">
        <f>IF(Tableau2[[#This Row],[sdom]]="5EST",1,0)</f>
        <v>0</v>
      </c>
      <c r="AJ137" s="12">
        <f>VLOOKUP(Tableau2[[#This Row],[essence]],Tableau5[],16,FALSE)</f>
        <v>0</v>
      </c>
      <c r="AK137" s="12">
        <f>IF(Tableau2[[#This Row],[sdom]]="5OUEST",1,0)</f>
        <v>0</v>
      </c>
      <c r="AL137" s="12">
        <f>VLOOKUP(Tableau2[[#This Row],[essence]],Tableau5[],17,FALSE)</f>
        <v>0</v>
      </c>
      <c r="AM137" s="12">
        <f>IF(Tableau2[[#This Row],[sdom]]="6EST",1,0)</f>
        <v>0</v>
      </c>
      <c r="AN137" s="12">
        <f>VLOOKUP(Tableau2[[#This Row],[essence]],Tableau5[],19,FALSE)</f>
        <v>4.2599999999999999E-2</v>
      </c>
      <c r="AO137" s="12">
        <f>IF(Tableau2[[#This Row],[priorecol]]="C",1,0)</f>
        <v>1</v>
      </c>
      <c r="AP137" s="12">
        <f>VLOOKUP(Tableau2[[#This Row],[essence]],Tableau5[],20,FALSE)</f>
        <v>0.17699999999999999</v>
      </c>
      <c r="AQ137" s="12">
        <f>IF(Tableau2[[#This Row],[priorecol]]="R",1,0)</f>
        <v>0</v>
      </c>
      <c r="AR137" s="12">
        <f>VLOOKUP(Tableau2[[#This Row],[essence]],Tableau5[],21,FALSE)</f>
        <v>0.19650000000000001</v>
      </c>
      <c r="AS137" s="12">
        <f>IF(Tableau2[[#This Row],[priorecol]]="S",1,0)</f>
        <v>0</v>
      </c>
      <c r="AT137" s="12">
        <f>VLOOKUP(Tableau2[[#This Row],[essence]],Tableau5[],22,FALSE)</f>
        <v>0</v>
      </c>
      <c r="AU137" s="12">
        <f>VLOOKUP(Tableau2[[#This Row],[essence]],Tableau5[],23,FALSE)</f>
        <v>0</v>
      </c>
      <c r="AV137" s="12">
        <f>VLOOKUP(Tableau2[[#This Row],[essence]],Tableau5[],18,FALSE)</f>
        <v>0</v>
      </c>
      <c r="AW13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2.5205000000000002</v>
      </c>
      <c r="AX137" s="12">
        <f>1/(1+EXP(-Tableau2[[#This Row],[xb_c]]))</f>
        <v>0.92556650873778823</v>
      </c>
      <c r="AY137" s="12" t="str">
        <f t="shared" si="4"/>
        <v>NA</v>
      </c>
      <c r="AZ137" s="12" t="str">
        <f t="shared" si="5"/>
        <v>NA</v>
      </c>
      <c r="BA137" s="12">
        <f>Tableau2[[#This Row],[prob_c]]</f>
        <v>0.92556650873778823</v>
      </c>
      <c r="BB137" s="12">
        <f>1-Tableau2[[#This Row],[prob_c]]</f>
        <v>7.4433491262211771E-2</v>
      </c>
    </row>
    <row r="138" spans="1:54" x14ac:dyDescent="0.25">
      <c r="A138" s="12">
        <v>6</v>
      </c>
      <c r="B138" s="12" t="s">
        <v>14</v>
      </c>
      <c r="C138" s="12">
        <v>1.2</v>
      </c>
      <c r="D138" s="12">
        <v>1022</v>
      </c>
      <c r="E138" s="12">
        <v>25</v>
      </c>
      <c r="F138" s="12">
        <v>1</v>
      </c>
      <c r="G138" s="12">
        <v>17</v>
      </c>
      <c r="H138" s="12">
        <v>30</v>
      </c>
      <c r="I138" s="12" t="s">
        <v>24</v>
      </c>
      <c r="J138" s="12" t="s">
        <v>28</v>
      </c>
      <c r="K138" s="12">
        <f>VLOOKUP(Tableau2[[#This Row],[essence]],Tableau5[],2,FALSE)</f>
        <v>1.9585999999999999</v>
      </c>
      <c r="L138" s="12">
        <f>VLOOKUP(Tableau2[[#This Row],[essence]],Tableau5[],3,FALSE)</f>
        <v>6.6000000000000003E-2</v>
      </c>
      <c r="M138" s="12">
        <f>IF(Tableau2[[#This Row],[priorecol]]="C",1,0)</f>
        <v>0</v>
      </c>
      <c r="N138" s="12">
        <f>VLOOKUP(Tableau2[[#This Row],[essence]],Tableau5[],4,FALSE)</f>
        <v>-1.9339999999999999</v>
      </c>
      <c r="O138" s="12">
        <f>IF(Tableau2[[#This Row],[priorecol]]="R",1,0)</f>
        <v>1</v>
      </c>
      <c r="P138" s="12">
        <f>VLOOKUP(Tableau2[[#This Row],[essence]],Tableau5[],5,FALSE)</f>
        <v>-4.4771999999999998</v>
      </c>
      <c r="Q138" s="12">
        <f>IF(Tableau2[[#This Row],[priorecol]]="S",1,0)</f>
        <v>0</v>
      </c>
      <c r="R138" s="12">
        <f>VLOOKUP(Tableau2[[#This Row],[essence]],Tableau5[],6,FALSE)</f>
        <v>-2.5499999999999998E-2</v>
      </c>
      <c r="S138" s="12">
        <f>VLOOKUP(Tableau2[[#This Row],[essence]],Tableau5[],15,FALSE)</f>
        <v>0</v>
      </c>
      <c r="T138" s="12">
        <f>VLOOKUP(Tableau2[[#This Row],[essence]],Tableau5[],7,FALSE)</f>
        <v>0</v>
      </c>
      <c r="U138" s="12">
        <f>IF(Tableau2[[#This Row],[sdom]]=1,1,0)</f>
        <v>0</v>
      </c>
      <c r="V138" s="12">
        <f>VLOOKUP(Tableau2[[#This Row],[essence]],Tableau5[],8,FALSE)</f>
        <v>0</v>
      </c>
      <c r="W138" s="12">
        <f>IF(Tableau2[[#This Row],[sdom]]="2EST",1,0)</f>
        <v>0</v>
      </c>
      <c r="X138" s="12">
        <f>VLOOKUP(Tableau2[[#This Row],[essence]],Tableau5[],9,FALSE)</f>
        <v>0</v>
      </c>
      <c r="Y138" s="12">
        <f>IF(Tableau2[[#This Row],[sdom]]="2OUEST",1,0)</f>
        <v>0</v>
      </c>
      <c r="Z138" s="12">
        <f>VLOOKUP(Tableau2[[#This Row],[essence]],Tableau5[],10,FALSE)</f>
        <v>0</v>
      </c>
      <c r="AA138" s="12">
        <f>IF(Tableau2[[#This Row],[sdom]]="3EST",1,0)</f>
        <v>0</v>
      </c>
      <c r="AB138" s="12">
        <f>VLOOKUP(Tableau2[[#This Row],[essence]],Tableau5[],11,FALSE)</f>
        <v>0</v>
      </c>
      <c r="AC138" s="12">
        <f>IF(Tableau2[[#This Row],[sdom]]="3OUEST",1,0)</f>
        <v>0</v>
      </c>
      <c r="AD138" s="12">
        <f>VLOOKUP(Tableau2[[#This Row],[essence]],Tableau5[],12,FALSE)</f>
        <v>0</v>
      </c>
      <c r="AE138" s="12">
        <f>IF(Tableau2[[#This Row],[sdom]]="4EST",1,0)</f>
        <v>1</v>
      </c>
      <c r="AF138" s="12">
        <f>VLOOKUP(Tableau2[[#This Row],[essence]],Tableau5[],13,FALSE)</f>
        <v>0</v>
      </c>
      <c r="AG138" s="12">
        <f>IF(Tableau2[[#This Row],[sdom]]="4OUEST",1,0)</f>
        <v>0</v>
      </c>
      <c r="AH138" s="12">
        <f>VLOOKUP(Tableau2[[#This Row],[essence]],Tableau5[],14,FALSE)</f>
        <v>0</v>
      </c>
      <c r="AI138" s="12">
        <f>IF(Tableau2[[#This Row],[sdom]]="5EST",1,0)</f>
        <v>0</v>
      </c>
      <c r="AJ138" s="12">
        <f>VLOOKUP(Tableau2[[#This Row],[essence]],Tableau5[],16,FALSE)</f>
        <v>0</v>
      </c>
      <c r="AK138" s="12">
        <f>IF(Tableau2[[#This Row],[sdom]]="5OUEST",1,0)</f>
        <v>0</v>
      </c>
      <c r="AL138" s="12">
        <f>VLOOKUP(Tableau2[[#This Row],[essence]],Tableau5[],17,FALSE)</f>
        <v>0</v>
      </c>
      <c r="AM138" s="12">
        <f>IF(Tableau2[[#This Row],[sdom]]="6EST",1,0)</f>
        <v>0</v>
      </c>
      <c r="AN138" s="12">
        <f>VLOOKUP(Tableau2[[#This Row],[essence]],Tableau5[],19,FALSE)</f>
        <v>4.2599999999999999E-2</v>
      </c>
      <c r="AO138" s="12">
        <f>IF(Tableau2[[#This Row],[priorecol]]="C",1,0)</f>
        <v>0</v>
      </c>
      <c r="AP138" s="12">
        <f>VLOOKUP(Tableau2[[#This Row],[essence]],Tableau5[],20,FALSE)</f>
        <v>0.17699999999999999</v>
      </c>
      <c r="AQ138" s="12">
        <f>IF(Tableau2[[#This Row],[priorecol]]="R",1,0)</f>
        <v>1</v>
      </c>
      <c r="AR138" s="12">
        <f>VLOOKUP(Tableau2[[#This Row],[essence]],Tableau5[],21,FALSE)</f>
        <v>0.19650000000000001</v>
      </c>
      <c r="AS138" s="12">
        <f>IF(Tableau2[[#This Row],[priorecol]]="S",1,0)</f>
        <v>0</v>
      </c>
      <c r="AT138" s="12">
        <f>VLOOKUP(Tableau2[[#This Row],[essence]],Tableau5[],22,FALSE)</f>
        <v>0</v>
      </c>
      <c r="AU138" s="12">
        <f>VLOOKUP(Tableau2[[#This Row],[essence]],Tableau5[],23,FALSE)</f>
        <v>0</v>
      </c>
      <c r="AV138" s="12">
        <f>VLOOKUP(Tableau2[[#This Row],[essence]],Tableau5[],18,FALSE)</f>
        <v>0</v>
      </c>
      <c r="AW13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4.5695999999999994</v>
      </c>
      <c r="AX138" s="12">
        <f>1/(1+EXP(-Tableau2[[#This Row],[xb_c]]))</f>
        <v>0.98974416826206058</v>
      </c>
      <c r="AY138" s="12" t="str">
        <f t="shared" si="4"/>
        <v>NA</v>
      </c>
      <c r="AZ138" s="12" t="str">
        <f t="shared" si="5"/>
        <v>NA</v>
      </c>
      <c r="BA138" s="12">
        <f>Tableau2[[#This Row],[prob_c]]</f>
        <v>0.98974416826206058</v>
      </c>
      <c r="BB138" s="12">
        <f>1-Tableau2[[#This Row],[prob_c]]</f>
        <v>1.0255831737939425E-2</v>
      </c>
    </row>
    <row r="139" spans="1:54" x14ac:dyDescent="0.25">
      <c r="A139" s="12">
        <v>6</v>
      </c>
      <c r="B139" s="12" t="s">
        <v>14</v>
      </c>
      <c r="C139" s="12">
        <v>1.2</v>
      </c>
      <c r="D139" s="12">
        <v>1022</v>
      </c>
      <c r="E139" s="12">
        <v>25</v>
      </c>
      <c r="F139" s="12">
        <v>1</v>
      </c>
      <c r="G139" s="12">
        <v>18</v>
      </c>
      <c r="H139" s="12">
        <v>31</v>
      </c>
      <c r="I139" s="12" t="s">
        <v>24</v>
      </c>
      <c r="J139" s="12" t="s">
        <v>29</v>
      </c>
      <c r="K139" s="12">
        <f>VLOOKUP(Tableau2[[#This Row],[essence]],Tableau5[],2,FALSE)</f>
        <v>1.9585999999999999</v>
      </c>
      <c r="L139" s="12">
        <f>VLOOKUP(Tableau2[[#This Row],[essence]],Tableau5[],3,FALSE)</f>
        <v>6.6000000000000003E-2</v>
      </c>
      <c r="M139" s="12">
        <f>IF(Tableau2[[#This Row],[priorecol]]="C",1,0)</f>
        <v>0</v>
      </c>
      <c r="N139" s="12">
        <f>VLOOKUP(Tableau2[[#This Row],[essence]],Tableau5[],4,FALSE)</f>
        <v>-1.9339999999999999</v>
      </c>
      <c r="O139" s="12">
        <f>IF(Tableau2[[#This Row],[priorecol]]="R",1,0)</f>
        <v>0</v>
      </c>
      <c r="P139" s="12">
        <f>VLOOKUP(Tableau2[[#This Row],[essence]],Tableau5[],5,FALSE)</f>
        <v>-4.4771999999999998</v>
      </c>
      <c r="Q139" s="12">
        <f>IF(Tableau2[[#This Row],[priorecol]]="S",1,0)</f>
        <v>1</v>
      </c>
      <c r="R139" s="12">
        <f>VLOOKUP(Tableau2[[#This Row],[essence]],Tableau5[],6,FALSE)</f>
        <v>-2.5499999999999998E-2</v>
      </c>
      <c r="S139" s="12">
        <f>VLOOKUP(Tableau2[[#This Row],[essence]],Tableau5[],15,FALSE)</f>
        <v>0</v>
      </c>
      <c r="T139" s="12">
        <f>VLOOKUP(Tableau2[[#This Row],[essence]],Tableau5[],7,FALSE)</f>
        <v>0</v>
      </c>
      <c r="U139" s="12">
        <f>IF(Tableau2[[#This Row],[sdom]]=1,1,0)</f>
        <v>0</v>
      </c>
      <c r="V139" s="12">
        <f>VLOOKUP(Tableau2[[#This Row],[essence]],Tableau5[],8,FALSE)</f>
        <v>0</v>
      </c>
      <c r="W139" s="12">
        <f>IF(Tableau2[[#This Row],[sdom]]="2EST",1,0)</f>
        <v>0</v>
      </c>
      <c r="X139" s="12">
        <f>VLOOKUP(Tableau2[[#This Row],[essence]],Tableau5[],9,FALSE)</f>
        <v>0</v>
      </c>
      <c r="Y139" s="12">
        <f>IF(Tableau2[[#This Row],[sdom]]="2OUEST",1,0)</f>
        <v>0</v>
      </c>
      <c r="Z139" s="12">
        <f>VLOOKUP(Tableau2[[#This Row],[essence]],Tableau5[],10,FALSE)</f>
        <v>0</v>
      </c>
      <c r="AA139" s="12">
        <f>IF(Tableau2[[#This Row],[sdom]]="3EST",1,0)</f>
        <v>0</v>
      </c>
      <c r="AB139" s="12">
        <f>VLOOKUP(Tableau2[[#This Row],[essence]],Tableau5[],11,FALSE)</f>
        <v>0</v>
      </c>
      <c r="AC139" s="12">
        <f>IF(Tableau2[[#This Row],[sdom]]="3OUEST",1,0)</f>
        <v>0</v>
      </c>
      <c r="AD139" s="12">
        <f>VLOOKUP(Tableau2[[#This Row],[essence]],Tableau5[],12,FALSE)</f>
        <v>0</v>
      </c>
      <c r="AE139" s="12">
        <f>IF(Tableau2[[#This Row],[sdom]]="4EST",1,0)</f>
        <v>1</v>
      </c>
      <c r="AF139" s="12">
        <f>VLOOKUP(Tableau2[[#This Row],[essence]],Tableau5[],13,FALSE)</f>
        <v>0</v>
      </c>
      <c r="AG139" s="12">
        <f>IF(Tableau2[[#This Row],[sdom]]="4OUEST",1,0)</f>
        <v>0</v>
      </c>
      <c r="AH139" s="12">
        <f>VLOOKUP(Tableau2[[#This Row],[essence]],Tableau5[],14,FALSE)</f>
        <v>0</v>
      </c>
      <c r="AI139" s="12">
        <f>IF(Tableau2[[#This Row],[sdom]]="5EST",1,0)</f>
        <v>0</v>
      </c>
      <c r="AJ139" s="12">
        <f>VLOOKUP(Tableau2[[#This Row],[essence]],Tableau5[],16,FALSE)</f>
        <v>0</v>
      </c>
      <c r="AK139" s="12">
        <f>IF(Tableau2[[#This Row],[sdom]]="5OUEST",1,0)</f>
        <v>0</v>
      </c>
      <c r="AL139" s="12">
        <f>VLOOKUP(Tableau2[[#This Row],[essence]],Tableau5[],17,FALSE)</f>
        <v>0</v>
      </c>
      <c r="AM139" s="12">
        <f>IF(Tableau2[[#This Row],[sdom]]="6EST",1,0)</f>
        <v>0</v>
      </c>
      <c r="AN139" s="12">
        <f>VLOOKUP(Tableau2[[#This Row],[essence]],Tableau5[],19,FALSE)</f>
        <v>4.2599999999999999E-2</v>
      </c>
      <c r="AO139" s="12">
        <f>IF(Tableau2[[#This Row],[priorecol]]="C",1,0)</f>
        <v>0</v>
      </c>
      <c r="AP139" s="12">
        <f>VLOOKUP(Tableau2[[#This Row],[essence]],Tableau5[],20,FALSE)</f>
        <v>0.17699999999999999</v>
      </c>
      <c r="AQ139" s="12">
        <f>IF(Tableau2[[#This Row],[priorecol]]="R",1,0)</f>
        <v>0</v>
      </c>
      <c r="AR139" s="12">
        <f>VLOOKUP(Tableau2[[#This Row],[essence]],Tableau5[],21,FALSE)</f>
        <v>0.19650000000000001</v>
      </c>
      <c r="AS139" s="12">
        <f>IF(Tableau2[[#This Row],[priorecol]]="S",1,0)</f>
        <v>1</v>
      </c>
      <c r="AT139" s="12">
        <f>VLOOKUP(Tableau2[[#This Row],[essence]],Tableau5[],22,FALSE)</f>
        <v>0</v>
      </c>
      <c r="AU139" s="12">
        <f>VLOOKUP(Tableau2[[#This Row],[essence]],Tableau5[],23,FALSE)</f>
        <v>0</v>
      </c>
      <c r="AV139" s="12">
        <f>VLOOKUP(Tableau2[[#This Row],[essence]],Tableau5[],18,FALSE)</f>
        <v>0</v>
      </c>
      <c r="AW13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2.7824</v>
      </c>
      <c r="AX139" s="12">
        <f>1/(1+EXP(-Tableau2[[#This Row],[xb_c]]))</f>
        <v>0.94171731015096183</v>
      </c>
      <c r="AY139" s="12" t="str">
        <f t="shared" si="4"/>
        <v>NA</v>
      </c>
      <c r="AZ139" s="12" t="str">
        <f t="shared" si="5"/>
        <v>NA</v>
      </c>
      <c r="BA139" s="12">
        <f>Tableau2[[#This Row],[prob_c]]</f>
        <v>0.94171731015096183</v>
      </c>
      <c r="BB139" s="12">
        <f>1-Tableau2[[#This Row],[prob_c]]</f>
        <v>5.8282689849038172E-2</v>
      </c>
    </row>
    <row r="140" spans="1:54" x14ac:dyDescent="0.25">
      <c r="A140" s="12">
        <v>6</v>
      </c>
      <c r="B140" s="12" t="s">
        <v>14</v>
      </c>
      <c r="C140" s="12">
        <v>1.2</v>
      </c>
      <c r="D140" s="12">
        <v>1022</v>
      </c>
      <c r="E140" s="12">
        <v>25</v>
      </c>
      <c r="F140" s="12">
        <v>1</v>
      </c>
      <c r="G140" s="12">
        <v>19</v>
      </c>
      <c r="H140" s="12">
        <v>32</v>
      </c>
      <c r="I140" s="12" t="s">
        <v>25</v>
      </c>
      <c r="J140" s="12" t="s">
        <v>27</v>
      </c>
      <c r="K140" s="12">
        <f>VLOOKUP(Tableau2[[#This Row],[essence]],Tableau5[],2,FALSE)</f>
        <v>-2.4066000000000001</v>
      </c>
      <c r="L140" s="12">
        <f>VLOOKUP(Tableau2[[#This Row],[essence]],Tableau5[],3,FALSE)</f>
        <v>1.0301</v>
      </c>
      <c r="M140" s="12">
        <f>IF(Tableau2[[#This Row],[priorecol]]="C",1,0)</f>
        <v>1</v>
      </c>
      <c r="N140" s="12">
        <f>VLOOKUP(Tableau2[[#This Row],[essence]],Tableau5[],4,FALSE)</f>
        <v>1.9907999999999999</v>
      </c>
      <c r="O140" s="12">
        <f>IF(Tableau2[[#This Row],[priorecol]]="R",1,0)</f>
        <v>0</v>
      </c>
      <c r="P140" s="12">
        <f>VLOOKUP(Tableau2[[#This Row],[essence]],Tableau5[],5,FALSE)</f>
        <v>1.1955</v>
      </c>
      <c r="Q140" s="12">
        <f>IF(Tableau2[[#This Row],[priorecol]]="S",1,0)</f>
        <v>0</v>
      </c>
      <c r="R140" s="12">
        <f>VLOOKUP(Tableau2[[#This Row],[essence]],Tableau5[],6,FALSE)</f>
        <v>4.2599999999999999E-2</v>
      </c>
      <c r="S140" s="12">
        <f>VLOOKUP(Tableau2[[#This Row],[essence]],Tableau5[],15,FALSE)</f>
        <v>1.3299999999999999E-2</v>
      </c>
      <c r="T140" s="12">
        <f>VLOOKUP(Tableau2[[#This Row],[essence]],Tableau5[],7,FALSE)</f>
        <v>0</v>
      </c>
      <c r="U140" s="12">
        <f>IF(Tableau2[[#This Row],[sdom]]=1,1,0)</f>
        <v>0</v>
      </c>
      <c r="V140" s="12">
        <f>VLOOKUP(Tableau2[[#This Row],[essence]],Tableau5[],8,FALSE)</f>
        <v>0.72299999999999998</v>
      </c>
      <c r="W140" s="12">
        <f>IF(Tableau2[[#This Row],[sdom]]="2EST",1,0)</f>
        <v>0</v>
      </c>
      <c r="X140" s="12">
        <f>VLOOKUP(Tableau2[[#This Row],[essence]],Tableau5[],9,FALSE)</f>
        <v>0.28749999999999998</v>
      </c>
      <c r="Y140" s="12">
        <f>IF(Tableau2[[#This Row],[sdom]]="2OUEST",1,0)</f>
        <v>0</v>
      </c>
      <c r="Z140" s="12">
        <f>VLOOKUP(Tableau2[[#This Row],[essence]],Tableau5[],10,FALSE)</f>
        <v>0.5746</v>
      </c>
      <c r="AA140" s="12">
        <f>IF(Tableau2[[#This Row],[sdom]]="3EST",1,0)</f>
        <v>0</v>
      </c>
      <c r="AB140" s="12">
        <f>VLOOKUP(Tableau2[[#This Row],[essence]],Tableau5[],11,FALSE)</f>
        <v>0.40360000000000001</v>
      </c>
      <c r="AC140" s="12">
        <f>IF(Tableau2[[#This Row],[sdom]]="3OUEST",1,0)</f>
        <v>0</v>
      </c>
      <c r="AD140" s="12">
        <f>VLOOKUP(Tableau2[[#This Row],[essence]],Tableau5[],12,FALSE)</f>
        <v>0</v>
      </c>
      <c r="AE140" s="12">
        <f>IF(Tableau2[[#This Row],[sdom]]="4EST",1,0)</f>
        <v>1</v>
      </c>
      <c r="AF140" s="12">
        <f>VLOOKUP(Tableau2[[#This Row],[essence]],Tableau5[],13,FALSE)</f>
        <v>0</v>
      </c>
      <c r="AG140" s="12">
        <f>IF(Tableau2[[#This Row],[sdom]]="4OUEST",1,0)</f>
        <v>0</v>
      </c>
      <c r="AH140" s="12">
        <f>VLOOKUP(Tableau2[[#This Row],[essence]],Tableau5[],14,FALSE)</f>
        <v>0</v>
      </c>
      <c r="AI140" s="12">
        <f>IF(Tableau2[[#This Row],[sdom]]="5EST",1,0)</f>
        <v>0</v>
      </c>
      <c r="AJ140" s="12">
        <f>VLOOKUP(Tableau2[[#This Row],[essence]],Tableau5[],16,FALSE)</f>
        <v>0</v>
      </c>
      <c r="AK140" s="12">
        <f>IF(Tableau2[[#This Row],[sdom]]="5OUEST",1,0)</f>
        <v>0</v>
      </c>
      <c r="AL140" s="12">
        <f>VLOOKUP(Tableau2[[#This Row],[essence]],Tableau5[],17,FALSE)</f>
        <v>0</v>
      </c>
      <c r="AM140" s="12">
        <f>IF(Tableau2[[#This Row],[sdom]]="6EST",1,0)</f>
        <v>0</v>
      </c>
      <c r="AN140" s="12">
        <f>VLOOKUP(Tableau2[[#This Row],[essence]],Tableau5[],19,FALSE)</f>
        <v>0</v>
      </c>
      <c r="AO140" s="12">
        <f>IF(Tableau2[[#This Row],[priorecol]]="C",1,0)</f>
        <v>1</v>
      </c>
      <c r="AP140" s="12">
        <f>VLOOKUP(Tableau2[[#This Row],[essence]],Tableau5[],20,FALSE)</f>
        <v>0</v>
      </c>
      <c r="AQ140" s="12">
        <f>IF(Tableau2[[#This Row],[priorecol]]="R",1,0)</f>
        <v>0</v>
      </c>
      <c r="AR140" s="12">
        <f>VLOOKUP(Tableau2[[#This Row],[essence]],Tableau5[],21,FALSE)</f>
        <v>0</v>
      </c>
      <c r="AS140" s="12">
        <f>IF(Tableau2[[#This Row],[priorecol]]="S",1,0)</f>
        <v>0</v>
      </c>
      <c r="AT140" s="12">
        <f>VLOOKUP(Tableau2[[#This Row],[essence]],Tableau5[],22,FALSE)</f>
        <v>0.36130000000000001</v>
      </c>
      <c r="AU140" s="12">
        <f>VLOOKUP(Tableau2[[#This Row],[essence]],Tableau5[],23,FALSE)</f>
        <v>0</v>
      </c>
      <c r="AV140" s="12">
        <f>VLOOKUP(Tableau2[[#This Row],[essence]],Tableau5[],18,FALSE)</f>
        <v>0</v>
      </c>
      <c r="AW14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0.68049999999999988</v>
      </c>
      <c r="AX140" s="12">
        <f>1/(1+EXP(-Tableau2[[#This Row],[xb_c]]))</f>
        <v>0.66385028308606697</v>
      </c>
      <c r="AY140" s="12" t="str">
        <f t="shared" si="4"/>
        <v>NA</v>
      </c>
      <c r="AZ140" s="12" t="str">
        <f t="shared" si="5"/>
        <v>NA</v>
      </c>
      <c r="BA140" s="12">
        <f>Tableau2[[#This Row],[prob_c]]</f>
        <v>0.66385028308606697</v>
      </c>
      <c r="BB140" s="12">
        <f>1-Tableau2[[#This Row],[prob_c]]</f>
        <v>0.33614971691393303</v>
      </c>
    </row>
    <row r="141" spans="1:54" x14ac:dyDescent="0.25">
      <c r="A141" s="12">
        <v>6</v>
      </c>
      <c r="B141" s="12" t="s">
        <v>14</v>
      </c>
      <c r="C141" s="12">
        <v>1.2</v>
      </c>
      <c r="D141" s="12">
        <v>1022</v>
      </c>
      <c r="E141" s="12">
        <v>25</v>
      </c>
      <c r="F141" s="12">
        <v>1</v>
      </c>
      <c r="G141" s="12">
        <v>20</v>
      </c>
      <c r="H141" s="12">
        <v>33</v>
      </c>
      <c r="I141" s="12" t="s">
        <v>25</v>
      </c>
      <c r="J141" s="12" t="s">
        <v>28</v>
      </c>
      <c r="K141" s="12">
        <f>VLOOKUP(Tableau2[[#This Row],[essence]],Tableau5[],2,FALSE)</f>
        <v>-2.4066000000000001</v>
      </c>
      <c r="L141" s="12">
        <f>VLOOKUP(Tableau2[[#This Row],[essence]],Tableau5[],3,FALSE)</f>
        <v>1.0301</v>
      </c>
      <c r="M141" s="12">
        <f>IF(Tableau2[[#This Row],[priorecol]]="C",1,0)</f>
        <v>0</v>
      </c>
      <c r="N141" s="12">
        <f>VLOOKUP(Tableau2[[#This Row],[essence]],Tableau5[],4,FALSE)</f>
        <v>1.9907999999999999</v>
      </c>
      <c r="O141" s="12">
        <f>IF(Tableau2[[#This Row],[priorecol]]="R",1,0)</f>
        <v>1</v>
      </c>
      <c r="P141" s="12">
        <f>VLOOKUP(Tableau2[[#This Row],[essence]],Tableau5[],5,FALSE)</f>
        <v>1.1955</v>
      </c>
      <c r="Q141" s="12">
        <f>IF(Tableau2[[#This Row],[priorecol]]="S",1,0)</f>
        <v>0</v>
      </c>
      <c r="R141" s="12">
        <f>VLOOKUP(Tableau2[[#This Row],[essence]],Tableau5[],6,FALSE)</f>
        <v>4.2599999999999999E-2</v>
      </c>
      <c r="S141" s="12">
        <f>VLOOKUP(Tableau2[[#This Row],[essence]],Tableau5[],15,FALSE)</f>
        <v>1.3299999999999999E-2</v>
      </c>
      <c r="T141" s="12">
        <f>VLOOKUP(Tableau2[[#This Row],[essence]],Tableau5[],7,FALSE)</f>
        <v>0</v>
      </c>
      <c r="U141" s="12">
        <f>IF(Tableau2[[#This Row],[sdom]]=1,1,0)</f>
        <v>0</v>
      </c>
      <c r="V141" s="12">
        <f>VLOOKUP(Tableau2[[#This Row],[essence]],Tableau5[],8,FALSE)</f>
        <v>0.72299999999999998</v>
      </c>
      <c r="W141" s="12">
        <f>IF(Tableau2[[#This Row],[sdom]]="2EST",1,0)</f>
        <v>0</v>
      </c>
      <c r="X141" s="12">
        <f>VLOOKUP(Tableau2[[#This Row],[essence]],Tableau5[],9,FALSE)</f>
        <v>0.28749999999999998</v>
      </c>
      <c r="Y141" s="12">
        <f>IF(Tableau2[[#This Row],[sdom]]="2OUEST",1,0)</f>
        <v>0</v>
      </c>
      <c r="Z141" s="12">
        <f>VLOOKUP(Tableau2[[#This Row],[essence]],Tableau5[],10,FALSE)</f>
        <v>0.5746</v>
      </c>
      <c r="AA141" s="12">
        <f>IF(Tableau2[[#This Row],[sdom]]="3EST",1,0)</f>
        <v>0</v>
      </c>
      <c r="AB141" s="12">
        <f>VLOOKUP(Tableau2[[#This Row],[essence]],Tableau5[],11,FALSE)</f>
        <v>0.40360000000000001</v>
      </c>
      <c r="AC141" s="12">
        <f>IF(Tableau2[[#This Row],[sdom]]="3OUEST",1,0)</f>
        <v>0</v>
      </c>
      <c r="AD141" s="12">
        <f>VLOOKUP(Tableau2[[#This Row],[essence]],Tableau5[],12,FALSE)</f>
        <v>0</v>
      </c>
      <c r="AE141" s="12">
        <f>IF(Tableau2[[#This Row],[sdom]]="4EST",1,0)</f>
        <v>1</v>
      </c>
      <c r="AF141" s="12">
        <f>VLOOKUP(Tableau2[[#This Row],[essence]],Tableau5[],13,FALSE)</f>
        <v>0</v>
      </c>
      <c r="AG141" s="12">
        <f>IF(Tableau2[[#This Row],[sdom]]="4OUEST",1,0)</f>
        <v>0</v>
      </c>
      <c r="AH141" s="12">
        <f>VLOOKUP(Tableau2[[#This Row],[essence]],Tableau5[],14,FALSE)</f>
        <v>0</v>
      </c>
      <c r="AI141" s="12">
        <f>IF(Tableau2[[#This Row],[sdom]]="5EST",1,0)</f>
        <v>0</v>
      </c>
      <c r="AJ141" s="12">
        <f>VLOOKUP(Tableau2[[#This Row],[essence]],Tableau5[],16,FALSE)</f>
        <v>0</v>
      </c>
      <c r="AK141" s="12">
        <f>IF(Tableau2[[#This Row],[sdom]]="5OUEST",1,0)</f>
        <v>0</v>
      </c>
      <c r="AL141" s="12">
        <f>VLOOKUP(Tableau2[[#This Row],[essence]],Tableau5[],17,FALSE)</f>
        <v>0</v>
      </c>
      <c r="AM141" s="12">
        <f>IF(Tableau2[[#This Row],[sdom]]="6EST",1,0)</f>
        <v>0</v>
      </c>
      <c r="AN141" s="12">
        <f>VLOOKUP(Tableau2[[#This Row],[essence]],Tableau5[],19,FALSE)</f>
        <v>0</v>
      </c>
      <c r="AO141" s="12">
        <f>IF(Tableau2[[#This Row],[priorecol]]="C",1,0)</f>
        <v>0</v>
      </c>
      <c r="AP141" s="12">
        <f>VLOOKUP(Tableau2[[#This Row],[essence]],Tableau5[],20,FALSE)</f>
        <v>0</v>
      </c>
      <c r="AQ141" s="12">
        <f>IF(Tableau2[[#This Row],[priorecol]]="R",1,0)</f>
        <v>1</v>
      </c>
      <c r="AR141" s="12">
        <f>VLOOKUP(Tableau2[[#This Row],[essence]],Tableau5[],21,FALSE)</f>
        <v>0</v>
      </c>
      <c r="AS141" s="12">
        <f>IF(Tableau2[[#This Row],[priorecol]]="S",1,0)</f>
        <v>0</v>
      </c>
      <c r="AT141" s="12">
        <f>VLOOKUP(Tableau2[[#This Row],[essence]],Tableau5[],22,FALSE)</f>
        <v>0.36130000000000001</v>
      </c>
      <c r="AU141" s="12">
        <f>VLOOKUP(Tableau2[[#This Row],[essence]],Tableau5[],23,FALSE)</f>
        <v>0</v>
      </c>
      <c r="AV141" s="12">
        <f>VLOOKUP(Tableau2[[#This Row],[essence]],Tableau5[],18,FALSE)</f>
        <v>0</v>
      </c>
      <c r="AW14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1.6837999999999997</v>
      </c>
      <c r="AX141" s="12">
        <f>1/(1+EXP(-Tableau2[[#This Row],[xb_c]]))</f>
        <v>0.84340705833182861</v>
      </c>
      <c r="AY141" s="12" t="str">
        <f t="shared" si="4"/>
        <v>NA</v>
      </c>
      <c r="AZ141" s="12" t="str">
        <f t="shared" si="5"/>
        <v>NA</v>
      </c>
      <c r="BA141" s="12">
        <f>Tableau2[[#This Row],[prob_c]]</f>
        <v>0.84340705833182861</v>
      </c>
      <c r="BB141" s="12">
        <f>1-Tableau2[[#This Row],[prob_c]]</f>
        <v>0.15659294166817139</v>
      </c>
    </row>
    <row r="142" spans="1:54" x14ac:dyDescent="0.25">
      <c r="A142" s="12">
        <v>6</v>
      </c>
      <c r="B142" s="12" t="s">
        <v>14</v>
      </c>
      <c r="C142" s="12">
        <v>1.2</v>
      </c>
      <c r="D142" s="12">
        <v>1022</v>
      </c>
      <c r="E142" s="12">
        <v>25</v>
      </c>
      <c r="F142" s="12">
        <v>1</v>
      </c>
      <c r="G142" s="12">
        <v>21</v>
      </c>
      <c r="H142" s="12">
        <v>24</v>
      </c>
      <c r="I142" s="12" t="s">
        <v>25</v>
      </c>
      <c r="J142" s="12" t="s">
        <v>29</v>
      </c>
      <c r="K142" s="12">
        <f>VLOOKUP(Tableau2[[#This Row],[essence]],Tableau5[],2,FALSE)</f>
        <v>-2.4066000000000001</v>
      </c>
      <c r="L142" s="12">
        <f>VLOOKUP(Tableau2[[#This Row],[essence]],Tableau5[],3,FALSE)</f>
        <v>1.0301</v>
      </c>
      <c r="M142" s="12">
        <f>IF(Tableau2[[#This Row],[priorecol]]="C",1,0)</f>
        <v>0</v>
      </c>
      <c r="N142" s="12">
        <f>VLOOKUP(Tableau2[[#This Row],[essence]],Tableau5[],4,FALSE)</f>
        <v>1.9907999999999999</v>
      </c>
      <c r="O142" s="12">
        <f>IF(Tableau2[[#This Row],[priorecol]]="R",1,0)</f>
        <v>0</v>
      </c>
      <c r="P142" s="12">
        <f>VLOOKUP(Tableau2[[#This Row],[essence]],Tableau5[],5,FALSE)</f>
        <v>1.1955</v>
      </c>
      <c r="Q142" s="12">
        <f>IF(Tableau2[[#This Row],[priorecol]]="S",1,0)</f>
        <v>1</v>
      </c>
      <c r="R142" s="12">
        <f>VLOOKUP(Tableau2[[#This Row],[essence]],Tableau5[],6,FALSE)</f>
        <v>4.2599999999999999E-2</v>
      </c>
      <c r="S142" s="12">
        <f>VLOOKUP(Tableau2[[#This Row],[essence]],Tableau5[],15,FALSE)</f>
        <v>1.3299999999999999E-2</v>
      </c>
      <c r="T142" s="12">
        <f>VLOOKUP(Tableau2[[#This Row],[essence]],Tableau5[],7,FALSE)</f>
        <v>0</v>
      </c>
      <c r="U142" s="12">
        <f>IF(Tableau2[[#This Row],[sdom]]=1,1,0)</f>
        <v>0</v>
      </c>
      <c r="V142" s="12">
        <f>VLOOKUP(Tableau2[[#This Row],[essence]],Tableau5[],8,FALSE)</f>
        <v>0.72299999999999998</v>
      </c>
      <c r="W142" s="12">
        <f>IF(Tableau2[[#This Row],[sdom]]="2EST",1,0)</f>
        <v>0</v>
      </c>
      <c r="X142" s="12">
        <f>VLOOKUP(Tableau2[[#This Row],[essence]],Tableau5[],9,FALSE)</f>
        <v>0.28749999999999998</v>
      </c>
      <c r="Y142" s="12">
        <f>IF(Tableau2[[#This Row],[sdom]]="2OUEST",1,0)</f>
        <v>0</v>
      </c>
      <c r="Z142" s="12">
        <f>VLOOKUP(Tableau2[[#This Row],[essence]],Tableau5[],10,FALSE)</f>
        <v>0.5746</v>
      </c>
      <c r="AA142" s="12">
        <f>IF(Tableau2[[#This Row],[sdom]]="3EST",1,0)</f>
        <v>0</v>
      </c>
      <c r="AB142" s="12">
        <f>VLOOKUP(Tableau2[[#This Row],[essence]],Tableau5[],11,FALSE)</f>
        <v>0.40360000000000001</v>
      </c>
      <c r="AC142" s="12">
        <f>IF(Tableau2[[#This Row],[sdom]]="3OUEST",1,0)</f>
        <v>0</v>
      </c>
      <c r="AD142" s="12">
        <f>VLOOKUP(Tableau2[[#This Row],[essence]],Tableau5[],12,FALSE)</f>
        <v>0</v>
      </c>
      <c r="AE142" s="12">
        <f>IF(Tableau2[[#This Row],[sdom]]="4EST",1,0)</f>
        <v>1</v>
      </c>
      <c r="AF142" s="12">
        <f>VLOOKUP(Tableau2[[#This Row],[essence]],Tableau5[],13,FALSE)</f>
        <v>0</v>
      </c>
      <c r="AG142" s="12">
        <f>IF(Tableau2[[#This Row],[sdom]]="4OUEST",1,0)</f>
        <v>0</v>
      </c>
      <c r="AH142" s="12">
        <f>VLOOKUP(Tableau2[[#This Row],[essence]],Tableau5[],14,FALSE)</f>
        <v>0</v>
      </c>
      <c r="AI142" s="12">
        <f>IF(Tableau2[[#This Row],[sdom]]="5EST",1,0)</f>
        <v>0</v>
      </c>
      <c r="AJ142" s="12">
        <f>VLOOKUP(Tableau2[[#This Row],[essence]],Tableau5[],16,FALSE)</f>
        <v>0</v>
      </c>
      <c r="AK142" s="12">
        <f>IF(Tableau2[[#This Row],[sdom]]="5OUEST",1,0)</f>
        <v>0</v>
      </c>
      <c r="AL142" s="12">
        <f>VLOOKUP(Tableau2[[#This Row],[essence]],Tableau5[],17,FALSE)</f>
        <v>0</v>
      </c>
      <c r="AM142" s="12">
        <f>IF(Tableau2[[#This Row],[sdom]]="6EST",1,0)</f>
        <v>0</v>
      </c>
      <c r="AN142" s="12">
        <f>VLOOKUP(Tableau2[[#This Row],[essence]],Tableau5[],19,FALSE)</f>
        <v>0</v>
      </c>
      <c r="AO142" s="12">
        <f>IF(Tableau2[[#This Row],[priorecol]]="C",1,0)</f>
        <v>0</v>
      </c>
      <c r="AP142" s="12">
        <f>VLOOKUP(Tableau2[[#This Row],[essence]],Tableau5[],20,FALSE)</f>
        <v>0</v>
      </c>
      <c r="AQ142" s="12">
        <f>IF(Tableau2[[#This Row],[priorecol]]="R",1,0)</f>
        <v>0</v>
      </c>
      <c r="AR142" s="12">
        <f>VLOOKUP(Tableau2[[#This Row],[essence]],Tableau5[],21,FALSE)</f>
        <v>0</v>
      </c>
      <c r="AS142" s="12">
        <f>IF(Tableau2[[#This Row],[priorecol]]="S",1,0)</f>
        <v>1</v>
      </c>
      <c r="AT142" s="12">
        <f>VLOOKUP(Tableau2[[#This Row],[essence]],Tableau5[],22,FALSE)</f>
        <v>0.36130000000000001</v>
      </c>
      <c r="AU142" s="12">
        <f>VLOOKUP(Tableau2[[#This Row],[essence]],Tableau5[],23,FALSE)</f>
        <v>0</v>
      </c>
      <c r="AV142" s="12">
        <f>VLOOKUP(Tableau2[[#This Row],[essence]],Tableau5[],18,FALSE)</f>
        <v>0</v>
      </c>
      <c r="AW14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0.50509999999999988</v>
      </c>
      <c r="AX142" s="12">
        <f>1/(1+EXP(-Tableau2[[#This Row],[xb_c]]))</f>
        <v>0.62365709948061909</v>
      </c>
      <c r="AY142" s="12" t="str">
        <f t="shared" si="4"/>
        <v>NA</v>
      </c>
      <c r="AZ142" s="12" t="str">
        <f t="shared" si="5"/>
        <v>NA</v>
      </c>
      <c r="BA142" s="12">
        <f>Tableau2[[#This Row],[prob_c]]</f>
        <v>0.62365709948061909</v>
      </c>
      <c r="BB142" s="12">
        <f>1-Tableau2[[#This Row],[prob_c]]</f>
        <v>0.37634290051938091</v>
      </c>
    </row>
    <row r="143" spans="1:54" x14ac:dyDescent="0.25">
      <c r="A143" s="12">
        <v>6</v>
      </c>
      <c r="B143" s="12" t="s">
        <v>14</v>
      </c>
      <c r="C143" s="12">
        <v>1.2</v>
      </c>
      <c r="D143" s="12">
        <v>1022</v>
      </c>
      <c r="E143" s="12">
        <v>25</v>
      </c>
      <c r="F143" s="12">
        <v>1</v>
      </c>
      <c r="G143" s="12">
        <v>22</v>
      </c>
      <c r="H143" s="12">
        <v>25</v>
      </c>
      <c r="I143" s="12" t="s">
        <v>26</v>
      </c>
      <c r="J143" s="12" t="s">
        <v>27</v>
      </c>
      <c r="K143" s="12">
        <f>VLOOKUP(Tableau2[[#This Row],[essence]],Tableau5[],2,FALSE)</f>
        <v>-9.0399999999999994E-2</v>
      </c>
      <c r="L143" s="12">
        <f>VLOOKUP(Tableau2[[#This Row],[essence]],Tableau5[],3,FALSE)</f>
        <v>1.0844</v>
      </c>
      <c r="M143" s="12">
        <f>IF(Tableau2[[#This Row],[priorecol]]="C",1,0)</f>
        <v>1</v>
      </c>
      <c r="N143" s="12">
        <f>VLOOKUP(Tableau2[[#This Row],[essence]],Tableau5[],4,FALSE)</f>
        <v>-1.3041</v>
      </c>
      <c r="O143" s="12">
        <f>IF(Tableau2[[#This Row],[priorecol]]="R",1,0)</f>
        <v>0</v>
      </c>
      <c r="P143" s="12">
        <f>VLOOKUP(Tableau2[[#This Row],[essence]],Tableau5[],5,FALSE)</f>
        <v>-0.79790000000000005</v>
      </c>
      <c r="Q143" s="12">
        <f>IF(Tableau2[[#This Row],[priorecol]]="S",1,0)</f>
        <v>0</v>
      </c>
      <c r="R143" s="12">
        <f>VLOOKUP(Tableau2[[#This Row],[essence]],Tableau5[],6,FALSE)</f>
        <v>-5.3E-3</v>
      </c>
      <c r="S143" s="12">
        <f>VLOOKUP(Tableau2[[#This Row],[essence]],Tableau5[],15,FALSE)</f>
        <v>1.2500000000000001E-2</v>
      </c>
      <c r="T143" s="12">
        <f>VLOOKUP(Tableau2[[#This Row],[essence]],Tableau5[],7,FALSE)</f>
        <v>0</v>
      </c>
      <c r="U143" s="12">
        <f>IF(Tableau2[[#This Row],[sdom]]=1,1,0)</f>
        <v>0</v>
      </c>
      <c r="V143" s="12">
        <f>VLOOKUP(Tableau2[[#This Row],[essence]],Tableau5[],8,FALSE)</f>
        <v>0.1497</v>
      </c>
      <c r="W143" s="12">
        <f>IF(Tableau2[[#This Row],[sdom]]="2EST",1,0)</f>
        <v>0</v>
      </c>
      <c r="X143" s="12">
        <f>VLOOKUP(Tableau2[[#This Row],[essence]],Tableau5[],9,FALSE)</f>
        <v>0.4839</v>
      </c>
      <c r="Y143" s="12">
        <f>IF(Tableau2[[#This Row],[sdom]]="2OUEST",1,0)</f>
        <v>0</v>
      </c>
      <c r="Z143" s="12">
        <f>VLOOKUP(Tableau2[[#This Row],[essence]],Tableau5[],10,FALSE)</f>
        <v>-0.14019999999999999</v>
      </c>
      <c r="AA143" s="12">
        <f>IF(Tableau2[[#This Row],[sdom]]="3EST",1,0)</f>
        <v>0</v>
      </c>
      <c r="AB143" s="12">
        <f>VLOOKUP(Tableau2[[#This Row],[essence]],Tableau5[],11,FALSE)</f>
        <v>0.65649999999999997</v>
      </c>
      <c r="AC143" s="12">
        <f>IF(Tableau2[[#This Row],[sdom]]="3OUEST",1,0)</f>
        <v>0</v>
      </c>
      <c r="AD143" s="12">
        <f>VLOOKUP(Tableau2[[#This Row],[essence]],Tableau5[],12,FALSE)</f>
        <v>-1.21E-2</v>
      </c>
      <c r="AE143" s="12">
        <f>IF(Tableau2[[#This Row],[sdom]]="4EST",1,0)</f>
        <v>1</v>
      </c>
      <c r="AF143" s="12">
        <f>VLOOKUP(Tableau2[[#This Row],[essence]],Tableau5[],13,FALSE)</f>
        <v>0.52600000000000002</v>
      </c>
      <c r="AG143" s="12">
        <f>IF(Tableau2[[#This Row],[sdom]]="4OUEST",1,0)</f>
        <v>0</v>
      </c>
      <c r="AH143" s="12">
        <f>VLOOKUP(Tableau2[[#This Row],[essence]],Tableau5[],14,FALSE)</f>
        <v>-0.753</v>
      </c>
      <c r="AI143" s="12">
        <f>IF(Tableau2[[#This Row],[sdom]]="5EST",1,0)</f>
        <v>0</v>
      </c>
      <c r="AJ143" s="12">
        <f>VLOOKUP(Tableau2[[#This Row],[essence]],Tableau5[],16,FALSE)</f>
        <v>0</v>
      </c>
      <c r="AK143" s="12">
        <f>IF(Tableau2[[#This Row],[sdom]]="5OUEST",1,0)</f>
        <v>0</v>
      </c>
      <c r="AL143" s="12">
        <f>VLOOKUP(Tableau2[[#This Row],[essence]],Tableau5[],17,FALSE)</f>
        <v>0</v>
      </c>
      <c r="AM143" s="12">
        <f>IF(Tableau2[[#This Row],[sdom]]="6EST",1,0)</f>
        <v>0</v>
      </c>
      <c r="AN143" s="12">
        <f>VLOOKUP(Tableau2[[#This Row],[essence]],Tableau5[],19,FALSE)</f>
        <v>3.04E-2</v>
      </c>
      <c r="AO143" s="12">
        <f>IF(Tableau2[[#This Row],[priorecol]]="C",1,0)</f>
        <v>1</v>
      </c>
      <c r="AP143" s="12">
        <f>VLOOKUP(Tableau2[[#This Row],[essence]],Tableau5[],20,FALSE)</f>
        <v>0.14549999999999999</v>
      </c>
      <c r="AQ143" s="12">
        <f>IF(Tableau2[[#This Row],[priorecol]]="R",1,0)</f>
        <v>0</v>
      </c>
      <c r="AR143" s="12">
        <f>VLOOKUP(Tableau2[[#This Row],[essence]],Tableau5[],21,FALSE)</f>
        <v>7.8700000000000006E-2</v>
      </c>
      <c r="AS143" s="12">
        <f>IF(Tableau2[[#This Row],[priorecol]]="S",1,0)</f>
        <v>0</v>
      </c>
      <c r="AT143" s="12">
        <f>VLOOKUP(Tableau2[[#This Row],[essence]],Tableau5[],22,FALSE)</f>
        <v>0</v>
      </c>
      <c r="AU143" s="12">
        <f>VLOOKUP(Tableau2[[#This Row],[essence]],Tableau5[],23,FALSE)</f>
        <v>0</v>
      </c>
      <c r="AV143" s="12">
        <f>VLOOKUP(Tableau2[[#This Row],[essence]],Tableau5[],18,FALSE)</f>
        <v>0</v>
      </c>
      <c r="AW14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1.9218999999999999</v>
      </c>
      <c r="AX143" s="12">
        <f>1/(1+EXP(-Tableau2[[#This Row],[xb_c]]))</f>
        <v>0.87235015858810883</v>
      </c>
      <c r="AY143" s="12" t="str">
        <f t="shared" si="4"/>
        <v>NA</v>
      </c>
      <c r="AZ143" s="12" t="str">
        <f t="shared" si="5"/>
        <v>NA</v>
      </c>
      <c r="BA143" s="12">
        <f>Tableau2[[#This Row],[prob_c]]</f>
        <v>0.87235015858810883</v>
      </c>
      <c r="BB143" s="12">
        <f>1-Tableau2[[#This Row],[prob_c]]</f>
        <v>0.12764984141189117</v>
      </c>
    </row>
    <row r="144" spans="1:54" x14ac:dyDescent="0.25">
      <c r="A144" s="12">
        <v>6</v>
      </c>
      <c r="B144" s="12" t="s">
        <v>14</v>
      </c>
      <c r="C144" s="12">
        <v>1.2</v>
      </c>
      <c r="D144" s="12">
        <v>1022</v>
      </c>
      <c r="E144" s="12">
        <v>25</v>
      </c>
      <c r="F144" s="12">
        <v>1</v>
      </c>
      <c r="G144" s="12">
        <v>23</v>
      </c>
      <c r="H144" s="12">
        <v>26</v>
      </c>
      <c r="I144" s="12" t="s">
        <v>26</v>
      </c>
      <c r="J144" s="12" t="s">
        <v>28</v>
      </c>
      <c r="K144" s="12">
        <f>VLOOKUP(Tableau2[[#This Row],[essence]],Tableau5[],2,FALSE)</f>
        <v>-9.0399999999999994E-2</v>
      </c>
      <c r="L144" s="12">
        <f>VLOOKUP(Tableau2[[#This Row],[essence]],Tableau5[],3,FALSE)</f>
        <v>1.0844</v>
      </c>
      <c r="M144" s="12">
        <f>IF(Tableau2[[#This Row],[priorecol]]="C",1,0)</f>
        <v>0</v>
      </c>
      <c r="N144" s="12">
        <f>VLOOKUP(Tableau2[[#This Row],[essence]],Tableau5[],4,FALSE)</f>
        <v>-1.3041</v>
      </c>
      <c r="O144" s="12">
        <f>IF(Tableau2[[#This Row],[priorecol]]="R",1,0)</f>
        <v>1</v>
      </c>
      <c r="P144" s="12">
        <f>VLOOKUP(Tableau2[[#This Row],[essence]],Tableau5[],5,FALSE)</f>
        <v>-0.79790000000000005</v>
      </c>
      <c r="Q144" s="12">
        <f>IF(Tableau2[[#This Row],[priorecol]]="S",1,0)</f>
        <v>0</v>
      </c>
      <c r="R144" s="12">
        <f>VLOOKUP(Tableau2[[#This Row],[essence]],Tableau5[],6,FALSE)</f>
        <v>-5.3E-3</v>
      </c>
      <c r="S144" s="12">
        <f>VLOOKUP(Tableau2[[#This Row],[essence]],Tableau5[],15,FALSE)</f>
        <v>1.2500000000000001E-2</v>
      </c>
      <c r="T144" s="12">
        <f>VLOOKUP(Tableau2[[#This Row],[essence]],Tableau5[],7,FALSE)</f>
        <v>0</v>
      </c>
      <c r="U144" s="12">
        <f>IF(Tableau2[[#This Row],[sdom]]=1,1,0)</f>
        <v>0</v>
      </c>
      <c r="V144" s="12">
        <f>VLOOKUP(Tableau2[[#This Row],[essence]],Tableau5[],8,FALSE)</f>
        <v>0.1497</v>
      </c>
      <c r="W144" s="12">
        <f>IF(Tableau2[[#This Row],[sdom]]="2EST",1,0)</f>
        <v>0</v>
      </c>
      <c r="X144" s="12">
        <f>VLOOKUP(Tableau2[[#This Row],[essence]],Tableau5[],9,FALSE)</f>
        <v>0.4839</v>
      </c>
      <c r="Y144" s="12">
        <f>IF(Tableau2[[#This Row],[sdom]]="2OUEST",1,0)</f>
        <v>0</v>
      </c>
      <c r="Z144" s="12">
        <f>VLOOKUP(Tableau2[[#This Row],[essence]],Tableau5[],10,FALSE)</f>
        <v>-0.14019999999999999</v>
      </c>
      <c r="AA144" s="12">
        <f>IF(Tableau2[[#This Row],[sdom]]="3EST",1,0)</f>
        <v>0</v>
      </c>
      <c r="AB144" s="12">
        <f>VLOOKUP(Tableau2[[#This Row],[essence]],Tableau5[],11,FALSE)</f>
        <v>0.65649999999999997</v>
      </c>
      <c r="AC144" s="12">
        <f>IF(Tableau2[[#This Row],[sdom]]="3OUEST",1,0)</f>
        <v>0</v>
      </c>
      <c r="AD144" s="12">
        <f>VLOOKUP(Tableau2[[#This Row],[essence]],Tableau5[],12,FALSE)</f>
        <v>-1.21E-2</v>
      </c>
      <c r="AE144" s="12">
        <f>IF(Tableau2[[#This Row],[sdom]]="4EST",1,0)</f>
        <v>1</v>
      </c>
      <c r="AF144" s="12">
        <f>VLOOKUP(Tableau2[[#This Row],[essence]],Tableau5[],13,FALSE)</f>
        <v>0.52600000000000002</v>
      </c>
      <c r="AG144" s="12">
        <f>IF(Tableau2[[#This Row],[sdom]]="4OUEST",1,0)</f>
        <v>0</v>
      </c>
      <c r="AH144" s="12">
        <f>VLOOKUP(Tableau2[[#This Row],[essence]],Tableau5[],14,FALSE)</f>
        <v>-0.753</v>
      </c>
      <c r="AI144" s="12">
        <f>IF(Tableau2[[#This Row],[sdom]]="5EST",1,0)</f>
        <v>0</v>
      </c>
      <c r="AJ144" s="12">
        <f>VLOOKUP(Tableau2[[#This Row],[essence]],Tableau5[],16,FALSE)</f>
        <v>0</v>
      </c>
      <c r="AK144" s="12">
        <f>IF(Tableau2[[#This Row],[sdom]]="5OUEST",1,0)</f>
        <v>0</v>
      </c>
      <c r="AL144" s="12">
        <f>VLOOKUP(Tableau2[[#This Row],[essence]],Tableau5[],17,FALSE)</f>
        <v>0</v>
      </c>
      <c r="AM144" s="12">
        <f>IF(Tableau2[[#This Row],[sdom]]="6EST",1,0)</f>
        <v>0</v>
      </c>
      <c r="AN144" s="12">
        <f>VLOOKUP(Tableau2[[#This Row],[essence]],Tableau5[],19,FALSE)</f>
        <v>3.04E-2</v>
      </c>
      <c r="AO144" s="12">
        <f>IF(Tableau2[[#This Row],[priorecol]]="C",1,0)</f>
        <v>0</v>
      </c>
      <c r="AP144" s="12">
        <f>VLOOKUP(Tableau2[[#This Row],[essence]],Tableau5[],20,FALSE)</f>
        <v>0.14549999999999999</v>
      </c>
      <c r="AQ144" s="12">
        <f>IF(Tableau2[[#This Row],[priorecol]]="R",1,0)</f>
        <v>1</v>
      </c>
      <c r="AR144" s="12">
        <f>VLOOKUP(Tableau2[[#This Row],[essence]],Tableau5[],21,FALSE)</f>
        <v>7.8700000000000006E-2</v>
      </c>
      <c r="AS144" s="12">
        <f>IF(Tableau2[[#This Row],[priorecol]]="S",1,0)</f>
        <v>0</v>
      </c>
      <c r="AT144" s="12">
        <f>VLOOKUP(Tableau2[[#This Row],[essence]],Tableau5[],22,FALSE)</f>
        <v>0</v>
      </c>
      <c r="AU144" s="12">
        <f>VLOOKUP(Tableau2[[#This Row],[essence]],Tableau5[],23,FALSE)</f>
        <v>0</v>
      </c>
      <c r="AV144" s="12">
        <f>VLOOKUP(Tableau2[[#This Row],[essence]],Tableau5[],18,FALSE)</f>
        <v>0</v>
      </c>
      <c r="AW14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2.5510999999999999</v>
      </c>
      <c r="AX144" s="12">
        <f>1/(1+EXP(-Tableau2[[#This Row],[xb_c]]))</f>
        <v>0.92764737886894444</v>
      </c>
      <c r="AY144" s="12" t="str">
        <f t="shared" si="4"/>
        <v>NA</v>
      </c>
      <c r="AZ144" s="12" t="str">
        <f t="shared" si="5"/>
        <v>NA</v>
      </c>
      <c r="BA144" s="12">
        <f>Tableau2[[#This Row],[prob_c]]</f>
        <v>0.92764737886894444</v>
      </c>
      <c r="BB144" s="12">
        <f>1-Tableau2[[#This Row],[prob_c]]</f>
        <v>7.2352621131055561E-2</v>
      </c>
    </row>
    <row r="145" spans="1:54" x14ac:dyDescent="0.25">
      <c r="A145" s="12">
        <v>6</v>
      </c>
      <c r="B145" s="12" t="s">
        <v>14</v>
      </c>
      <c r="C145" s="12">
        <v>1.2</v>
      </c>
      <c r="D145" s="12">
        <v>1022</v>
      </c>
      <c r="E145" s="12">
        <v>25</v>
      </c>
      <c r="F145" s="12">
        <v>1</v>
      </c>
      <c r="G145" s="12">
        <v>24</v>
      </c>
      <c r="H145" s="12">
        <v>27</v>
      </c>
      <c r="I145" s="12" t="s">
        <v>26</v>
      </c>
      <c r="J145" s="12" t="s">
        <v>29</v>
      </c>
      <c r="K145" s="12">
        <f>VLOOKUP(Tableau2[[#This Row],[essence]],Tableau5[],2,FALSE)</f>
        <v>-9.0399999999999994E-2</v>
      </c>
      <c r="L145" s="12">
        <f>VLOOKUP(Tableau2[[#This Row],[essence]],Tableau5[],3,FALSE)</f>
        <v>1.0844</v>
      </c>
      <c r="M145" s="12">
        <f>IF(Tableau2[[#This Row],[priorecol]]="C",1,0)</f>
        <v>0</v>
      </c>
      <c r="N145" s="12">
        <f>VLOOKUP(Tableau2[[#This Row],[essence]],Tableau5[],4,FALSE)</f>
        <v>-1.3041</v>
      </c>
      <c r="O145" s="12">
        <f>IF(Tableau2[[#This Row],[priorecol]]="R",1,0)</f>
        <v>0</v>
      </c>
      <c r="P145" s="12">
        <f>VLOOKUP(Tableau2[[#This Row],[essence]],Tableau5[],5,FALSE)</f>
        <v>-0.79790000000000005</v>
      </c>
      <c r="Q145" s="12">
        <f>IF(Tableau2[[#This Row],[priorecol]]="S",1,0)</f>
        <v>1</v>
      </c>
      <c r="R145" s="12">
        <f>VLOOKUP(Tableau2[[#This Row],[essence]],Tableau5[],6,FALSE)</f>
        <v>-5.3E-3</v>
      </c>
      <c r="S145" s="12">
        <f>VLOOKUP(Tableau2[[#This Row],[essence]],Tableau5[],15,FALSE)</f>
        <v>1.2500000000000001E-2</v>
      </c>
      <c r="T145" s="12">
        <f>VLOOKUP(Tableau2[[#This Row],[essence]],Tableau5[],7,FALSE)</f>
        <v>0</v>
      </c>
      <c r="U145" s="12">
        <f>IF(Tableau2[[#This Row],[sdom]]=1,1,0)</f>
        <v>0</v>
      </c>
      <c r="V145" s="12">
        <f>VLOOKUP(Tableau2[[#This Row],[essence]],Tableau5[],8,FALSE)</f>
        <v>0.1497</v>
      </c>
      <c r="W145" s="12">
        <f>IF(Tableau2[[#This Row],[sdom]]="2EST",1,0)</f>
        <v>0</v>
      </c>
      <c r="X145" s="12">
        <f>VLOOKUP(Tableau2[[#This Row],[essence]],Tableau5[],9,FALSE)</f>
        <v>0.4839</v>
      </c>
      <c r="Y145" s="12">
        <f>IF(Tableau2[[#This Row],[sdom]]="2OUEST",1,0)</f>
        <v>0</v>
      </c>
      <c r="Z145" s="12">
        <f>VLOOKUP(Tableau2[[#This Row],[essence]],Tableau5[],10,FALSE)</f>
        <v>-0.14019999999999999</v>
      </c>
      <c r="AA145" s="12">
        <f>IF(Tableau2[[#This Row],[sdom]]="3EST",1,0)</f>
        <v>0</v>
      </c>
      <c r="AB145" s="12">
        <f>VLOOKUP(Tableau2[[#This Row],[essence]],Tableau5[],11,FALSE)</f>
        <v>0.65649999999999997</v>
      </c>
      <c r="AC145" s="12">
        <f>IF(Tableau2[[#This Row],[sdom]]="3OUEST",1,0)</f>
        <v>0</v>
      </c>
      <c r="AD145" s="12">
        <f>VLOOKUP(Tableau2[[#This Row],[essence]],Tableau5[],12,FALSE)</f>
        <v>-1.21E-2</v>
      </c>
      <c r="AE145" s="12">
        <f>IF(Tableau2[[#This Row],[sdom]]="4EST",1,0)</f>
        <v>1</v>
      </c>
      <c r="AF145" s="12">
        <f>VLOOKUP(Tableau2[[#This Row],[essence]],Tableau5[],13,FALSE)</f>
        <v>0.52600000000000002</v>
      </c>
      <c r="AG145" s="12">
        <f>IF(Tableau2[[#This Row],[sdom]]="4OUEST",1,0)</f>
        <v>0</v>
      </c>
      <c r="AH145" s="12">
        <f>VLOOKUP(Tableau2[[#This Row],[essence]],Tableau5[],14,FALSE)</f>
        <v>-0.753</v>
      </c>
      <c r="AI145" s="12">
        <f>IF(Tableau2[[#This Row],[sdom]]="5EST",1,0)</f>
        <v>0</v>
      </c>
      <c r="AJ145" s="12">
        <f>VLOOKUP(Tableau2[[#This Row],[essence]],Tableau5[],16,FALSE)</f>
        <v>0</v>
      </c>
      <c r="AK145" s="12">
        <f>IF(Tableau2[[#This Row],[sdom]]="5OUEST",1,0)</f>
        <v>0</v>
      </c>
      <c r="AL145" s="12">
        <f>VLOOKUP(Tableau2[[#This Row],[essence]],Tableau5[],17,FALSE)</f>
        <v>0</v>
      </c>
      <c r="AM145" s="12">
        <f>IF(Tableau2[[#This Row],[sdom]]="6EST",1,0)</f>
        <v>0</v>
      </c>
      <c r="AN145" s="12">
        <f>VLOOKUP(Tableau2[[#This Row],[essence]],Tableau5[],19,FALSE)</f>
        <v>3.04E-2</v>
      </c>
      <c r="AO145" s="12">
        <f>IF(Tableau2[[#This Row],[priorecol]]="C",1,0)</f>
        <v>0</v>
      </c>
      <c r="AP145" s="12">
        <f>VLOOKUP(Tableau2[[#This Row],[essence]],Tableau5[],20,FALSE)</f>
        <v>0.14549999999999999</v>
      </c>
      <c r="AQ145" s="12">
        <f>IF(Tableau2[[#This Row],[priorecol]]="R",1,0)</f>
        <v>0</v>
      </c>
      <c r="AR145" s="12">
        <f>VLOOKUP(Tableau2[[#This Row],[essence]],Tableau5[],21,FALSE)</f>
        <v>7.8700000000000006E-2</v>
      </c>
      <c r="AS145" s="12">
        <f>IF(Tableau2[[#This Row],[priorecol]]="S",1,0)</f>
        <v>1</v>
      </c>
      <c r="AT145" s="12">
        <f>VLOOKUP(Tableau2[[#This Row],[essence]],Tableau5[],22,FALSE)</f>
        <v>0</v>
      </c>
      <c r="AU145" s="12">
        <f>VLOOKUP(Tableau2[[#This Row],[essence]],Tableau5[],23,FALSE)</f>
        <v>0</v>
      </c>
      <c r="AV145" s="12">
        <f>VLOOKUP(Tableau2[[#This Row],[essence]],Tableau5[],18,FALSE)</f>
        <v>0</v>
      </c>
      <c r="AW14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1.3939000000000001</v>
      </c>
      <c r="AX145" s="12">
        <f>1/(1+EXP(-Tableau2[[#This Row],[xb_c]]))</f>
        <v>0.80121412610673748</v>
      </c>
      <c r="AY145" s="12" t="str">
        <f t="shared" si="4"/>
        <v>NA</v>
      </c>
      <c r="AZ145" s="12" t="str">
        <f t="shared" si="5"/>
        <v>NA</v>
      </c>
      <c r="BA145" s="12">
        <f>Tableau2[[#This Row],[prob_c]]</f>
        <v>0.80121412610673748</v>
      </c>
      <c r="BB145" s="12">
        <f>1-Tableau2[[#This Row],[prob_c]]</f>
        <v>0.19878587389326252</v>
      </c>
    </row>
    <row r="146" spans="1:54" x14ac:dyDescent="0.25">
      <c r="A146" s="12">
        <v>7</v>
      </c>
      <c r="B146" s="12" t="s">
        <v>15</v>
      </c>
      <c r="C146" s="12">
        <v>2.1</v>
      </c>
      <c r="D146" s="12">
        <v>700</v>
      </c>
      <c r="E146" s="12">
        <v>20</v>
      </c>
      <c r="F146" s="12">
        <v>1</v>
      </c>
      <c r="G146" s="12">
        <v>1</v>
      </c>
      <c r="H146" s="12">
        <v>28</v>
      </c>
      <c r="I146" s="12" t="s">
        <v>19</v>
      </c>
      <c r="J146" s="12" t="s">
        <v>27</v>
      </c>
      <c r="K146" s="12">
        <f>VLOOKUP(Tableau2[[#This Row],[essence]],Tableau5[],2,FALSE)</f>
        <v>-1.806</v>
      </c>
      <c r="L146" s="12">
        <f>VLOOKUP(Tableau2[[#This Row],[essence]],Tableau5[],3,FALSE)</f>
        <v>1.2398</v>
      </c>
      <c r="M146" s="12">
        <f>IF(Tableau2[[#This Row],[priorecol]]="C",1,0)</f>
        <v>1</v>
      </c>
      <c r="N146" s="12">
        <f>VLOOKUP(Tableau2[[#This Row],[essence]],Tableau5[],4,FALSE)</f>
        <v>2.6488</v>
      </c>
      <c r="O146" s="12">
        <f>IF(Tableau2[[#This Row],[priorecol]]="R",1,0)</f>
        <v>0</v>
      </c>
      <c r="P146" s="12">
        <f>VLOOKUP(Tableau2[[#This Row],[essence]],Tableau5[],5,FALSE)</f>
        <v>0.61070000000000002</v>
      </c>
      <c r="Q146" s="12">
        <f>IF(Tableau2[[#This Row],[priorecol]]="S",1,0)</f>
        <v>0</v>
      </c>
      <c r="R146" s="12">
        <f>VLOOKUP(Tableau2[[#This Row],[essence]],Tableau5[],6,FALSE)</f>
        <v>5.67E-2</v>
      </c>
      <c r="S146" s="12">
        <f>VLOOKUP(Tableau2[[#This Row],[essence]],Tableau5[],15,FALSE)</f>
        <v>1.35E-2</v>
      </c>
      <c r="T146" s="12">
        <f>VLOOKUP(Tableau2[[#This Row],[essence]],Tableau5[],7,FALSE)</f>
        <v>0.95779999999999998</v>
      </c>
      <c r="U146" s="12">
        <f>IF(Tableau2[[#This Row],[sdom]]=1,1,0)</f>
        <v>0</v>
      </c>
      <c r="V146" s="12">
        <f>VLOOKUP(Tableau2[[#This Row],[essence]],Tableau5[],8,FALSE)</f>
        <v>0.66500000000000004</v>
      </c>
      <c r="W146" s="12">
        <f>IF(Tableau2[[#This Row],[sdom]]="2EST",1,0)</f>
        <v>0</v>
      </c>
      <c r="X146" s="12">
        <f>VLOOKUP(Tableau2[[#This Row],[essence]],Tableau5[],9,FALSE)</f>
        <v>0.32479999999999998</v>
      </c>
      <c r="Y146" s="12">
        <f>IF(Tableau2[[#This Row],[sdom]]="2OUEST",1,0)</f>
        <v>0</v>
      </c>
      <c r="Z146" s="12">
        <f>VLOOKUP(Tableau2[[#This Row],[essence]],Tableau5[],10,FALSE)</f>
        <v>0.62949999999999995</v>
      </c>
      <c r="AA146" s="12">
        <f>IF(Tableau2[[#This Row],[sdom]]="3EST",1,0)</f>
        <v>0</v>
      </c>
      <c r="AB146" s="12">
        <f>VLOOKUP(Tableau2[[#This Row],[essence]],Tableau5[],11,FALSE)</f>
        <v>0.56679999999999997</v>
      </c>
      <c r="AC146" s="12">
        <f>IF(Tableau2[[#This Row],[sdom]]="3OUEST",1,0)</f>
        <v>0</v>
      </c>
      <c r="AD146" s="12">
        <f>VLOOKUP(Tableau2[[#This Row],[essence]],Tableau5[],12,FALSE)</f>
        <v>0.21729999999999999</v>
      </c>
      <c r="AE146" s="12">
        <f>IF(Tableau2[[#This Row],[sdom]]="4EST",1,0)</f>
        <v>0</v>
      </c>
      <c r="AF146" s="12">
        <f>VLOOKUP(Tableau2[[#This Row],[essence]],Tableau5[],13,FALSE)</f>
        <v>0.39939999999999998</v>
      </c>
      <c r="AG146" s="12">
        <f>IF(Tableau2[[#This Row],[sdom]]="4OUEST",1,0)</f>
        <v>1</v>
      </c>
      <c r="AH146" s="12">
        <f>VLOOKUP(Tableau2[[#This Row],[essence]],Tableau5[],14,FALSE)</f>
        <v>6.5299999999999997E-2</v>
      </c>
      <c r="AI146" s="12">
        <f>IF(Tableau2[[#This Row],[sdom]]="5EST",1,0)</f>
        <v>0</v>
      </c>
      <c r="AJ146" s="12">
        <f>VLOOKUP(Tableau2[[#This Row],[essence]],Tableau5[],16,FALSE)</f>
        <v>0</v>
      </c>
      <c r="AK146" s="12">
        <f>IF(Tableau2[[#This Row],[sdom]]="5OUEST",1,0)</f>
        <v>0</v>
      </c>
      <c r="AL146" s="12">
        <f>VLOOKUP(Tableau2[[#This Row],[essence]],Tableau5[],17,FALSE)</f>
        <v>0</v>
      </c>
      <c r="AM146" s="12">
        <f>IF(Tableau2[[#This Row],[sdom]]="6EST",1,0)</f>
        <v>0</v>
      </c>
      <c r="AN146" s="12">
        <f>VLOOKUP(Tableau2[[#This Row],[essence]],Tableau5[],19,FALSE)</f>
        <v>0</v>
      </c>
      <c r="AO146" s="12">
        <f>IF(Tableau2[[#This Row],[priorecol]]="C",1,0)</f>
        <v>1</v>
      </c>
      <c r="AP146" s="12">
        <f>VLOOKUP(Tableau2[[#This Row],[essence]],Tableau5[],20,FALSE)</f>
        <v>0</v>
      </c>
      <c r="AQ146" s="12">
        <f>IF(Tableau2[[#This Row],[priorecol]]="R",1,0)</f>
        <v>0</v>
      </c>
      <c r="AR146" s="12">
        <f>VLOOKUP(Tableau2[[#This Row],[essence]],Tableau5[],21,FALSE)</f>
        <v>0</v>
      </c>
      <c r="AS146" s="12">
        <f>IF(Tableau2[[#This Row],[priorecol]]="S",1,0)</f>
        <v>0</v>
      </c>
      <c r="AT146" s="12">
        <f>VLOOKUP(Tableau2[[#This Row],[essence]],Tableau5[],22,FALSE)</f>
        <v>0</v>
      </c>
      <c r="AU146" s="12">
        <f>VLOOKUP(Tableau2[[#This Row],[essence]],Tableau5[],23,FALSE)</f>
        <v>0</v>
      </c>
      <c r="AV146" s="12">
        <f>VLOOKUP(Tableau2[[#This Row],[essence]],Tableau5[],18,FALSE)</f>
        <v>0</v>
      </c>
      <c r="AW14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1.6908000000000001</v>
      </c>
      <c r="AX146" s="12">
        <f>1/(1+EXP(-Tableau2[[#This Row],[xb_c]]))</f>
        <v>0.84432933868877835</v>
      </c>
      <c r="AY146" s="12" t="str">
        <f t="shared" si="4"/>
        <v>NA</v>
      </c>
      <c r="AZ146" s="12" t="str">
        <f t="shared" si="5"/>
        <v>NA</v>
      </c>
      <c r="BA146" s="12">
        <f>Tableau2[[#This Row],[prob_c]]</f>
        <v>0.84432933868877835</v>
      </c>
      <c r="BB146" s="12">
        <f>1-Tableau2[[#This Row],[prob_c]]</f>
        <v>0.15567066131122165</v>
      </c>
    </row>
    <row r="147" spans="1:54" x14ac:dyDescent="0.25">
      <c r="A147" s="12">
        <v>7</v>
      </c>
      <c r="B147" s="12" t="s">
        <v>15</v>
      </c>
      <c r="C147" s="12">
        <v>2.1</v>
      </c>
      <c r="D147" s="12">
        <v>700</v>
      </c>
      <c r="E147" s="12">
        <v>20</v>
      </c>
      <c r="F147" s="12">
        <v>1</v>
      </c>
      <c r="G147" s="12">
        <v>2</v>
      </c>
      <c r="H147" s="12">
        <v>29</v>
      </c>
      <c r="I147" s="12" t="s">
        <v>19</v>
      </c>
      <c r="J147" s="12" t="s">
        <v>28</v>
      </c>
      <c r="K147" s="12">
        <f>VLOOKUP(Tableau2[[#This Row],[essence]],Tableau5[],2,FALSE)</f>
        <v>-1.806</v>
      </c>
      <c r="L147" s="12">
        <f>VLOOKUP(Tableau2[[#This Row],[essence]],Tableau5[],3,FALSE)</f>
        <v>1.2398</v>
      </c>
      <c r="M147" s="12">
        <f>IF(Tableau2[[#This Row],[priorecol]]="C",1,0)</f>
        <v>0</v>
      </c>
      <c r="N147" s="12">
        <f>VLOOKUP(Tableau2[[#This Row],[essence]],Tableau5[],4,FALSE)</f>
        <v>2.6488</v>
      </c>
      <c r="O147" s="12">
        <f>IF(Tableau2[[#This Row],[priorecol]]="R",1,0)</f>
        <v>1</v>
      </c>
      <c r="P147" s="12">
        <f>VLOOKUP(Tableau2[[#This Row],[essence]],Tableau5[],5,FALSE)</f>
        <v>0.61070000000000002</v>
      </c>
      <c r="Q147" s="12">
        <f>IF(Tableau2[[#This Row],[priorecol]]="S",1,0)</f>
        <v>0</v>
      </c>
      <c r="R147" s="12">
        <f>VLOOKUP(Tableau2[[#This Row],[essence]],Tableau5[],6,FALSE)</f>
        <v>5.67E-2</v>
      </c>
      <c r="S147" s="12">
        <f>VLOOKUP(Tableau2[[#This Row],[essence]],Tableau5[],15,FALSE)</f>
        <v>1.35E-2</v>
      </c>
      <c r="T147" s="12">
        <f>VLOOKUP(Tableau2[[#This Row],[essence]],Tableau5[],7,FALSE)</f>
        <v>0.95779999999999998</v>
      </c>
      <c r="U147" s="12">
        <f>IF(Tableau2[[#This Row],[sdom]]=1,1,0)</f>
        <v>0</v>
      </c>
      <c r="V147" s="12">
        <f>VLOOKUP(Tableau2[[#This Row],[essence]],Tableau5[],8,FALSE)</f>
        <v>0.66500000000000004</v>
      </c>
      <c r="W147" s="12">
        <f>IF(Tableau2[[#This Row],[sdom]]="2EST",1,0)</f>
        <v>0</v>
      </c>
      <c r="X147" s="12">
        <f>VLOOKUP(Tableau2[[#This Row],[essence]],Tableau5[],9,FALSE)</f>
        <v>0.32479999999999998</v>
      </c>
      <c r="Y147" s="12">
        <f>IF(Tableau2[[#This Row],[sdom]]="2OUEST",1,0)</f>
        <v>0</v>
      </c>
      <c r="Z147" s="12">
        <f>VLOOKUP(Tableau2[[#This Row],[essence]],Tableau5[],10,FALSE)</f>
        <v>0.62949999999999995</v>
      </c>
      <c r="AA147" s="12">
        <f>IF(Tableau2[[#This Row],[sdom]]="3EST",1,0)</f>
        <v>0</v>
      </c>
      <c r="AB147" s="12">
        <f>VLOOKUP(Tableau2[[#This Row],[essence]],Tableau5[],11,FALSE)</f>
        <v>0.56679999999999997</v>
      </c>
      <c r="AC147" s="12">
        <f>IF(Tableau2[[#This Row],[sdom]]="3OUEST",1,0)</f>
        <v>0</v>
      </c>
      <c r="AD147" s="12">
        <f>VLOOKUP(Tableau2[[#This Row],[essence]],Tableau5[],12,FALSE)</f>
        <v>0.21729999999999999</v>
      </c>
      <c r="AE147" s="12">
        <f>IF(Tableau2[[#This Row],[sdom]]="4EST",1,0)</f>
        <v>0</v>
      </c>
      <c r="AF147" s="12">
        <f>VLOOKUP(Tableau2[[#This Row],[essence]],Tableau5[],13,FALSE)</f>
        <v>0.39939999999999998</v>
      </c>
      <c r="AG147" s="12">
        <f>IF(Tableau2[[#This Row],[sdom]]="4OUEST",1,0)</f>
        <v>1</v>
      </c>
      <c r="AH147" s="12">
        <f>VLOOKUP(Tableau2[[#This Row],[essence]],Tableau5[],14,FALSE)</f>
        <v>6.5299999999999997E-2</v>
      </c>
      <c r="AI147" s="12">
        <f>IF(Tableau2[[#This Row],[sdom]]="5EST",1,0)</f>
        <v>0</v>
      </c>
      <c r="AJ147" s="12">
        <f>VLOOKUP(Tableau2[[#This Row],[essence]],Tableau5[],16,FALSE)</f>
        <v>0</v>
      </c>
      <c r="AK147" s="12">
        <f>IF(Tableau2[[#This Row],[sdom]]="5OUEST",1,0)</f>
        <v>0</v>
      </c>
      <c r="AL147" s="12">
        <f>VLOOKUP(Tableau2[[#This Row],[essence]],Tableau5[],17,FALSE)</f>
        <v>0</v>
      </c>
      <c r="AM147" s="12">
        <f>IF(Tableau2[[#This Row],[sdom]]="6EST",1,0)</f>
        <v>0</v>
      </c>
      <c r="AN147" s="12">
        <f>VLOOKUP(Tableau2[[#This Row],[essence]],Tableau5[],19,FALSE)</f>
        <v>0</v>
      </c>
      <c r="AO147" s="12">
        <f>IF(Tableau2[[#This Row],[priorecol]]="C",1,0)</f>
        <v>0</v>
      </c>
      <c r="AP147" s="12">
        <f>VLOOKUP(Tableau2[[#This Row],[essence]],Tableau5[],20,FALSE)</f>
        <v>0</v>
      </c>
      <c r="AQ147" s="12">
        <f>IF(Tableau2[[#This Row],[priorecol]]="R",1,0)</f>
        <v>1</v>
      </c>
      <c r="AR147" s="12">
        <f>VLOOKUP(Tableau2[[#This Row],[essence]],Tableau5[],21,FALSE)</f>
        <v>0</v>
      </c>
      <c r="AS147" s="12">
        <f>IF(Tableau2[[#This Row],[priorecol]]="S",1,0)</f>
        <v>0</v>
      </c>
      <c r="AT147" s="12">
        <f>VLOOKUP(Tableau2[[#This Row],[essence]],Tableau5[],22,FALSE)</f>
        <v>0</v>
      </c>
      <c r="AU147" s="12">
        <f>VLOOKUP(Tableau2[[#This Row],[essence]],Tableau5[],23,FALSE)</f>
        <v>0</v>
      </c>
      <c r="AV147" s="12">
        <f>VLOOKUP(Tableau2[[#This Row],[essence]],Tableau5[],18,FALSE)</f>
        <v>0</v>
      </c>
      <c r="AW14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3.1564999999999999</v>
      </c>
      <c r="AX147" s="12">
        <f>1/(1+EXP(-Tableau2[[#This Row],[xb_c]]))</f>
        <v>0.95916407730170128</v>
      </c>
      <c r="AY147" s="12" t="str">
        <f t="shared" si="4"/>
        <v>NA</v>
      </c>
      <c r="AZ147" s="12" t="str">
        <f t="shared" si="5"/>
        <v>NA</v>
      </c>
      <c r="BA147" s="12">
        <f>Tableau2[[#This Row],[prob_c]]</f>
        <v>0.95916407730170128</v>
      </c>
      <c r="BB147" s="12">
        <f>1-Tableau2[[#This Row],[prob_c]]</f>
        <v>4.0835922698298721E-2</v>
      </c>
    </row>
    <row r="148" spans="1:54" x14ac:dyDescent="0.25">
      <c r="A148" s="12">
        <v>7</v>
      </c>
      <c r="B148" s="12" t="s">
        <v>15</v>
      </c>
      <c r="C148" s="12">
        <v>2.1</v>
      </c>
      <c r="D148" s="12">
        <v>700</v>
      </c>
      <c r="E148" s="12">
        <v>20</v>
      </c>
      <c r="F148" s="12">
        <v>1</v>
      </c>
      <c r="G148" s="12">
        <v>3</v>
      </c>
      <c r="H148" s="12">
        <v>30</v>
      </c>
      <c r="I148" s="12" t="s">
        <v>19</v>
      </c>
      <c r="J148" s="12" t="s">
        <v>29</v>
      </c>
      <c r="K148" s="12">
        <f>VLOOKUP(Tableau2[[#This Row],[essence]],Tableau5[],2,FALSE)</f>
        <v>-1.806</v>
      </c>
      <c r="L148" s="12">
        <f>VLOOKUP(Tableau2[[#This Row],[essence]],Tableau5[],3,FALSE)</f>
        <v>1.2398</v>
      </c>
      <c r="M148" s="12">
        <f>IF(Tableau2[[#This Row],[priorecol]]="C",1,0)</f>
        <v>0</v>
      </c>
      <c r="N148" s="12">
        <f>VLOOKUP(Tableau2[[#This Row],[essence]],Tableau5[],4,FALSE)</f>
        <v>2.6488</v>
      </c>
      <c r="O148" s="12">
        <f>IF(Tableau2[[#This Row],[priorecol]]="R",1,0)</f>
        <v>0</v>
      </c>
      <c r="P148" s="12">
        <f>VLOOKUP(Tableau2[[#This Row],[essence]],Tableau5[],5,FALSE)</f>
        <v>0.61070000000000002</v>
      </c>
      <c r="Q148" s="12">
        <f>IF(Tableau2[[#This Row],[priorecol]]="S",1,0)</f>
        <v>1</v>
      </c>
      <c r="R148" s="12">
        <f>VLOOKUP(Tableau2[[#This Row],[essence]],Tableau5[],6,FALSE)</f>
        <v>5.67E-2</v>
      </c>
      <c r="S148" s="12">
        <f>VLOOKUP(Tableau2[[#This Row],[essence]],Tableau5[],15,FALSE)</f>
        <v>1.35E-2</v>
      </c>
      <c r="T148" s="12">
        <f>VLOOKUP(Tableau2[[#This Row],[essence]],Tableau5[],7,FALSE)</f>
        <v>0.95779999999999998</v>
      </c>
      <c r="U148" s="12">
        <f>IF(Tableau2[[#This Row],[sdom]]=1,1,0)</f>
        <v>0</v>
      </c>
      <c r="V148" s="12">
        <f>VLOOKUP(Tableau2[[#This Row],[essence]],Tableau5[],8,FALSE)</f>
        <v>0.66500000000000004</v>
      </c>
      <c r="W148" s="12">
        <f>IF(Tableau2[[#This Row],[sdom]]="2EST",1,0)</f>
        <v>0</v>
      </c>
      <c r="X148" s="12">
        <f>VLOOKUP(Tableau2[[#This Row],[essence]],Tableau5[],9,FALSE)</f>
        <v>0.32479999999999998</v>
      </c>
      <c r="Y148" s="12">
        <f>IF(Tableau2[[#This Row],[sdom]]="2OUEST",1,0)</f>
        <v>0</v>
      </c>
      <c r="Z148" s="12">
        <f>VLOOKUP(Tableau2[[#This Row],[essence]],Tableau5[],10,FALSE)</f>
        <v>0.62949999999999995</v>
      </c>
      <c r="AA148" s="12">
        <f>IF(Tableau2[[#This Row],[sdom]]="3EST",1,0)</f>
        <v>0</v>
      </c>
      <c r="AB148" s="12">
        <f>VLOOKUP(Tableau2[[#This Row],[essence]],Tableau5[],11,FALSE)</f>
        <v>0.56679999999999997</v>
      </c>
      <c r="AC148" s="12">
        <f>IF(Tableau2[[#This Row],[sdom]]="3OUEST",1,0)</f>
        <v>0</v>
      </c>
      <c r="AD148" s="12">
        <f>VLOOKUP(Tableau2[[#This Row],[essence]],Tableau5[],12,FALSE)</f>
        <v>0.21729999999999999</v>
      </c>
      <c r="AE148" s="12">
        <f>IF(Tableau2[[#This Row],[sdom]]="4EST",1,0)</f>
        <v>0</v>
      </c>
      <c r="AF148" s="12">
        <f>VLOOKUP(Tableau2[[#This Row],[essence]],Tableau5[],13,FALSE)</f>
        <v>0.39939999999999998</v>
      </c>
      <c r="AG148" s="12">
        <f>IF(Tableau2[[#This Row],[sdom]]="4OUEST",1,0)</f>
        <v>1</v>
      </c>
      <c r="AH148" s="12">
        <f>VLOOKUP(Tableau2[[#This Row],[essence]],Tableau5[],14,FALSE)</f>
        <v>6.5299999999999997E-2</v>
      </c>
      <c r="AI148" s="12">
        <f>IF(Tableau2[[#This Row],[sdom]]="5EST",1,0)</f>
        <v>0</v>
      </c>
      <c r="AJ148" s="12">
        <f>VLOOKUP(Tableau2[[#This Row],[essence]],Tableau5[],16,FALSE)</f>
        <v>0</v>
      </c>
      <c r="AK148" s="12">
        <f>IF(Tableau2[[#This Row],[sdom]]="5OUEST",1,0)</f>
        <v>0</v>
      </c>
      <c r="AL148" s="12">
        <f>VLOOKUP(Tableau2[[#This Row],[essence]],Tableau5[],17,FALSE)</f>
        <v>0</v>
      </c>
      <c r="AM148" s="12">
        <f>IF(Tableau2[[#This Row],[sdom]]="6EST",1,0)</f>
        <v>0</v>
      </c>
      <c r="AN148" s="12">
        <f>VLOOKUP(Tableau2[[#This Row],[essence]],Tableau5[],19,FALSE)</f>
        <v>0</v>
      </c>
      <c r="AO148" s="12">
        <f>IF(Tableau2[[#This Row],[priorecol]]="C",1,0)</f>
        <v>0</v>
      </c>
      <c r="AP148" s="12">
        <f>VLOOKUP(Tableau2[[#This Row],[essence]],Tableau5[],20,FALSE)</f>
        <v>0</v>
      </c>
      <c r="AQ148" s="12">
        <f>IF(Tableau2[[#This Row],[priorecol]]="R",1,0)</f>
        <v>0</v>
      </c>
      <c r="AR148" s="12">
        <f>VLOOKUP(Tableau2[[#This Row],[essence]],Tableau5[],21,FALSE)</f>
        <v>0</v>
      </c>
      <c r="AS148" s="12">
        <f>IF(Tableau2[[#This Row],[priorecol]]="S",1,0)</f>
        <v>1</v>
      </c>
      <c r="AT148" s="12">
        <f>VLOOKUP(Tableau2[[#This Row],[essence]],Tableau5[],22,FALSE)</f>
        <v>0</v>
      </c>
      <c r="AU148" s="12">
        <f>VLOOKUP(Tableau2[[#This Row],[essence]],Tableau5[],23,FALSE)</f>
        <v>0</v>
      </c>
      <c r="AV148" s="12">
        <f>VLOOKUP(Tableau2[[#This Row],[essence]],Tableau5[],18,FALSE)</f>
        <v>0</v>
      </c>
      <c r="AW14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1.1751</v>
      </c>
      <c r="AX148" s="12">
        <f>1/(1+EXP(-Tableau2[[#This Row],[xb_c]]))</f>
        <v>0.76406562720794557</v>
      </c>
      <c r="AY148" s="12" t="str">
        <f t="shared" si="4"/>
        <v>NA</v>
      </c>
      <c r="AZ148" s="12" t="str">
        <f t="shared" si="5"/>
        <v>NA</v>
      </c>
      <c r="BA148" s="12">
        <f>Tableau2[[#This Row],[prob_c]]</f>
        <v>0.76406562720794557</v>
      </c>
      <c r="BB148" s="12">
        <f>1-Tableau2[[#This Row],[prob_c]]</f>
        <v>0.23593437279205443</v>
      </c>
    </row>
    <row r="149" spans="1:54" x14ac:dyDescent="0.25">
      <c r="A149" s="12">
        <v>7</v>
      </c>
      <c r="B149" s="12" t="s">
        <v>15</v>
      </c>
      <c r="C149" s="12">
        <v>2.1</v>
      </c>
      <c r="D149" s="12">
        <v>700</v>
      </c>
      <c r="E149" s="12">
        <v>20</v>
      </c>
      <c r="F149" s="12">
        <v>1</v>
      </c>
      <c r="G149" s="12">
        <v>4</v>
      </c>
      <c r="H149" s="12">
        <v>31</v>
      </c>
      <c r="I149" s="12" t="s">
        <v>20</v>
      </c>
      <c r="J149" s="12" t="s">
        <v>27</v>
      </c>
      <c r="K149" s="12">
        <f>VLOOKUP(Tableau2[[#This Row],[essence]],Tableau5[],2,FALSE)</f>
        <v>0.69510000000000005</v>
      </c>
      <c r="L149" s="12">
        <f>VLOOKUP(Tableau2[[#This Row],[essence]],Tableau5[],3,FALSE)</f>
        <v>-0.51849999999999996</v>
      </c>
      <c r="M149" s="12">
        <f>IF(Tableau2[[#This Row],[priorecol]]="C",1,0)</f>
        <v>1</v>
      </c>
      <c r="N149" s="12">
        <f>VLOOKUP(Tableau2[[#This Row],[essence]],Tableau5[],4,FALSE)</f>
        <v>0.52129999999999999</v>
      </c>
      <c r="O149" s="12">
        <f>IF(Tableau2[[#This Row],[priorecol]]="R",1,0)</f>
        <v>0</v>
      </c>
      <c r="P149" s="12">
        <f>VLOOKUP(Tableau2[[#This Row],[essence]],Tableau5[],5,FALSE)</f>
        <v>-0.37890000000000001</v>
      </c>
      <c r="Q149" s="12">
        <f>IF(Tableau2[[#This Row],[priorecol]]="S",1,0)</f>
        <v>0</v>
      </c>
      <c r="R149" s="12">
        <f>VLOOKUP(Tableau2[[#This Row],[essence]],Tableau5[],6,FALSE)</f>
        <v>-5.5999999999999995E-4</v>
      </c>
      <c r="S149" s="12">
        <f>VLOOKUP(Tableau2[[#This Row],[essence]],Tableau5[],15,FALSE)</f>
        <v>1.52E-2</v>
      </c>
      <c r="T149" s="12">
        <f>VLOOKUP(Tableau2[[#This Row],[essence]],Tableau5[],7,FALSE)</f>
        <v>0</v>
      </c>
      <c r="U149" s="12">
        <f>IF(Tableau2[[#This Row],[sdom]]=1,1,0)</f>
        <v>0</v>
      </c>
      <c r="V149" s="12">
        <f>VLOOKUP(Tableau2[[#This Row],[essence]],Tableau5[],8,FALSE)</f>
        <v>-8.7900000000000006E-2</v>
      </c>
      <c r="W149" s="12">
        <f>IF(Tableau2[[#This Row],[sdom]]="2EST",1,0)</f>
        <v>0</v>
      </c>
      <c r="X149" s="12">
        <f>VLOOKUP(Tableau2[[#This Row],[essence]],Tableau5[],9,FALSE)</f>
        <v>0.42620000000000002</v>
      </c>
      <c r="Y149" s="12">
        <f>IF(Tableau2[[#This Row],[sdom]]="2OUEST",1,0)</f>
        <v>0</v>
      </c>
      <c r="Z149" s="12">
        <f>VLOOKUP(Tableau2[[#This Row],[essence]],Tableau5[],10,FALSE)</f>
        <v>0.54149999999999998</v>
      </c>
      <c r="AA149" s="12">
        <f>IF(Tableau2[[#This Row],[sdom]]="3EST",1,0)</f>
        <v>0</v>
      </c>
      <c r="AB149" s="12">
        <f>VLOOKUP(Tableau2[[#This Row],[essence]],Tableau5[],11,FALSE)</f>
        <v>0.50339999999999996</v>
      </c>
      <c r="AC149" s="12">
        <f>IF(Tableau2[[#This Row],[sdom]]="3OUEST",1,0)</f>
        <v>0</v>
      </c>
      <c r="AD149" s="12">
        <f>VLOOKUP(Tableau2[[#This Row],[essence]],Tableau5[],12,FALSE)</f>
        <v>-3.0599999999999999E-2</v>
      </c>
      <c r="AE149" s="12">
        <f>IF(Tableau2[[#This Row],[sdom]]="4EST",1,0)</f>
        <v>0</v>
      </c>
      <c r="AF149" s="12">
        <f>VLOOKUP(Tableau2[[#This Row],[essence]],Tableau5[],13,FALSE)</f>
        <v>0.1583</v>
      </c>
      <c r="AG149" s="12">
        <f>IF(Tableau2[[#This Row],[sdom]]="4OUEST",1,0)</f>
        <v>1</v>
      </c>
      <c r="AH149" s="12">
        <f>VLOOKUP(Tableau2[[#This Row],[essence]],Tableau5[],14,FALSE)</f>
        <v>3.9800000000000002E-2</v>
      </c>
      <c r="AI149" s="12">
        <f>IF(Tableau2[[#This Row],[sdom]]="5EST",1,0)</f>
        <v>0</v>
      </c>
      <c r="AJ149" s="12">
        <f>VLOOKUP(Tableau2[[#This Row],[essence]],Tableau5[],16,FALSE)</f>
        <v>0.13650000000000001</v>
      </c>
      <c r="AK149" s="12">
        <f>IF(Tableau2[[#This Row],[sdom]]="5OUEST",1,0)</f>
        <v>0</v>
      </c>
      <c r="AL149" s="12">
        <f>VLOOKUP(Tableau2[[#This Row],[essence]],Tableau5[],17,FALSE)</f>
        <v>-0.39140000000000003</v>
      </c>
      <c r="AM149" s="12">
        <f>IF(Tableau2[[#This Row],[sdom]]="6EST",1,0)</f>
        <v>0</v>
      </c>
      <c r="AN149" s="12">
        <f>VLOOKUP(Tableau2[[#This Row],[essence]],Tableau5[],19,FALSE)</f>
        <v>5.8000000000000003E-2</v>
      </c>
      <c r="AO149" s="12">
        <f>IF(Tableau2[[#This Row],[priorecol]]="C",1,0)</f>
        <v>1</v>
      </c>
      <c r="AP149" s="12">
        <f>VLOOKUP(Tableau2[[#This Row],[essence]],Tableau5[],20,FALSE)</f>
        <v>4.7500000000000001E-2</v>
      </c>
      <c r="AQ149" s="12">
        <f>IF(Tableau2[[#This Row],[priorecol]]="R",1,0)</f>
        <v>0</v>
      </c>
      <c r="AR149" s="12">
        <f>VLOOKUP(Tableau2[[#This Row],[essence]],Tableau5[],21,FALSE)</f>
        <v>4.87E-2</v>
      </c>
      <c r="AS149" s="12">
        <f>IF(Tableau2[[#This Row],[priorecol]]="S",1,0)</f>
        <v>0</v>
      </c>
      <c r="AT149" s="12">
        <f>VLOOKUP(Tableau2[[#This Row],[essence]],Tableau5[],22,FALSE)</f>
        <v>0</v>
      </c>
      <c r="AU149" s="12">
        <f>VLOOKUP(Tableau2[[#This Row],[essence]],Tableau5[],23,FALSE)</f>
        <v>0</v>
      </c>
      <c r="AV149" s="12">
        <f>VLOOKUP(Tableau2[[#This Row],[essence]],Tableau5[],18,FALSE)</f>
        <v>-0.112</v>
      </c>
      <c r="AW14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2.1843400000000002</v>
      </c>
      <c r="AX149" s="12">
        <f>1/(1+EXP(-Tableau2[[#This Row],[xb_c]]))</f>
        <v>0.89883439684346511</v>
      </c>
      <c r="AY149" s="12" t="str">
        <f t="shared" si="4"/>
        <v>NA</v>
      </c>
      <c r="AZ149" s="12" t="str">
        <f t="shared" si="5"/>
        <v>NA</v>
      </c>
      <c r="BA149" s="12">
        <f>Tableau2[[#This Row],[prob_c]]</f>
        <v>0.89883439684346511</v>
      </c>
      <c r="BB149" s="12">
        <f>1-Tableau2[[#This Row],[prob_c]]</f>
        <v>0.10116560315653489</v>
      </c>
    </row>
    <row r="150" spans="1:54" x14ac:dyDescent="0.25">
      <c r="A150" s="12">
        <v>7</v>
      </c>
      <c r="B150" s="12" t="s">
        <v>15</v>
      </c>
      <c r="C150" s="12">
        <v>2.1</v>
      </c>
      <c r="D150" s="12">
        <v>700</v>
      </c>
      <c r="E150" s="12">
        <v>20</v>
      </c>
      <c r="F150" s="12">
        <v>1</v>
      </c>
      <c r="G150" s="12">
        <v>5</v>
      </c>
      <c r="H150" s="12">
        <v>32</v>
      </c>
      <c r="I150" s="12" t="s">
        <v>20</v>
      </c>
      <c r="J150" s="12" t="s">
        <v>28</v>
      </c>
      <c r="K150" s="12">
        <f>VLOOKUP(Tableau2[[#This Row],[essence]],Tableau5[],2,FALSE)</f>
        <v>0.69510000000000005</v>
      </c>
      <c r="L150" s="12">
        <f>VLOOKUP(Tableau2[[#This Row],[essence]],Tableau5[],3,FALSE)</f>
        <v>-0.51849999999999996</v>
      </c>
      <c r="M150" s="12">
        <f>IF(Tableau2[[#This Row],[priorecol]]="C",1,0)</f>
        <v>0</v>
      </c>
      <c r="N150" s="12">
        <f>VLOOKUP(Tableau2[[#This Row],[essence]],Tableau5[],4,FALSE)</f>
        <v>0.52129999999999999</v>
      </c>
      <c r="O150" s="12">
        <f>IF(Tableau2[[#This Row],[priorecol]]="R",1,0)</f>
        <v>1</v>
      </c>
      <c r="P150" s="12">
        <f>VLOOKUP(Tableau2[[#This Row],[essence]],Tableau5[],5,FALSE)</f>
        <v>-0.37890000000000001</v>
      </c>
      <c r="Q150" s="12">
        <f>IF(Tableau2[[#This Row],[priorecol]]="S",1,0)</f>
        <v>0</v>
      </c>
      <c r="R150" s="12">
        <f>VLOOKUP(Tableau2[[#This Row],[essence]],Tableau5[],6,FALSE)</f>
        <v>-5.5999999999999995E-4</v>
      </c>
      <c r="S150" s="12">
        <f>VLOOKUP(Tableau2[[#This Row],[essence]],Tableau5[],15,FALSE)</f>
        <v>1.52E-2</v>
      </c>
      <c r="T150" s="12">
        <f>VLOOKUP(Tableau2[[#This Row],[essence]],Tableau5[],7,FALSE)</f>
        <v>0</v>
      </c>
      <c r="U150" s="12">
        <f>IF(Tableau2[[#This Row],[sdom]]=1,1,0)</f>
        <v>0</v>
      </c>
      <c r="V150" s="12">
        <f>VLOOKUP(Tableau2[[#This Row],[essence]],Tableau5[],8,FALSE)</f>
        <v>-8.7900000000000006E-2</v>
      </c>
      <c r="W150" s="12">
        <f>IF(Tableau2[[#This Row],[sdom]]="2EST",1,0)</f>
        <v>0</v>
      </c>
      <c r="X150" s="12">
        <f>VLOOKUP(Tableau2[[#This Row],[essence]],Tableau5[],9,FALSE)</f>
        <v>0.42620000000000002</v>
      </c>
      <c r="Y150" s="12">
        <f>IF(Tableau2[[#This Row],[sdom]]="2OUEST",1,0)</f>
        <v>0</v>
      </c>
      <c r="Z150" s="12">
        <f>VLOOKUP(Tableau2[[#This Row],[essence]],Tableau5[],10,FALSE)</f>
        <v>0.54149999999999998</v>
      </c>
      <c r="AA150" s="12">
        <f>IF(Tableau2[[#This Row],[sdom]]="3EST",1,0)</f>
        <v>0</v>
      </c>
      <c r="AB150" s="12">
        <f>VLOOKUP(Tableau2[[#This Row],[essence]],Tableau5[],11,FALSE)</f>
        <v>0.50339999999999996</v>
      </c>
      <c r="AC150" s="12">
        <f>IF(Tableau2[[#This Row],[sdom]]="3OUEST",1,0)</f>
        <v>0</v>
      </c>
      <c r="AD150" s="12">
        <f>VLOOKUP(Tableau2[[#This Row],[essence]],Tableau5[],12,FALSE)</f>
        <v>-3.0599999999999999E-2</v>
      </c>
      <c r="AE150" s="12">
        <f>IF(Tableau2[[#This Row],[sdom]]="4EST",1,0)</f>
        <v>0</v>
      </c>
      <c r="AF150" s="12">
        <f>VLOOKUP(Tableau2[[#This Row],[essence]],Tableau5[],13,FALSE)</f>
        <v>0.1583</v>
      </c>
      <c r="AG150" s="12">
        <f>IF(Tableau2[[#This Row],[sdom]]="4OUEST",1,0)</f>
        <v>1</v>
      </c>
      <c r="AH150" s="12">
        <f>VLOOKUP(Tableau2[[#This Row],[essence]],Tableau5[],14,FALSE)</f>
        <v>3.9800000000000002E-2</v>
      </c>
      <c r="AI150" s="12">
        <f>IF(Tableau2[[#This Row],[sdom]]="5EST",1,0)</f>
        <v>0</v>
      </c>
      <c r="AJ150" s="12">
        <f>VLOOKUP(Tableau2[[#This Row],[essence]],Tableau5[],16,FALSE)</f>
        <v>0.13650000000000001</v>
      </c>
      <c r="AK150" s="12">
        <f>IF(Tableau2[[#This Row],[sdom]]="5OUEST",1,0)</f>
        <v>0</v>
      </c>
      <c r="AL150" s="12">
        <f>VLOOKUP(Tableau2[[#This Row],[essence]],Tableau5[],17,FALSE)</f>
        <v>-0.39140000000000003</v>
      </c>
      <c r="AM150" s="12">
        <f>IF(Tableau2[[#This Row],[sdom]]="6EST",1,0)</f>
        <v>0</v>
      </c>
      <c r="AN150" s="12">
        <f>VLOOKUP(Tableau2[[#This Row],[essence]],Tableau5[],19,FALSE)</f>
        <v>5.8000000000000003E-2</v>
      </c>
      <c r="AO150" s="12">
        <f>IF(Tableau2[[#This Row],[priorecol]]="C",1,0)</f>
        <v>0</v>
      </c>
      <c r="AP150" s="12">
        <f>VLOOKUP(Tableau2[[#This Row],[essence]],Tableau5[],20,FALSE)</f>
        <v>4.7500000000000001E-2</v>
      </c>
      <c r="AQ150" s="12">
        <f>IF(Tableau2[[#This Row],[priorecol]]="R",1,0)</f>
        <v>1</v>
      </c>
      <c r="AR150" s="12">
        <f>VLOOKUP(Tableau2[[#This Row],[essence]],Tableau5[],21,FALSE)</f>
        <v>4.87E-2</v>
      </c>
      <c r="AS150" s="12">
        <f>IF(Tableau2[[#This Row],[priorecol]]="S",1,0)</f>
        <v>0</v>
      </c>
      <c r="AT150" s="12">
        <f>VLOOKUP(Tableau2[[#This Row],[essence]],Tableau5[],22,FALSE)</f>
        <v>0</v>
      </c>
      <c r="AU150" s="12">
        <f>VLOOKUP(Tableau2[[#This Row],[essence]],Tableau5[],23,FALSE)</f>
        <v>0</v>
      </c>
      <c r="AV150" s="12">
        <f>VLOOKUP(Tableau2[[#This Row],[essence]],Tableau5[],18,FALSE)</f>
        <v>-0.112</v>
      </c>
      <c r="AW15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2.9455800000000005</v>
      </c>
      <c r="AX150" s="12">
        <f>1/(1+EXP(-Tableau2[[#This Row],[xb_c]]))</f>
        <v>0.950054170669279</v>
      </c>
      <c r="AY150" s="12" t="str">
        <f t="shared" si="4"/>
        <v>NA</v>
      </c>
      <c r="AZ150" s="12" t="str">
        <f t="shared" si="5"/>
        <v>NA</v>
      </c>
      <c r="BA150" s="12">
        <f>Tableau2[[#This Row],[prob_c]]</f>
        <v>0.950054170669279</v>
      </c>
      <c r="BB150" s="12">
        <f>1-Tableau2[[#This Row],[prob_c]]</f>
        <v>4.9945829330721003E-2</v>
      </c>
    </row>
    <row r="151" spans="1:54" x14ac:dyDescent="0.25">
      <c r="A151" s="12">
        <v>7</v>
      </c>
      <c r="B151" s="12" t="s">
        <v>15</v>
      </c>
      <c r="C151" s="12">
        <v>2.1</v>
      </c>
      <c r="D151" s="12">
        <v>700</v>
      </c>
      <c r="E151" s="12">
        <v>20</v>
      </c>
      <c r="F151" s="12">
        <v>1</v>
      </c>
      <c r="G151" s="12">
        <v>6</v>
      </c>
      <c r="H151" s="12">
        <v>33</v>
      </c>
      <c r="I151" s="12" t="s">
        <v>20</v>
      </c>
      <c r="J151" s="12" t="s">
        <v>29</v>
      </c>
      <c r="K151" s="12">
        <f>VLOOKUP(Tableau2[[#This Row],[essence]],Tableau5[],2,FALSE)</f>
        <v>0.69510000000000005</v>
      </c>
      <c r="L151" s="12">
        <f>VLOOKUP(Tableau2[[#This Row],[essence]],Tableau5[],3,FALSE)</f>
        <v>-0.51849999999999996</v>
      </c>
      <c r="M151" s="12">
        <f>IF(Tableau2[[#This Row],[priorecol]]="C",1,0)</f>
        <v>0</v>
      </c>
      <c r="N151" s="12">
        <f>VLOOKUP(Tableau2[[#This Row],[essence]],Tableau5[],4,FALSE)</f>
        <v>0.52129999999999999</v>
      </c>
      <c r="O151" s="12">
        <f>IF(Tableau2[[#This Row],[priorecol]]="R",1,0)</f>
        <v>0</v>
      </c>
      <c r="P151" s="12">
        <f>VLOOKUP(Tableau2[[#This Row],[essence]],Tableau5[],5,FALSE)</f>
        <v>-0.37890000000000001</v>
      </c>
      <c r="Q151" s="12">
        <f>IF(Tableau2[[#This Row],[priorecol]]="S",1,0)</f>
        <v>1</v>
      </c>
      <c r="R151" s="12">
        <f>VLOOKUP(Tableau2[[#This Row],[essence]],Tableau5[],6,FALSE)</f>
        <v>-5.5999999999999995E-4</v>
      </c>
      <c r="S151" s="12">
        <f>VLOOKUP(Tableau2[[#This Row],[essence]],Tableau5[],15,FALSE)</f>
        <v>1.52E-2</v>
      </c>
      <c r="T151" s="12">
        <f>VLOOKUP(Tableau2[[#This Row],[essence]],Tableau5[],7,FALSE)</f>
        <v>0</v>
      </c>
      <c r="U151" s="12">
        <f>IF(Tableau2[[#This Row],[sdom]]=1,1,0)</f>
        <v>0</v>
      </c>
      <c r="V151" s="12">
        <f>VLOOKUP(Tableau2[[#This Row],[essence]],Tableau5[],8,FALSE)</f>
        <v>-8.7900000000000006E-2</v>
      </c>
      <c r="W151" s="12">
        <f>IF(Tableau2[[#This Row],[sdom]]="2EST",1,0)</f>
        <v>0</v>
      </c>
      <c r="X151" s="12">
        <f>VLOOKUP(Tableau2[[#This Row],[essence]],Tableau5[],9,FALSE)</f>
        <v>0.42620000000000002</v>
      </c>
      <c r="Y151" s="12">
        <f>IF(Tableau2[[#This Row],[sdom]]="2OUEST",1,0)</f>
        <v>0</v>
      </c>
      <c r="Z151" s="12">
        <f>VLOOKUP(Tableau2[[#This Row],[essence]],Tableau5[],10,FALSE)</f>
        <v>0.54149999999999998</v>
      </c>
      <c r="AA151" s="12">
        <f>IF(Tableau2[[#This Row],[sdom]]="3EST",1,0)</f>
        <v>0</v>
      </c>
      <c r="AB151" s="12">
        <f>VLOOKUP(Tableau2[[#This Row],[essence]],Tableau5[],11,FALSE)</f>
        <v>0.50339999999999996</v>
      </c>
      <c r="AC151" s="12">
        <f>IF(Tableau2[[#This Row],[sdom]]="3OUEST",1,0)</f>
        <v>0</v>
      </c>
      <c r="AD151" s="12">
        <f>VLOOKUP(Tableau2[[#This Row],[essence]],Tableau5[],12,FALSE)</f>
        <v>-3.0599999999999999E-2</v>
      </c>
      <c r="AE151" s="12">
        <f>IF(Tableau2[[#This Row],[sdom]]="4EST",1,0)</f>
        <v>0</v>
      </c>
      <c r="AF151" s="12">
        <f>VLOOKUP(Tableau2[[#This Row],[essence]],Tableau5[],13,FALSE)</f>
        <v>0.1583</v>
      </c>
      <c r="AG151" s="12">
        <f>IF(Tableau2[[#This Row],[sdom]]="4OUEST",1,0)</f>
        <v>1</v>
      </c>
      <c r="AH151" s="12">
        <f>VLOOKUP(Tableau2[[#This Row],[essence]],Tableau5[],14,FALSE)</f>
        <v>3.9800000000000002E-2</v>
      </c>
      <c r="AI151" s="12">
        <f>IF(Tableau2[[#This Row],[sdom]]="5EST",1,0)</f>
        <v>0</v>
      </c>
      <c r="AJ151" s="12">
        <f>VLOOKUP(Tableau2[[#This Row],[essence]],Tableau5[],16,FALSE)</f>
        <v>0.13650000000000001</v>
      </c>
      <c r="AK151" s="12">
        <f>IF(Tableau2[[#This Row],[sdom]]="5OUEST",1,0)</f>
        <v>0</v>
      </c>
      <c r="AL151" s="12">
        <f>VLOOKUP(Tableau2[[#This Row],[essence]],Tableau5[],17,FALSE)</f>
        <v>-0.39140000000000003</v>
      </c>
      <c r="AM151" s="12">
        <f>IF(Tableau2[[#This Row],[sdom]]="6EST",1,0)</f>
        <v>0</v>
      </c>
      <c r="AN151" s="12">
        <f>VLOOKUP(Tableau2[[#This Row],[essence]],Tableau5[],19,FALSE)</f>
        <v>5.8000000000000003E-2</v>
      </c>
      <c r="AO151" s="12">
        <f>IF(Tableau2[[#This Row],[priorecol]]="C",1,0)</f>
        <v>0</v>
      </c>
      <c r="AP151" s="12">
        <f>VLOOKUP(Tableau2[[#This Row],[essence]],Tableau5[],20,FALSE)</f>
        <v>4.7500000000000001E-2</v>
      </c>
      <c r="AQ151" s="12">
        <f>IF(Tableau2[[#This Row],[priorecol]]="R",1,0)</f>
        <v>0</v>
      </c>
      <c r="AR151" s="12">
        <f>VLOOKUP(Tableau2[[#This Row],[essence]],Tableau5[],21,FALSE)</f>
        <v>4.87E-2</v>
      </c>
      <c r="AS151" s="12">
        <f>IF(Tableau2[[#This Row],[priorecol]]="S",1,0)</f>
        <v>1</v>
      </c>
      <c r="AT151" s="12">
        <f>VLOOKUP(Tableau2[[#This Row],[essence]],Tableau5[],22,FALSE)</f>
        <v>0</v>
      </c>
      <c r="AU151" s="12">
        <f>VLOOKUP(Tableau2[[#This Row],[essence]],Tableau5[],23,FALSE)</f>
        <v>0</v>
      </c>
      <c r="AV151" s="12">
        <f>VLOOKUP(Tableau2[[#This Row],[essence]],Tableau5[],18,FALSE)</f>
        <v>-0.112</v>
      </c>
      <c r="AW15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2.13192</v>
      </c>
      <c r="AX151" s="12">
        <f>1/(1+EXP(-Tableau2[[#This Row],[xb_c]]))</f>
        <v>0.89396714262815702</v>
      </c>
      <c r="AY151" s="12" t="str">
        <f t="shared" si="4"/>
        <v>NA</v>
      </c>
      <c r="AZ151" s="12" t="str">
        <f t="shared" si="5"/>
        <v>NA</v>
      </c>
      <c r="BA151" s="12">
        <f>Tableau2[[#This Row],[prob_c]]</f>
        <v>0.89396714262815702</v>
      </c>
      <c r="BB151" s="12">
        <f>1-Tableau2[[#This Row],[prob_c]]</f>
        <v>0.10603285737184298</v>
      </c>
    </row>
    <row r="152" spans="1:54" x14ac:dyDescent="0.25">
      <c r="A152" s="12">
        <v>7</v>
      </c>
      <c r="B152" s="12" t="s">
        <v>15</v>
      </c>
      <c r="C152" s="12">
        <v>2.1</v>
      </c>
      <c r="D152" s="12">
        <v>700</v>
      </c>
      <c r="E152" s="12">
        <v>20</v>
      </c>
      <c r="F152" s="12">
        <v>1</v>
      </c>
      <c r="G152" s="12">
        <v>7</v>
      </c>
      <c r="H152" s="12">
        <v>24</v>
      </c>
      <c r="I152" s="12" t="s">
        <v>21</v>
      </c>
      <c r="J152" s="12" t="s">
        <v>27</v>
      </c>
      <c r="K152" s="12">
        <f>VLOOKUP(Tableau2[[#This Row],[essence]],Tableau5[],2,FALSE)</f>
        <v>5.0801999999999996</v>
      </c>
      <c r="L152" s="12">
        <f>VLOOKUP(Tableau2[[#This Row],[essence]],Tableau5[],3,FALSE)</f>
        <v>1.7765</v>
      </c>
      <c r="M152" s="12">
        <f>IF(Tableau2[[#This Row],[priorecol]]="C",1,0)</f>
        <v>1</v>
      </c>
      <c r="N152" s="12">
        <f>VLOOKUP(Tableau2[[#This Row],[essence]],Tableau5[],4,FALSE)</f>
        <v>3.3664000000000001</v>
      </c>
      <c r="O152" s="12">
        <f>IF(Tableau2[[#This Row],[priorecol]]="R",1,0)</f>
        <v>0</v>
      </c>
      <c r="P152" s="12">
        <f>VLOOKUP(Tableau2[[#This Row],[essence]],Tableau5[],5,FALSE)</f>
        <v>0.57940000000000003</v>
      </c>
      <c r="Q152" s="12">
        <f>IF(Tableau2[[#This Row],[priorecol]]="S",1,0)</f>
        <v>0</v>
      </c>
      <c r="R152" s="12">
        <f>VLOOKUP(Tableau2[[#This Row],[essence]],Tableau5[],6,FALSE)</f>
        <v>-0.2109</v>
      </c>
      <c r="S152" s="12">
        <f>VLOOKUP(Tableau2[[#This Row],[essence]],Tableau5[],15,FALSE)</f>
        <v>-0.2429</v>
      </c>
      <c r="T152" s="12">
        <f>VLOOKUP(Tableau2[[#This Row],[essence]],Tableau5[],7,FALSE)</f>
        <v>0</v>
      </c>
      <c r="U152" s="12">
        <f>IF(Tableau2[[#This Row],[sdom]]=1,1,0)</f>
        <v>0</v>
      </c>
      <c r="V152" s="12">
        <f>VLOOKUP(Tableau2[[#This Row],[essence]],Tableau5[],8,FALSE)</f>
        <v>0</v>
      </c>
      <c r="W152" s="12">
        <f>IF(Tableau2[[#This Row],[sdom]]="2EST",1,0)</f>
        <v>0</v>
      </c>
      <c r="X152" s="12">
        <f>VLOOKUP(Tableau2[[#This Row],[essence]],Tableau5[],9,FALSE)</f>
        <v>0</v>
      </c>
      <c r="Y152" s="12">
        <f>IF(Tableau2[[#This Row],[sdom]]="2OUEST",1,0)</f>
        <v>0</v>
      </c>
      <c r="Z152" s="12">
        <f>VLOOKUP(Tableau2[[#This Row],[essence]],Tableau5[],10,FALSE)</f>
        <v>0</v>
      </c>
      <c r="AA152" s="12">
        <f>IF(Tableau2[[#This Row],[sdom]]="3EST",1,0)</f>
        <v>0</v>
      </c>
      <c r="AB152" s="12">
        <f>VLOOKUP(Tableau2[[#This Row],[essence]],Tableau5[],11,FALSE)</f>
        <v>0</v>
      </c>
      <c r="AC152" s="12">
        <f>IF(Tableau2[[#This Row],[sdom]]="3OUEST",1,0)</f>
        <v>0</v>
      </c>
      <c r="AD152" s="12">
        <f>VLOOKUP(Tableau2[[#This Row],[essence]],Tableau5[],12,FALSE)</f>
        <v>0</v>
      </c>
      <c r="AE152" s="12">
        <f>IF(Tableau2[[#This Row],[sdom]]="4EST",1,0)</f>
        <v>0</v>
      </c>
      <c r="AF152" s="12">
        <f>VLOOKUP(Tableau2[[#This Row],[essence]],Tableau5[],13,FALSE)</f>
        <v>0</v>
      </c>
      <c r="AG152" s="12">
        <f>IF(Tableau2[[#This Row],[sdom]]="4OUEST",1,0)</f>
        <v>1</v>
      </c>
      <c r="AH152" s="12">
        <f>VLOOKUP(Tableau2[[#This Row],[essence]],Tableau5[],14,FALSE)</f>
        <v>0</v>
      </c>
      <c r="AI152" s="12">
        <f>IF(Tableau2[[#This Row],[sdom]]="5EST",1,0)</f>
        <v>0</v>
      </c>
      <c r="AJ152" s="12">
        <f>VLOOKUP(Tableau2[[#This Row],[essence]],Tableau5[],16,FALSE)</f>
        <v>0</v>
      </c>
      <c r="AK152" s="12">
        <f>IF(Tableau2[[#This Row],[sdom]]="5OUEST",1,0)</f>
        <v>0</v>
      </c>
      <c r="AL152" s="12">
        <f>VLOOKUP(Tableau2[[#This Row],[essence]],Tableau5[],17,FALSE)</f>
        <v>0</v>
      </c>
      <c r="AM152" s="12">
        <f>IF(Tableau2[[#This Row],[sdom]]="6EST",1,0)</f>
        <v>0</v>
      </c>
      <c r="AN152" s="12">
        <f>VLOOKUP(Tableau2[[#This Row],[essence]],Tableau5[],19,FALSE)</f>
        <v>0</v>
      </c>
      <c r="AO152" s="12">
        <f>IF(Tableau2[[#This Row],[priorecol]]="C",1,0)</f>
        <v>1</v>
      </c>
      <c r="AP152" s="12">
        <f>VLOOKUP(Tableau2[[#This Row],[essence]],Tableau5[],20,FALSE)</f>
        <v>0</v>
      </c>
      <c r="AQ152" s="12">
        <f>IF(Tableau2[[#This Row],[priorecol]]="R",1,0)</f>
        <v>0</v>
      </c>
      <c r="AR152" s="12">
        <f>VLOOKUP(Tableau2[[#This Row],[essence]],Tableau5[],21,FALSE)</f>
        <v>0</v>
      </c>
      <c r="AS152" s="12">
        <f>IF(Tableau2[[#This Row],[priorecol]]="S",1,0)</f>
        <v>0</v>
      </c>
      <c r="AT152" s="12">
        <f>VLOOKUP(Tableau2[[#This Row],[essence]],Tableau5[],22,FALSE)</f>
        <v>1.1384000000000001</v>
      </c>
      <c r="AU152" s="12">
        <f>VLOOKUP(Tableau2[[#This Row],[essence]],Tableau5[],23,FALSE)</f>
        <v>1.0699999999999999E-2</v>
      </c>
      <c r="AV152" s="12">
        <f>VLOOKUP(Tableau2[[#This Row],[essence]],Tableau5[],18,FALSE)</f>
        <v>0</v>
      </c>
      <c r="AW15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3.2114999999999991</v>
      </c>
      <c r="AX152" s="12">
        <f>1/(1+EXP(-Tableau2[[#This Row],[xb_c]]))</f>
        <v>0.96126475643673992</v>
      </c>
      <c r="AY152" s="12" t="str">
        <f t="shared" si="4"/>
        <v>NA</v>
      </c>
      <c r="AZ152" s="12" t="str">
        <f t="shared" si="5"/>
        <v>NA</v>
      </c>
      <c r="BA152" s="12">
        <f>Tableau2[[#This Row],[prob_c]]</f>
        <v>0.96126475643673992</v>
      </c>
      <c r="BB152" s="12">
        <f>1-Tableau2[[#This Row],[prob_c]]</f>
        <v>3.873524356326008E-2</v>
      </c>
    </row>
    <row r="153" spans="1:54" x14ac:dyDescent="0.25">
      <c r="A153" s="12">
        <v>7</v>
      </c>
      <c r="B153" s="12" t="s">
        <v>15</v>
      </c>
      <c r="C153" s="12">
        <v>2.1</v>
      </c>
      <c r="D153" s="12">
        <v>700</v>
      </c>
      <c r="E153" s="12">
        <v>20</v>
      </c>
      <c r="F153" s="12">
        <v>1</v>
      </c>
      <c r="G153" s="12">
        <v>8</v>
      </c>
      <c r="H153" s="12">
        <v>25</v>
      </c>
      <c r="I153" s="12" t="s">
        <v>21</v>
      </c>
      <c r="J153" s="12" t="s">
        <v>28</v>
      </c>
      <c r="K153" s="12">
        <f>VLOOKUP(Tableau2[[#This Row],[essence]],Tableau5[],2,FALSE)</f>
        <v>5.0801999999999996</v>
      </c>
      <c r="L153" s="12">
        <f>VLOOKUP(Tableau2[[#This Row],[essence]],Tableau5[],3,FALSE)</f>
        <v>1.7765</v>
      </c>
      <c r="M153" s="12">
        <f>IF(Tableau2[[#This Row],[priorecol]]="C",1,0)</f>
        <v>0</v>
      </c>
      <c r="N153" s="12">
        <f>VLOOKUP(Tableau2[[#This Row],[essence]],Tableau5[],4,FALSE)</f>
        <v>3.3664000000000001</v>
      </c>
      <c r="O153" s="12">
        <f>IF(Tableau2[[#This Row],[priorecol]]="R",1,0)</f>
        <v>1</v>
      </c>
      <c r="P153" s="12">
        <f>VLOOKUP(Tableau2[[#This Row],[essence]],Tableau5[],5,FALSE)</f>
        <v>0.57940000000000003</v>
      </c>
      <c r="Q153" s="12">
        <f>IF(Tableau2[[#This Row],[priorecol]]="S",1,0)</f>
        <v>0</v>
      </c>
      <c r="R153" s="12">
        <f>VLOOKUP(Tableau2[[#This Row],[essence]],Tableau5[],6,FALSE)</f>
        <v>-0.2109</v>
      </c>
      <c r="S153" s="12">
        <f>VLOOKUP(Tableau2[[#This Row],[essence]],Tableau5[],15,FALSE)</f>
        <v>-0.2429</v>
      </c>
      <c r="T153" s="12">
        <f>VLOOKUP(Tableau2[[#This Row],[essence]],Tableau5[],7,FALSE)</f>
        <v>0</v>
      </c>
      <c r="U153" s="12">
        <f>IF(Tableau2[[#This Row],[sdom]]=1,1,0)</f>
        <v>0</v>
      </c>
      <c r="V153" s="12">
        <f>VLOOKUP(Tableau2[[#This Row],[essence]],Tableau5[],8,FALSE)</f>
        <v>0</v>
      </c>
      <c r="W153" s="12">
        <f>IF(Tableau2[[#This Row],[sdom]]="2EST",1,0)</f>
        <v>0</v>
      </c>
      <c r="X153" s="12">
        <f>VLOOKUP(Tableau2[[#This Row],[essence]],Tableau5[],9,FALSE)</f>
        <v>0</v>
      </c>
      <c r="Y153" s="12">
        <f>IF(Tableau2[[#This Row],[sdom]]="2OUEST",1,0)</f>
        <v>0</v>
      </c>
      <c r="Z153" s="12">
        <f>VLOOKUP(Tableau2[[#This Row],[essence]],Tableau5[],10,FALSE)</f>
        <v>0</v>
      </c>
      <c r="AA153" s="12">
        <f>IF(Tableau2[[#This Row],[sdom]]="3EST",1,0)</f>
        <v>0</v>
      </c>
      <c r="AB153" s="12">
        <f>VLOOKUP(Tableau2[[#This Row],[essence]],Tableau5[],11,FALSE)</f>
        <v>0</v>
      </c>
      <c r="AC153" s="12">
        <f>IF(Tableau2[[#This Row],[sdom]]="3OUEST",1,0)</f>
        <v>0</v>
      </c>
      <c r="AD153" s="12">
        <f>VLOOKUP(Tableau2[[#This Row],[essence]],Tableau5[],12,FALSE)</f>
        <v>0</v>
      </c>
      <c r="AE153" s="12">
        <f>IF(Tableau2[[#This Row],[sdom]]="4EST",1,0)</f>
        <v>0</v>
      </c>
      <c r="AF153" s="12">
        <f>VLOOKUP(Tableau2[[#This Row],[essence]],Tableau5[],13,FALSE)</f>
        <v>0</v>
      </c>
      <c r="AG153" s="12">
        <f>IF(Tableau2[[#This Row],[sdom]]="4OUEST",1,0)</f>
        <v>1</v>
      </c>
      <c r="AH153" s="12">
        <f>VLOOKUP(Tableau2[[#This Row],[essence]],Tableau5[],14,FALSE)</f>
        <v>0</v>
      </c>
      <c r="AI153" s="12">
        <f>IF(Tableau2[[#This Row],[sdom]]="5EST",1,0)</f>
        <v>0</v>
      </c>
      <c r="AJ153" s="12">
        <f>VLOOKUP(Tableau2[[#This Row],[essence]],Tableau5[],16,FALSE)</f>
        <v>0</v>
      </c>
      <c r="AK153" s="12">
        <f>IF(Tableau2[[#This Row],[sdom]]="5OUEST",1,0)</f>
        <v>0</v>
      </c>
      <c r="AL153" s="12">
        <f>VLOOKUP(Tableau2[[#This Row],[essence]],Tableau5[],17,FALSE)</f>
        <v>0</v>
      </c>
      <c r="AM153" s="12">
        <f>IF(Tableau2[[#This Row],[sdom]]="6EST",1,0)</f>
        <v>0</v>
      </c>
      <c r="AN153" s="12">
        <f>VLOOKUP(Tableau2[[#This Row],[essence]],Tableau5[],19,FALSE)</f>
        <v>0</v>
      </c>
      <c r="AO153" s="12">
        <f>IF(Tableau2[[#This Row],[priorecol]]="C",1,0)</f>
        <v>0</v>
      </c>
      <c r="AP153" s="12">
        <f>VLOOKUP(Tableau2[[#This Row],[essence]],Tableau5[],20,FALSE)</f>
        <v>0</v>
      </c>
      <c r="AQ153" s="12">
        <f>IF(Tableau2[[#This Row],[priorecol]]="R",1,0)</f>
        <v>1</v>
      </c>
      <c r="AR153" s="12">
        <f>VLOOKUP(Tableau2[[#This Row],[essence]],Tableau5[],21,FALSE)</f>
        <v>0</v>
      </c>
      <c r="AS153" s="12">
        <f>IF(Tableau2[[#This Row],[priorecol]]="S",1,0)</f>
        <v>0</v>
      </c>
      <c r="AT153" s="12">
        <f>VLOOKUP(Tableau2[[#This Row],[essence]],Tableau5[],22,FALSE)</f>
        <v>1.1384000000000001</v>
      </c>
      <c r="AU153" s="12">
        <f>VLOOKUP(Tableau2[[#This Row],[essence]],Tableau5[],23,FALSE)</f>
        <v>1.0699999999999999E-2</v>
      </c>
      <c r="AV153" s="12">
        <f>VLOOKUP(Tableau2[[#This Row],[essence]],Tableau5[],18,FALSE)</f>
        <v>0</v>
      </c>
      <c r="AW15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4.8044999999999991</v>
      </c>
      <c r="AX153" s="12">
        <f>1/(1+EXP(-Tableau2[[#This Row],[xb_c]]))</f>
        <v>0.99187378007660221</v>
      </c>
      <c r="AY153" s="12" t="str">
        <f t="shared" si="4"/>
        <v>NA</v>
      </c>
      <c r="AZ153" s="12" t="str">
        <f t="shared" si="5"/>
        <v>NA</v>
      </c>
      <c r="BA153" s="12">
        <f>Tableau2[[#This Row],[prob_c]]</f>
        <v>0.99187378007660221</v>
      </c>
      <c r="BB153" s="12">
        <f>1-Tableau2[[#This Row],[prob_c]]</f>
        <v>8.1262199233977928E-3</v>
      </c>
    </row>
    <row r="154" spans="1:54" x14ac:dyDescent="0.25">
      <c r="A154" s="12">
        <v>7</v>
      </c>
      <c r="B154" s="12" t="s">
        <v>15</v>
      </c>
      <c r="C154" s="12">
        <v>2.1</v>
      </c>
      <c r="D154" s="12">
        <v>700</v>
      </c>
      <c r="E154" s="12">
        <v>20</v>
      </c>
      <c r="F154" s="12">
        <v>1</v>
      </c>
      <c r="G154" s="12">
        <v>9</v>
      </c>
      <c r="H154" s="12">
        <v>26</v>
      </c>
      <c r="I154" s="12" t="s">
        <v>21</v>
      </c>
      <c r="J154" s="12" t="s">
        <v>29</v>
      </c>
      <c r="K154" s="12">
        <f>VLOOKUP(Tableau2[[#This Row],[essence]],Tableau5[],2,FALSE)</f>
        <v>5.0801999999999996</v>
      </c>
      <c r="L154" s="12">
        <f>VLOOKUP(Tableau2[[#This Row],[essence]],Tableau5[],3,FALSE)</f>
        <v>1.7765</v>
      </c>
      <c r="M154" s="12">
        <f>IF(Tableau2[[#This Row],[priorecol]]="C",1,0)</f>
        <v>0</v>
      </c>
      <c r="N154" s="12">
        <f>VLOOKUP(Tableau2[[#This Row],[essence]],Tableau5[],4,FALSE)</f>
        <v>3.3664000000000001</v>
      </c>
      <c r="O154" s="12">
        <f>IF(Tableau2[[#This Row],[priorecol]]="R",1,0)</f>
        <v>0</v>
      </c>
      <c r="P154" s="12">
        <f>VLOOKUP(Tableau2[[#This Row],[essence]],Tableau5[],5,FALSE)</f>
        <v>0.57940000000000003</v>
      </c>
      <c r="Q154" s="12">
        <f>IF(Tableau2[[#This Row],[priorecol]]="S",1,0)</f>
        <v>1</v>
      </c>
      <c r="R154" s="12">
        <f>VLOOKUP(Tableau2[[#This Row],[essence]],Tableau5[],6,FALSE)</f>
        <v>-0.2109</v>
      </c>
      <c r="S154" s="12">
        <f>VLOOKUP(Tableau2[[#This Row],[essence]],Tableau5[],15,FALSE)</f>
        <v>-0.2429</v>
      </c>
      <c r="T154" s="12">
        <f>VLOOKUP(Tableau2[[#This Row],[essence]],Tableau5[],7,FALSE)</f>
        <v>0</v>
      </c>
      <c r="U154" s="12">
        <f>IF(Tableau2[[#This Row],[sdom]]=1,1,0)</f>
        <v>0</v>
      </c>
      <c r="V154" s="12">
        <f>VLOOKUP(Tableau2[[#This Row],[essence]],Tableau5[],8,FALSE)</f>
        <v>0</v>
      </c>
      <c r="W154" s="12">
        <f>IF(Tableau2[[#This Row],[sdom]]="2EST",1,0)</f>
        <v>0</v>
      </c>
      <c r="X154" s="12">
        <f>VLOOKUP(Tableau2[[#This Row],[essence]],Tableau5[],9,FALSE)</f>
        <v>0</v>
      </c>
      <c r="Y154" s="12">
        <f>IF(Tableau2[[#This Row],[sdom]]="2OUEST",1,0)</f>
        <v>0</v>
      </c>
      <c r="Z154" s="12">
        <f>VLOOKUP(Tableau2[[#This Row],[essence]],Tableau5[],10,FALSE)</f>
        <v>0</v>
      </c>
      <c r="AA154" s="12">
        <f>IF(Tableau2[[#This Row],[sdom]]="3EST",1,0)</f>
        <v>0</v>
      </c>
      <c r="AB154" s="12">
        <f>VLOOKUP(Tableau2[[#This Row],[essence]],Tableau5[],11,FALSE)</f>
        <v>0</v>
      </c>
      <c r="AC154" s="12">
        <f>IF(Tableau2[[#This Row],[sdom]]="3OUEST",1,0)</f>
        <v>0</v>
      </c>
      <c r="AD154" s="12">
        <f>VLOOKUP(Tableau2[[#This Row],[essence]],Tableau5[],12,FALSE)</f>
        <v>0</v>
      </c>
      <c r="AE154" s="12">
        <f>IF(Tableau2[[#This Row],[sdom]]="4EST",1,0)</f>
        <v>0</v>
      </c>
      <c r="AF154" s="12">
        <f>VLOOKUP(Tableau2[[#This Row],[essence]],Tableau5[],13,FALSE)</f>
        <v>0</v>
      </c>
      <c r="AG154" s="12">
        <f>IF(Tableau2[[#This Row],[sdom]]="4OUEST",1,0)</f>
        <v>1</v>
      </c>
      <c r="AH154" s="12">
        <f>VLOOKUP(Tableau2[[#This Row],[essence]],Tableau5[],14,FALSE)</f>
        <v>0</v>
      </c>
      <c r="AI154" s="12">
        <f>IF(Tableau2[[#This Row],[sdom]]="5EST",1,0)</f>
        <v>0</v>
      </c>
      <c r="AJ154" s="12">
        <f>VLOOKUP(Tableau2[[#This Row],[essence]],Tableau5[],16,FALSE)</f>
        <v>0</v>
      </c>
      <c r="AK154" s="12">
        <f>IF(Tableau2[[#This Row],[sdom]]="5OUEST",1,0)</f>
        <v>0</v>
      </c>
      <c r="AL154" s="12">
        <f>VLOOKUP(Tableau2[[#This Row],[essence]],Tableau5[],17,FALSE)</f>
        <v>0</v>
      </c>
      <c r="AM154" s="12">
        <f>IF(Tableau2[[#This Row],[sdom]]="6EST",1,0)</f>
        <v>0</v>
      </c>
      <c r="AN154" s="12">
        <f>VLOOKUP(Tableau2[[#This Row],[essence]],Tableau5[],19,FALSE)</f>
        <v>0</v>
      </c>
      <c r="AO154" s="12">
        <f>IF(Tableau2[[#This Row],[priorecol]]="C",1,0)</f>
        <v>0</v>
      </c>
      <c r="AP154" s="12">
        <f>VLOOKUP(Tableau2[[#This Row],[essence]],Tableau5[],20,FALSE)</f>
        <v>0</v>
      </c>
      <c r="AQ154" s="12">
        <f>IF(Tableau2[[#This Row],[priorecol]]="R",1,0)</f>
        <v>0</v>
      </c>
      <c r="AR154" s="12">
        <f>VLOOKUP(Tableau2[[#This Row],[essence]],Tableau5[],21,FALSE)</f>
        <v>0</v>
      </c>
      <c r="AS154" s="12">
        <f>IF(Tableau2[[#This Row],[priorecol]]="S",1,0)</f>
        <v>1</v>
      </c>
      <c r="AT154" s="12">
        <f>VLOOKUP(Tableau2[[#This Row],[essence]],Tableau5[],22,FALSE)</f>
        <v>1.1384000000000001</v>
      </c>
      <c r="AU154" s="12">
        <f>VLOOKUP(Tableau2[[#This Row],[essence]],Tableau5[],23,FALSE)</f>
        <v>1.0699999999999999E-2</v>
      </c>
      <c r="AV154" s="12">
        <f>VLOOKUP(Tableau2[[#This Row],[essence]],Tableau5[],18,FALSE)</f>
        <v>0</v>
      </c>
      <c r="AW15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2.0205999999999982</v>
      </c>
      <c r="AX154" s="12">
        <f>1/(1+EXP(-Tableau2[[#This Row],[xb_c]]))</f>
        <v>0.88294303615268699</v>
      </c>
      <c r="AY154" s="12" t="str">
        <f t="shared" si="4"/>
        <v>NA</v>
      </c>
      <c r="AZ154" s="12" t="str">
        <f t="shared" si="5"/>
        <v>NA</v>
      </c>
      <c r="BA154" s="12">
        <f>Tableau2[[#This Row],[prob_c]]</f>
        <v>0.88294303615268699</v>
      </c>
      <c r="BB154" s="12">
        <f>1-Tableau2[[#This Row],[prob_c]]</f>
        <v>0.11705696384731301</v>
      </c>
    </row>
    <row r="155" spans="1:54" x14ac:dyDescent="0.25">
      <c r="A155" s="12">
        <v>7</v>
      </c>
      <c r="B155" s="12" t="s">
        <v>15</v>
      </c>
      <c r="C155" s="12">
        <v>2.1</v>
      </c>
      <c r="D155" s="12">
        <v>700</v>
      </c>
      <c r="E155" s="12">
        <v>20</v>
      </c>
      <c r="F155" s="12">
        <v>1</v>
      </c>
      <c r="G155" s="12">
        <v>10</v>
      </c>
      <c r="H155" s="12">
        <v>27</v>
      </c>
      <c r="I155" s="12" t="s">
        <v>22</v>
      </c>
      <c r="J155" s="12" t="s">
        <v>27</v>
      </c>
      <c r="K155" s="12">
        <f>VLOOKUP(Tableau2[[#This Row],[essence]],Tableau5[],2,FALSE)</f>
        <v>-0.54949999999999999</v>
      </c>
      <c r="L155" s="12">
        <f>VLOOKUP(Tableau2[[#This Row],[essence]],Tableau5[],3,FALSE)</f>
        <v>-0.14960000000000001</v>
      </c>
      <c r="M155" s="12">
        <f>IF(Tableau2[[#This Row],[priorecol]]="C",1,0)</f>
        <v>1</v>
      </c>
      <c r="N155" s="12">
        <f>VLOOKUP(Tableau2[[#This Row],[essence]],Tableau5[],4,FALSE)</f>
        <v>1.6746000000000001</v>
      </c>
      <c r="O155" s="12">
        <f>IF(Tableau2[[#This Row],[priorecol]]="R",1,0)</f>
        <v>0</v>
      </c>
      <c r="P155" s="12">
        <f>VLOOKUP(Tableau2[[#This Row],[essence]],Tableau5[],5,FALSE)</f>
        <v>0.65110000000000001</v>
      </c>
      <c r="Q155" s="12">
        <f>IF(Tableau2[[#This Row],[priorecol]]="S",1,0)</f>
        <v>0</v>
      </c>
      <c r="R155" s="12">
        <f>VLOOKUP(Tableau2[[#This Row],[essence]],Tableau5[],6,FALSE)</f>
        <v>-3.0599999999999999E-2</v>
      </c>
      <c r="S155" s="12">
        <f>VLOOKUP(Tableau2[[#This Row],[essence]],Tableau5[],15,FALSE)</f>
        <v>-3.8399999999999997E-2</v>
      </c>
      <c r="T155" s="12">
        <f>VLOOKUP(Tableau2[[#This Row],[essence]],Tableau5[],7,FALSE)</f>
        <v>1.2454000000000001</v>
      </c>
      <c r="U155" s="12">
        <f>IF(Tableau2[[#This Row],[sdom]]=1,1,0)</f>
        <v>0</v>
      </c>
      <c r="V155" s="12">
        <f>VLOOKUP(Tableau2[[#This Row],[essence]],Tableau5[],8,FALSE)</f>
        <v>0.85550000000000004</v>
      </c>
      <c r="W155" s="12">
        <f>IF(Tableau2[[#This Row],[sdom]]="2EST",1,0)</f>
        <v>0</v>
      </c>
      <c r="X155" s="12">
        <f>VLOOKUP(Tableau2[[#This Row],[essence]],Tableau5[],9,FALSE)</f>
        <v>1.2195</v>
      </c>
      <c r="Y155" s="12">
        <f>IF(Tableau2[[#This Row],[sdom]]="2OUEST",1,0)</f>
        <v>0</v>
      </c>
      <c r="Z155" s="12">
        <f>VLOOKUP(Tableau2[[#This Row],[essence]],Tableau5[],10,FALSE)</f>
        <v>0.94630000000000003</v>
      </c>
      <c r="AA155" s="12">
        <f>IF(Tableau2[[#This Row],[sdom]]="3EST",1,0)</f>
        <v>0</v>
      </c>
      <c r="AB155" s="12">
        <f>VLOOKUP(Tableau2[[#This Row],[essence]],Tableau5[],11,FALSE)</f>
        <v>0.64859999999999995</v>
      </c>
      <c r="AC155" s="12">
        <f>IF(Tableau2[[#This Row],[sdom]]="3OUEST",1,0)</f>
        <v>0</v>
      </c>
      <c r="AD155" s="12">
        <f>VLOOKUP(Tableau2[[#This Row],[essence]],Tableau5[],12,FALSE)</f>
        <v>0.91920000000000002</v>
      </c>
      <c r="AE155" s="12">
        <f>IF(Tableau2[[#This Row],[sdom]]="4EST",1,0)</f>
        <v>0</v>
      </c>
      <c r="AF155" s="12">
        <f>VLOOKUP(Tableau2[[#This Row],[essence]],Tableau5[],13,FALSE)</f>
        <v>0.67230000000000001</v>
      </c>
      <c r="AG155" s="12">
        <f>IF(Tableau2[[#This Row],[sdom]]="4OUEST",1,0)</f>
        <v>1</v>
      </c>
      <c r="AH155" s="12">
        <f>VLOOKUP(Tableau2[[#This Row],[essence]],Tableau5[],14,FALSE)</f>
        <v>0.43309999999999998</v>
      </c>
      <c r="AI155" s="12">
        <f>IF(Tableau2[[#This Row],[sdom]]="5EST",1,0)</f>
        <v>0</v>
      </c>
      <c r="AJ155" s="12">
        <f>VLOOKUP(Tableau2[[#This Row],[essence]],Tableau5[],16,FALSE)</f>
        <v>0</v>
      </c>
      <c r="AK155" s="12">
        <f>IF(Tableau2[[#This Row],[sdom]]="5OUEST",1,0)</f>
        <v>0</v>
      </c>
      <c r="AL155" s="12">
        <f>VLOOKUP(Tableau2[[#This Row],[essence]],Tableau5[],17,FALSE)</f>
        <v>0</v>
      </c>
      <c r="AM155" s="12">
        <f>IF(Tableau2[[#This Row],[sdom]]="6EST",1,0)</f>
        <v>0</v>
      </c>
      <c r="AN155" s="12">
        <f>VLOOKUP(Tableau2[[#This Row],[essence]],Tableau5[],19,FALSE)</f>
        <v>6.6900000000000001E-2</v>
      </c>
      <c r="AO155" s="12">
        <f>IF(Tableau2[[#This Row],[priorecol]]="C",1,0)</f>
        <v>1</v>
      </c>
      <c r="AP155" s="12">
        <f>VLOOKUP(Tableau2[[#This Row],[essence]],Tableau5[],20,FALSE)</f>
        <v>4.3799999999999999E-2</v>
      </c>
      <c r="AQ155" s="12">
        <f>IF(Tableau2[[#This Row],[priorecol]]="R",1,0)</f>
        <v>0</v>
      </c>
      <c r="AR155" s="12">
        <f>VLOOKUP(Tableau2[[#This Row],[essence]],Tableau5[],21,FALSE)</f>
        <v>2.7900000000000001E-2</v>
      </c>
      <c r="AS155" s="12">
        <f>IF(Tableau2[[#This Row],[priorecol]]="S",1,0)</f>
        <v>0</v>
      </c>
      <c r="AT155" s="12">
        <f>VLOOKUP(Tableau2[[#This Row],[essence]],Tableau5[],22,FALSE)</f>
        <v>0</v>
      </c>
      <c r="AU155" s="12">
        <f>VLOOKUP(Tableau2[[#This Row],[essence]],Tableau5[],23,FALSE)</f>
        <v>1.73E-3</v>
      </c>
      <c r="AV155" s="12">
        <f>VLOOKUP(Tableau2[[#This Row],[essence]],Tableau5[],18,FALSE)</f>
        <v>0.1295</v>
      </c>
      <c r="AW15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1.3914499999999999</v>
      </c>
      <c r="AX155" s="12">
        <f>1/(1+EXP(-Tableau2[[#This Row],[xb_c]]))</f>
        <v>0.80082362650020134</v>
      </c>
      <c r="AY155" s="12" t="str">
        <f t="shared" si="4"/>
        <v>NA</v>
      </c>
      <c r="AZ155" s="12" t="str">
        <f t="shared" si="5"/>
        <v>NA</v>
      </c>
      <c r="BA155" s="12">
        <f>Tableau2[[#This Row],[prob_c]]</f>
        <v>0.80082362650020134</v>
      </c>
      <c r="BB155" s="12">
        <f>1-Tableau2[[#This Row],[prob_c]]</f>
        <v>0.19917637349979866</v>
      </c>
    </row>
    <row r="156" spans="1:54" x14ac:dyDescent="0.25">
      <c r="A156" s="12">
        <v>7</v>
      </c>
      <c r="B156" s="12" t="s">
        <v>15</v>
      </c>
      <c r="C156" s="12">
        <v>2.1</v>
      </c>
      <c r="D156" s="12">
        <v>700</v>
      </c>
      <c r="E156" s="12">
        <v>20</v>
      </c>
      <c r="F156" s="12">
        <v>1</v>
      </c>
      <c r="G156" s="12">
        <v>11</v>
      </c>
      <c r="H156" s="12">
        <v>28</v>
      </c>
      <c r="I156" s="12" t="s">
        <v>22</v>
      </c>
      <c r="J156" s="12" t="s">
        <v>28</v>
      </c>
      <c r="K156" s="12">
        <f>VLOOKUP(Tableau2[[#This Row],[essence]],Tableau5[],2,FALSE)</f>
        <v>-0.54949999999999999</v>
      </c>
      <c r="L156" s="12">
        <f>VLOOKUP(Tableau2[[#This Row],[essence]],Tableau5[],3,FALSE)</f>
        <v>-0.14960000000000001</v>
      </c>
      <c r="M156" s="12">
        <f>IF(Tableau2[[#This Row],[priorecol]]="C",1,0)</f>
        <v>0</v>
      </c>
      <c r="N156" s="12">
        <f>VLOOKUP(Tableau2[[#This Row],[essence]],Tableau5[],4,FALSE)</f>
        <v>1.6746000000000001</v>
      </c>
      <c r="O156" s="12">
        <f>IF(Tableau2[[#This Row],[priorecol]]="R",1,0)</f>
        <v>1</v>
      </c>
      <c r="P156" s="12">
        <f>VLOOKUP(Tableau2[[#This Row],[essence]],Tableau5[],5,FALSE)</f>
        <v>0.65110000000000001</v>
      </c>
      <c r="Q156" s="12">
        <f>IF(Tableau2[[#This Row],[priorecol]]="S",1,0)</f>
        <v>0</v>
      </c>
      <c r="R156" s="12">
        <f>VLOOKUP(Tableau2[[#This Row],[essence]],Tableau5[],6,FALSE)</f>
        <v>-3.0599999999999999E-2</v>
      </c>
      <c r="S156" s="12">
        <f>VLOOKUP(Tableau2[[#This Row],[essence]],Tableau5[],15,FALSE)</f>
        <v>-3.8399999999999997E-2</v>
      </c>
      <c r="T156" s="12">
        <f>VLOOKUP(Tableau2[[#This Row],[essence]],Tableau5[],7,FALSE)</f>
        <v>1.2454000000000001</v>
      </c>
      <c r="U156" s="12">
        <f>IF(Tableau2[[#This Row],[sdom]]=1,1,0)</f>
        <v>0</v>
      </c>
      <c r="V156" s="12">
        <f>VLOOKUP(Tableau2[[#This Row],[essence]],Tableau5[],8,FALSE)</f>
        <v>0.85550000000000004</v>
      </c>
      <c r="W156" s="12">
        <f>IF(Tableau2[[#This Row],[sdom]]="2EST",1,0)</f>
        <v>0</v>
      </c>
      <c r="X156" s="12">
        <f>VLOOKUP(Tableau2[[#This Row],[essence]],Tableau5[],9,FALSE)</f>
        <v>1.2195</v>
      </c>
      <c r="Y156" s="12">
        <f>IF(Tableau2[[#This Row],[sdom]]="2OUEST",1,0)</f>
        <v>0</v>
      </c>
      <c r="Z156" s="12">
        <f>VLOOKUP(Tableau2[[#This Row],[essence]],Tableau5[],10,FALSE)</f>
        <v>0.94630000000000003</v>
      </c>
      <c r="AA156" s="12">
        <f>IF(Tableau2[[#This Row],[sdom]]="3EST",1,0)</f>
        <v>0</v>
      </c>
      <c r="AB156" s="12">
        <f>VLOOKUP(Tableau2[[#This Row],[essence]],Tableau5[],11,FALSE)</f>
        <v>0.64859999999999995</v>
      </c>
      <c r="AC156" s="12">
        <f>IF(Tableau2[[#This Row],[sdom]]="3OUEST",1,0)</f>
        <v>0</v>
      </c>
      <c r="AD156" s="12">
        <f>VLOOKUP(Tableau2[[#This Row],[essence]],Tableau5[],12,FALSE)</f>
        <v>0.91920000000000002</v>
      </c>
      <c r="AE156" s="12">
        <f>IF(Tableau2[[#This Row],[sdom]]="4EST",1,0)</f>
        <v>0</v>
      </c>
      <c r="AF156" s="12">
        <f>VLOOKUP(Tableau2[[#This Row],[essence]],Tableau5[],13,FALSE)</f>
        <v>0.67230000000000001</v>
      </c>
      <c r="AG156" s="12">
        <f>IF(Tableau2[[#This Row],[sdom]]="4OUEST",1,0)</f>
        <v>1</v>
      </c>
      <c r="AH156" s="12">
        <f>VLOOKUP(Tableau2[[#This Row],[essence]],Tableau5[],14,FALSE)</f>
        <v>0.43309999999999998</v>
      </c>
      <c r="AI156" s="12">
        <f>IF(Tableau2[[#This Row],[sdom]]="5EST",1,0)</f>
        <v>0</v>
      </c>
      <c r="AJ156" s="12">
        <f>VLOOKUP(Tableau2[[#This Row],[essence]],Tableau5[],16,FALSE)</f>
        <v>0</v>
      </c>
      <c r="AK156" s="12">
        <f>IF(Tableau2[[#This Row],[sdom]]="5OUEST",1,0)</f>
        <v>0</v>
      </c>
      <c r="AL156" s="12">
        <f>VLOOKUP(Tableau2[[#This Row],[essence]],Tableau5[],17,FALSE)</f>
        <v>0</v>
      </c>
      <c r="AM156" s="12">
        <f>IF(Tableau2[[#This Row],[sdom]]="6EST",1,0)</f>
        <v>0</v>
      </c>
      <c r="AN156" s="12">
        <f>VLOOKUP(Tableau2[[#This Row],[essence]],Tableau5[],19,FALSE)</f>
        <v>6.6900000000000001E-2</v>
      </c>
      <c r="AO156" s="12">
        <f>IF(Tableau2[[#This Row],[priorecol]]="C",1,0)</f>
        <v>0</v>
      </c>
      <c r="AP156" s="12">
        <f>VLOOKUP(Tableau2[[#This Row],[essence]],Tableau5[],20,FALSE)</f>
        <v>4.3799999999999999E-2</v>
      </c>
      <c r="AQ156" s="12">
        <f>IF(Tableau2[[#This Row],[priorecol]]="R",1,0)</f>
        <v>1</v>
      </c>
      <c r="AR156" s="12">
        <f>VLOOKUP(Tableau2[[#This Row],[essence]],Tableau5[],21,FALSE)</f>
        <v>2.7900000000000001E-2</v>
      </c>
      <c r="AS156" s="12">
        <f>IF(Tableau2[[#This Row],[priorecol]]="S",1,0)</f>
        <v>0</v>
      </c>
      <c r="AT156" s="12">
        <f>VLOOKUP(Tableau2[[#This Row],[essence]],Tableau5[],22,FALSE)</f>
        <v>0</v>
      </c>
      <c r="AU156" s="12">
        <f>VLOOKUP(Tableau2[[#This Row],[essence]],Tableau5[],23,FALSE)</f>
        <v>1.73E-3</v>
      </c>
      <c r="AV156" s="12">
        <f>VLOOKUP(Tableau2[[#This Row],[essence]],Tableau5[],18,FALSE)</f>
        <v>0.1295</v>
      </c>
      <c r="AW15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2.6397500000000003</v>
      </c>
      <c r="AX156" s="12">
        <f>1/(1+EXP(-Tableau2[[#This Row],[xb_c]]))</f>
        <v>0.93337641988947817</v>
      </c>
      <c r="AY156" s="12" t="str">
        <f t="shared" si="4"/>
        <v>NA</v>
      </c>
      <c r="AZ156" s="12" t="str">
        <f t="shared" si="5"/>
        <v>NA</v>
      </c>
      <c r="BA156" s="12">
        <f>Tableau2[[#This Row],[prob_c]]</f>
        <v>0.93337641988947817</v>
      </c>
      <c r="BB156" s="12">
        <f>1-Tableau2[[#This Row],[prob_c]]</f>
        <v>6.6623580110521829E-2</v>
      </c>
    </row>
    <row r="157" spans="1:54" x14ac:dyDescent="0.25">
      <c r="A157" s="12">
        <v>7</v>
      </c>
      <c r="B157" s="12" t="s">
        <v>15</v>
      </c>
      <c r="C157" s="12">
        <v>2.1</v>
      </c>
      <c r="D157" s="12">
        <v>700</v>
      </c>
      <c r="E157" s="12">
        <v>20</v>
      </c>
      <c r="F157" s="12">
        <v>1</v>
      </c>
      <c r="G157" s="12">
        <v>12</v>
      </c>
      <c r="H157" s="12">
        <v>29</v>
      </c>
      <c r="I157" s="12" t="s">
        <v>22</v>
      </c>
      <c r="J157" s="12" t="s">
        <v>29</v>
      </c>
      <c r="K157" s="12">
        <f>VLOOKUP(Tableau2[[#This Row],[essence]],Tableau5[],2,FALSE)</f>
        <v>-0.54949999999999999</v>
      </c>
      <c r="L157" s="12">
        <f>VLOOKUP(Tableau2[[#This Row],[essence]],Tableau5[],3,FALSE)</f>
        <v>-0.14960000000000001</v>
      </c>
      <c r="M157" s="12">
        <f>IF(Tableau2[[#This Row],[priorecol]]="C",1,0)</f>
        <v>0</v>
      </c>
      <c r="N157" s="12">
        <f>VLOOKUP(Tableau2[[#This Row],[essence]],Tableau5[],4,FALSE)</f>
        <v>1.6746000000000001</v>
      </c>
      <c r="O157" s="12">
        <f>IF(Tableau2[[#This Row],[priorecol]]="R",1,0)</f>
        <v>0</v>
      </c>
      <c r="P157" s="12">
        <f>VLOOKUP(Tableau2[[#This Row],[essence]],Tableau5[],5,FALSE)</f>
        <v>0.65110000000000001</v>
      </c>
      <c r="Q157" s="12">
        <f>IF(Tableau2[[#This Row],[priorecol]]="S",1,0)</f>
        <v>1</v>
      </c>
      <c r="R157" s="12">
        <f>VLOOKUP(Tableau2[[#This Row],[essence]],Tableau5[],6,FALSE)</f>
        <v>-3.0599999999999999E-2</v>
      </c>
      <c r="S157" s="12">
        <f>VLOOKUP(Tableau2[[#This Row],[essence]],Tableau5[],15,FALSE)</f>
        <v>-3.8399999999999997E-2</v>
      </c>
      <c r="T157" s="12">
        <f>VLOOKUP(Tableau2[[#This Row],[essence]],Tableau5[],7,FALSE)</f>
        <v>1.2454000000000001</v>
      </c>
      <c r="U157" s="12">
        <f>IF(Tableau2[[#This Row],[sdom]]=1,1,0)</f>
        <v>0</v>
      </c>
      <c r="V157" s="12">
        <f>VLOOKUP(Tableau2[[#This Row],[essence]],Tableau5[],8,FALSE)</f>
        <v>0.85550000000000004</v>
      </c>
      <c r="W157" s="12">
        <f>IF(Tableau2[[#This Row],[sdom]]="2EST",1,0)</f>
        <v>0</v>
      </c>
      <c r="X157" s="12">
        <f>VLOOKUP(Tableau2[[#This Row],[essence]],Tableau5[],9,FALSE)</f>
        <v>1.2195</v>
      </c>
      <c r="Y157" s="12">
        <f>IF(Tableau2[[#This Row],[sdom]]="2OUEST",1,0)</f>
        <v>0</v>
      </c>
      <c r="Z157" s="12">
        <f>VLOOKUP(Tableau2[[#This Row],[essence]],Tableau5[],10,FALSE)</f>
        <v>0.94630000000000003</v>
      </c>
      <c r="AA157" s="12">
        <f>IF(Tableau2[[#This Row],[sdom]]="3EST",1,0)</f>
        <v>0</v>
      </c>
      <c r="AB157" s="12">
        <f>VLOOKUP(Tableau2[[#This Row],[essence]],Tableau5[],11,FALSE)</f>
        <v>0.64859999999999995</v>
      </c>
      <c r="AC157" s="12">
        <f>IF(Tableau2[[#This Row],[sdom]]="3OUEST",1,0)</f>
        <v>0</v>
      </c>
      <c r="AD157" s="12">
        <f>VLOOKUP(Tableau2[[#This Row],[essence]],Tableau5[],12,FALSE)</f>
        <v>0.91920000000000002</v>
      </c>
      <c r="AE157" s="12">
        <f>IF(Tableau2[[#This Row],[sdom]]="4EST",1,0)</f>
        <v>0</v>
      </c>
      <c r="AF157" s="12">
        <f>VLOOKUP(Tableau2[[#This Row],[essence]],Tableau5[],13,FALSE)</f>
        <v>0.67230000000000001</v>
      </c>
      <c r="AG157" s="12">
        <f>IF(Tableau2[[#This Row],[sdom]]="4OUEST",1,0)</f>
        <v>1</v>
      </c>
      <c r="AH157" s="12">
        <f>VLOOKUP(Tableau2[[#This Row],[essence]],Tableau5[],14,FALSE)</f>
        <v>0.43309999999999998</v>
      </c>
      <c r="AI157" s="12">
        <f>IF(Tableau2[[#This Row],[sdom]]="5EST",1,0)</f>
        <v>0</v>
      </c>
      <c r="AJ157" s="12">
        <f>VLOOKUP(Tableau2[[#This Row],[essence]],Tableau5[],16,FALSE)</f>
        <v>0</v>
      </c>
      <c r="AK157" s="12">
        <f>IF(Tableau2[[#This Row],[sdom]]="5OUEST",1,0)</f>
        <v>0</v>
      </c>
      <c r="AL157" s="12">
        <f>VLOOKUP(Tableau2[[#This Row],[essence]],Tableau5[],17,FALSE)</f>
        <v>0</v>
      </c>
      <c r="AM157" s="12">
        <f>IF(Tableau2[[#This Row],[sdom]]="6EST",1,0)</f>
        <v>0</v>
      </c>
      <c r="AN157" s="12">
        <f>VLOOKUP(Tableau2[[#This Row],[essence]],Tableau5[],19,FALSE)</f>
        <v>6.6900000000000001E-2</v>
      </c>
      <c r="AO157" s="12">
        <f>IF(Tableau2[[#This Row],[priorecol]]="C",1,0)</f>
        <v>0</v>
      </c>
      <c r="AP157" s="12">
        <f>VLOOKUP(Tableau2[[#This Row],[essence]],Tableau5[],20,FALSE)</f>
        <v>4.3799999999999999E-2</v>
      </c>
      <c r="AQ157" s="12">
        <f>IF(Tableau2[[#This Row],[priorecol]]="R",1,0)</f>
        <v>0</v>
      </c>
      <c r="AR157" s="12">
        <f>VLOOKUP(Tableau2[[#This Row],[essence]],Tableau5[],21,FALSE)</f>
        <v>2.7900000000000001E-2</v>
      </c>
      <c r="AS157" s="12">
        <f>IF(Tableau2[[#This Row],[priorecol]]="S",1,0)</f>
        <v>1</v>
      </c>
      <c r="AT157" s="12">
        <f>VLOOKUP(Tableau2[[#This Row],[essence]],Tableau5[],22,FALSE)</f>
        <v>0</v>
      </c>
      <c r="AU157" s="12">
        <f>VLOOKUP(Tableau2[[#This Row],[essence]],Tableau5[],23,FALSE)</f>
        <v>1.73E-3</v>
      </c>
      <c r="AV157" s="12">
        <f>VLOOKUP(Tableau2[[#This Row],[essence]],Tableau5[],18,FALSE)</f>
        <v>0.1295</v>
      </c>
      <c r="AW15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1.2029500000000004</v>
      </c>
      <c r="AX157" s="12">
        <f>1/(1+EXP(-Tableau2[[#This Row],[xb_c]]))</f>
        <v>0.76904915633769244</v>
      </c>
      <c r="AY157" s="12" t="str">
        <f t="shared" si="4"/>
        <v>NA</v>
      </c>
      <c r="AZ157" s="12" t="str">
        <f t="shared" si="5"/>
        <v>NA</v>
      </c>
      <c r="BA157" s="12">
        <f>Tableau2[[#This Row],[prob_c]]</f>
        <v>0.76904915633769244</v>
      </c>
      <c r="BB157" s="12">
        <f>1-Tableau2[[#This Row],[prob_c]]</f>
        <v>0.23095084366230756</v>
      </c>
    </row>
    <row r="158" spans="1:54" x14ac:dyDescent="0.25">
      <c r="A158" s="12">
        <v>7</v>
      </c>
      <c r="B158" s="12" t="s">
        <v>15</v>
      </c>
      <c r="C158" s="12">
        <v>2.1</v>
      </c>
      <c r="D158" s="12">
        <v>700</v>
      </c>
      <c r="E158" s="12">
        <v>20</v>
      </c>
      <c r="F158" s="12">
        <v>1</v>
      </c>
      <c r="G158" s="12">
        <v>13</v>
      </c>
      <c r="H158" s="12">
        <v>30</v>
      </c>
      <c r="I158" s="12" t="s">
        <v>23</v>
      </c>
      <c r="J158" s="12" t="s">
        <v>27</v>
      </c>
      <c r="K158" s="12">
        <f>VLOOKUP(Tableau2[[#This Row],[essence]],Tableau5[],2,FALSE)</f>
        <v>-1.5804</v>
      </c>
      <c r="L158" s="12">
        <f>VLOOKUP(Tableau2[[#This Row],[essence]],Tableau5[],3,FALSE)</f>
        <v>0.70079999999999998</v>
      </c>
      <c r="M158" s="12">
        <f>IF(Tableau2[[#This Row],[priorecol]]="C",1,0)</f>
        <v>1</v>
      </c>
      <c r="N158" s="12">
        <f>VLOOKUP(Tableau2[[#This Row],[essence]],Tableau5[],4,FALSE)</f>
        <v>0.1178</v>
      </c>
      <c r="O158" s="12">
        <f>IF(Tableau2[[#This Row],[priorecol]]="R",1,0)</f>
        <v>0</v>
      </c>
      <c r="P158" s="12">
        <f>VLOOKUP(Tableau2[[#This Row],[essence]],Tableau5[],5,FALSE)</f>
        <v>0.88300000000000001</v>
      </c>
      <c r="Q158" s="12">
        <f>IF(Tableau2[[#This Row],[priorecol]]="S",1,0)</f>
        <v>0</v>
      </c>
      <c r="R158" s="12">
        <f>VLOOKUP(Tableau2[[#This Row],[essence]],Tableau5[],6,FALSE)</f>
        <v>4.8599999999999997E-2</v>
      </c>
      <c r="S158" s="12">
        <f>VLOOKUP(Tableau2[[#This Row],[essence]],Tableau5[],15,FALSE)</f>
        <v>0</v>
      </c>
      <c r="T158" s="12">
        <f>VLOOKUP(Tableau2[[#This Row],[essence]],Tableau5[],7,FALSE)</f>
        <v>1.111</v>
      </c>
      <c r="U158" s="12">
        <f>IF(Tableau2[[#This Row],[sdom]]=1,1,0)</f>
        <v>0</v>
      </c>
      <c r="V158" s="12">
        <f>VLOOKUP(Tableau2[[#This Row],[essence]],Tableau5[],8,FALSE)</f>
        <v>0.68489999999999995</v>
      </c>
      <c r="W158" s="12">
        <f>IF(Tableau2[[#This Row],[sdom]]="2EST",1,0)</f>
        <v>0</v>
      </c>
      <c r="X158" s="12">
        <f>VLOOKUP(Tableau2[[#This Row],[essence]],Tableau5[],9,FALSE)</f>
        <v>0.72130000000000005</v>
      </c>
      <c r="Y158" s="12">
        <f>IF(Tableau2[[#This Row],[sdom]]="2OUEST",1,0)</f>
        <v>0</v>
      </c>
      <c r="Z158" s="12">
        <f>VLOOKUP(Tableau2[[#This Row],[essence]],Tableau5[],10,FALSE)</f>
        <v>0.83930000000000005</v>
      </c>
      <c r="AA158" s="12">
        <f>IF(Tableau2[[#This Row],[sdom]]="3EST",1,0)</f>
        <v>0</v>
      </c>
      <c r="AB158" s="12">
        <f>VLOOKUP(Tableau2[[#This Row],[essence]],Tableau5[],11,FALSE)</f>
        <v>0.6865</v>
      </c>
      <c r="AC158" s="12">
        <f>IF(Tableau2[[#This Row],[sdom]]="3OUEST",1,0)</f>
        <v>0</v>
      </c>
      <c r="AD158" s="12">
        <f>VLOOKUP(Tableau2[[#This Row],[essence]],Tableau5[],12,FALSE)</f>
        <v>0.79569999999999996</v>
      </c>
      <c r="AE158" s="12">
        <f>IF(Tableau2[[#This Row],[sdom]]="4EST",1,0)</f>
        <v>0</v>
      </c>
      <c r="AF158" s="12">
        <f>VLOOKUP(Tableau2[[#This Row],[essence]],Tableau5[],13,FALSE)</f>
        <v>0.54700000000000004</v>
      </c>
      <c r="AG158" s="12">
        <f>IF(Tableau2[[#This Row],[sdom]]="4OUEST",1,0)</f>
        <v>1</v>
      </c>
      <c r="AH158" s="12">
        <f>VLOOKUP(Tableau2[[#This Row],[essence]],Tableau5[],14,FALSE)</f>
        <v>0</v>
      </c>
      <c r="AI158" s="12">
        <f>IF(Tableau2[[#This Row],[sdom]]="5EST",1,0)</f>
        <v>0</v>
      </c>
      <c r="AJ158" s="12">
        <f>VLOOKUP(Tableau2[[#This Row],[essence]],Tableau5[],16,FALSE)</f>
        <v>0</v>
      </c>
      <c r="AK158" s="12">
        <f>IF(Tableau2[[#This Row],[sdom]]="5OUEST",1,0)</f>
        <v>0</v>
      </c>
      <c r="AL158" s="12">
        <f>VLOOKUP(Tableau2[[#This Row],[essence]],Tableau5[],17,FALSE)</f>
        <v>0</v>
      </c>
      <c r="AM158" s="12">
        <f>IF(Tableau2[[#This Row],[sdom]]="6EST",1,0)</f>
        <v>0</v>
      </c>
      <c r="AN158" s="12">
        <f>VLOOKUP(Tableau2[[#This Row],[essence]],Tableau5[],19,FALSE)</f>
        <v>4.2000000000000003E-2</v>
      </c>
      <c r="AO158" s="12">
        <f>IF(Tableau2[[#This Row],[priorecol]]="C",1,0)</f>
        <v>1</v>
      </c>
      <c r="AP158" s="12">
        <f>VLOOKUP(Tableau2[[#This Row],[essence]],Tableau5[],20,FALSE)</f>
        <v>0.111</v>
      </c>
      <c r="AQ158" s="12">
        <f>IF(Tableau2[[#This Row],[priorecol]]="R",1,0)</f>
        <v>0</v>
      </c>
      <c r="AR158" s="12">
        <f>VLOOKUP(Tableau2[[#This Row],[essence]],Tableau5[],21,FALSE)</f>
        <v>4.3600000000000002E-3</v>
      </c>
      <c r="AS158" s="12">
        <f>IF(Tableau2[[#This Row],[priorecol]]="S",1,0)</f>
        <v>0</v>
      </c>
      <c r="AT158" s="12">
        <f>VLOOKUP(Tableau2[[#This Row],[essence]],Tableau5[],22,FALSE)</f>
        <v>0</v>
      </c>
      <c r="AU158" s="12">
        <f>VLOOKUP(Tableau2[[#This Row],[essence]],Tableau5[],23,FALSE)</f>
        <v>0</v>
      </c>
      <c r="AV158" s="12">
        <f>VLOOKUP(Tableau2[[#This Row],[essence]],Tableau5[],18,FALSE)</f>
        <v>0</v>
      </c>
      <c r="AW15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2.3853999999999997</v>
      </c>
      <c r="AX158" s="12">
        <f>1/(1+EXP(-Tableau2[[#This Row],[xb_c]]))</f>
        <v>0.91570718372791249</v>
      </c>
      <c r="AY158" s="12" t="str">
        <f t="shared" si="4"/>
        <v>NA</v>
      </c>
      <c r="AZ158" s="12" t="str">
        <f t="shared" si="5"/>
        <v>NA</v>
      </c>
      <c r="BA158" s="12">
        <f>Tableau2[[#This Row],[prob_c]]</f>
        <v>0.91570718372791249</v>
      </c>
      <c r="BB158" s="12">
        <f>1-Tableau2[[#This Row],[prob_c]]</f>
        <v>8.4292816272087512E-2</v>
      </c>
    </row>
    <row r="159" spans="1:54" x14ac:dyDescent="0.25">
      <c r="A159" s="12">
        <v>7</v>
      </c>
      <c r="B159" s="12" t="s">
        <v>15</v>
      </c>
      <c r="C159" s="12">
        <v>2.1</v>
      </c>
      <c r="D159" s="12">
        <v>700</v>
      </c>
      <c r="E159" s="12">
        <v>20</v>
      </c>
      <c r="F159" s="12">
        <v>1</v>
      </c>
      <c r="G159" s="12">
        <v>14</v>
      </c>
      <c r="H159" s="12">
        <v>31</v>
      </c>
      <c r="I159" s="12" t="s">
        <v>23</v>
      </c>
      <c r="J159" s="12" t="s">
        <v>28</v>
      </c>
      <c r="K159" s="12">
        <f>VLOOKUP(Tableau2[[#This Row],[essence]],Tableau5[],2,FALSE)</f>
        <v>-1.5804</v>
      </c>
      <c r="L159" s="12">
        <f>VLOOKUP(Tableau2[[#This Row],[essence]],Tableau5[],3,FALSE)</f>
        <v>0.70079999999999998</v>
      </c>
      <c r="M159" s="12">
        <f>IF(Tableau2[[#This Row],[priorecol]]="C",1,0)</f>
        <v>0</v>
      </c>
      <c r="N159" s="12">
        <f>VLOOKUP(Tableau2[[#This Row],[essence]],Tableau5[],4,FALSE)</f>
        <v>0.1178</v>
      </c>
      <c r="O159" s="12">
        <f>IF(Tableau2[[#This Row],[priorecol]]="R",1,0)</f>
        <v>1</v>
      </c>
      <c r="P159" s="12">
        <f>VLOOKUP(Tableau2[[#This Row],[essence]],Tableau5[],5,FALSE)</f>
        <v>0.88300000000000001</v>
      </c>
      <c r="Q159" s="12">
        <f>IF(Tableau2[[#This Row],[priorecol]]="S",1,0)</f>
        <v>0</v>
      </c>
      <c r="R159" s="12">
        <f>VLOOKUP(Tableau2[[#This Row],[essence]],Tableau5[],6,FALSE)</f>
        <v>4.8599999999999997E-2</v>
      </c>
      <c r="S159" s="12">
        <f>VLOOKUP(Tableau2[[#This Row],[essence]],Tableau5[],15,FALSE)</f>
        <v>0</v>
      </c>
      <c r="T159" s="12">
        <f>VLOOKUP(Tableau2[[#This Row],[essence]],Tableau5[],7,FALSE)</f>
        <v>1.111</v>
      </c>
      <c r="U159" s="12">
        <f>IF(Tableau2[[#This Row],[sdom]]=1,1,0)</f>
        <v>0</v>
      </c>
      <c r="V159" s="12">
        <f>VLOOKUP(Tableau2[[#This Row],[essence]],Tableau5[],8,FALSE)</f>
        <v>0.68489999999999995</v>
      </c>
      <c r="W159" s="12">
        <f>IF(Tableau2[[#This Row],[sdom]]="2EST",1,0)</f>
        <v>0</v>
      </c>
      <c r="X159" s="12">
        <f>VLOOKUP(Tableau2[[#This Row],[essence]],Tableau5[],9,FALSE)</f>
        <v>0.72130000000000005</v>
      </c>
      <c r="Y159" s="12">
        <f>IF(Tableau2[[#This Row],[sdom]]="2OUEST",1,0)</f>
        <v>0</v>
      </c>
      <c r="Z159" s="12">
        <f>VLOOKUP(Tableau2[[#This Row],[essence]],Tableau5[],10,FALSE)</f>
        <v>0.83930000000000005</v>
      </c>
      <c r="AA159" s="12">
        <f>IF(Tableau2[[#This Row],[sdom]]="3EST",1,0)</f>
        <v>0</v>
      </c>
      <c r="AB159" s="12">
        <f>VLOOKUP(Tableau2[[#This Row],[essence]],Tableau5[],11,FALSE)</f>
        <v>0.6865</v>
      </c>
      <c r="AC159" s="12">
        <f>IF(Tableau2[[#This Row],[sdom]]="3OUEST",1,0)</f>
        <v>0</v>
      </c>
      <c r="AD159" s="12">
        <f>VLOOKUP(Tableau2[[#This Row],[essence]],Tableau5[],12,FALSE)</f>
        <v>0.79569999999999996</v>
      </c>
      <c r="AE159" s="12">
        <f>IF(Tableau2[[#This Row],[sdom]]="4EST",1,0)</f>
        <v>0</v>
      </c>
      <c r="AF159" s="12">
        <f>VLOOKUP(Tableau2[[#This Row],[essence]],Tableau5[],13,FALSE)</f>
        <v>0.54700000000000004</v>
      </c>
      <c r="AG159" s="12">
        <f>IF(Tableau2[[#This Row],[sdom]]="4OUEST",1,0)</f>
        <v>1</v>
      </c>
      <c r="AH159" s="12">
        <f>VLOOKUP(Tableau2[[#This Row],[essence]],Tableau5[],14,FALSE)</f>
        <v>0</v>
      </c>
      <c r="AI159" s="12">
        <f>IF(Tableau2[[#This Row],[sdom]]="5EST",1,0)</f>
        <v>0</v>
      </c>
      <c r="AJ159" s="12">
        <f>VLOOKUP(Tableau2[[#This Row],[essence]],Tableau5[],16,FALSE)</f>
        <v>0</v>
      </c>
      <c r="AK159" s="12">
        <f>IF(Tableau2[[#This Row],[sdom]]="5OUEST",1,0)</f>
        <v>0</v>
      </c>
      <c r="AL159" s="12">
        <f>VLOOKUP(Tableau2[[#This Row],[essence]],Tableau5[],17,FALSE)</f>
        <v>0</v>
      </c>
      <c r="AM159" s="12">
        <f>IF(Tableau2[[#This Row],[sdom]]="6EST",1,0)</f>
        <v>0</v>
      </c>
      <c r="AN159" s="12">
        <f>VLOOKUP(Tableau2[[#This Row],[essence]],Tableau5[],19,FALSE)</f>
        <v>4.2000000000000003E-2</v>
      </c>
      <c r="AO159" s="12">
        <f>IF(Tableau2[[#This Row],[priorecol]]="C",1,0)</f>
        <v>0</v>
      </c>
      <c r="AP159" s="12">
        <f>VLOOKUP(Tableau2[[#This Row],[essence]],Tableau5[],20,FALSE)</f>
        <v>0.111</v>
      </c>
      <c r="AQ159" s="12">
        <f>IF(Tableau2[[#This Row],[priorecol]]="R",1,0)</f>
        <v>1</v>
      </c>
      <c r="AR159" s="12">
        <f>VLOOKUP(Tableau2[[#This Row],[essence]],Tableau5[],21,FALSE)</f>
        <v>4.3600000000000002E-3</v>
      </c>
      <c r="AS159" s="12">
        <f>IF(Tableau2[[#This Row],[priorecol]]="S",1,0)</f>
        <v>0</v>
      </c>
      <c r="AT159" s="12">
        <f>VLOOKUP(Tableau2[[#This Row],[essence]],Tableau5[],22,FALSE)</f>
        <v>0</v>
      </c>
      <c r="AU159" s="12">
        <f>VLOOKUP(Tableau2[[#This Row],[essence]],Tableau5[],23,FALSE)</f>
        <v>0</v>
      </c>
      <c r="AV159" s="12">
        <f>VLOOKUP(Tableau2[[#This Row],[essence]],Tableau5[],18,FALSE)</f>
        <v>0</v>
      </c>
      <c r="AW15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4.032</v>
      </c>
      <c r="AX159" s="12">
        <f>1/(1+EXP(-Tableau2[[#This Row],[xb_c]]))</f>
        <v>0.98257036429624134</v>
      </c>
      <c r="AY159" s="12" t="str">
        <f t="shared" si="4"/>
        <v>NA</v>
      </c>
      <c r="AZ159" s="12" t="str">
        <f t="shared" si="5"/>
        <v>NA</v>
      </c>
      <c r="BA159" s="12">
        <f>Tableau2[[#This Row],[prob_c]]</f>
        <v>0.98257036429624134</v>
      </c>
      <c r="BB159" s="12">
        <f>1-Tableau2[[#This Row],[prob_c]]</f>
        <v>1.7429635703758661E-2</v>
      </c>
    </row>
    <row r="160" spans="1:54" x14ac:dyDescent="0.25">
      <c r="A160" s="12">
        <v>7</v>
      </c>
      <c r="B160" s="12" t="s">
        <v>15</v>
      </c>
      <c r="C160" s="12">
        <v>2.1</v>
      </c>
      <c r="D160" s="12">
        <v>700</v>
      </c>
      <c r="E160" s="12">
        <v>20</v>
      </c>
      <c r="F160" s="12">
        <v>1</v>
      </c>
      <c r="G160" s="12">
        <v>15</v>
      </c>
      <c r="H160" s="12">
        <v>32</v>
      </c>
      <c r="I160" s="12" t="s">
        <v>23</v>
      </c>
      <c r="J160" s="12" t="s">
        <v>29</v>
      </c>
      <c r="K160" s="12">
        <f>VLOOKUP(Tableau2[[#This Row],[essence]],Tableau5[],2,FALSE)</f>
        <v>-1.5804</v>
      </c>
      <c r="L160" s="12">
        <f>VLOOKUP(Tableau2[[#This Row],[essence]],Tableau5[],3,FALSE)</f>
        <v>0.70079999999999998</v>
      </c>
      <c r="M160" s="12">
        <f>IF(Tableau2[[#This Row],[priorecol]]="C",1,0)</f>
        <v>0</v>
      </c>
      <c r="N160" s="12">
        <f>VLOOKUP(Tableau2[[#This Row],[essence]],Tableau5[],4,FALSE)</f>
        <v>0.1178</v>
      </c>
      <c r="O160" s="12">
        <f>IF(Tableau2[[#This Row],[priorecol]]="R",1,0)</f>
        <v>0</v>
      </c>
      <c r="P160" s="12">
        <f>VLOOKUP(Tableau2[[#This Row],[essence]],Tableau5[],5,FALSE)</f>
        <v>0.88300000000000001</v>
      </c>
      <c r="Q160" s="12">
        <f>IF(Tableau2[[#This Row],[priorecol]]="S",1,0)</f>
        <v>1</v>
      </c>
      <c r="R160" s="12">
        <f>VLOOKUP(Tableau2[[#This Row],[essence]],Tableau5[],6,FALSE)</f>
        <v>4.8599999999999997E-2</v>
      </c>
      <c r="S160" s="12">
        <f>VLOOKUP(Tableau2[[#This Row],[essence]],Tableau5[],15,FALSE)</f>
        <v>0</v>
      </c>
      <c r="T160" s="12">
        <f>VLOOKUP(Tableau2[[#This Row],[essence]],Tableau5[],7,FALSE)</f>
        <v>1.111</v>
      </c>
      <c r="U160" s="12">
        <f>IF(Tableau2[[#This Row],[sdom]]=1,1,0)</f>
        <v>0</v>
      </c>
      <c r="V160" s="12">
        <f>VLOOKUP(Tableau2[[#This Row],[essence]],Tableau5[],8,FALSE)</f>
        <v>0.68489999999999995</v>
      </c>
      <c r="W160" s="12">
        <f>IF(Tableau2[[#This Row],[sdom]]="2EST",1,0)</f>
        <v>0</v>
      </c>
      <c r="X160" s="12">
        <f>VLOOKUP(Tableau2[[#This Row],[essence]],Tableau5[],9,FALSE)</f>
        <v>0.72130000000000005</v>
      </c>
      <c r="Y160" s="12">
        <f>IF(Tableau2[[#This Row],[sdom]]="2OUEST",1,0)</f>
        <v>0</v>
      </c>
      <c r="Z160" s="12">
        <f>VLOOKUP(Tableau2[[#This Row],[essence]],Tableau5[],10,FALSE)</f>
        <v>0.83930000000000005</v>
      </c>
      <c r="AA160" s="12">
        <f>IF(Tableau2[[#This Row],[sdom]]="3EST",1,0)</f>
        <v>0</v>
      </c>
      <c r="AB160" s="12">
        <f>VLOOKUP(Tableau2[[#This Row],[essence]],Tableau5[],11,FALSE)</f>
        <v>0.6865</v>
      </c>
      <c r="AC160" s="12">
        <f>IF(Tableau2[[#This Row],[sdom]]="3OUEST",1,0)</f>
        <v>0</v>
      </c>
      <c r="AD160" s="12">
        <f>VLOOKUP(Tableau2[[#This Row],[essence]],Tableau5[],12,FALSE)</f>
        <v>0.79569999999999996</v>
      </c>
      <c r="AE160" s="12">
        <f>IF(Tableau2[[#This Row],[sdom]]="4EST",1,0)</f>
        <v>0</v>
      </c>
      <c r="AF160" s="12">
        <f>VLOOKUP(Tableau2[[#This Row],[essence]],Tableau5[],13,FALSE)</f>
        <v>0.54700000000000004</v>
      </c>
      <c r="AG160" s="12">
        <f>IF(Tableau2[[#This Row],[sdom]]="4OUEST",1,0)</f>
        <v>1</v>
      </c>
      <c r="AH160" s="12">
        <f>VLOOKUP(Tableau2[[#This Row],[essence]],Tableau5[],14,FALSE)</f>
        <v>0</v>
      </c>
      <c r="AI160" s="12">
        <f>IF(Tableau2[[#This Row],[sdom]]="5EST",1,0)</f>
        <v>0</v>
      </c>
      <c r="AJ160" s="12">
        <f>VLOOKUP(Tableau2[[#This Row],[essence]],Tableau5[],16,FALSE)</f>
        <v>0</v>
      </c>
      <c r="AK160" s="12">
        <f>IF(Tableau2[[#This Row],[sdom]]="5OUEST",1,0)</f>
        <v>0</v>
      </c>
      <c r="AL160" s="12">
        <f>VLOOKUP(Tableau2[[#This Row],[essence]],Tableau5[],17,FALSE)</f>
        <v>0</v>
      </c>
      <c r="AM160" s="12">
        <f>IF(Tableau2[[#This Row],[sdom]]="6EST",1,0)</f>
        <v>0</v>
      </c>
      <c r="AN160" s="12">
        <f>VLOOKUP(Tableau2[[#This Row],[essence]],Tableau5[],19,FALSE)</f>
        <v>4.2000000000000003E-2</v>
      </c>
      <c r="AO160" s="12">
        <f>IF(Tableau2[[#This Row],[priorecol]]="C",1,0)</f>
        <v>0</v>
      </c>
      <c r="AP160" s="12">
        <f>VLOOKUP(Tableau2[[#This Row],[essence]],Tableau5[],20,FALSE)</f>
        <v>0.111</v>
      </c>
      <c r="AQ160" s="12">
        <f>IF(Tableau2[[#This Row],[priorecol]]="R",1,0)</f>
        <v>0</v>
      </c>
      <c r="AR160" s="12">
        <f>VLOOKUP(Tableau2[[#This Row],[essence]],Tableau5[],21,FALSE)</f>
        <v>4.3600000000000002E-3</v>
      </c>
      <c r="AS160" s="12">
        <f>IF(Tableau2[[#This Row],[priorecol]]="S",1,0)</f>
        <v>1</v>
      </c>
      <c r="AT160" s="12">
        <f>VLOOKUP(Tableau2[[#This Row],[essence]],Tableau5[],22,FALSE)</f>
        <v>0</v>
      </c>
      <c r="AU160" s="12">
        <f>VLOOKUP(Tableau2[[#This Row],[essence]],Tableau5[],23,FALSE)</f>
        <v>0</v>
      </c>
      <c r="AV160" s="12">
        <f>VLOOKUP(Tableau2[[#This Row],[essence]],Tableau5[],18,FALSE)</f>
        <v>0</v>
      </c>
      <c r="AW16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1.5443199999999999</v>
      </c>
      <c r="AX160" s="12">
        <f>1/(1+EXP(-Tableau2[[#This Row],[xb_c]]))</f>
        <v>0.82409184879245589</v>
      </c>
      <c r="AY160" s="12" t="str">
        <f t="shared" si="4"/>
        <v>NA</v>
      </c>
      <c r="AZ160" s="12" t="str">
        <f t="shared" si="5"/>
        <v>NA</v>
      </c>
      <c r="BA160" s="12">
        <f>Tableau2[[#This Row],[prob_c]]</f>
        <v>0.82409184879245589</v>
      </c>
      <c r="BB160" s="12">
        <f>1-Tableau2[[#This Row],[prob_c]]</f>
        <v>0.17590815120754411</v>
      </c>
    </row>
    <row r="161" spans="1:54" x14ac:dyDescent="0.25">
      <c r="A161" s="12">
        <v>7</v>
      </c>
      <c r="B161" s="12" t="s">
        <v>15</v>
      </c>
      <c r="C161" s="12">
        <v>2.1</v>
      </c>
      <c r="D161" s="12">
        <v>700</v>
      </c>
      <c r="E161" s="12">
        <v>20</v>
      </c>
      <c r="F161" s="12">
        <v>1</v>
      </c>
      <c r="G161" s="12">
        <v>16</v>
      </c>
      <c r="H161" s="12">
        <v>33</v>
      </c>
      <c r="I161" s="12" t="s">
        <v>24</v>
      </c>
      <c r="J161" s="12" t="s">
        <v>27</v>
      </c>
      <c r="K161" s="12">
        <f>VLOOKUP(Tableau2[[#This Row],[essence]],Tableau5[],2,FALSE)</f>
        <v>1.9585999999999999</v>
      </c>
      <c r="L161" s="12">
        <f>VLOOKUP(Tableau2[[#This Row],[essence]],Tableau5[],3,FALSE)</f>
        <v>6.6000000000000003E-2</v>
      </c>
      <c r="M161" s="12">
        <f>IF(Tableau2[[#This Row],[priorecol]]="C",1,0)</f>
        <v>1</v>
      </c>
      <c r="N161" s="12">
        <f>VLOOKUP(Tableau2[[#This Row],[essence]],Tableau5[],4,FALSE)</f>
        <v>-1.9339999999999999</v>
      </c>
      <c r="O161" s="12">
        <f>IF(Tableau2[[#This Row],[priorecol]]="R",1,0)</f>
        <v>0</v>
      </c>
      <c r="P161" s="12">
        <f>VLOOKUP(Tableau2[[#This Row],[essence]],Tableau5[],5,FALSE)</f>
        <v>-4.4771999999999998</v>
      </c>
      <c r="Q161" s="12">
        <f>IF(Tableau2[[#This Row],[priorecol]]="S",1,0)</f>
        <v>0</v>
      </c>
      <c r="R161" s="12">
        <f>VLOOKUP(Tableau2[[#This Row],[essence]],Tableau5[],6,FALSE)</f>
        <v>-2.5499999999999998E-2</v>
      </c>
      <c r="S161" s="12">
        <f>VLOOKUP(Tableau2[[#This Row],[essence]],Tableau5[],15,FALSE)</f>
        <v>0</v>
      </c>
      <c r="T161" s="12">
        <f>VLOOKUP(Tableau2[[#This Row],[essence]],Tableau5[],7,FALSE)</f>
        <v>0</v>
      </c>
      <c r="U161" s="12">
        <f>IF(Tableau2[[#This Row],[sdom]]=1,1,0)</f>
        <v>0</v>
      </c>
      <c r="V161" s="12">
        <f>VLOOKUP(Tableau2[[#This Row],[essence]],Tableau5[],8,FALSE)</f>
        <v>0</v>
      </c>
      <c r="W161" s="12">
        <f>IF(Tableau2[[#This Row],[sdom]]="2EST",1,0)</f>
        <v>0</v>
      </c>
      <c r="X161" s="12">
        <f>VLOOKUP(Tableau2[[#This Row],[essence]],Tableau5[],9,FALSE)</f>
        <v>0</v>
      </c>
      <c r="Y161" s="12">
        <f>IF(Tableau2[[#This Row],[sdom]]="2OUEST",1,0)</f>
        <v>0</v>
      </c>
      <c r="Z161" s="12">
        <f>VLOOKUP(Tableau2[[#This Row],[essence]],Tableau5[],10,FALSE)</f>
        <v>0</v>
      </c>
      <c r="AA161" s="12">
        <f>IF(Tableau2[[#This Row],[sdom]]="3EST",1,0)</f>
        <v>0</v>
      </c>
      <c r="AB161" s="12">
        <f>VLOOKUP(Tableau2[[#This Row],[essence]],Tableau5[],11,FALSE)</f>
        <v>0</v>
      </c>
      <c r="AC161" s="12">
        <f>IF(Tableau2[[#This Row],[sdom]]="3OUEST",1,0)</f>
        <v>0</v>
      </c>
      <c r="AD161" s="12">
        <f>VLOOKUP(Tableau2[[#This Row],[essence]],Tableau5[],12,FALSE)</f>
        <v>0</v>
      </c>
      <c r="AE161" s="12">
        <f>IF(Tableau2[[#This Row],[sdom]]="4EST",1,0)</f>
        <v>0</v>
      </c>
      <c r="AF161" s="12">
        <f>VLOOKUP(Tableau2[[#This Row],[essence]],Tableau5[],13,FALSE)</f>
        <v>0</v>
      </c>
      <c r="AG161" s="12">
        <f>IF(Tableau2[[#This Row],[sdom]]="4OUEST",1,0)</f>
        <v>1</v>
      </c>
      <c r="AH161" s="12">
        <f>VLOOKUP(Tableau2[[#This Row],[essence]],Tableau5[],14,FALSE)</f>
        <v>0</v>
      </c>
      <c r="AI161" s="12">
        <f>IF(Tableau2[[#This Row],[sdom]]="5EST",1,0)</f>
        <v>0</v>
      </c>
      <c r="AJ161" s="12">
        <f>VLOOKUP(Tableau2[[#This Row],[essence]],Tableau5[],16,FALSE)</f>
        <v>0</v>
      </c>
      <c r="AK161" s="12">
        <f>IF(Tableau2[[#This Row],[sdom]]="5OUEST",1,0)</f>
        <v>0</v>
      </c>
      <c r="AL161" s="12">
        <f>VLOOKUP(Tableau2[[#This Row],[essence]],Tableau5[],17,FALSE)</f>
        <v>0</v>
      </c>
      <c r="AM161" s="12">
        <f>IF(Tableau2[[#This Row],[sdom]]="6EST",1,0)</f>
        <v>0</v>
      </c>
      <c r="AN161" s="12">
        <f>VLOOKUP(Tableau2[[#This Row],[essence]],Tableau5[],19,FALSE)</f>
        <v>4.2599999999999999E-2</v>
      </c>
      <c r="AO161" s="12">
        <f>IF(Tableau2[[#This Row],[priorecol]]="C",1,0)</f>
        <v>1</v>
      </c>
      <c r="AP161" s="12">
        <f>VLOOKUP(Tableau2[[#This Row],[essence]],Tableau5[],20,FALSE)</f>
        <v>0.17699999999999999</v>
      </c>
      <c r="AQ161" s="12">
        <f>IF(Tableau2[[#This Row],[priorecol]]="R",1,0)</f>
        <v>0</v>
      </c>
      <c r="AR161" s="12">
        <f>VLOOKUP(Tableau2[[#This Row],[essence]],Tableau5[],21,FALSE)</f>
        <v>0.19650000000000001</v>
      </c>
      <c r="AS161" s="12">
        <f>IF(Tableau2[[#This Row],[priorecol]]="S",1,0)</f>
        <v>0</v>
      </c>
      <c r="AT161" s="12">
        <f>VLOOKUP(Tableau2[[#This Row],[essence]],Tableau5[],22,FALSE)</f>
        <v>0</v>
      </c>
      <c r="AU161" s="12">
        <f>VLOOKUP(Tableau2[[#This Row],[essence]],Tableau5[],23,FALSE)</f>
        <v>0</v>
      </c>
      <c r="AV161" s="12">
        <f>VLOOKUP(Tableau2[[#This Row],[essence]],Tableau5[],18,FALSE)</f>
        <v>0</v>
      </c>
      <c r="AW16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2.5888999999999998</v>
      </c>
      <c r="AX161" s="12">
        <f>1/(1+EXP(-Tableau2[[#This Row],[xb_c]]))</f>
        <v>0.93014377696886674</v>
      </c>
      <c r="AY161" s="12" t="str">
        <f t="shared" si="4"/>
        <v>NA</v>
      </c>
      <c r="AZ161" s="12" t="str">
        <f t="shared" si="5"/>
        <v>NA</v>
      </c>
      <c r="BA161" s="12">
        <f>Tableau2[[#This Row],[prob_c]]</f>
        <v>0.93014377696886674</v>
      </c>
      <c r="BB161" s="12">
        <f>1-Tableau2[[#This Row],[prob_c]]</f>
        <v>6.9856223031133258E-2</v>
      </c>
    </row>
    <row r="162" spans="1:54" x14ac:dyDescent="0.25">
      <c r="A162" s="12">
        <v>7</v>
      </c>
      <c r="B162" s="12" t="s">
        <v>15</v>
      </c>
      <c r="C162" s="12">
        <v>2.1</v>
      </c>
      <c r="D162" s="12">
        <v>700</v>
      </c>
      <c r="E162" s="12">
        <v>20</v>
      </c>
      <c r="F162" s="12">
        <v>1</v>
      </c>
      <c r="G162" s="12">
        <v>17</v>
      </c>
      <c r="H162" s="12">
        <v>24</v>
      </c>
      <c r="I162" s="12" t="s">
        <v>24</v>
      </c>
      <c r="J162" s="12" t="s">
        <v>28</v>
      </c>
      <c r="K162" s="12">
        <f>VLOOKUP(Tableau2[[#This Row],[essence]],Tableau5[],2,FALSE)</f>
        <v>1.9585999999999999</v>
      </c>
      <c r="L162" s="12">
        <f>VLOOKUP(Tableau2[[#This Row],[essence]],Tableau5[],3,FALSE)</f>
        <v>6.6000000000000003E-2</v>
      </c>
      <c r="M162" s="12">
        <f>IF(Tableau2[[#This Row],[priorecol]]="C",1,0)</f>
        <v>0</v>
      </c>
      <c r="N162" s="12">
        <f>VLOOKUP(Tableau2[[#This Row],[essence]],Tableau5[],4,FALSE)</f>
        <v>-1.9339999999999999</v>
      </c>
      <c r="O162" s="12">
        <f>IF(Tableau2[[#This Row],[priorecol]]="R",1,0)</f>
        <v>1</v>
      </c>
      <c r="P162" s="12">
        <f>VLOOKUP(Tableau2[[#This Row],[essence]],Tableau5[],5,FALSE)</f>
        <v>-4.4771999999999998</v>
      </c>
      <c r="Q162" s="12">
        <f>IF(Tableau2[[#This Row],[priorecol]]="S",1,0)</f>
        <v>0</v>
      </c>
      <c r="R162" s="12">
        <f>VLOOKUP(Tableau2[[#This Row],[essence]],Tableau5[],6,FALSE)</f>
        <v>-2.5499999999999998E-2</v>
      </c>
      <c r="S162" s="12">
        <f>VLOOKUP(Tableau2[[#This Row],[essence]],Tableau5[],15,FALSE)</f>
        <v>0</v>
      </c>
      <c r="T162" s="12">
        <f>VLOOKUP(Tableau2[[#This Row],[essence]],Tableau5[],7,FALSE)</f>
        <v>0</v>
      </c>
      <c r="U162" s="12">
        <f>IF(Tableau2[[#This Row],[sdom]]=1,1,0)</f>
        <v>0</v>
      </c>
      <c r="V162" s="12">
        <f>VLOOKUP(Tableau2[[#This Row],[essence]],Tableau5[],8,FALSE)</f>
        <v>0</v>
      </c>
      <c r="W162" s="12">
        <f>IF(Tableau2[[#This Row],[sdom]]="2EST",1,0)</f>
        <v>0</v>
      </c>
      <c r="X162" s="12">
        <f>VLOOKUP(Tableau2[[#This Row],[essence]],Tableau5[],9,FALSE)</f>
        <v>0</v>
      </c>
      <c r="Y162" s="12">
        <f>IF(Tableau2[[#This Row],[sdom]]="2OUEST",1,0)</f>
        <v>0</v>
      </c>
      <c r="Z162" s="12">
        <f>VLOOKUP(Tableau2[[#This Row],[essence]],Tableau5[],10,FALSE)</f>
        <v>0</v>
      </c>
      <c r="AA162" s="12">
        <f>IF(Tableau2[[#This Row],[sdom]]="3EST",1,0)</f>
        <v>0</v>
      </c>
      <c r="AB162" s="12">
        <f>VLOOKUP(Tableau2[[#This Row],[essence]],Tableau5[],11,FALSE)</f>
        <v>0</v>
      </c>
      <c r="AC162" s="12">
        <f>IF(Tableau2[[#This Row],[sdom]]="3OUEST",1,0)</f>
        <v>0</v>
      </c>
      <c r="AD162" s="12">
        <f>VLOOKUP(Tableau2[[#This Row],[essence]],Tableau5[],12,FALSE)</f>
        <v>0</v>
      </c>
      <c r="AE162" s="12">
        <f>IF(Tableau2[[#This Row],[sdom]]="4EST",1,0)</f>
        <v>0</v>
      </c>
      <c r="AF162" s="12">
        <f>VLOOKUP(Tableau2[[#This Row],[essence]],Tableau5[],13,FALSE)</f>
        <v>0</v>
      </c>
      <c r="AG162" s="12">
        <f>IF(Tableau2[[#This Row],[sdom]]="4OUEST",1,0)</f>
        <v>1</v>
      </c>
      <c r="AH162" s="12">
        <f>VLOOKUP(Tableau2[[#This Row],[essence]],Tableau5[],14,FALSE)</f>
        <v>0</v>
      </c>
      <c r="AI162" s="12">
        <f>IF(Tableau2[[#This Row],[sdom]]="5EST",1,0)</f>
        <v>0</v>
      </c>
      <c r="AJ162" s="12">
        <f>VLOOKUP(Tableau2[[#This Row],[essence]],Tableau5[],16,FALSE)</f>
        <v>0</v>
      </c>
      <c r="AK162" s="12">
        <f>IF(Tableau2[[#This Row],[sdom]]="5OUEST",1,0)</f>
        <v>0</v>
      </c>
      <c r="AL162" s="12">
        <f>VLOOKUP(Tableau2[[#This Row],[essence]],Tableau5[],17,FALSE)</f>
        <v>0</v>
      </c>
      <c r="AM162" s="12">
        <f>IF(Tableau2[[#This Row],[sdom]]="6EST",1,0)</f>
        <v>0</v>
      </c>
      <c r="AN162" s="12">
        <f>VLOOKUP(Tableau2[[#This Row],[essence]],Tableau5[],19,FALSE)</f>
        <v>4.2599999999999999E-2</v>
      </c>
      <c r="AO162" s="12">
        <f>IF(Tableau2[[#This Row],[priorecol]]="C",1,0)</f>
        <v>0</v>
      </c>
      <c r="AP162" s="12">
        <f>VLOOKUP(Tableau2[[#This Row],[essence]],Tableau5[],20,FALSE)</f>
        <v>0.17699999999999999</v>
      </c>
      <c r="AQ162" s="12">
        <f>IF(Tableau2[[#This Row],[priorecol]]="R",1,0)</f>
        <v>1</v>
      </c>
      <c r="AR162" s="12">
        <f>VLOOKUP(Tableau2[[#This Row],[essence]],Tableau5[],21,FALSE)</f>
        <v>0.19650000000000001</v>
      </c>
      <c r="AS162" s="12">
        <f>IF(Tableau2[[#This Row],[priorecol]]="S",1,0)</f>
        <v>0</v>
      </c>
      <c r="AT162" s="12">
        <f>VLOOKUP(Tableau2[[#This Row],[essence]],Tableau5[],22,FALSE)</f>
        <v>0</v>
      </c>
      <c r="AU162" s="12">
        <f>VLOOKUP(Tableau2[[#This Row],[essence]],Tableau5[],23,FALSE)</f>
        <v>0</v>
      </c>
      <c r="AV162" s="12">
        <f>VLOOKUP(Tableau2[[#This Row],[essence]],Tableau5[],18,FALSE)</f>
        <v>0</v>
      </c>
      <c r="AW16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3.6605999999999992</v>
      </c>
      <c r="AX162" s="12">
        <f>1/(1+EXP(-Tableau2[[#This Row],[xb_c]]))</f>
        <v>0.97492770822967634</v>
      </c>
      <c r="AY162" s="12" t="str">
        <f t="shared" si="4"/>
        <v>NA</v>
      </c>
      <c r="AZ162" s="12" t="str">
        <f t="shared" si="5"/>
        <v>NA</v>
      </c>
      <c r="BA162" s="12">
        <f>Tableau2[[#This Row],[prob_c]]</f>
        <v>0.97492770822967634</v>
      </c>
      <c r="BB162" s="12">
        <f>1-Tableau2[[#This Row],[prob_c]]</f>
        <v>2.5072291770323663E-2</v>
      </c>
    </row>
    <row r="163" spans="1:54" x14ac:dyDescent="0.25">
      <c r="A163" s="12">
        <v>7</v>
      </c>
      <c r="B163" s="12" t="s">
        <v>15</v>
      </c>
      <c r="C163" s="12">
        <v>2.1</v>
      </c>
      <c r="D163" s="12">
        <v>700</v>
      </c>
      <c r="E163" s="12">
        <v>20</v>
      </c>
      <c r="F163" s="12">
        <v>1</v>
      </c>
      <c r="G163" s="12">
        <v>18</v>
      </c>
      <c r="H163" s="12">
        <v>25</v>
      </c>
      <c r="I163" s="12" t="s">
        <v>24</v>
      </c>
      <c r="J163" s="12" t="s">
        <v>29</v>
      </c>
      <c r="K163" s="12">
        <f>VLOOKUP(Tableau2[[#This Row],[essence]],Tableau5[],2,FALSE)</f>
        <v>1.9585999999999999</v>
      </c>
      <c r="L163" s="12">
        <f>VLOOKUP(Tableau2[[#This Row],[essence]],Tableau5[],3,FALSE)</f>
        <v>6.6000000000000003E-2</v>
      </c>
      <c r="M163" s="12">
        <f>IF(Tableau2[[#This Row],[priorecol]]="C",1,0)</f>
        <v>0</v>
      </c>
      <c r="N163" s="12">
        <f>VLOOKUP(Tableau2[[#This Row],[essence]],Tableau5[],4,FALSE)</f>
        <v>-1.9339999999999999</v>
      </c>
      <c r="O163" s="12">
        <f>IF(Tableau2[[#This Row],[priorecol]]="R",1,0)</f>
        <v>0</v>
      </c>
      <c r="P163" s="12">
        <f>VLOOKUP(Tableau2[[#This Row],[essence]],Tableau5[],5,FALSE)</f>
        <v>-4.4771999999999998</v>
      </c>
      <c r="Q163" s="12">
        <f>IF(Tableau2[[#This Row],[priorecol]]="S",1,0)</f>
        <v>1</v>
      </c>
      <c r="R163" s="12">
        <f>VLOOKUP(Tableau2[[#This Row],[essence]],Tableau5[],6,FALSE)</f>
        <v>-2.5499999999999998E-2</v>
      </c>
      <c r="S163" s="12">
        <f>VLOOKUP(Tableau2[[#This Row],[essence]],Tableau5[],15,FALSE)</f>
        <v>0</v>
      </c>
      <c r="T163" s="12">
        <f>VLOOKUP(Tableau2[[#This Row],[essence]],Tableau5[],7,FALSE)</f>
        <v>0</v>
      </c>
      <c r="U163" s="12">
        <f>IF(Tableau2[[#This Row],[sdom]]=1,1,0)</f>
        <v>0</v>
      </c>
      <c r="V163" s="12">
        <f>VLOOKUP(Tableau2[[#This Row],[essence]],Tableau5[],8,FALSE)</f>
        <v>0</v>
      </c>
      <c r="W163" s="12">
        <f>IF(Tableau2[[#This Row],[sdom]]="2EST",1,0)</f>
        <v>0</v>
      </c>
      <c r="X163" s="12">
        <f>VLOOKUP(Tableau2[[#This Row],[essence]],Tableau5[],9,FALSE)</f>
        <v>0</v>
      </c>
      <c r="Y163" s="12">
        <f>IF(Tableau2[[#This Row],[sdom]]="2OUEST",1,0)</f>
        <v>0</v>
      </c>
      <c r="Z163" s="12">
        <f>VLOOKUP(Tableau2[[#This Row],[essence]],Tableau5[],10,FALSE)</f>
        <v>0</v>
      </c>
      <c r="AA163" s="12">
        <f>IF(Tableau2[[#This Row],[sdom]]="3EST",1,0)</f>
        <v>0</v>
      </c>
      <c r="AB163" s="12">
        <f>VLOOKUP(Tableau2[[#This Row],[essence]],Tableau5[],11,FALSE)</f>
        <v>0</v>
      </c>
      <c r="AC163" s="12">
        <f>IF(Tableau2[[#This Row],[sdom]]="3OUEST",1,0)</f>
        <v>0</v>
      </c>
      <c r="AD163" s="12">
        <f>VLOOKUP(Tableau2[[#This Row],[essence]],Tableau5[],12,FALSE)</f>
        <v>0</v>
      </c>
      <c r="AE163" s="12">
        <f>IF(Tableau2[[#This Row],[sdom]]="4EST",1,0)</f>
        <v>0</v>
      </c>
      <c r="AF163" s="12">
        <f>VLOOKUP(Tableau2[[#This Row],[essence]],Tableau5[],13,FALSE)</f>
        <v>0</v>
      </c>
      <c r="AG163" s="12">
        <f>IF(Tableau2[[#This Row],[sdom]]="4OUEST",1,0)</f>
        <v>1</v>
      </c>
      <c r="AH163" s="12">
        <f>VLOOKUP(Tableau2[[#This Row],[essence]],Tableau5[],14,FALSE)</f>
        <v>0</v>
      </c>
      <c r="AI163" s="12">
        <f>IF(Tableau2[[#This Row],[sdom]]="5EST",1,0)</f>
        <v>0</v>
      </c>
      <c r="AJ163" s="12">
        <f>VLOOKUP(Tableau2[[#This Row],[essence]],Tableau5[],16,FALSE)</f>
        <v>0</v>
      </c>
      <c r="AK163" s="12">
        <f>IF(Tableau2[[#This Row],[sdom]]="5OUEST",1,0)</f>
        <v>0</v>
      </c>
      <c r="AL163" s="12">
        <f>VLOOKUP(Tableau2[[#This Row],[essence]],Tableau5[],17,FALSE)</f>
        <v>0</v>
      </c>
      <c r="AM163" s="12">
        <f>IF(Tableau2[[#This Row],[sdom]]="6EST",1,0)</f>
        <v>0</v>
      </c>
      <c r="AN163" s="12">
        <f>VLOOKUP(Tableau2[[#This Row],[essence]],Tableau5[],19,FALSE)</f>
        <v>4.2599999999999999E-2</v>
      </c>
      <c r="AO163" s="12">
        <f>IF(Tableau2[[#This Row],[priorecol]]="C",1,0)</f>
        <v>0</v>
      </c>
      <c r="AP163" s="12">
        <f>VLOOKUP(Tableau2[[#This Row],[essence]],Tableau5[],20,FALSE)</f>
        <v>0.17699999999999999</v>
      </c>
      <c r="AQ163" s="12">
        <f>IF(Tableau2[[#This Row],[priorecol]]="R",1,0)</f>
        <v>0</v>
      </c>
      <c r="AR163" s="12">
        <f>VLOOKUP(Tableau2[[#This Row],[essence]],Tableau5[],21,FALSE)</f>
        <v>0.19650000000000001</v>
      </c>
      <c r="AS163" s="12">
        <f>IF(Tableau2[[#This Row],[priorecol]]="S",1,0)</f>
        <v>1</v>
      </c>
      <c r="AT163" s="12">
        <f>VLOOKUP(Tableau2[[#This Row],[essence]],Tableau5[],22,FALSE)</f>
        <v>0</v>
      </c>
      <c r="AU163" s="12">
        <f>VLOOKUP(Tableau2[[#This Row],[essence]],Tableau5[],23,FALSE)</f>
        <v>0</v>
      </c>
      <c r="AV163" s="12">
        <f>VLOOKUP(Tableau2[[#This Row],[essence]],Tableau5[],18,FALSE)</f>
        <v>0</v>
      </c>
      <c r="AW16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1.7564000000000002</v>
      </c>
      <c r="AX163" s="12">
        <f>1/(1+EXP(-Tableau2[[#This Row],[xb_c]]))</f>
        <v>0.85275821207577196</v>
      </c>
      <c r="AY163" s="12" t="str">
        <f t="shared" si="4"/>
        <v>NA</v>
      </c>
      <c r="AZ163" s="12" t="str">
        <f t="shared" si="5"/>
        <v>NA</v>
      </c>
      <c r="BA163" s="12">
        <f>Tableau2[[#This Row],[prob_c]]</f>
        <v>0.85275821207577196</v>
      </c>
      <c r="BB163" s="12">
        <f>1-Tableau2[[#This Row],[prob_c]]</f>
        <v>0.14724178792422804</v>
      </c>
    </row>
    <row r="164" spans="1:54" x14ac:dyDescent="0.25">
      <c r="A164" s="12">
        <v>7</v>
      </c>
      <c r="B164" s="12" t="s">
        <v>15</v>
      </c>
      <c r="C164" s="12">
        <v>2.1</v>
      </c>
      <c r="D164" s="12">
        <v>700</v>
      </c>
      <c r="E164" s="12">
        <v>20</v>
      </c>
      <c r="F164" s="12">
        <v>1</v>
      </c>
      <c r="G164" s="12">
        <v>19</v>
      </c>
      <c r="H164" s="12">
        <v>26</v>
      </c>
      <c r="I164" s="12" t="s">
        <v>25</v>
      </c>
      <c r="J164" s="12" t="s">
        <v>27</v>
      </c>
      <c r="K164" s="12">
        <f>VLOOKUP(Tableau2[[#This Row],[essence]],Tableau5[],2,FALSE)</f>
        <v>-2.4066000000000001</v>
      </c>
      <c r="L164" s="12">
        <f>VLOOKUP(Tableau2[[#This Row],[essence]],Tableau5[],3,FALSE)</f>
        <v>1.0301</v>
      </c>
      <c r="M164" s="12">
        <f>IF(Tableau2[[#This Row],[priorecol]]="C",1,0)</f>
        <v>1</v>
      </c>
      <c r="N164" s="12">
        <f>VLOOKUP(Tableau2[[#This Row],[essence]],Tableau5[],4,FALSE)</f>
        <v>1.9907999999999999</v>
      </c>
      <c r="O164" s="12">
        <f>IF(Tableau2[[#This Row],[priorecol]]="R",1,0)</f>
        <v>0</v>
      </c>
      <c r="P164" s="12">
        <f>VLOOKUP(Tableau2[[#This Row],[essence]],Tableau5[],5,FALSE)</f>
        <v>1.1955</v>
      </c>
      <c r="Q164" s="12">
        <f>IF(Tableau2[[#This Row],[priorecol]]="S",1,0)</f>
        <v>0</v>
      </c>
      <c r="R164" s="12">
        <f>VLOOKUP(Tableau2[[#This Row],[essence]],Tableau5[],6,FALSE)</f>
        <v>4.2599999999999999E-2</v>
      </c>
      <c r="S164" s="12">
        <f>VLOOKUP(Tableau2[[#This Row],[essence]],Tableau5[],15,FALSE)</f>
        <v>1.3299999999999999E-2</v>
      </c>
      <c r="T164" s="12">
        <f>VLOOKUP(Tableau2[[#This Row],[essence]],Tableau5[],7,FALSE)</f>
        <v>0</v>
      </c>
      <c r="U164" s="12">
        <f>IF(Tableau2[[#This Row],[sdom]]=1,1,0)</f>
        <v>0</v>
      </c>
      <c r="V164" s="12">
        <f>VLOOKUP(Tableau2[[#This Row],[essence]],Tableau5[],8,FALSE)</f>
        <v>0.72299999999999998</v>
      </c>
      <c r="W164" s="12">
        <f>IF(Tableau2[[#This Row],[sdom]]="2EST",1,0)</f>
        <v>0</v>
      </c>
      <c r="X164" s="12">
        <f>VLOOKUP(Tableau2[[#This Row],[essence]],Tableau5[],9,FALSE)</f>
        <v>0.28749999999999998</v>
      </c>
      <c r="Y164" s="12">
        <f>IF(Tableau2[[#This Row],[sdom]]="2OUEST",1,0)</f>
        <v>0</v>
      </c>
      <c r="Z164" s="12">
        <f>VLOOKUP(Tableau2[[#This Row],[essence]],Tableau5[],10,FALSE)</f>
        <v>0.5746</v>
      </c>
      <c r="AA164" s="12">
        <f>IF(Tableau2[[#This Row],[sdom]]="3EST",1,0)</f>
        <v>0</v>
      </c>
      <c r="AB164" s="12">
        <f>VLOOKUP(Tableau2[[#This Row],[essence]],Tableau5[],11,FALSE)</f>
        <v>0.40360000000000001</v>
      </c>
      <c r="AC164" s="12">
        <f>IF(Tableau2[[#This Row],[sdom]]="3OUEST",1,0)</f>
        <v>0</v>
      </c>
      <c r="AD164" s="12">
        <f>VLOOKUP(Tableau2[[#This Row],[essence]],Tableau5[],12,FALSE)</f>
        <v>0</v>
      </c>
      <c r="AE164" s="12">
        <f>IF(Tableau2[[#This Row],[sdom]]="4EST",1,0)</f>
        <v>0</v>
      </c>
      <c r="AF164" s="12">
        <f>VLOOKUP(Tableau2[[#This Row],[essence]],Tableau5[],13,FALSE)</f>
        <v>0</v>
      </c>
      <c r="AG164" s="12">
        <f>IF(Tableau2[[#This Row],[sdom]]="4OUEST",1,0)</f>
        <v>1</v>
      </c>
      <c r="AH164" s="12">
        <f>VLOOKUP(Tableau2[[#This Row],[essence]],Tableau5[],14,FALSE)</f>
        <v>0</v>
      </c>
      <c r="AI164" s="12">
        <f>IF(Tableau2[[#This Row],[sdom]]="5EST",1,0)</f>
        <v>0</v>
      </c>
      <c r="AJ164" s="12">
        <f>VLOOKUP(Tableau2[[#This Row],[essence]],Tableau5[],16,FALSE)</f>
        <v>0</v>
      </c>
      <c r="AK164" s="12">
        <f>IF(Tableau2[[#This Row],[sdom]]="5OUEST",1,0)</f>
        <v>0</v>
      </c>
      <c r="AL164" s="12">
        <f>VLOOKUP(Tableau2[[#This Row],[essence]],Tableau5[],17,FALSE)</f>
        <v>0</v>
      </c>
      <c r="AM164" s="12">
        <f>IF(Tableau2[[#This Row],[sdom]]="6EST",1,0)</f>
        <v>0</v>
      </c>
      <c r="AN164" s="12">
        <f>VLOOKUP(Tableau2[[#This Row],[essence]],Tableau5[],19,FALSE)</f>
        <v>0</v>
      </c>
      <c r="AO164" s="12">
        <f>IF(Tableau2[[#This Row],[priorecol]]="C",1,0)</f>
        <v>1</v>
      </c>
      <c r="AP164" s="12">
        <f>VLOOKUP(Tableau2[[#This Row],[essence]],Tableau5[],20,FALSE)</f>
        <v>0</v>
      </c>
      <c r="AQ164" s="12">
        <f>IF(Tableau2[[#This Row],[priorecol]]="R",1,0)</f>
        <v>0</v>
      </c>
      <c r="AR164" s="12">
        <f>VLOOKUP(Tableau2[[#This Row],[essence]],Tableau5[],21,FALSE)</f>
        <v>0</v>
      </c>
      <c r="AS164" s="12">
        <f>IF(Tableau2[[#This Row],[priorecol]]="S",1,0)</f>
        <v>0</v>
      </c>
      <c r="AT164" s="12">
        <f>VLOOKUP(Tableau2[[#This Row],[essence]],Tableau5[],22,FALSE)</f>
        <v>0.36130000000000001</v>
      </c>
      <c r="AU164" s="12">
        <f>VLOOKUP(Tableau2[[#This Row],[essence]],Tableau5[],23,FALSE)</f>
        <v>0</v>
      </c>
      <c r="AV164" s="12">
        <f>VLOOKUP(Tableau2[[#This Row],[essence]],Tableau5[],18,FALSE)</f>
        <v>0</v>
      </c>
      <c r="AW16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0.35839999999999989</v>
      </c>
      <c r="AX164" s="12">
        <f>1/(1+EXP(-Tableau2[[#This Row],[xb_c]]))</f>
        <v>0.58865306407299312</v>
      </c>
      <c r="AY164" s="12" t="str">
        <f t="shared" si="4"/>
        <v>NA</v>
      </c>
      <c r="AZ164" s="12" t="str">
        <f t="shared" si="5"/>
        <v>NA</v>
      </c>
      <c r="BA164" s="12">
        <f>Tableau2[[#This Row],[prob_c]]</f>
        <v>0.58865306407299312</v>
      </c>
      <c r="BB164" s="12">
        <f>1-Tableau2[[#This Row],[prob_c]]</f>
        <v>0.41134693592700688</v>
      </c>
    </row>
    <row r="165" spans="1:54" x14ac:dyDescent="0.25">
      <c r="A165" s="12">
        <v>7</v>
      </c>
      <c r="B165" s="12" t="s">
        <v>15</v>
      </c>
      <c r="C165" s="12">
        <v>2.1</v>
      </c>
      <c r="D165" s="12">
        <v>700</v>
      </c>
      <c r="E165" s="12">
        <v>20</v>
      </c>
      <c r="F165" s="12">
        <v>1</v>
      </c>
      <c r="G165" s="12">
        <v>20</v>
      </c>
      <c r="H165" s="12">
        <v>27</v>
      </c>
      <c r="I165" s="12" t="s">
        <v>25</v>
      </c>
      <c r="J165" s="12" t="s">
        <v>28</v>
      </c>
      <c r="K165" s="12">
        <f>VLOOKUP(Tableau2[[#This Row],[essence]],Tableau5[],2,FALSE)</f>
        <v>-2.4066000000000001</v>
      </c>
      <c r="L165" s="12">
        <f>VLOOKUP(Tableau2[[#This Row],[essence]],Tableau5[],3,FALSE)</f>
        <v>1.0301</v>
      </c>
      <c r="M165" s="12">
        <f>IF(Tableau2[[#This Row],[priorecol]]="C",1,0)</f>
        <v>0</v>
      </c>
      <c r="N165" s="12">
        <f>VLOOKUP(Tableau2[[#This Row],[essence]],Tableau5[],4,FALSE)</f>
        <v>1.9907999999999999</v>
      </c>
      <c r="O165" s="12">
        <f>IF(Tableau2[[#This Row],[priorecol]]="R",1,0)</f>
        <v>1</v>
      </c>
      <c r="P165" s="12">
        <f>VLOOKUP(Tableau2[[#This Row],[essence]],Tableau5[],5,FALSE)</f>
        <v>1.1955</v>
      </c>
      <c r="Q165" s="12">
        <f>IF(Tableau2[[#This Row],[priorecol]]="S",1,0)</f>
        <v>0</v>
      </c>
      <c r="R165" s="12">
        <f>VLOOKUP(Tableau2[[#This Row],[essence]],Tableau5[],6,FALSE)</f>
        <v>4.2599999999999999E-2</v>
      </c>
      <c r="S165" s="12">
        <f>VLOOKUP(Tableau2[[#This Row],[essence]],Tableau5[],15,FALSE)</f>
        <v>1.3299999999999999E-2</v>
      </c>
      <c r="T165" s="12">
        <f>VLOOKUP(Tableau2[[#This Row],[essence]],Tableau5[],7,FALSE)</f>
        <v>0</v>
      </c>
      <c r="U165" s="12">
        <f>IF(Tableau2[[#This Row],[sdom]]=1,1,0)</f>
        <v>0</v>
      </c>
      <c r="V165" s="12">
        <f>VLOOKUP(Tableau2[[#This Row],[essence]],Tableau5[],8,FALSE)</f>
        <v>0.72299999999999998</v>
      </c>
      <c r="W165" s="12">
        <f>IF(Tableau2[[#This Row],[sdom]]="2EST",1,0)</f>
        <v>0</v>
      </c>
      <c r="X165" s="12">
        <f>VLOOKUP(Tableau2[[#This Row],[essence]],Tableau5[],9,FALSE)</f>
        <v>0.28749999999999998</v>
      </c>
      <c r="Y165" s="12">
        <f>IF(Tableau2[[#This Row],[sdom]]="2OUEST",1,0)</f>
        <v>0</v>
      </c>
      <c r="Z165" s="12">
        <f>VLOOKUP(Tableau2[[#This Row],[essence]],Tableau5[],10,FALSE)</f>
        <v>0.5746</v>
      </c>
      <c r="AA165" s="12">
        <f>IF(Tableau2[[#This Row],[sdom]]="3EST",1,0)</f>
        <v>0</v>
      </c>
      <c r="AB165" s="12">
        <f>VLOOKUP(Tableau2[[#This Row],[essence]],Tableau5[],11,FALSE)</f>
        <v>0.40360000000000001</v>
      </c>
      <c r="AC165" s="12">
        <f>IF(Tableau2[[#This Row],[sdom]]="3OUEST",1,0)</f>
        <v>0</v>
      </c>
      <c r="AD165" s="12">
        <f>VLOOKUP(Tableau2[[#This Row],[essence]],Tableau5[],12,FALSE)</f>
        <v>0</v>
      </c>
      <c r="AE165" s="12">
        <f>IF(Tableau2[[#This Row],[sdom]]="4EST",1,0)</f>
        <v>0</v>
      </c>
      <c r="AF165" s="12">
        <f>VLOOKUP(Tableau2[[#This Row],[essence]],Tableau5[],13,FALSE)</f>
        <v>0</v>
      </c>
      <c r="AG165" s="12">
        <f>IF(Tableau2[[#This Row],[sdom]]="4OUEST",1,0)</f>
        <v>1</v>
      </c>
      <c r="AH165" s="12">
        <f>VLOOKUP(Tableau2[[#This Row],[essence]],Tableau5[],14,FALSE)</f>
        <v>0</v>
      </c>
      <c r="AI165" s="12">
        <f>IF(Tableau2[[#This Row],[sdom]]="5EST",1,0)</f>
        <v>0</v>
      </c>
      <c r="AJ165" s="12">
        <f>VLOOKUP(Tableau2[[#This Row],[essence]],Tableau5[],16,FALSE)</f>
        <v>0</v>
      </c>
      <c r="AK165" s="12">
        <f>IF(Tableau2[[#This Row],[sdom]]="5OUEST",1,0)</f>
        <v>0</v>
      </c>
      <c r="AL165" s="12">
        <f>VLOOKUP(Tableau2[[#This Row],[essence]],Tableau5[],17,FALSE)</f>
        <v>0</v>
      </c>
      <c r="AM165" s="12">
        <f>IF(Tableau2[[#This Row],[sdom]]="6EST",1,0)</f>
        <v>0</v>
      </c>
      <c r="AN165" s="12">
        <f>VLOOKUP(Tableau2[[#This Row],[essence]],Tableau5[],19,FALSE)</f>
        <v>0</v>
      </c>
      <c r="AO165" s="12">
        <f>IF(Tableau2[[#This Row],[priorecol]]="C",1,0)</f>
        <v>0</v>
      </c>
      <c r="AP165" s="12">
        <f>VLOOKUP(Tableau2[[#This Row],[essence]],Tableau5[],20,FALSE)</f>
        <v>0</v>
      </c>
      <c r="AQ165" s="12">
        <f>IF(Tableau2[[#This Row],[priorecol]]="R",1,0)</f>
        <v>1</v>
      </c>
      <c r="AR165" s="12">
        <f>VLOOKUP(Tableau2[[#This Row],[essence]],Tableau5[],21,FALSE)</f>
        <v>0</v>
      </c>
      <c r="AS165" s="12">
        <f>IF(Tableau2[[#This Row],[priorecol]]="S",1,0)</f>
        <v>0</v>
      </c>
      <c r="AT165" s="12">
        <f>VLOOKUP(Tableau2[[#This Row],[essence]],Tableau5[],22,FALSE)</f>
        <v>0.36130000000000001</v>
      </c>
      <c r="AU165" s="12">
        <f>VLOOKUP(Tableau2[[#This Row],[essence]],Tableau5[],23,FALSE)</f>
        <v>0</v>
      </c>
      <c r="AV165" s="12">
        <f>VLOOKUP(Tableau2[[#This Row],[essence]],Tableau5[],18,FALSE)</f>
        <v>0</v>
      </c>
      <c r="AW16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1.3616999999999997</v>
      </c>
      <c r="AX165" s="12">
        <f>1/(1+EXP(-Tableau2[[#This Row],[xb_c]]))</f>
        <v>0.79603585334275462</v>
      </c>
      <c r="AY165" s="12" t="str">
        <f t="shared" si="4"/>
        <v>NA</v>
      </c>
      <c r="AZ165" s="12" t="str">
        <f t="shared" si="5"/>
        <v>NA</v>
      </c>
      <c r="BA165" s="12">
        <f>Tableau2[[#This Row],[prob_c]]</f>
        <v>0.79603585334275462</v>
      </c>
      <c r="BB165" s="12">
        <f>1-Tableau2[[#This Row],[prob_c]]</f>
        <v>0.20396414665724538</v>
      </c>
    </row>
    <row r="166" spans="1:54" x14ac:dyDescent="0.25">
      <c r="A166" s="12">
        <v>7</v>
      </c>
      <c r="B166" s="12" t="s">
        <v>15</v>
      </c>
      <c r="C166" s="12">
        <v>2.1</v>
      </c>
      <c r="D166" s="12">
        <v>700</v>
      </c>
      <c r="E166" s="12">
        <v>20</v>
      </c>
      <c r="F166" s="12">
        <v>1</v>
      </c>
      <c r="G166" s="12">
        <v>21</v>
      </c>
      <c r="H166" s="12">
        <v>28</v>
      </c>
      <c r="I166" s="12" t="s">
        <v>25</v>
      </c>
      <c r="J166" s="12" t="s">
        <v>29</v>
      </c>
      <c r="K166" s="12">
        <f>VLOOKUP(Tableau2[[#This Row],[essence]],Tableau5[],2,FALSE)</f>
        <v>-2.4066000000000001</v>
      </c>
      <c r="L166" s="12">
        <f>VLOOKUP(Tableau2[[#This Row],[essence]],Tableau5[],3,FALSE)</f>
        <v>1.0301</v>
      </c>
      <c r="M166" s="12">
        <f>IF(Tableau2[[#This Row],[priorecol]]="C",1,0)</f>
        <v>0</v>
      </c>
      <c r="N166" s="12">
        <f>VLOOKUP(Tableau2[[#This Row],[essence]],Tableau5[],4,FALSE)</f>
        <v>1.9907999999999999</v>
      </c>
      <c r="O166" s="12">
        <f>IF(Tableau2[[#This Row],[priorecol]]="R",1,0)</f>
        <v>0</v>
      </c>
      <c r="P166" s="12">
        <f>VLOOKUP(Tableau2[[#This Row],[essence]],Tableau5[],5,FALSE)</f>
        <v>1.1955</v>
      </c>
      <c r="Q166" s="12">
        <f>IF(Tableau2[[#This Row],[priorecol]]="S",1,0)</f>
        <v>1</v>
      </c>
      <c r="R166" s="12">
        <f>VLOOKUP(Tableau2[[#This Row],[essence]],Tableau5[],6,FALSE)</f>
        <v>4.2599999999999999E-2</v>
      </c>
      <c r="S166" s="12">
        <f>VLOOKUP(Tableau2[[#This Row],[essence]],Tableau5[],15,FALSE)</f>
        <v>1.3299999999999999E-2</v>
      </c>
      <c r="T166" s="12">
        <f>VLOOKUP(Tableau2[[#This Row],[essence]],Tableau5[],7,FALSE)</f>
        <v>0</v>
      </c>
      <c r="U166" s="12">
        <f>IF(Tableau2[[#This Row],[sdom]]=1,1,0)</f>
        <v>0</v>
      </c>
      <c r="V166" s="12">
        <f>VLOOKUP(Tableau2[[#This Row],[essence]],Tableau5[],8,FALSE)</f>
        <v>0.72299999999999998</v>
      </c>
      <c r="W166" s="12">
        <f>IF(Tableau2[[#This Row],[sdom]]="2EST",1,0)</f>
        <v>0</v>
      </c>
      <c r="X166" s="12">
        <f>VLOOKUP(Tableau2[[#This Row],[essence]],Tableau5[],9,FALSE)</f>
        <v>0.28749999999999998</v>
      </c>
      <c r="Y166" s="12">
        <f>IF(Tableau2[[#This Row],[sdom]]="2OUEST",1,0)</f>
        <v>0</v>
      </c>
      <c r="Z166" s="12">
        <f>VLOOKUP(Tableau2[[#This Row],[essence]],Tableau5[],10,FALSE)</f>
        <v>0.5746</v>
      </c>
      <c r="AA166" s="12">
        <f>IF(Tableau2[[#This Row],[sdom]]="3EST",1,0)</f>
        <v>0</v>
      </c>
      <c r="AB166" s="12">
        <f>VLOOKUP(Tableau2[[#This Row],[essence]],Tableau5[],11,FALSE)</f>
        <v>0.40360000000000001</v>
      </c>
      <c r="AC166" s="12">
        <f>IF(Tableau2[[#This Row],[sdom]]="3OUEST",1,0)</f>
        <v>0</v>
      </c>
      <c r="AD166" s="12">
        <f>VLOOKUP(Tableau2[[#This Row],[essence]],Tableau5[],12,FALSE)</f>
        <v>0</v>
      </c>
      <c r="AE166" s="12">
        <f>IF(Tableau2[[#This Row],[sdom]]="4EST",1,0)</f>
        <v>0</v>
      </c>
      <c r="AF166" s="12">
        <f>VLOOKUP(Tableau2[[#This Row],[essence]],Tableau5[],13,FALSE)</f>
        <v>0</v>
      </c>
      <c r="AG166" s="12">
        <f>IF(Tableau2[[#This Row],[sdom]]="4OUEST",1,0)</f>
        <v>1</v>
      </c>
      <c r="AH166" s="12">
        <f>VLOOKUP(Tableau2[[#This Row],[essence]],Tableau5[],14,FALSE)</f>
        <v>0</v>
      </c>
      <c r="AI166" s="12">
        <f>IF(Tableau2[[#This Row],[sdom]]="5EST",1,0)</f>
        <v>0</v>
      </c>
      <c r="AJ166" s="12">
        <f>VLOOKUP(Tableau2[[#This Row],[essence]],Tableau5[],16,FALSE)</f>
        <v>0</v>
      </c>
      <c r="AK166" s="12">
        <f>IF(Tableau2[[#This Row],[sdom]]="5OUEST",1,0)</f>
        <v>0</v>
      </c>
      <c r="AL166" s="12">
        <f>VLOOKUP(Tableau2[[#This Row],[essence]],Tableau5[],17,FALSE)</f>
        <v>0</v>
      </c>
      <c r="AM166" s="12">
        <f>IF(Tableau2[[#This Row],[sdom]]="6EST",1,0)</f>
        <v>0</v>
      </c>
      <c r="AN166" s="12">
        <f>VLOOKUP(Tableau2[[#This Row],[essence]],Tableau5[],19,FALSE)</f>
        <v>0</v>
      </c>
      <c r="AO166" s="12">
        <f>IF(Tableau2[[#This Row],[priorecol]]="C",1,0)</f>
        <v>0</v>
      </c>
      <c r="AP166" s="12">
        <f>VLOOKUP(Tableau2[[#This Row],[essence]],Tableau5[],20,FALSE)</f>
        <v>0</v>
      </c>
      <c r="AQ166" s="12">
        <f>IF(Tableau2[[#This Row],[priorecol]]="R",1,0)</f>
        <v>0</v>
      </c>
      <c r="AR166" s="12">
        <f>VLOOKUP(Tableau2[[#This Row],[essence]],Tableau5[],21,FALSE)</f>
        <v>0</v>
      </c>
      <c r="AS166" s="12">
        <f>IF(Tableau2[[#This Row],[priorecol]]="S",1,0)</f>
        <v>1</v>
      </c>
      <c r="AT166" s="12">
        <f>VLOOKUP(Tableau2[[#This Row],[essence]],Tableau5[],22,FALSE)</f>
        <v>0.36130000000000001</v>
      </c>
      <c r="AU166" s="12">
        <f>VLOOKUP(Tableau2[[#This Row],[essence]],Tableau5[],23,FALSE)</f>
        <v>0</v>
      </c>
      <c r="AV166" s="12">
        <f>VLOOKUP(Tableau2[[#This Row],[essence]],Tableau5[],18,FALSE)</f>
        <v>0</v>
      </c>
      <c r="AW16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0.60899999999999999</v>
      </c>
      <c r="AX166" s="12">
        <f>1/(1+EXP(-Tableau2[[#This Row],[xb_c]]))</f>
        <v>0.64771265482829532</v>
      </c>
      <c r="AY166" s="12" t="str">
        <f t="shared" si="4"/>
        <v>NA</v>
      </c>
      <c r="AZ166" s="12" t="str">
        <f t="shared" si="5"/>
        <v>NA</v>
      </c>
      <c r="BA166" s="12">
        <f>Tableau2[[#This Row],[prob_c]]</f>
        <v>0.64771265482829532</v>
      </c>
      <c r="BB166" s="12">
        <f>1-Tableau2[[#This Row],[prob_c]]</f>
        <v>0.35228734517170468</v>
      </c>
    </row>
    <row r="167" spans="1:54" x14ac:dyDescent="0.25">
      <c r="A167" s="12">
        <v>7</v>
      </c>
      <c r="B167" s="12" t="s">
        <v>15</v>
      </c>
      <c r="C167" s="12">
        <v>2.1</v>
      </c>
      <c r="D167" s="12">
        <v>700</v>
      </c>
      <c r="E167" s="12">
        <v>20</v>
      </c>
      <c r="F167" s="12">
        <v>1</v>
      </c>
      <c r="G167" s="12">
        <v>22</v>
      </c>
      <c r="H167" s="12">
        <v>29</v>
      </c>
      <c r="I167" s="12" t="s">
        <v>26</v>
      </c>
      <c r="J167" s="12" t="s">
        <v>27</v>
      </c>
      <c r="K167" s="12">
        <f>VLOOKUP(Tableau2[[#This Row],[essence]],Tableau5[],2,FALSE)</f>
        <v>-9.0399999999999994E-2</v>
      </c>
      <c r="L167" s="12">
        <f>VLOOKUP(Tableau2[[#This Row],[essence]],Tableau5[],3,FALSE)</f>
        <v>1.0844</v>
      </c>
      <c r="M167" s="12">
        <f>IF(Tableau2[[#This Row],[priorecol]]="C",1,0)</f>
        <v>1</v>
      </c>
      <c r="N167" s="12">
        <f>VLOOKUP(Tableau2[[#This Row],[essence]],Tableau5[],4,FALSE)</f>
        <v>-1.3041</v>
      </c>
      <c r="O167" s="12">
        <f>IF(Tableau2[[#This Row],[priorecol]]="R",1,0)</f>
        <v>0</v>
      </c>
      <c r="P167" s="12">
        <f>VLOOKUP(Tableau2[[#This Row],[essence]],Tableau5[],5,FALSE)</f>
        <v>-0.79790000000000005</v>
      </c>
      <c r="Q167" s="12">
        <f>IF(Tableau2[[#This Row],[priorecol]]="S",1,0)</f>
        <v>0</v>
      </c>
      <c r="R167" s="12">
        <f>VLOOKUP(Tableau2[[#This Row],[essence]],Tableau5[],6,FALSE)</f>
        <v>-5.3E-3</v>
      </c>
      <c r="S167" s="12">
        <f>VLOOKUP(Tableau2[[#This Row],[essence]],Tableau5[],15,FALSE)</f>
        <v>1.2500000000000001E-2</v>
      </c>
      <c r="T167" s="12">
        <f>VLOOKUP(Tableau2[[#This Row],[essence]],Tableau5[],7,FALSE)</f>
        <v>0</v>
      </c>
      <c r="U167" s="12">
        <f>IF(Tableau2[[#This Row],[sdom]]=1,1,0)</f>
        <v>0</v>
      </c>
      <c r="V167" s="12">
        <f>VLOOKUP(Tableau2[[#This Row],[essence]],Tableau5[],8,FALSE)</f>
        <v>0.1497</v>
      </c>
      <c r="W167" s="12">
        <f>IF(Tableau2[[#This Row],[sdom]]="2EST",1,0)</f>
        <v>0</v>
      </c>
      <c r="X167" s="12">
        <f>VLOOKUP(Tableau2[[#This Row],[essence]],Tableau5[],9,FALSE)</f>
        <v>0.4839</v>
      </c>
      <c r="Y167" s="12">
        <f>IF(Tableau2[[#This Row],[sdom]]="2OUEST",1,0)</f>
        <v>0</v>
      </c>
      <c r="Z167" s="12">
        <f>VLOOKUP(Tableau2[[#This Row],[essence]],Tableau5[],10,FALSE)</f>
        <v>-0.14019999999999999</v>
      </c>
      <c r="AA167" s="12">
        <f>IF(Tableau2[[#This Row],[sdom]]="3EST",1,0)</f>
        <v>0</v>
      </c>
      <c r="AB167" s="12">
        <f>VLOOKUP(Tableau2[[#This Row],[essence]],Tableau5[],11,FALSE)</f>
        <v>0.65649999999999997</v>
      </c>
      <c r="AC167" s="12">
        <f>IF(Tableau2[[#This Row],[sdom]]="3OUEST",1,0)</f>
        <v>0</v>
      </c>
      <c r="AD167" s="12">
        <f>VLOOKUP(Tableau2[[#This Row],[essence]],Tableau5[],12,FALSE)</f>
        <v>-1.21E-2</v>
      </c>
      <c r="AE167" s="12">
        <f>IF(Tableau2[[#This Row],[sdom]]="4EST",1,0)</f>
        <v>0</v>
      </c>
      <c r="AF167" s="12">
        <f>VLOOKUP(Tableau2[[#This Row],[essence]],Tableau5[],13,FALSE)</f>
        <v>0.52600000000000002</v>
      </c>
      <c r="AG167" s="12">
        <f>IF(Tableau2[[#This Row],[sdom]]="4OUEST",1,0)</f>
        <v>1</v>
      </c>
      <c r="AH167" s="12">
        <f>VLOOKUP(Tableau2[[#This Row],[essence]],Tableau5[],14,FALSE)</f>
        <v>-0.753</v>
      </c>
      <c r="AI167" s="12">
        <f>IF(Tableau2[[#This Row],[sdom]]="5EST",1,0)</f>
        <v>0</v>
      </c>
      <c r="AJ167" s="12">
        <f>VLOOKUP(Tableau2[[#This Row],[essence]],Tableau5[],16,FALSE)</f>
        <v>0</v>
      </c>
      <c r="AK167" s="12">
        <f>IF(Tableau2[[#This Row],[sdom]]="5OUEST",1,0)</f>
        <v>0</v>
      </c>
      <c r="AL167" s="12">
        <f>VLOOKUP(Tableau2[[#This Row],[essence]],Tableau5[],17,FALSE)</f>
        <v>0</v>
      </c>
      <c r="AM167" s="12">
        <f>IF(Tableau2[[#This Row],[sdom]]="6EST",1,0)</f>
        <v>0</v>
      </c>
      <c r="AN167" s="12">
        <f>VLOOKUP(Tableau2[[#This Row],[essence]],Tableau5[],19,FALSE)</f>
        <v>3.04E-2</v>
      </c>
      <c r="AO167" s="12">
        <f>IF(Tableau2[[#This Row],[priorecol]]="C",1,0)</f>
        <v>1</v>
      </c>
      <c r="AP167" s="12">
        <f>VLOOKUP(Tableau2[[#This Row],[essence]],Tableau5[],20,FALSE)</f>
        <v>0.14549999999999999</v>
      </c>
      <c r="AQ167" s="12">
        <f>IF(Tableau2[[#This Row],[priorecol]]="R",1,0)</f>
        <v>0</v>
      </c>
      <c r="AR167" s="12">
        <f>VLOOKUP(Tableau2[[#This Row],[essence]],Tableau5[],21,FALSE)</f>
        <v>7.8700000000000006E-2</v>
      </c>
      <c r="AS167" s="12">
        <f>IF(Tableau2[[#This Row],[priorecol]]="S",1,0)</f>
        <v>0</v>
      </c>
      <c r="AT167" s="12">
        <f>VLOOKUP(Tableau2[[#This Row],[essence]],Tableau5[],22,FALSE)</f>
        <v>0</v>
      </c>
      <c r="AU167" s="12">
        <f>VLOOKUP(Tableau2[[#This Row],[essence]],Tableau5[],23,FALSE)</f>
        <v>0</v>
      </c>
      <c r="AV167" s="12">
        <f>VLOOKUP(Tableau2[[#This Row],[essence]],Tableau5[],18,FALSE)</f>
        <v>0</v>
      </c>
      <c r="AW16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2.4979</v>
      </c>
      <c r="AX167" s="12">
        <f>1/(1+EXP(-Tableau2[[#This Row],[xb_c]]))</f>
        <v>0.92399447098473442</v>
      </c>
      <c r="AY167" s="12" t="str">
        <f t="shared" si="4"/>
        <v>NA</v>
      </c>
      <c r="AZ167" s="12" t="str">
        <f t="shared" si="5"/>
        <v>NA</v>
      </c>
      <c r="BA167" s="12">
        <f>Tableau2[[#This Row],[prob_c]]</f>
        <v>0.92399447098473442</v>
      </c>
      <c r="BB167" s="12">
        <f>1-Tableau2[[#This Row],[prob_c]]</f>
        <v>7.6005529015265583E-2</v>
      </c>
    </row>
    <row r="168" spans="1:54" x14ac:dyDescent="0.25">
      <c r="A168" s="12">
        <v>7</v>
      </c>
      <c r="B168" s="12" t="s">
        <v>15</v>
      </c>
      <c r="C168" s="12">
        <v>2.1</v>
      </c>
      <c r="D168" s="12">
        <v>700</v>
      </c>
      <c r="E168" s="12">
        <v>20</v>
      </c>
      <c r="F168" s="12">
        <v>1</v>
      </c>
      <c r="G168" s="12">
        <v>23</v>
      </c>
      <c r="H168" s="12">
        <v>30</v>
      </c>
      <c r="I168" s="12" t="s">
        <v>26</v>
      </c>
      <c r="J168" s="12" t="s">
        <v>28</v>
      </c>
      <c r="K168" s="12">
        <f>VLOOKUP(Tableau2[[#This Row],[essence]],Tableau5[],2,FALSE)</f>
        <v>-9.0399999999999994E-2</v>
      </c>
      <c r="L168" s="12">
        <f>VLOOKUP(Tableau2[[#This Row],[essence]],Tableau5[],3,FALSE)</f>
        <v>1.0844</v>
      </c>
      <c r="M168" s="12">
        <f>IF(Tableau2[[#This Row],[priorecol]]="C",1,0)</f>
        <v>0</v>
      </c>
      <c r="N168" s="12">
        <f>VLOOKUP(Tableau2[[#This Row],[essence]],Tableau5[],4,FALSE)</f>
        <v>-1.3041</v>
      </c>
      <c r="O168" s="12">
        <f>IF(Tableau2[[#This Row],[priorecol]]="R",1,0)</f>
        <v>1</v>
      </c>
      <c r="P168" s="12">
        <f>VLOOKUP(Tableau2[[#This Row],[essence]],Tableau5[],5,FALSE)</f>
        <v>-0.79790000000000005</v>
      </c>
      <c r="Q168" s="12">
        <f>IF(Tableau2[[#This Row],[priorecol]]="S",1,0)</f>
        <v>0</v>
      </c>
      <c r="R168" s="12">
        <f>VLOOKUP(Tableau2[[#This Row],[essence]],Tableau5[],6,FALSE)</f>
        <v>-5.3E-3</v>
      </c>
      <c r="S168" s="12">
        <f>VLOOKUP(Tableau2[[#This Row],[essence]],Tableau5[],15,FALSE)</f>
        <v>1.2500000000000001E-2</v>
      </c>
      <c r="T168" s="12">
        <f>VLOOKUP(Tableau2[[#This Row],[essence]],Tableau5[],7,FALSE)</f>
        <v>0</v>
      </c>
      <c r="U168" s="12">
        <f>IF(Tableau2[[#This Row],[sdom]]=1,1,0)</f>
        <v>0</v>
      </c>
      <c r="V168" s="12">
        <f>VLOOKUP(Tableau2[[#This Row],[essence]],Tableau5[],8,FALSE)</f>
        <v>0.1497</v>
      </c>
      <c r="W168" s="12">
        <f>IF(Tableau2[[#This Row],[sdom]]="2EST",1,0)</f>
        <v>0</v>
      </c>
      <c r="X168" s="12">
        <f>VLOOKUP(Tableau2[[#This Row],[essence]],Tableau5[],9,FALSE)</f>
        <v>0.4839</v>
      </c>
      <c r="Y168" s="12">
        <f>IF(Tableau2[[#This Row],[sdom]]="2OUEST",1,0)</f>
        <v>0</v>
      </c>
      <c r="Z168" s="12">
        <f>VLOOKUP(Tableau2[[#This Row],[essence]],Tableau5[],10,FALSE)</f>
        <v>-0.14019999999999999</v>
      </c>
      <c r="AA168" s="12">
        <f>IF(Tableau2[[#This Row],[sdom]]="3EST",1,0)</f>
        <v>0</v>
      </c>
      <c r="AB168" s="12">
        <f>VLOOKUP(Tableau2[[#This Row],[essence]],Tableau5[],11,FALSE)</f>
        <v>0.65649999999999997</v>
      </c>
      <c r="AC168" s="12">
        <f>IF(Tableau2[[#This Row],[sdom]]="3OUEST",1,0)</f>
        <v>0</v>
      </c>
      <c r="AD168" s="12">
        <f>VLOOKUP(Tableau2[[#This Row],[essence]],Tableau5[],12,FALSE)</f>
        <v>-1.21E-2</v>
      </c>
      <c r="AE168" s="12">
        <f>IF(Tableau2[[#This Row],[sdom]]="4EST",1,0)</f>
        <v>0</v>
      </c>
      <c r="AF168" s="12">
        <f>VLOOKUP(Tableau2[[#This Row],[essence]],Tableau5[],13,FALSE)</f>
        <v>0.52600000000000002</v>
      </c>
      <c r="AG168" s="12">
        <f>IF(Tableau2[[#This Row],[sdom]]="4OUEST",1,0)</f>
        <v>1</v>
      </c>
      <c r="AH168" s="12">
        <f>VLOOKUP(Tableau2[[#This Row],[essence]],Tableau5[],14,FALSE)</f>
        <v>-0.753</v>
      </c>
      <c r="AI168" s="12">
        <f>IF(Tableau2[[#This Row],[sdom]]="5EST",1,0)</f>
        <v>0</v>
      </c>
      <c r="AJ168" s="12">
        <f>VLOOKUP(Tableau2[[#This Row],[essence]],Tableau5[],16,FALSE)</f>
        <v>0</v>
      </c>
      <c r="AK168" s="12">
        <f>IF(Tableau2[[#This Row],[sdom]]="5OUEST",1,0)</f>
        <v>0</v>
      </c>
      <c r="AL168" s="12">
        <f>VLOOKUP(Tableau2[[#This Row],[essence]],Tableau5[],17,FALSE)</f>
        <v>0</v>
      </c>
      <c r="AM168" s="12">
        <f>IF(Tableau2[[#This Row],[sdom]]="6EST",1,0)</f>
        <v>0</v>
      </c>
      <c r="AN168" s="12">
        <f>VLOOKUP(Tableau2[[#This Row],[essence]],Tableau5[],19,FALSE)</f>
        <v>3.04E-2</v>
      </c>
      <c r="AO168" s="12">
        <f>IF(Tableau2[[#This Row],[priorecol]]="C",1,0)</f>
        <v>0</v>
      </c>
      <c r="AP168" s="12">
        <f>VLOOKUP(Tableau2[[#This Row],[essence]],Tableau5[],20,FALSE)</f>
        <v>0.14549999999999999</v>
      </c>
      <c r="AQ168" s="12">
        <f>IF(Tableau2[[#This Row],[priorecol]]="R",1,0)</f>
        <v>1</v>
      </c>
      <c r="AR168" s="12">
        <f>VLOOKUP(Tableau2[[#This Row],[essence]],Tableau5[],21,FALSE)</f>
        <v>7.8700000000000006E-2</v>
      </c>
      <c r="AS168" s="12">
        <f>IF(Tableau2[[#This Row],[priorecol]]="S",1,0)</f>
        <v>0</v>
      </c>
      <c r="AT168" s="12">
        <f>VLOOKUP(Tableau2[[#This Row],[essence]],Tableau5[],22,FALSE)</f>
        <v>0</v>
      </c>
      <c r="AU168" s="12">
        <f>VLOOKUP(Tableau2[[#This Row],[essence]],Tableau5[],23,FALSE)</f>
        <v>0</v>
      </c>
      <c r="AV168" s="12">
        <f>VLOOKUP(Tableau2[[#This Row],[essence]],Tableau5[],18,FALSE)</f>
        <v>0</v>
      </c>
      <c r="AW16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3.5874999999999995</v>
      </c>
      <c r="AX168" s="12">
        <f>1/(1+EXP(-Tableau2[[#This Row],[xb_c]]))</f>
        <v>0.97307746433554576</v>
      </c>
      <c r="AY168" s="12" t="str">
        <f t="shared" si="4"/>
        <v>NA</v>
      </c>
      <c r="AZ168" s="12" t="str">
        <f t="shared" si="5"/>
        <v>NA</v>
      </c>
      <c r="BA168" s="12">
        <f>Tableau2[[#This Row],[prob_c]]</f>
        <v>0.97307746433554576</v>
      </c>
      <c r="BB168" s="12">
        <f>1-Tableau2[[#This Row],[prob_c]]</f>
        <v>2.6922535664454239E-2</v>
      </c>
    </row>
    <row r="169" spans="1:54" x14ac:dyDescent="0.25">
      <c r="A169" s="12">
        <v>7</v>
      </c>
      <c r="B169" s="12" t="s">
        <v>15</v>
      </c>
      <c r="C169" s="12">
        <v>2.1</v>
      </c>
      <c r="D169" s="12">
        <v>700</v>
      </c>
      <c r="E169" s="12">
        <v>20</v>
      </c>
      <c r="F169" s="12">
        <v>1</v>
      </c>
      <c r="G169" s="12">
        <v>24</v>
      </c>
      <c r="H169" s="12">
        <v>31</v>
      </c>
      <c r="I169" s="12" t="s">
        <v>26</v>
      </c>
      <c r="J169" s="12" t="s">
        <v>29</v>
      </c>
      <c r="K169" s="12">
        <f>VLOOKUP(Tableau2[[#This Row],[essence]],Tableau5[],2,FALSE)</f>
        <v>-9.0399999999999994E-2</v>
      </c>
      <c r="L169" s="12">
        <f>VLOOKUP(Tableau2[[#This Row],[essence]],Tableau5[],3,FALSE)</f>
        <v>1.0844</v>
      </c>
      <c r="M169" s="12">
        <f>IF(Tableau2[[#This Row],[priorecol]]="C",1,0)</f>
        <v>0</v>
      </c>
      <c r="N169" s="12">
        <f>VLOOKUP(Tableau2[[#This Row],[essence]],Tableau5[],4,FALSE)</f>
        <v>-1.3041</v>
      </c>
      <c r="O169" s="12">
        <f>IF(Tableau2[[#This Row],[priorecol]]="R",1,0)</f>
        <v>0</v>
      </c>
      <c r="P169" s="12">
        <f>VLOOKUP(Tableau2[[#This Row],[essence]],Tableau5[],5,FALSE)</f>
        <v>-0.79790000000000005</v>
      </c>
      <c r="Q169" s="12">
        <f>IF(Tableau2[[#This Row],[priorecol]]="S",1,0)</f>
        <v>1</v>
      </c>
      <c r="R169" s="12">
        <f>VLOOKUP(Tableau2[[#This Row],[essence]],Tableau5[],6,FALSE)</f>
        <v>-5.3E-3</v>
      </c>
      <c r="S169" s="12">
        <f>VLOOKUP(Tableau2[[#This Row],[essence]],Tableau5[],15,FALSE)</f>
        <v>1.2500000000000001E-2</v>
      </c>
      <c r="T169" s="12">
        <f>VLOOKUP(Tableau2[[#This Row],[essence]],Tableau5[],7,FALSE)</f>
        <v>0</v>
      </c>
      <c r="U169" s="12">
        <f>IF(Tableau2[[#This Row],[sdom]]=1,1,0)</f>
        <v>0</v>
      </c>
      <c r="V169" s="12">
        <f>VLOOKUP(Tableau2[[#This Row],[essence]],Tableau5[],8,FALSE)</f>
        <v>0.1497</v>
      </c>
      <c r="W169" s="12">
        <f>IF(Tableau2[[#This Row],[sdom]]="2EST",1,0)</f>
        <v>0</v>
      </c>
      <c r="X169" s="12">
        <f>VLOOKUP(Tableau2[[#This Row],[essence]],Tableau5[],9,FALSE)</f>
        <v>0.4839</v>
      </c>
      <c r="Y169" s="12">
        <f>IF(Tableau2[[#This Row],[sdom]]="2OUEST",1,0)</f>
        <v>0</v>
      </c>
      <c r="Z169" s="12">
        <f>VLOOKUP(Tableau2[[#This Row],[essence]],Tableau5[],10,FALSE)</f>
        <v>-0.14019999999999999</v>
      </c>
      <c r="AA169" s="12">
        <f>IF(Tableau2[[#This Row],[sdom]]="3EST",1,0)</f>
        <v>0</v>
      </c>
      <c r="AB169" s="12">
        <f>VLOOKUP(Tableau2[[#This Row],[essence]],Tableau5[],11,FALSE)</f>
        <v>0.65649999999999997</v>
      </c>
      <c r="AC169" s="12">
        <f>IF(Tableau2[[#This Row],[sdom]]="3OUEST",1,0)</f>
        <v>0</v>
      </c>
      <c r="AD169" s="12">
        <f>VLOOKUP(Tableau2[[#This Row],[essence]],Tableau5[],12,FALSE)</f>
        <v>-1.21E-2</v>
      </c>
      <c r="AE169" s="12">
        <f>IF(Tableau2[[#This Row],[sdom]]="4EST",1,0)</f>
        <v>0</v>
      </c>
      <c r="AF169" s="12">
        <f>VLOOKUP(Tableau2[[#This Row],[essence]],Tableau5[],13,FALSE)</f>
        <v>0.52600000000000002</v>
      </c>
      <c r="AG169" s="12">
        <f>IF(Tableau2[[#This Row],[sdom]]="4OUEST",1,0)</f>
        <v>1</v>
      </c>
      <c r="AH169" s="12">
        <f>VLOOKUP(Tableau2[[#This Row],[essence]],Tableau5[],14,FALSE)</f>
        <v>-0.753</v>
      </c>
      <c r="AI169" s="12">
        <f>IF(Tableau2[[#This Row],[sdom]]="5EST",1,0)</f>
        <v>0</v>
      </c>
      <c r="AJ169" s="12">
        <f>VLOOKUP(Tableau2[[#This Row],[essence]],Tableau5[],16,FALSE)</f>
        <v>0</v>
      </c>
      <c r="AK169" s="12">
        <f>IF(Tableau2[[#This Row],[sdom]]="5OUEST",1,0)</f>
        <v>0</v>
      </c>
      <c r="AL169" s="12">
        <f>VLOOKUP(Tableau2[[#This Row],[essence]],Tableau5[],17,FALSE)</f>
        <v>0</v>
      </c>
      <c r="AM169" s="12">
        <f>IF(Tableau2[[#This Row],[sdom]]="6EST",1,0)</f>
        <v>0</v>
      </c>
      <c r="AN169" s="12">
        <f>VLOOKUP(Tableau2[[#This Row],[essence]],Tableau5[],19,FALSE)</f>
        <v>3.04E-2</v>
      </c>
      <c r="AO169" s="12">
        <f>IF(Tableau2[[#This Row],[priorecol]]="C",1,0)</f>
        <v>0</v>
      </c>
      <c r="AP169" s="12">
        <f>VLOOKUP(Tableau2[[#This Row],[essence]],Tableau5[],20,FALSE)</f>
        <v>0.14549999999999999</v>
      </c>
      <c r="AQ169" s="12">
        <f>IF(Tableau2[[#This Row],[priorecol]]="R",1,0)</f>
        <v>0</v>
      </c>
      <c r="AR169" s="12">
        <f>VLOOKUP(Tableau2[[#This Row],[essence]],Tableau5[],21,FALSE)</f>
        <v>7.8700000000000006E-2</v>
      </c>
      <c r="AS169" s="12">
        <f>IF(Tableau2[[#This Row],[priorecol]]="S",1,0)</f>
        <v>1</v>
      </c>
      <c r="AT169" s="12">
        <f>VLOOKUP(Tableau2[[#This Row],[essence]],Tableau5[],22,FALSE)</f>
        <v>0</v>
      </c>
      <c r="AU169" s="12">
        <f>VLOOKUP(Tableau2[[#This Row],[essence]],Tableau5[],23,FALSE)</f>
        <v>0</v>
      </c>
      <c r="AV169" s="12">
        <f>VLOOKUP(Tableau2[[#This Row],[essence]],Tableau5[],18,FALSE)</f>
        <v>0</v>
      </c>
      <c r="AW16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2.1631</v>
      </c>
      <c r="AX169" s="12">
        <f>1/(1+EXP(-Tableau2[[#This Row],[xb_c]]))</f>
        <v>0.89688659267709414</v>
      </c>
      <c r="AY169" s="12" t="str">
        <f t="shared" si="4"/>
        <v>NA</v>
      </c>
      <c r="AZ169" s="12" t="str">
        <f t="shared" si="5"/>
        <v>NA</v>
      </c>
      <c r="BA169" s="12">
        <f>Tableau2[[#This Row],[prob_c]]</f>
        <v>0.89688659267709414</v>
      </c>
      <c r="BB169" s="12">
        <f>1-Tableau2[[#This Row],[prob_c]]</f>
        <v>0.10311340732290586</v>
      </c>
    </row>
    <row r="170" spans="1:54" x14ac:dyDescent="0.25">
      <c r="A170" s="12">
        <v>8</v>
      </c>
      <c r="B170" s="12" t="s">
        <v>16</v>
      </c>
      <c r="C170" s="12">
        <v>2.1</v>
      </c>
      <c r="D170" s="12">
        <v>700</v>
      </c>
      <c r="E170" s="12">
        <v>20</v>
      </c>
      <c r="F170" s="12">
        <v>1</v>
      </c>
      <c r="G170" s="12">
        <v>1</v>
      </c>
      <c r="H170" s="12">
        <v>32</v>
      </c>
      <c r="I170" s="12" t="s">
        <v>19</v>
      </c>
      <c r="J170" s="12" t="s">
        <v>27</v>
      </c>
      <c r="K170" s="12">
        <f>VLOOKUP(Tableau2[[#This Row],[essence]],Tableau5[],2,FALSE)</f>
        <v>-1.806</v>
      </c>
      <c r="L170" s="12">
        <f>VLOOKUP(Tableau2[[#This Row],[essence]],Tableau5[],3,FALSE)</f>
        <v>1.2398</v>
      </c>
      <c r="M170" s="12">
        <f>IF(Tableau2[[#This Row],[priorecol]]="C",1,0)</f>
        <v>1</v>
      </c>
      <c r="N170" s="12">
        <f>VLOOKUP(Tableau2[[#This Row],[essence]],Tableau5[],4,FALSE)</f>
        <v>2.6488</v>
      </c>
      <c r="O170" s="12">
        <f>IF(Tableau2[[#This Row],[priorecol]]="R",1,0)</f>
        <v>0</v>
      </c>
      <c r="P170" s="12">
        <f>VLOOKUP(Tableau2[[#This Row],[essence]],Tableau5[],5,FALSE)</f>
        <v>0.61070000000000002</v>
      </c>
      <c r="Q170" s="12">
        <f>IF(Tableau2[[#This Row],[priorecol]]="S",1,0)</f>
        <v>0</v>
      </c>
      <c r="R170" s="12">
        <f>VLOOKUP(Tableau2[[#This Row],[essence]],Tableau5[],6,FALSE)</f>
        <v>5.67E-2</v>
      </c>
      <c r="S170" s="12">
        <f>VLOOKUP(Tableau2[[#This Row],[essence]],Tableau5[],15,FALSE)</f>
        <v>1.35E-2</v>
      </c>
      <c r="T170" s="12">
        <f>VLOOKUP(Tableau2[[#This Row],[essence]],Tableau5[],7,FALSE)</f>
        <v>0.95779999999999998</v>
      </c>
      <c r="U170" s="12">
        <f>IF(Tableau2[[#This Row],[sdom]]=1,1,0)</f>
        <v>0</v>
      </c>
      <c r="V170" s="12">
        <f>VLOOKUP(Tableau2[[#This Row],[essence]],Tableau5[],8,FALSE)</f>
        <v>0.66500000000000004</v>
      </c>
      <c r="W170" s="12">
        <f>IF(Tableau2[[#This Row],[sdom]]="2EST",1,0)</f>
        <v>0</v>
      </c>
      <c r="X170" s="12">
        <f>VLOOKUP(Tableau2[[#This Row],[essence]],Tableau5[],9,FALSE)</f>
        <v>0.32479999999999998</v>
      </c>
      <c r="Y170" s="12">
        <f>IF(Tableau2[[#This Row],[sdom]]="2OUEST",1,0)</f>
        <v>0</v>
      </c>
      <c r="Z170" s="12">
        <f>VLOOKUP(Tableau2[[#This Row],[essence]],Tableau5[],10,FALSE)</f>
        <v>0.62949999999999995</v>
      </c>
      <c r="AA170" s="12">
        <f>IF(Tableau2[[#This Row],[sdom]]="3EST",1,0)</f>
        <v>0</v>
      </c>
      <c r="AB170" s="12">
        <f>VLOOKUP(Tableau2[[#This Row],[essence]],Tableau5[],11,FALSE)</f>
        <v>0.56679999999999997</v>
      </c>
      <c r="AC170" s="12">
        <f>IF(Tableau2[[#This Row],[sdom]]="3OUEST",1,0)</f>
        <v>0</v>
      </c>
      <c r="AD170" s="12">
        <f>VLOOKUP(Tableau2[[#This Row],[essence]],Tableau5[],12,FALSE)</f>
        <v>0.21729999999999999</v>
      </c>
      <c r="AE170" s="12">
        <f>IF(Tableau2[[#This Row],[sdom]]="4EST",1,0)</f>
        <v>0</v>
      </c>
      <c r="AF170" s="12">
        <f>VLOOKUP(Tableau2[[#This Row],[essence]],Tableau5[],13,FALSE)</f>
        <v>0.39939999999999998</v>
      </c>
      <c r="AG170" s="12">
        <f>IF(Tableau2[[#This Row],[sdom]]="4OUEST",1,0)</f>
        <v>0</v>
      </c>
      <c r="AH170" s="12">
        <f>VLOOKUP(Tableau2[[#This Row],[essence]],Tableau5[],14,FALSE)</f>
        <v>6.5299999999999997E-2</v>
      </c>
      <c r="AI170" s="12">
        <f>IF(Tableau2[[#This Row],[sdom]]="5EST",1,0)</f>
        <v>1</v>
      </c>
      <c r="AJ170" s="12">
        <f>VLOOKUP(Tableau2[[#This Row],[essence]],Tableau5[],16,FALSE)</f>
        <v>0</v>
      </c>
      <c r="AK170" s="12">
        <f>IF(Tableau2[[#This Row],[sdom]]="5OUEST",1,0)</f>
        <v>0</v>
      </c>
      <c r="AL170" s="12">
        <f>VLOOKUP(Tableau2[[#This Row],[essence]],Tableau5[],17,FALSE)</f>
        <v>0</v>
      </c>
      <c r="AM170" s="12">
        <f>IF(Tableau2[[#This Row],[sdom]]="6EST",1,0)</f>
        <v>0</v>
      </c>
      <c r="AN170" s="12">
        <f>VLOOKUP(Tableau2[[#This Row],[essence]],Tableau5[],19,FALSE)</f>
        <v>0</v>
      </c>
      <c r="AO170" s="12">
        <f>IF(Tableau2[[#This Row],[priorecol]]="C",1,0)</f>
        <v>1</v>
      </c>
      <c r="AP170" s="12">
        <f>VLOOKUP(Tableau2[[#This Row],[essence]],Tableau5[],20,FALSE)</f>
        <v>0</v>
      </c>
      <c r="AQ170" s="12">
        <f>IF(Tableau2[[#This Row],[priorecol]]="R",1,0)</f>
        <v>0</v>
      </c>
      <c r="AR170" s="12">
        <f>VLOOKUP(Tableau2[[#This Row],[essence]],Tableau5[],21,FALSE)</f>
        <v>0</v>
      </c>
      <c r="AS170" s="12">
        <f>IF(Tableau2[[#This Row],[priorecol]]="S",1,0)</f>
        <v>0</v>
      </c>
      <c r="AT170" s="12">
        <f>VLOOKUP(Tableau2[[#This Row],[essence]],Tableau5[],22,FALSE)</f>
        <v>0</v>
      </c>
      <c r="AU170" s="12">
        <f>VLOOKUP(Tableau2[[#This Row],[essence]],Tableau5[],23,FALSE)</f>
        <v>0</v>
      </c>
      <c r="AV170" s="12">
        <f>VLOOKUP(Tableau2[[#This Row],[essence]],Tableau5[],18,FALSE)</f>
        <v>0</v>
      </c>
      <c r="AW17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1.5834999999999999</v>
      </c>
      <c r="AX170" s="12">
        <f>1/(1+EXP(-Tableau2[[#This Row],[xb_c]]))</f>
        <v>0.82969963234229704</v>
      </c>
      <c r="AY170" s="12" t="str">
        <f t="shared" si="4"/>
        <v>NA</v>
      </c>
      <c r="AZ170" s="12" t="str">
        <f t="shared" si="5"/>
        <v>NA</v>
      </c>
      <c r="BA170" s="12">
        <f>Tableau2[[#This Row],[prob_c]]</f>
        <v>0.82969963234229704</v>
      </c>
      <c r="BB170" s="12">
        <f>1-Tableau2[[#This Row],[prob_c]]</f>
        <v>0.17030036765770296</v>
      </c>
    </row>
    <row r="171" spans="1:54" x14ac:dyDescent="0.25">
      <c r="A171" s="12">
        <v>8</v>
      </c>
      <c r="B171" s="12" t="s">
        <v>16</v>
      </c>
      <c r="C171" s="12">
        <v>2.1</v>
      </c>
      <c r="D171" s="12">
        <v>700</v>
      </c>
      <c r="E171" s="12">
        <v>20</v>
      </c>
      <c r="F171" s="12">
        <v>1</v>
      </c>
      <c r="G171" s="12">
        <v>2</v>
      </c>
      <c r="H171" s="12">
        <v>33</v>
      </c>
      <c r="I171" s="12" t="s">
        <v>19</v>
      </c>
      <c r="J171" s="12" t="s">
        <v>28</v>
      </c>
      <c r="K171" s="12">
        <f>VLOOKUP(Tableau2[[#This Row],[essence]],Tableau5[],2,FALSE)</f>
        <v>-1.806</v>
      </c>
      <c r="L171" s="12">
        <f>VLOOKUP(Tableau2[[#This Row],[essence]],Tableau5[],3,FALSE)</f>
        <v>1.2398</v>
      </c>
      <c r="M171" s="12">
        <f>IF(Tableau2[[#This Row],[priorecol]]="C",1,0)</f>
        <v>0</v>
      </c>
      <c r="N171" s="12">
        <f>VLOOKUP(Tableau2[[#This Row],[essence]],Tableau5[],4,FALSE)</f>
        <v>2.6488</v>
      </c>
      <c r="O171" s="12">
        <f>IF(Tableau2[[#This Row],[priorecol]]="R",1,0)</f>
        <v>1</v>
      </c>
      <c r="P171" s="12">
        <f>VLOOKUP(Tableau2[[#This Row],[essence]],Tableau5[],5,FALSE)</f>
        <v>0.61070000000000002</v>
      </c>
      <c r="Q171" s="12">
        <f>IF(Tableau2[[#This Row],[priorecol]]="S",1,0)</f>
        <v>0</v>
      </c>
      <c r="R171" s="12">
        <f>VLOOKUP(Tableau2[[#This Row],[essence]],Tableau5[],6,FALSE)</f>
        <v>5.67E-2</v>
      </c>
      <c r="S171" s="12">
        <f>VLOOKUP(Tableau2[[#This Row],[essence]],Tableau5[],15,FALSE)</f>
        <v>1.35E-2</v>
      </c>
      <c r="T171" s="12">
        <f>VLOOKUP(Tableau2[[#This Row],[essence]],Tableau5[],7,FALSE)</f>
        <v>0.95779999999999998</v>
      </c>
      <c r="U171" s="12">
        <f>IF(Tableau2[[#This Row],[sdom]]=1,1,0)</f>
        <v>0</v>
      </c>
      <c r="V171" s="12">
        <f>VLOOKUP(Tableau2[[#This Row],[essence]],Tableau5[],8,FALSE)</f>
        <v>0.66500000000000004</v>
      </c>
      <c r="W171" s="12">
        <f>IF(Tableau2[[#This Row],[sdom]]="2EST",1,0)</f>
        <v>0</v>
      </c>
      <c r="X171" s="12">
        <f>VLOOKUP(Tableau2[[#This Row],[essence]],Tableau5[],9,FALSE)</f>
        <v>0.32479999999999998</v>
      </c>
      <c r="Y171" s="12">
        <f>IF(Tableau2[[#This Row],[sdom]]="2OUEST",1,0)</f>
        <v>0</v>
      </c>
      <c r="Z171" s="12">
        <f>VLOOKUP(Tableau2[[#This Row],[essence]],Tableau5[],10,FALSE)</f>
        <v>0.62949999999999995</v>
      </c>
      <c r="AA171" s="12">
        <f>IF(Tableau2[[#This Row],[sdom]]="3EST",1,0)</f>
        <v>0</v>
      </c>
      <c r="AB171" s="12">
        <f>VLOOKUP(Tableau2[[#This Row],[essence]],Tableau5[],11,FALSE)</f>
        <v>0.56679999999999997</v>
      </c>
      <c r="AC171" s="12">
        <f>IF(Tableau2[[#This Row],[sdom]]="3OUEST",1,0)</f>
        <v>0</v>
      </c>
      <c r="AD171" s="12">
        <f>VLOOKUP(Tableau2[[#This Row],[essence]],Tableau5[],12,FALSE)</f>
        <v>0.21729999999999999</v>
      </c>
      <c r="AE171" s="12">
        <f>IF(Tableau2[[#This Row],[sdom]]="4EST",1,0)</f>
        <v>0</v>
      </c>
      <c r="AF171" s="12">
        <f>VLOOKUP(Tableau2[[#This Row],[essence]],Tableau5[],13,FALSE)</f>
        <v>0.39939999999999998</v>
      </c>
      <c r="AG171" s="12">
        <f>IF(Tableau2[[#This Row],[sdom]]="4OUEST",1,0)</f>
        <v>0</v>
      </c>
      <c r="AH171" s="12">
        <f>VLOOKUP(Tableau2[[#This Row],[essence]],Tableau5[],14,FALSE)</f>
        <v>6.5299999999999997E-2</v>
      </c>
      <c r="AI171" s="12">
        <f>IF(Tableau2[[#This Row],[sdom]]="5EST",1,0)</f>
        <v>1</v>
      </c>
      <c r="AJ171" s="12">
        <f>VLOOKUP(Tableau2[[#This Row],[essence]],Tableau5[],16,FALSE)</f>
        <v>0</v>
      </c>
      <c r="AK171" s="12">
        <f>IF(Tableau2[[#This Row],[sdom]]="5OUEST",1,0)</f>
        <v>0</v>
      </c>
      <c r="AL171" s="12">
        <f>VLOOKUP(Tableau2[[#This Row],[essence]],Tableau5[],17,FALSE)</f>
        <v>0</v>
      </c>
      <c r="AM171" s="12">
        <f>IF(Tableau2[[#This Row],[sdom]]="6EST",1,0)</f>
        <v>0</v>
      </c>
      <c r="AN171" s="12">
        <f>VLOOKUP(Tableau2[[#This Row],[essence]],Tableau5[],19,FALSE)</f>
        <v>0</v>
      </c>
      <c r="AO171" s="12">
        <f>IF(Tableau2[[#This Row],[priorecol]]="C",1,0)</f>
        <v>0</v>
      </c>
      <c r="AP171" s="12">
        <f>VLOOKUP(Tableau2[[#This Row],[essence]],Tableau5[],20,FALSE)</f>
        <v>0</v>
      </c>
      <c r="AQ171" s="12">
        <f>IF(Tableau2[[#This Row],[priorecol]]="R",1,0)</f>
        <v>1</v>
      </c>
      <c r="AR171" s="12">
        <f>VLOOKUP(Tableau2[[#This Row],[essence]],Tableau5[],21,FALSE)</f>
        <v>0</v>
      </c>
      <c r="AS171" s="12">
        <f>IF(Tableau2[[#This Row],[priorecol]]="S",1,0)</f>
        <v>0</v>
      </c>
      <c r="AT171" s="12">
        <f>VLOOKUP(Tableau2[[#This Row],[essence]],Tableau5[],22,FALSE)</f>
        <v>0</v>
      </c>
      <c r="AU171" s="12">
        <f>VLOOKUP(Tableau2[[#This Row],[essence]],Tableau5[],23,FALSE)</f>
        <v>0</v>
      </c>
      <c r="AV171" s="12">
        <f>VLOOKUP(Tableau2[[#This Row],[essence]],Tableau5[],18,FALSE)</f>
        <v>0</v>
      </c>
      <c r="AW17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3.0491999999999999</v>
      </c>
      <c r="AX171" s="12">
        <f>1/(1+EXP(-Tableau2[[#This Row],[xb_c]]))</f>
        <v>0.95474797566519631</v>
      </c>
      <c r="AY171" s="12" t="str">
        <f t="shared" si="4"/>
        <v>NA</v>
      </c>
      <c r="AZ171" s="12" t="str">
        <f t="shared" si="5"/>
        <v>NA</v>
      </c>
      <c r="BA171" s="12">
        <f>Tableau2[[#This Row],[prob_c]]</f>
        <v>0.95474797566519631</v>
      </c>
      <c r="BB171" s="12">
        <f>1-Tableau2[[#This Row],[prob_c]]</f>
        <v>4.5252024334803687E-2</v>
      </c>
    </row>
    <row r="172" spans="1:54" x14ac:dyDescent="0.25">
      <c r="A172" s="12">
        <v>8</v>
      </c>
      <c r="B172" s="12" t="s">
        <v>16</v>
      </c>
      <c r="C172" s="12">
        <v>2.1</v>
      </c>
      <c r="D172" s="12">
        <v>700</v>
      </c>
      <c r="E172" s="12">
        <v>20</v>
      </c>
      <c r="F172" s="12">
        <v>1</v>
      </c>
      <c r="G172" s="12">
        <v>3</v>
      </c>
      <c r="H172" s="12">
        <v>24</v>
      </c>
      <c r="I172" s="12" t="s">
        <v>19</v>
      </c>
      <c r="J172" s="12" t="s">
        <v>29</v>
      </c>
      <c r="K172" s="12">
        <f>VLOOKUP(Tableau2[[#This Row],[essence]],Tableau5[],2,FALSE)</f>
        <v>-1.806</v>
      </c>
      <c r="L172" s="12">
        <f>VLOOKUP(Tableau2[[#This Row],[essence]],Tableau5[],3,FALSE)</f>
        <v>1.2398</v>
      </c>
      <c r="M172" s="12">
        <f>IF(Tableau2[[#This Row],[priorecol]]="C",1,0)</f>
        <v>0</v>
      </c>
      <c r="N172" s="12">
        <f>VLOOKUP(Tableau2[[#This Row],[essence]],Tableau5[],4,FALSE)</f>
        <v>2.6488</v>
      </c>
      <c r="O172" s="12">
        <f>IF(Tableau2[[#This Row],[priorecol]]="R",1,0)</f>
        <v>0</v>
      </c>
      <c r="P172" s="12">
        <f>VLOOKUP(Tableau2[[#This Row],[essence]],Tableau5[],5,FALSE)</f>
        <v>0.61070000000000002</v>
      </c>
      <c r="Q172" s="12">
        <f>IF(Tableau2[[#This Row],[priorecol]]="S",1,0)</f>
        <v>1</v>
      </c>
      <c r="R172" s="12">
        <f>VLOOKUP(Tableau2[[#This Row],[essence]],Tableau5[],6,FALSE)</f>
        <v>5.67E-2</v>
      </c>
      <c r="S172" s="12">
        <f>VLOOKUP(Tableau2[[#This Row],[essence]],Tableau5[],15,FALSE)</f>
        <v>1.35E-2</v>
      </c>
      <c r="T172" s="12">
        <f>VLOOKUP(Tableau2[[#This Row],[essence]],Tableau5[],7,FALSE)</f>
        <v>0.95779999999999998</v>
      </c>
      <c r="U172" s="12">
        <f>IF(Tableau2[[#This Row],[sdom]]=1,1,0)</f>
        <v>0</v>
      </c>
      <c r="V172" s="12">
        <f>VLOOKUP(Tableau2[[#This Row],[essence]],Tableau5[],8,FALSE)</f>
        <v>0.66500000000000004</v>
      </c>
      <c r="W172" s="12">
        <f>IF(Tableau2[[#This Row],[sdom]]="2EST",1,0)</f>
        <v>0</v>
      </c>
      <c r="X172" s="12">
        <f>VLOOKUP(Tableau2[[#This Row],[essence]],Tableau5[],9,FALSE)</f>
        <v>0.32479999999999998</v>
      </c>
      <c r="Y172" s="12">
        <f>IF(Tableau2[[#This Row],[sdom]]="2OUEST",1,0)</f>
        <v>0</v>
      </c>
      <c r="Z172" s="12">
        <f>VLOOKUP(Tableau2[[#This Row],[essence]],Tableau5[],10,FALSE)</f>
        <v>0.62949999999999995</v>
      </c>
      <c r="AA172" s="12">
        <f>IF(Tableau2[[#This Row],[sdom]]="3EST",1,0)</f>
        <v>0</v>
      </c>
      <c r="AB172" s="12">
        <f>VLOOKUP(Tableau2[[#This Row],[essence]],Tableau5[],11,FALSE)</f>
        <v>0.56679999999999997</v>
      </c>
      <c r="AC172" s="12">
        <f>IF(Tableau2[[#This Row],[sdom]]="3OUEST",1,0)</f>
        <v>0</v>
      </c>
      <c r="AD172" s="12">
        <f>VLOOKUP(Tableau2[[#This Row],[essence]],Tableau5[],12,FALSE)</f>
        <v>0.21729999999999999</v>
      </c>
      <c r="AE172" s="12">
        <f>IF(Tableau2[[#This Row],[sdom]]="4EST",1,0)</f>
        <v>0</v>
      </c>
      <c r="AF172" s="12">
        <f>VLOOKUP(Tableau2[[#This Row],[essence]],Tableau5[],13,FALSE)</f>
        <v>0.39939999999999998</v>
      </c>
      <c r="AG172" s="12">
        <f>IF(Tableau2[[#This Row],[sdom]]="4OUEST",1,0)</f>
        <v>0</v>
      </c>
      <c r="AH172" s="12">
        <f>VLOOKUP(Tableau2[[#This Row],[essence]],Tableau5[],14,FALSE)</f>
        <v>6.5299999999999997E-2</v>
      </c>
      <c r="AI172" s="12">
        <f>IF(Tableau2[[#This Row],[sdom]]="5EST",1,0)</f>
        <v>1</v>
      </c>
      <c r="AJ172" s="12">
        <f>VLOOKUP(Tableau2[[#This Row],[essence]],Tableau5[],16,FALSE)</f>
        <v>0</v>
      </c>
      <c r="AK172" s="12">
        <f>IF(Tableau2[[#This Row],[sdom]]="5OUEST",1,0)</f>
        <v>0</v>
      </c>
      <c r="AL172" s="12">
        <f>VLOOKUP(Tableau2[[#This Row],[essence]],Tableau5[],17,FALSE)</f>
        <v>0</v>
      </c>
      <c r="AM172" s="12">
        <f>IF(Tableau2[[#This Row],[sdom]]="6EST",1,0)</f>
        <v>0</v>
      </c>
      <c r="AN172" s="12">
        <f>VLOOKUP(Tableau2[[#This Row],[essence]],Tableau5[],19,FALSE)</f>
        <v>0</v>
      </c>
      <c r="AO172" s="12">
        <f>IF(Tableau2[[#This Row],[priorecol]]="C",1,0)</f>
        <v>0</v>
      </c>
      <c r="AP172" s="12">
        <f>VLOOKUP(Tableau2[[#This Row],[essence]],Tableau5[],20,FALSE)</f>
        <v>0</v>
      </c>
      <c r="AQ172" s="12">
        <f>IF(Tableau2[[#This Row],[priorecol]]="R",1,0)</f>
        <v>0</v>
      </c>
      <c r="AR172" s="12">
        <f>VLOOKUP(Tableau2[[#This Row],[essence]],Tableau5[],21,FALSE)</f>
        <v>0</v>
      </c>
      <c r="AS172" s="12">
        <f>IF(Tableau2[[#This Row],[priorecol]]="S",1,0)</f>
        <v>1</v>
      </c>
      <c r="AT172" s="12">
        <f>VLOOKUP(Tableau2[[#This Row],[essence]],Tableau5[],22,FALSE)</f>
        <v>0</v>
      </c>
      <c r="AU172" s="12">
        <f>VLOOKUP(Tableau2[[#This Row],[essence]],Tableau5[],23,FALSE)</f>
        <v>0</v>
      </c>
      <c r="AV172" s="12">
        <f>VLOOKUP(Tableau2[[#This Row],[essence]],Tableau5[],18,FALSE)</f>
        <v>0</v>
      </c>
      <c r="AW17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0.50080000000000002</v>
      </c>
      <c r="AX172" s="12">
        <f>1/(1+EXP(-Tableau2[[#This Row],[xb_c]]))</f>
        <v>0.62264731574522081</v>
      </c>
      <c r="AY172" s="12" t="str">
        <f t="shared" si="4"/>
        <v>NA</v>
      </c>
      <c r="AZ172" s="12" t="str">
        <f t="shared" si="5"/>
        <v>NA</v>
      </c>
      <c r="BA172" s="12">
        <f>Tableau2[[#This Row],[prob_c]]</f>
        <v>0.62264731574522081</v>
      </c>
      <c r="BB172" s="12">
        <f>1-Tableau2[[#This Row],[prob_c]]</f>
        <v>0.37735268425477919</v>
      </c>
    </row>
    <row r="173" spans="1:54" x14ac:dyDescent="0.25">
      <c r="A173" s="12">
        <v>8</v>
      </c>
      <c r="B173" s="12" t="s">
        <v>16</v>
      </c>
      <c r="C173" s="12">
        <v>2.1</v>
      </c>
      <c r="D173" s="12">
        <v>700</v>
      </c>
      <c r="E173" s="12">
        <v>20</v>
      </c>
      <c r="F173" s="12">
        <v>1</v>
      </c>
      <c r="G173" s="12">
        <v>4</v>
      </c>
      <c r="H173" s="12">
        <v>25</v>
      </c>
      <c r="I173" s="12" t="s">
        <v>20</v>
      </c>
      <c r="J173" s="12" t="s">
        <v>27</v>
      </c>
      <c r="K173" s="12">
        <f>VLOOKUP(Tableau2[[#This Row],[essence]],Tableau5[],2,FALSE)</f>
        <v>0.69510000000000005</v>
      </c>
      <c r="L173" s="12">
        <f>VLOOKUP(Tableau2[[#This Row],[essence]],Tableau5[],3,FALSE)</f>
        <v>-0.51849999999999996</v>
      </c>
      <c r="M173" s="12">
        <f>IF(Tableau2[[#This Row],[priorecol]]="C",1,0)</f>
        <v>1</v>
      </c>
      <c r="N173" s="12">
        <f>VLOOKUP(Tableau2[[#This Row],[essence]],Tableau5[],4,FALSE)</f>
        <v>0.52129999999999999</v>
      </c>
      <c r="O173" s="12">
        <f>IF(Tableau2[[#This Row],[priorecol]]="R",1,0)</f>
        <v>0</v>
      </c>
      <c r="P173" s="12">
        <f>VLOOKUP(Tableau2[[#This Row],[essence]],Tableau5[],5,FALSE)</f>
        <v>-0.37890000000000001</v>
      </c>
      <c r="Q173" s="12">
        <f>IF(Tableau2[[#This Row],[priorecol]]="S",1,0)</f>
        <v>0</v>
      </c>
      <c r="R173" s="12">
        <f>VLOOKUP(Tableau2[[#This Row],[essence]],Tableau5[],6,FALSE)</f>
        <v>-5.5999999999999995E-4</v>
      </c>
      <c r="S173" s="12">
        <f>VLOOKUP(Tableau2[[#This Row],[essence]],Tableau5[],15,FALSE)</f>
        <v>1.52E-2</v>
      </c>
      <c r="T173" s="12">
        <f>VLOOKUP(Tableau2[[#This Row],[essence]],Tableau5[],7,FALSE)</f>
        <v>0</v>
      </c>
      <c r="U173" s="12">
        <f>IF(Tableau2[[#This Row],[sdom]]=1,1,0)</f>
        <v>0</v>
      </c>
      <c r="V173" s="12">
        <f>VLOOKUP(Tableau2[[#This Row],[essence]],Tableau5[],8,FALSE)</f>
        <v>-8.7900000000000006E-2</v>
      </c>
      <c r="W173" s="12">
        <f>IF(Tableau2[[#This Row],[sdom]]="2EST",1,0)</f>
        <v>0</v>
      </c>
      <c r="X173" s="12">
        <f>VLOOKUP(Tableau2[[#This Row],[essence]],Tableau5[],9,FALSE)</f>
        <v>0.42620000000000002</v>
      </c>
      <c r="Y173" s="12">
        <f>IF(Tableau2[[#This Row],[sdom]]="2OUEST",1,0)</f>
        <v>0</v>
      </c>
      <c r="Z173" s="12">
        <f>VLOOKUP(Tableau2[[#This Row],[essence]],Tableau5[],10,FALSE)</f>
        <v>0.54149999999999998</v>
      </c>
      <c r="AA173" s="12">
        <f>IF(Tableau2[[#This Row],[sdom]]="3EST",1,0)</f>
        <v>0</v>
      </c>
      <c r="AB173" s="12">
        <f>VLOOKUP(Tableau2[[#This Row],[essence]],Tableau5[],11,FALSE)</f>
        <v>0.50339999999999996</v>
      </c>
      <c r="AC173" s="12">
        <f>IF(Tableau2[[#This Row],[sdom]]="3OUEST",1,0)</f>
        <v>0</v>
      </c>
      <c r="AD173" s="12">
        <f>VLOOKUP(Tableau2[[#This Row],[essence]],Tableau5[],12,FALSE)</f>
        <v>-3.0599999999999999E-2</v>
      </c>
      <c r="AE173" s="12">
        <f>IF(Tableau2[[#This Row],[sdom]]="4EST",1,0)</f>
        <v>0</v>
      </c>
      <c r="AF173" s="12">
        <f>VLOOKUP(Tableau2[[#This Row],[essence]],Tableau5[],13,FALSE)</f>
        <v>0.1583</v>
      </c>
      <c r="AG173" s="12">
        <f>IF(Tableau2[[#This Row],[sdom]]="4OUEST",1,0)</f>
        <v>0</v>
      </c>
      <c r="AH173" s="12">
        <f>VLOOKUP(Tableau2[[#This Row],[essence]],Tableau5[],14,FALSE)</f>
        <v>3.9800000000000002E-2</v>
      </c>
      <c r="AI173" s="12">
        <f>IF(Tableau2[[#This Row],[sdom]]="5EST",1,0)</f>
        <v>1</v>
      </c>
      <c r="AJ173" s="12">
        <f>VLOOKUP(Tableau2[[#This Row],[essence]],Tableau5[],16,FALSE)</f>
        <v>0.13650000000000001</v>
      </c>
      <c r="AK173" s="12">
        <f>IF(Tableau2[[#This Row],[sdom]]="5OUEST",1,0)</f>
        <v>0</v>
      </c>
      <c r="AL173" s="12">
        <f>VLOOKUP(Tableau2[[#This Row],[essence]],Tableau5[],17,FALSE)</f>
        <v>-0.39140000000000003</v>
      </c>
      <c r="AM173" s="12">
        <f>IF(Tableau2[[#This Row],[sdom]]="6EST",1,0)</f>
        <v>0</v>
      </c>
      <c r="AN173" s="12">
        <f>VLOOKUP(Tableau2[[#This Row],[essence]],Tableau5[],19,FALSE)</f>
        <v>5.8000000000000003E-2</v>
      </c>
      <c r="AO173" s="12">
        <f>IF(Tableau2[[#This Row],[priorecol]]="C",1,0)</f>
        <v>1</v>
      </c>
      <c r="AP173" s="12">
        <f>VLOOKUP(Tableau2[[#This Row],[essence]],Tableau5[],20,FALSE)</f>
        <v>4.7500000000000001E-2</v>
      </c>
      <c r="AQ173" s="12">
        <f>IF(Tableau2[[#This Row],[priorecol]]="R",1,0)</f>
        <v>0</v>
      </c>
      <c r="AR173" s="12">
        <f>VLOOKUP(Tableau2[[#This Row],[essence]],Tableau5[],21,FALSE)</f>
        <v>4.87E-2</v>
      </c>
      <c r="AS173" s="12">
        <f>IF(Tableau2[[#This Row],[priorecol]]="S",1,0)</f>
        <v>0</v>
      </c>
      <c r="AT173" s="12">
        <f>VLOOKUP(Tableau2[[#This Row],[essence]],Tableau5[],22,FALSE)</f>
        <v>0</v>
      </c>
      <c r="AU173" s="12">
        <f>VLOOKUP(Tableau2[[#This Row],[essence]],Tableau5[],23,FALSE)</f>
        <v>0</v>
      </c>
      <c r="AV173" s="12">
        <f>VLOOKUP(Tableau2[[#This Row],[essence]],Tableau5[],18,FALSE)</f>
        <v>-0.112</v>
      </c>
      <c r="AW17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1.7212000000000003</v>
      </c>
      <c r="AX173" s="12">
        <f>1/(1+EXP(-Tableau2[[#This Row],[xb_c]]))</f>
        <v>0.84828333935642286</v>
      </c>
      <c r="AY173" s="12" t="str">
        <f t="shared" si="4"/>
        <v>NA</v>
      </c>
      <c r="AZ173" s="12" t="str">
        <f t="shared" si="5"/>
        <v>NA</v>
      </c>
      <c r="BA173" s="12">
        <f>Tableau2[[#This Row],[prob_c]]</f>
        <v>0.84828333935642286</v>
      </c>
      <c r="BB173" s="12">
        <f>1-Tableau2[[#This Row],[prob_c]]</f>
        <v>0.15171666064357714</v>
      </c>
    </row>
    <row r="174" spans="1:54" x14ac:dyDescent="0.25">
      <c r="A174" s="12">
        <v>8</v>
      </c>
      <c r="B174" s="12" t="s">
        <v>16</v>
      </c>
      <c r="C174" s="12">
        <v>2.1</v>
      </c>
      <c r="D174" s="12">
        <v>700</v>
      </c>
      <c r="E174" s="12">
        <v>20</v>
      </c>
      <c r="F174" s="12">
        <v>1</v>
      </c>
      <c r="G174" s="12">
        <v>5</v>
      </c>
      <c r="H174" s="12">
        <v>26</v>
      </c>
      <c r="I174" s="12" t="s">
        <v>20</v>
      </c>
      <c r="J174" s="12" t="s">
        <v>28</v>
      </c>
      <c r="K174" s="12">
        <f>VLOOKUP(Tableau2[[#This Row],[essence]],Tableau5[],2,FALSE)</f>
        <v>0.69510000000000005</v>
      </c>
      <c r="L174" s="12">
        <f>VLOOKUP(Tableau2[[#This Row],[essence]],Tableau5[],3,FALSE)</f>
        <v>-0.51849999999999996</v>
      </c>
      <c r="M174" s="12">
        <f>IF(Tableau2[[#This Row],[priorecol]]="C",1,0)</f>
        <v>0</v>
      </c>
      <c r="N174" s="12">
        <f>VLOOKUP(Tableau2[[#This Row],[essence]],Tableau5[],4,FALSE)</f>
        <v>0.52129999999999999</v>
      </c>
      <c r="O174" s="12">
        <f>IF(Tableau2[[#This Row],[priorecol]]="R",1,0)</f>
        <v>1</v>
      </c>
      <c r="P174" s="12">
        <f>VLOOKUP(Tableau2[[#This Row],[essence]],Tableau5[],5,FALSE)</f>
        <v>-0.37890000000000001</v>
      </c>
      <c r="Q174" s="12">
        <f>IF(Tableau2[[#This Row],[priorecol]]="S",1,0)</f>
        <v>0</v>
      </c>
      <c r="R174" s="12">
        <f>VLOOKUP(Tableau2[[#This Row],[essence]],Tableau5[],6,FALSE)</f>
        <v>-5.5999999999999995E-4</v>
      </c>
      <c r="S174" s="12">
        <f>VLOOKUP(Tableau2[[#This Row],[essence]],Tableau5[],15,FALSE)</f>
        <v>1.52E-2</v>
      </c>
      <c r="T174" s="12">
        <f>VLOOKUP(Tableau2[[#This Row],[essence]],Tableau5[],7,FALSE)</f>
        <v>0</v>
      </c>
      <c r="U174" s="12">
        <f>IF(Tableau2[[#This Row],[sdom]]=1,1,0)</f>
        <v>0</v>
      </c>
      <c r="V174" s="12">
        <f>VLOOKUP(Tableau2[[#This Row],[essence]],Tableau5[],8,FALSE)</f>
        <v>-8.7900000000000006E-2</v>
      </c>
      <c r="W174" s="12">
        <f>IF(Tableau2[[#This Row],[sdom]]="2EST",1,0)</f>
        <v>0</v>
      </c>
      <c r="X174" s="12">
        <f>VLOOKUP(Tableau2[[#This Row],[essence]],Tableau5[],9,FALSE)</f>
        <v>0.42620000000000002</v>
      </c>
      <c r="Y174" s="12">
        <f>IF(Tableau2[[#This Row],[sdom]]="2OUEST",1,0)</f>
        <v>0</v>
      </c>
      <c r="Z174" s="12">
        <f>VLOOKUP(Tableau2[[#This Row],[essence]],Tableau5[],10,FALSE)</f>
        <v>0.54149999999999998</v>
      </c>
      <c r="AA174" s="12">
        <f>IF(Tableau2[[#This Row],[sdom]]="3EST",1,0)</f>
        <v>0</v>
      </c>
      <c r="AB174" s="12">
        <f>VLOOKUP(Tableau2[[#This Row],[essence]],Tableau5[],11,FALSE)</f>
        <v>0.50339999999999996</v>
      </c>
      <c r="AC174" s="12">
        <f>IF(Tableau2[[#This Row],[sdom]]="3OUEST",1,0)</f>
        <v>0</v>
      </c>
      <c r="AD174" s="12">
        <f>VLOOKUP(Tableau2[[#This Row],[essence]],Tableau5[],12,FALSE)</f>
        <v>-3.0599999999999999E-2</v>
      </c>
      <c r="AE174" s="12">
        <f>IF(Tableau2[[#This Row],[sdom]]="4EST",1,0)</f>
        <v>0</v>
      </c>
      <c r="AF174" s="12">
        <f>VLOOKUP(Tableau2[[#This Row],[essence]],Tableau5[],13,FALSE)</f>
        <v>0.1583</v>
      </c>
      <c r="AG174" s="12">
        <f>IF(Tableau2[[#This Row],[sdom]]="4OUEST",1,0)</f>
        <v>0</v>
      </c>
      <c r="AH174" s="12">
        <f>VLOOKUP(Tableau2[[#This Row],[essence]],Tableau5[],14,FALSE)</f>
        <v>3.9800000000000002E-2</v>
      </c>
      <c r="AI174" s="12">
        <f>IF(Tableau2[[#This Row],[sdom]]="5EST",1,0)</f>
        <v>1</v>
      </c>
      <c r="AJ174" s="12">
        <f>VLOOKUP(Tableau2[[#This Row],[essence]],Tableau5[],16,FALSE)</f>
        <v>0.13650000000000001</v>
      </c>
      <c r="AK174" s="12">
        <f>IF(Tableau2[[#This Row],[sdom]]="5OUEST",1,0)</f>
        <v>0</v>
      </c>
      <c r="AL174" s="12">
        <f>VLOOKUP(Tableau2[[#This Row],[essence]],Tableau5[],17,FALSE)</f>
        <v>-0.39140000000000003</v>
      </c>
      <c r="AM174" s="12">
        <f>IF(Tableau2[[#This Row],[sdom]]="6EST",1,0)</f>
        <v>0</v>
      </c>
      <c r="AN174" s="12">
        <f>VLOOKUP(Tableau2[[#This Row],[essence]],Tableau5[],19,FALSE)</f>
        <v>5.8000000000000003E-2</v>
      </c>
      <c r="AO174" s="12">
        <f>IF(Tableau2[[#This Row],[priorecol]]="C",1,0)</f>
        <v>0</v>
      </c>
      <c r="AP174" s="12">
        <f>VLOOKUP(Tableau2[[#This Row],[essence]],Tableau5[],20,FALSE)</f>
        <v>4.7500000000000001E-2</v>
      </c>
      <c r="AQ174" s="12">
        <f>IF(Tableau2[[#This Row],[priorecol]]="R",1,0)</f>
        <v>1</v>
      </c>
      <c r="AR174" s="12">
        <f>VLOOKUP(Tableau2[[#This Row],[essence]],Tableau5[],21,FALSE)</f>
        <v>4.87E-2</v>
      </c>
      <c r="AS174" s="12">
        <f>IF(Tableau2[[#This Row],[priorecol]]="S",1,0)</f>
        <v>0</v>
      </c>
      <c r="AT174" s="12">
        <f>VLOOKUP(Tableau2[[#This Row],[essence]],Tableau5[],22,FALSE)</f>
        <v>0</v>
      </c>
      <c r="AU174" s="12">
        <f>VLOOKUP(Tableau2[[#This Row],[essence]],Tableau5[],23,FALSE)</f>
        <v>0</v>
      </c>
      <c r="AV174" s="12">
        <f>VLOOKUP(Tableau2[[#This Row],[essence]],Tableau5[],18,FALSE)</f>
        <v>-0.112</v>
      </c>
      <c r="AW17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2.5454400000000006</v>
      </c>
      <c r="AX174" s="12">
        <f>1/(1+EXP(-Tableau2[[#This Row],[xb_c]]))</f>
        <v>0.92726657185671502</v>
      </c>
      <c r="AY174" s="12" t="str">
        <f t="shared" si="4"/>
        <v>NA</v>
      </c>
      <c r="AZ174" s="12" t="str">
        <f t="shared" si="5"/>
        <v>NA</v>
      </c>
      <c r="BA174" s="12">
        <f>Tableau2[[#This Row],[prob_c]]</f>
        <v>0.92726657185671502</v>
      </c>
      <c r="BB174" s="12">
        <f>1-Tableau2[[#This Row],[prob_c]]</f>
        <v>7.2733428143284984E-2</v>
      </c>
    </row>
    <row r="175" spans="1:54" x14ac:dyDescent="0.25">
      <c r="A175" s="12">
        <v>8</v>
      </c>
      <c r="B175" s="12" t="s">
        <v>16</v>
      </c>
      <c r="C175" s="12">
        <v>2.1</v>
      </c>
      <c r="D175" s="12">
        <v>700</v>
      </c>
      <c r="E175" s="12">
        <v>20</v>
      </c>
      <c r="F175" s="12">
        <v>1</v>
      </c>
      <c r="G175" s="12">
        <v>6</v>
      </c>
      <c r="H175" s="12">
        <v>27</v>
      </c>
      <c r="I175" s="12" t="s">
        <v>20</v>
      </c>
      <c r="J175" s="12" t="s">
        <v>29</v>
      </c>
      <c r="K175" s="12">
        <f>VLOOKUP(Tableau2[[#This Row],[essence]],Tableau5[],2,FALSE)</f>
        <v>0.69510000000000005</v>
      </c>
      <c r="L175" s="12">
        <f>VLOOKUP(Tableau2[[#This Row],[essence]],Tableau5[],3,FALSE)</f>
        <v>-0.51849999999999996</v>
      </c>
      <c r="M175" s="12">
        <f>IF(Tableau2[[#This Row],[priorecol]]="C",1,0)</f>
        <v>0</v>
      </c>
      <c r="N175" s="12">
        <f>VLOOKUP(Tableau2[[#This Row],[essence]],Tableau5[],4,FALSE)</f>
        <v>0.52129999999999999</v>
      </c>
      <c r="O175" s="12">
        <f>IF(Tableau2[[#This Row],[priorecol]]="R",1,0)</f>
        <v>0</v>
      </c>
      <c r="P175" s="12">
        <f>VLOOKUP(Tableau2[[#This Row],[essence]],Tableau5[],5,FALSE)</f>
        <v>-0.37890000000000001</v>
      </c>
      <c r="Q175" s="12">
        <f>IF(Tableau2[[#This Row],[priorecol]]="S",1,0)</f>
        <v>1</v>
      </c>
      <c r="R175" s="12">
        <f>VLOOKUP(Tableau2[[#This Row],[essence]],Tableau5[],6,FALSE)</f>
        <v>-5.5999999999999995E-4</v>
      </c>
      <c r="S175" s="12">
        <f>VLOOKUP(Tableau2[[#This Row],[essence]],Tableau5[],15,FALSE)</f>
        <v>1.52E-2</v>
      </c>
      <c r="T175" s="12">
        <f>VLOOKUP(Tableau2[[#This Row],[essence]],Tableau5[],7,FALSE)</f>
        <v>0</v>
      </c>
      <c r="U175" s="12">
        <f>IF(Tableau2[[#This Row],[sdom]]=1,1,0)</f>
        <v>0</v>
      </c>
      <c r="V175" s="12">
        <f>VLOOKUP(Tableau2[[#This Row],[essence]],Tableau5[],8,FALSE)</f>
        <v>-8.7900000000000006E-2</v>
      </c>
      <c r="W175" s="12">
        <f>IF(Tableau2[[#This Row],[sdom]]="2EST",1,0)</f>
        <v>0</v>
      </c>
      <c r="X175" s="12">
        <f>VLOOKUP(Tableau2[[#This Row],[essence]],Tableau5[],9,FALSE)</f>
        <v>0.42620000000000002</v>
      </c>
      <c r="Y175" s="12">
        <f>IF(Tableau2[[#This Row],[sdom]]="2OUEST",1,0)</f>
        <v>0</v>
      </c>
      <c r="Z175" s="12">
        <f>VLOOKUP(Tableau2[[#This Row],[essence]],Tableau5[],10,FALSE)</f>
        <v>0.54149999999999998</v>
      </c>
      <c r="AA175" s="12">
        <f>IF(Tableau2[[#This Row],[sdom]]="3EST",1,0)</f>
        <v>0</v>
      </c>
      <c r="AB175" s="12">
        <f>VLOOKUP(Tableau2[[#This Row],[essence]],Tableau5[],11,FALSE)</f>
        <v>0.50339999999999996</v>
      </c>
      <c r="AC175" s="12">
        <f>IF(Tableau2[[#This Row],[sdom]]="3OUEST",1,0)</f>
        <v>0</v>
      </c>
      <c r="AD175" s="12">
        <f>VLOOKUP(Tableau2[[#This Row],[essence]],Tableau5[],12,FALSE)</f>
        <v>-3.0599999999999999E-2</v>
      </c>
      <c r="AE175" s="12">
        <f>IF(Tableau2[[#This Row],[sdom]]="4EST",1,0)</f>
        <v>0</v>
      </c>
      <c r="AF175" s="12">
        <f>VLOOKUP(Tableau2[[#This Row],[essence]],Tableau5[],13,FALSE)</f>
        <v>0.1583</v>
      </c>
      <c r="AG175" s="12">
        <f>IF(Tableau2[[#This Row],[sdom]]="4OUEST",1,0)</f>
        <v>0</v>
      </c>
      <c r="AH175" s="12">
        <f>VLOOKUP(Tableau2[[#This Row],[essence]],Tableau5[],14,FALSE)</f>
        <v>3.9800000000000002E-2</v>
      </c>
      <c r="AI175" s="12">
        <f>IF(Tableau2[[#This Row],[sdom]]="5EST",1,0)</f>
        <v>1</v>
      </c>
      <c r="AJ175" s="12">
        <f>VLOOKUP(Tableau2[[#This Row],[essence]],Tableau5[],16,FALSE)</f>
        <v>0.13650000000000001</v>
      </c>
      <c r="AK175" s="12">
        <f>IF(Tableau2[[#This Row],[sdom]]="5OUEST",1,0)</f>
        <v>0</v>
      </c>
      <c r="AL175" s="12">
        <f>VLOOKUP(Tableau2[[#This Row],[essence]],Tableau5[],17,FALSE)</f>
        <v>-0.39140000000000003</v>
      </c>
      <c r="AM175" s="12">
        <f>IF(Tableau2[[#This Row],[sdom]]="6EST",1,0)</f>
        <v>0</v>
      </c>
      <c r="AN175" s="12">
        <f>VLOOKUP(Tableau2[[#This Row],[essence]],Tableau5[],19,FALSE)</f>
        <v>5.8000000000000003E-2</v>
      </c>
      <c r="AO175" s="12">
        <f>IF(Tableau2[[#This Row],[priorecol]]="C",1,0)</f>
        <v>0</v>
      </c>
      <c r="AP175" s="12">
        <f>VLOOKUP(Tableau2[[#This Row],[essence]],Tableau5[],20,FALSE)</f>
        <v>4.7500000000000001E-2</v>
      </c>
      <c r="AQ175" s="12">
        <f>IF(Tableau2[[#This Row],[priorecol]]="R",1,0)</f>
        <v>0</v>
      </c>
      <c r="AR175" s="12">
        <f>VLOOKUP(Tableau2[[#This Row],[essence]],Tableau5[],21,FALSE)</f>
        <v>4.87E-2</v>
      </c>
      <c r="AS175" s="12">
        <f>IF(Tableau2[[#This Row],[priorecol]]="S",1,0)</f>
        <v>1</v>
      </c>
      <c r="AT175" s="12">
        <f>VLOOKUP(Tableau2[[#This Row],[essence]],Tableau5[],22,FALSE)</f>
        <v>0</v>
      </c>
      <c r="AU175" s="12">
        <f>VLOOKUP(Tableau2[[#This Row],[essence]],Tableau5[],23,FALSE)</f>
        <v>0</v>
      </c>
      <c r="AV175" s="12">
        <f>VLOOKUP(Tableau2[[#This Row],[essence]],Tableau5[],18,FALSE)</f>
        <v>-0.112</v>
      </c>
      <c r="AW17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1.72458</v>
      </c>
      <c r="AX175" s="12">
        <f>1/(1+EXP(-Tableau2[[#This Row],[xb_c]]))</f>
        <v>0.84871782912090876</v>
      </c>
      <c r="AY175" s="12" t="str">
        <f t="shared" si="4"/>
        <v>NA</v>
      </c>
      <c r="AZ175" s="12" t="str">
        <f t="shared" si="5"/>
        <v>NA</v>
      </c>
      <c r="BA175" s="12">
        <f>Tableau2[[#This Row],[prob_c]]</f>
        <v>0.84871782912090876</v>
      </c>
      <c r="BB175" s="12">
        <f>1-Tableau2[[#This Row],[prob_c]]</f>
        <v>0.15128217087909124</v>
      </c>
    </row>
    <row r="176" spans="1:54" x14ac:dyDescent="0.25">
      <c r="A176" s="12">
        <v>8</v>
      </c>
      <c r="B176" s="12" t="s">
        <v>16</v>
      </c>
      <c r="C176" s="12">
        <v>2.1</v>
      </c>
      <c r="D176" s="12">
        <v>700</v>
      </c>
      <c r="E176" s="12">
        <v>20</v>
      </c>
      <c r="F176" s="12">
        <v>1</v>
      </c>
      <c r="G176" s="12">
        <v>7</v>
      </c>
      <c r="H176" s="12">
        <v>28</v>
      </c>
      <c r="I176" s="12" t="s">
        <v>21</v>
      </c>
      <c r="J176" s="12" t="s">
        <v>27</v>
      </c>
      <c r="K176" s="12">
        <f>VLOOKUP(Tableau2[[#This Row],[essence]],Tableau5[],2,FALSE)</f>
        <v>5.0801999999999996</v>
      </c>
      <c r="L176" s="12">
        <f>VLOOKUP(Tableau2[[#This Row],[essence]],Tableau5[],3,FALSE)</f>
        <v>1.7765</v>
      </c>
      <c r="M176" s="12">
        <f>IF(Tableau2[[#This Row],[priorecol]]="C",1,0)</f>
        <v>1</v>
      </c>
      <c r="N176" s="12">
        <f>VLOOKUP(Tableau2[[#This Row],[essence]],Tableau5[],4,FALSE)</f>
        <v>3.3664000000000001</v>
      </c>
      <c r="O176" s="12">
        <f>IF(Tableau2[[#This Row],[priorecol]]="R",1,0)</f>
        <v>0</v>
      </c>
      <c r="P176" s="12">
        <f>VLOOKUP(Tableau2[[#This Row],[essence]],Tableau5[],5,FALSE)</f>
        <v>0.57940000000000003</v>
      </c>
      <c r="Q176" s="12">
        <f>IF(Tableau2[[#This Row],[priorecol]]="S",1,0)</f>
        <v>0</v>
      </c>
      <c r="R176" s="12">
        <f>VLOOKUP(Tableau2[[#This Row],[essence]],Tableau5[],6,FALSE)</f>
        <v>-0.2109</v>
      </c>
      <c r="S176" s="12">
        <f>VLOOKUP(Tableau2[[#This Row],[essence]],Tableau5[],15,FALSE)</f>
        <v>-0.2429</v>
      </c>
      <c r="T176" s="12">
        <f>VLOOKUP(Tableau2[[#This Row],[essence]],Tableau5[],7,FALSE)</f>
        <v>0</v>
      </c>
      <c r="U176" s="12">
        <f>IF(Tableau2[[#This Row],[sdom]]=1,1,0)</f>
        <v>0</v>
      </c>
      <c r="V176" s="12">
        <f>VLOOKUP(Tableau2[[#This Row],[essence]],Tableau5[],8,FALSE)</f>
        <v>0</v>
      </c>
      <c r="W176" s="12">
        <f>IF(Tableau2[[#This Row],[sdom]]="2EST",1,0)</f>
        <v>0</v>
      </c>
      <c r="X176" s="12">
        <f>VLOOKUP(Tableau2[[#This Row],[essence]],Tableau5[],9,FALSE)</f>
        <v>0</v>
      </c>
      <c r="Y176" s="12">
        <f>IF(Tableau2[[#This Row],[sdom]]="2OUEST",1,0)</f>
        <v>0</v>
      </c>
      <c r="Z176" s="12">
        <f>VLOOKUP(Tableau2[[#This Row],[essence]],Tableau5[],10,FALSE)</f>
        <v>0</v>
      </c>
      <c r="AA176" s="12">
        <f>IF(Tableau2[[#This Row],[sdom]]="3EST",1,0)</f>
        <v>0</v>
      </c>
      <c r="AB176" s="12">
        <f>VLOOKUP(Tableau2[[#This Row],[essence]],Tableau5[],11,FALSE)</f>
        <v>0</v>
      </c>
      <c r="AC176" s="12">
        <f>IF(Tableau2[[#This Row],[sdom]]="3OUEST",1,0)</f>
        <v>0</v>
      </c>
      <c r="AD176" s="12">
        <f>VLOOKUP(Tableau2[[#This Row],[essence]],Tableau5[],12,FALSE)</f>
        <v>0</v>
      </c>
      <c r="AE176" s="12">
        <f>IF(Tableau2[[#This Row],[sdom]]="4EST",1,0)</f>
        <v>0</v>
      </c>
      <c r="AF176" s="12">
        <f>VLOOKUP(Tableau2[[#This Row],[essence]],Tableau5[],13,FALSE)</f>
        <v>0</v>
      </c>
      <c r="AG176" s="12">
        <f>IF(Tableau2[[#This Row],[sdom]]="4OUEST",1,0)</f>
        <v>0</v>
      </c>
      <c r="AH176" s="12">
        <f>VLOOKUP(Tableau2[[#This Row],[essence]],Tableau5[],14,FALSE)</f>
        <v>0</v>
      </c>
      <c r="AI176" s="12">
        <f>IF(Tableau2[[#This Row],[sdom]]="5EST",1,0)</f>
        <v>1</v>
      </c>
      <c r="AJ176" s="12">
        <f>VLOOKUP(Tableau2[[#This Row],[essence]],Tableau5[],16,FALSE)</f>
        <v>0</v>
      </c>
      <c r="AK176" s="12">
        <f>IF(Tableau2[[#This Row],[sdom]]="5OUEST",1,0)</f>
        <v>0</v>
      </c>
      <c r="AL176" s="12">
        <f>VLOOKUP(Tableau2[[#This Row],[essence]],Tableau5[],17,FALSE)</f>
        <v>0</v>
      </c>
      <c r="AM176" s="12">
        <f>IF(Tableau2[[#This Row],[sdom]]="6EST",1,0)</f>
        <v>0</v>
      </c>
      <c r="AN176" s="12">
        <f>VLOOKUP(Tableau2[[#This Row],[essence]],Tableau5[],19,FALSE)</f>
        <v>0</v>
      </c>
      <c r="AO176" s="12">
        <f>IF(Tableau2[[#This Row],[priorecol]]="C",1,0)</f>
        <v>1</v>
      </c>
      <c r="AP176" s="12">
        <f>VLOOKUP(Tableau2[[#This Row],[essence]],Tableau5[],20,FALSE)</f>
        <v>0</v>
      </c>
      <c r="AQ176" s="12">
        <f>IF(Tableau2[[#This Row],[priorecol]]="R",1,0)</f>
        <v>0</v>
      </c>
      <c r="AR176" s="12">
        <f>VLOOKUP(Tableau2[[#This Row],[essence]],Tableau5[],21,FALSE)</f>
        <v>0</v>
      </c>
      <c r="AS176" s="12">
        <f>IF(Tableau2[[#This Row],[priorecol]]="S",1,0)</f>
        <v>0</v>
      </c>
      <c r="AT176" s="12">
        <f>VLOOKUP(Tableau2[[#This Row],[essence]],Tableau5[],22,FALSE)</f>
        <v>1.1384000000000001</v>
      </c>
      <c r="AU176" s="12">
        <f>VLOOKUP(Tableau2[[#This Row],[essence]],Tableau5[],23,FALSE)</f>
        <v>1.0699999999999999E-2</v>
      </c>
      <c r="AV176" s="12">
        <f>VLOOKUP(Tableau2[[#This Row],[essence]],Tableau5[],18,FALSE)</f>
        <v>0</v>
      </c>
      <c r="AW17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3.2238999999999995</v>
      </c>
      <c r="AX176" s="12">
        <f>1/(1+EXP(-Tableau2[[#This Row],[xb_c]]))</f>
        <v>0.96172383658491811</v>
      </c>
      <c r="AY176" s="12" t="str">
        <f t="shared" si="4"/>
        <v>NA</v>
      </c>
      <c r="AZ176" s="12" t="str">
        <f t="shared" si="5"/>
        <v>NA</v>
      </c>
      <c r="BA176" s="12">
        <f>Tableau2[[#This Row],[prob_c]]</f>
        <v>0.96172383658491811</v>
      </c>
      <c r="BB176" s="12">
        <f>1-Tableau2[[#This Row],[prob_c]]</f>
        <v>3.8276163415081887E-2</v>
      </c>
    </row>
    <row r="177" spans="1:54" x14ac:dyDescent="0.25">
      <c r="A177" s="12">
        <v>8</v>
      </c>
      <c r="B177" s="12" t="s">
        <v>16</v>
      </c>
      <c r="C177" s="12">
        <v>2.1</v>
      </c>
      <c r="D177" s="12">
        <v>700</v>
      </c>
      <c r="E177" s="12">
        <v>20</v>
      </c>
      <c r="F177" s="12">
        <v>1</v>
      </c>
      <c r="G177" s="12">
        <v>8</v>
      </c>
      <c r="H177" s="12">
        <v>29</v>
      </c>
      <c r="I177" s="12" t="s">
        <v>21</v>
      </c>
      <c r="J177" s="12" t="s">
        <v>28</v>
      </c>
      <c r="K177" s="12">
        <f>VLOOKUP(Tableau2[[#This Row],[essence]],Tableau5[],2,FALSE)</f>
        <v>5.0801999999999996</v>
      </c>
      <c r="L177" s="12">
        <f>VLOOKUP(Tableau2[[#This Row],[essence]],Tableau5[],3,FALSE)</f>
        <v>1.7765</v>
      </c>
      <c r="M177" s="12">
        <f>IF(Tableau2[[#This Row],[priorecol]]="C",1,0)</f>
        <v>0</v>
      </c>
      <c r="N177" s="12">
        <f>VLOOKUP(Tableau2[[#This Row],[essence]],Tableau5[],4,FALSE)</f>
        <v>3.3664000000000001</v>
      </c>
      <c r="O177" s="12">
        <f>IF(Tableau2[[#This Row],[priorecol]]="R",1,0)</f>
        <v>1</v>
      </c>
      <c r="P177" s="12">
        <f>VLOOKUP(Tableau2[[#This Row],[essence]],Tableau5[],5,FALSE)</f>
        <v>0.57940000000000003</v>
      </c>
      <c r="Q177" s="12">
        <f>IF(Tableau2[[#This Row],[priorecol]]="S",1,0)</f>
        <v>0</v>
      </c>
      <c r="R177" s="12">
        <f>VLOOKUP(Tableau2[[#This Row],[essence]],Tableau5[],6,FALSE)</f>
        <v>-0.2109</v>
      </c>
      <c r="S177" s="12">
        <f>VLOOKUP(Tableau2[[#This Row],[essence]],Tableau5[],15,FALSE)</f>
        <v>-0.2429</v>
      </c>
      <c r="T177" s="12">
        <f>VLOOKUP(Tableau2[[#This Row],[essence]],Tableau5[],7,FALSE)</f>
        <v>0</v>
      </c>
      <c r="U177" s="12">
        <f>IF(Tableau2[[#This Row],[sdom]]=1,1,0)</f>
        <v>0</v>
      </c>
      <c r="V177" s="12">
        <f>VLOOKUP(Tableau2[[#This Row],[essence]],Tableau5[],8,FALSE)</f>
        <v>0</v>
      </c>
      <c r="W177" s="12">
        <f>IF(Tableau2[[#This Row],[sdom]]="2EST",1,0)</f>
        <v>0</v>
      </c>
      <c r="X177" s="12">
        <f>VLOOKUP(Tableau2[[#This Row],[essence]],Tableau5[],9,FALSE)</f>
        <v>0</v>
      </c>
      <c r="Y177" s="12">
        <f>IF(Tableau2[[#This Row],[sdom]]="2OUEST",1,0)</f>
        <v>0</v>
      </c>
      <c r="Z177" s="12">
        <f>VLOOKUP(Tableau2[[#This Row],[essence]],Tableau5[],10,FALSE)</f>
        <v>0</v>
      </c>
      <c r="AA177" s="12">
        <f>IF(Tableau2[[#This Row],[sdom]]="3EST",1,0)</f>
        <v>0</v>
      </c>
      <c r="AB177" s="12">
        <f>VLOOKUP(Tableau2[[#This Row],[essence]],Tableau5[],11,FALSE)</f>
        <v>0</v>
      </c>
      <c r="AC177" s="12">
        <f>IF(Tableau2[[#This Row],[sdom]]="3OUEST",1,0)</f>
        <v>0</v>
      </c>
      <c r="AD177" s="12">
        <f>VLOOKUP(Tableau2[[#This Row],[essence]],Tableau5[],12,FALSE)</f>
        <v>0</v>
      </c>
      <c r="AE177" s="12">
        <f>IF(Tableau2[[#This Row],[sdom]]="4EST",1,0)</f>
        <v>0</v>
      </c>
      <c r="AF177" s="12">
        <f>VLOOKUP(Tableau2[[#This Row],[essence]],Tableau5[],13,FALSE)</f>
        <v>0</v>
      </c>
      <c r="AG177" s="12">
        <f>IF(Tableau2[[#This Row],[sdom]]="4OUEST",1,0)</f>
        <v>0</v>
      </c>
      <c r="AH177" s="12">
        <f>VLOOKUP(Tableau2[[#This Row],[essence]],Tableau5[],14,FALSE)</f>
        <v>0</v>
      </c>
      <c r="AI177" s="12">
        <f>IF(Tableau2[[#This Row],[sdom]]="5EST",1,0)</f>
        <v>1</v>
      </c>
      <c r="AJ177" s="12">
        <f>VLOOKUP(Tableau2[[#This Row],[essence]],Tableau5[],16,FALSE)</f>
        <v>0</v>
      </c>
      <c r="AK177" s="12">
        <f>IF(Tableau2[[#This Row],[sdom]]="5OUEST",1,0)</f>
        <v>0</v>
      </c>
      <c r="AL177" s="12">
        <f>VLOOKUP(Tableau2[[#This Row],[essence]],Tableau5[],17,FALSE)</f>
        <v>0</v>
      </c>
      <c r="AM177" s="12">
        <f>IF(Tableau2[[#This Row],[sdom]]="6EST",1,0)</f>
        <v>0</v>
      </c>
      <c r="AN177" s="12">
        <f>VLOOKUP(Tableau2[[#This Row],[essence]],Tableau5[],19,FALSE)</f>
        <v>0</v>
      </c>
      <c r="AO177" s="12">
        <f>IF(Tableau2[[#This Row],[priorecol]]="C",1,0)</f>
        <v>0</v>
      </c>
      <c r="AP177" s="12">
        <f>VLOOKUP(Tableau2[[#This Row],[essence]],Tableau5[],20,FALSE)</f>
        <v>0</v>
      </c>
      <c r="AQ177" s="12">
        <f>IF(Tableau2[[#This Row],[priorecol]]="R",1,0)</f>
        <v>1</v>
      </c>
      <c r="AR177" s="12">
        <f>VLOOKUP(Tableau2[[#This Row],[essence]],Tableau5[],21,FALSE)</f>
        <v>0</v>
      </c>
      <c r="AS177" s="12">
        <f>IF(Tableau2[[#This Row],[priorecol]]="S",1,0)</f>
        <v>0</v>
      </c>
      <c r="AT177" s="12">
        <f>VLOOKUP(Tableau2[[#This Row],[essence]],Tableau5[],22,FALSE)</f>
        <v>1.1384000000000001</v>
      </c>
      <c r="AU177" s="12">
        <f>VLOOKUP(Tableau2[[#This Row],[essence]],Tableau5[],23,FALSE)</f>
        <v>1.0699999999999999E-2</v>
      </c>
      <c r="AV177" s="12">
        <f>VLOOKUP(Tableau2[[#This Row],[essence]],Tableau5[],18,FALSE)</f>
        <v>0</v>
      </c>
      <c r="AW17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4.8168999999999986</v>
      </c>
      <c r="AX177" s="12">
        <f>1/(1+EXP(-Tableau2[[#This Row],[xb_c]]))</f>
        <v>0.99197311919857023</v>
      </c>
      <c r="AY177" s="12" t="str">
        <f t="shared" si="4"/>
        <v>NA</v>
      </c>
      <c r="AZ177" s="12" t="str">
        <f t="shared" si="5"/>
        <v>NA</v>
      </c>
      <c r="BA177" s="12">
        <f>Tableau2[[#This Row],[prob_c]]</f>
        <v>0.99197311919857023</v>
      </c>
      <c r="BB177" s="12">
        <f>1-Tableau2[[#This Row],[prob_c]]</f>
        <v>8.0268808014297699E-3</v>
      </c>
    </row>
    <row r="178" spans="1:54" x14ac:dyDescent="0.25">
      <c r="A178" s="12">
        <v>8</v>
      </c>
      <c r="B178" s="12" t="s">
        <v>16</v>
      </c>
      <c r="C178" s="12">
        <v>2.1</v>
      </c>
      <c r="D178" s="12">
        <v>700</v>
      </c>
      <c r="E178" s="12">
        <v>20</v>
      </c>
      <c r="F178" s="12">
        <v>1</v>
      </c>
      <c r="G178" s="12">
        <v>9</v>
      </c>
      <c r="H178" s="12">
        <v>30</v>
      </c>
      <c r="I178" s="12" t="s">
        <v>21</v>
      </c>
      <c r="J178" s="12" t="s">
        <v>29</v>
      </c>
      <c r="K178" s="12">
        <f>VLOOKUP(Tableau2[[#This Row],[essence]],Tableau5[],2,FALSE)</f>
        <v>5.0801999999999996</v>
      </c>
      <c r="L178" s="12">
        <f>VLOOKUP(Tableau2[[#This Row],[essence]],Tableau5[],3,FALSE)</f>
        <v>1.7765</v>
      </c>
      <c r="M178" s="12">
        <f>IF(Tableau2[[#This Row],[priorecol]]="C",1,0)</f>
        <v>0</v>
      </c>
      <c r="N178" s="12">
        <f>VLOOKUP(Tableau2[[#This Row],[essence]],Tableau5[],4,FALSE)</f>
        <v>3.3664000000000001</v>
      </c>
      <c r="O178" s="12">
        <f>IF(Tableau2[[#This Row],[priorecol]]="R",1,0)</f>
        <v>0</v>
      </c>
      <c r="P178" s="12">
        <f>VLOOKUP(Tableau2[[#This Row],[essence]],Tableau5[],5,FALSE)</f>
        <v>0.57940000000000003</v>
      </c>
      <c r="Q178" s="12">
        <f>IF(Tableau2[[#This Row],[priorecol]]="S",1,0)</f>
        <v>1</v>
      </c>
      <c r="R178" s="12">
        <f>VLOOKUP(Tableau2[[#This Row],[essence]],Tableau5[],6,FALSE)</f>
        <v>-0.2109</v>
      </c>
      <c r="S178" s="12">
        <f>VLOOKUP(Tableau2[[#This Row],[essence]],Tableau5[],15,FALSE)</f>
        <v>-0.2429</v>
      </c>
      <c r="T178" s="12">
        <f>VLOOKUP(Tableau2[[#This Row],[essence]],Tableau5[],7,FALSE)</f>
        <v>0</v>
      </c>
      <c r="U178" s="12">
        <f>IF(Tableau2[[#This Row],[sdom]]=1,1,0)</f>
        <v>0</v>
      </c>
      <c r="V178" s="12">
        <f>VLOOKUP(Tableau2[[#This Row],[essence]],Tableau5[],8,FALSE)</f>
        <v>0</v>
      </c>
      <c r="W178" s="12">
        <f>IF(Tableau2[[#This Row],[sdom]]="2EST",1,0)</f>
        <v>0</v>
      </c>
      <c r="X178" s="12">
        <f>VLOOKUP(Tableau2[[#This Row],[essence]],Tableau5[],9,FALSE)</f>
        <v>0</v>
      </c>
      <c r="Y178" s="12">
        <f>IF(Tableau2[[#This Row],[sdom]]="2OUEST",1,0)</f>
        <v>0</v>
      </c>
      <c r="Z178" s="12">
        <f>VLOOKUP(Tableau2[[#This Row],[essence]],Tableau5[],10,FALSE)</f>
        <v>0</v>
      </c>
      <c r="AA178" s="12">
        <f>IF(Tableau2[[#This Row],[sdom]]="3EST",1,0)</f>
        <v>0</v>
      </c>
      <c r="AB178" s="12">
        <f>VLOOKUP(Tableau2[[#This Row],[essence]],Tableau5[],11,FALSE)</f>
        <v>0</v>
      </c>
      <c r="AC178" s="12">
        <f>IF(Tableau2[[#This Row],[sdom]]="3OUEST",1,0)</f>
        <v>0</v>
      </c>
      <c r="AD178" s="12">
        <f>VLOOKUP(Tableau2[[#This Row],[essence]],Tableau5[],12,FALSE)</f>
        <v>0</v>
      </c>
      <c r="AE178" s="12">
        <f>IF(Tableau2[[#This Row],[sdom]]="4EST",1,0)</f>
        <v>0</v>
      </c>
      <c r="AF178" s="12">
        <f>VLOOKUP(Tableau2[[#This Row],[essence]],Tableau5[],13,FALSE)</f>
        <v>0</v>
      </c>
      <c r="AG178" s="12">
        <f>IF(Tableau2[[#This Row],[sdom]]="4OUEST",1,0)</f>
        <v>0</v>
      </c>
      <c r="AH178" s="12">
        <f>VLOOKUP(Tableau2[[#This Row],[essence]],Tableau5[],14,FALSE)</f>
        <v>0</v>
      </c>
      <c r="AI178" s="12">
        <f>IF(Tableau2[[#This Row],[sdom]]="5EST",1,0)</f>
        <v>1</v>
      </c>
      <c r="AJ178" s="12">
        <f>VLOOKUP(Tableau2[[#This Row],[essence]],Tableau5[],16,FALSE)</f>
        <v>0</v>
      </c>
      <c r="AK178" s="12">
        <f>IF(Tableau2[[#This Row],[sdom]]="5OUEST",1,0)</f>
        <v>0</v>
      </c>
      <c r="AL178" s="12">
        <f>VLOOKUP(Tableau2[[#This Row],[essence]],Tableau5[],17,FALSE)</f>
        <v>0</v>
      </c>
      <c r="AM178" s="12">
        <f>IF(Tableau2[[#This Row],[sdom]]="6EST",1,0)</f>
        <v>0</v>
      </c>
      <c r="AN178" s="12">
        <f>VLOOKUP(Tableau2[[#This Row],[essence]],Tableau5[],19,FALSE)</f>
        <v>0</v>
      </c>
      <c r="AO178" s="12">
        <f>IF(Tableau2[[#This Row],[priorecol]]="C",1,0)</f>
        <v>0</v>
      </c>
      <c r="AP178" s="12">
        <f>VLOOKUP(Tableau2[[#This Row],[essence]],Tableau5[],20,FALSE)</f>
        <v>0</v>
      </c>
      <c r="AQ178" s="12">
        <f>IF(Tableau2[[#This Row],[priorecol]]="R",1,0)</f>
        <v>0</v>
      </c>
      <c r="AR178" s="12">
        <f>VLOOKUP(Tableau2[[#This Row],[essence]],Tableau5[],21,FALSE)</f>
        <v>0</v>
      </c>
      <c r="AS178" s="12">
        <f>IF(Tableau2[[#This Row],[priorecol]]="S",1,0)</f>
        <v>1</v>
      </c>
      <c r="AT178" s="12">
        <f>VLOOKUP(Tableau2[[#This Row],[essence]],Tableau5[],22,FALSE)</f>
        <v>1.1384000000000001</v>
      </c>
      <c r="AU178" s="12">
        <f>VLOOKUP(Tableau2[[#This Row],[essence]],Tableau5[],23,FALSE)</f>
        <v>1.0699999999999999E-2</v>
      </c>
      <c r="AV178" s="12">
        <f>VLOOKUP(Tableau2[[#This Row],[essence]],Tableau5[],18,FALSE)</f>
        <v>0</v>
      </c>
      <c r="AW17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2.0329999999999986</v>
      </c>
      <c r="AX178" s="12">
        <f>1/(1+EXP(-Tableau2[[#This Row],[xb_c]]))</f>
        <v>0.88421856041532276</v>
      </c>
      <c r="AY178" s="12" t="str">
        <f t="shared" si="4"/>
        <v>NA</v>
      </c>
      <c r="AZ178" s="12" t="str">
        <f t="shared" si="5"/>
        <v>NA</v>
      </c>
      <c r="BA178" s="12">
        <f>Tableau2[[#This Row],[prob_c]]</f>
        <v>0.88421856041532276</v>
      </c>
      <c r="BB178" s="12">
        <f>1-Tableau2[[#This Row],[prob_c]]</f>
        <v>0.11578143958467724</v>
      </c>
    </row>
    <row r="179" spans="1:54" x14ac:dyDescent="0.25">
      <c r="A179" s="12">
        <v>8</v>
      </c>
      <c r="B179" s="12" t="s">
        <v>16</v>
      </c>
      <c r="C179" s="12">
        <v>2.1</v>
      </c>
      <c r="D179" s="12">
        <v>700</v>
      </c>
      <c r="E179" s="12">
        <v>20</v>
      </c>
      <c r="F179" s="12">
        <v>1</v>
      </c>
      <c r="G179" s="12">
        <v>10</v>
      </c>
      <c r="H179" s="12">
        <v>31</v>
      </c>
      <c r="I179" s="12" t="s">
        <v>22</v>
      </c>
      <c r="J179" s="12" t="s">
        <v>27</v>
      </c>
      <c r="K179" s="12">
        <f>VLOOKUP(Tableau2[[#This Row],[essence]],Tableau5[],2,FALSE)</f>
        <v>-0.54949999999999999</v>
      </c>
      <c r="L179" s="12">
        <f>VLOOKUP(Tableau2[[#This Row],[essence]],Tableau5[],3,FALSE)</f>
        <v>-0.14960000000000001</v>
      </c>
      <c r="M179" s="12">
        <f>IF(Tableau2[[#This Row],[priorecol]]="C",1,0)</f>
        <v>1</v>
      </c>
      <c r="N179" s="12">
        <f>VLOOKUP(Tableau2[[#This Row],[essence]],Tableau5[],4,FALSE)</f>
        <v>1.6746000000000001</v>
      </c>
      <c r="O179" s="12">
        <f>IF(Tableau2[[#This Row],[priorecol]]="R",1,0)</f>
        <v>0</v>
      </c>
      <c r="P179" s="12">
        <f>VLOOKUP(Tableau2[[#This Row],[essence]],Tableau5[],5,FALSE)</f>
        <v>0.65110000000000001</v>
      </c>
      <c r="Q179" s="12">
        <f>IF(Tableau2[[#This Row],[priorecol]]="S",1,0)</f>
        <v>0</v>
      </c>
      <c r="R179" s="12">
        <f>VLOOKUP(Tableau2[[#This Row],[essence]],Tableau5[],6,FALSE)</f>
        <v>-3.0599999999999999E-2</v>
      </c>
      <c r="S179" s="12">
        <f>VLOOKUP(Tableau2[[#This Row],[essence]],Tableau5[],15,FALSE)</f>
        <v>-3.8399999999999997E-2</v>
      </c>
      <c r="T179" s="12">
        <f>VLOOKUP(Tableau2[[#This Row],[essence]],Tableau5[],7,FALSE)</f>
        <v>1.2454000000000001</v>
      </c>
      <c r="U179" s="12">
        <f>IF(Tableau2[[#This Row],[sdom]]=1,1,0)</f>
        <v>0</v>
      </c>
      <c r="V179" s="12">
        <f>VLOOKUP(Tableau2[[#This Row],[essence]],Tableau5[],8,FALSE)</f>
        <v>0.85550000000000004</v>
      </c>
      <c r="W179" s="12">
        <f>IF(Tableau2[[#This Row],[sdom]]="2EST",1,0)</f>
        <v>0</v>
      </c>
      <c r="X179" s="12">
        <f>VLOOKUP(Tableau2[[#This Row],[essence]],Tableau5[],9,FALSE)</f>
        <v>1.2195</v>
      </c>
      <c r="Y179" s="12">
        <f>IF(Tableau2[[#This Row],[sdom]]="2OUEST",1,0)</f>
        <v>0</v>
      </c>
      <c r="Z179" s="12">
        <f>VLOOKUP(Tableau2[[#This Row],[essence]],Tableau5[],10,FALSE)</f>
        <v>0.94630000000000003</v>
      </c>
      <c r="AA179" s="12">
        <f>IF(Tableau2[[#This Row],[sdom]]="3EST",1,0)</f>
        <v>0</v>
      </c>
      <c r="AB179" s="12">
        <f>VLOOKUP(Tableau2[[#This Row],[essence]],Tableau5[],11,FALSE)</f>
        <v>0.64859999999999995</v>
      </c>
      <c r="AC179" s="12">
        <f>IF(Tableau2[[#This Row],[sdom]]="3OUEST",1,0)</f>
        <v>0</v>
      </c>
      <c r="AD179" s="12">
        <f>VLOOKUP(Tableau2[[#This Row],[essence]],Tableau5[],12,FALSE)</f>
        <v>0.91920000000000002</v>
      </c>
      <c r="AE179" s="12">
        <f>IF(Tableau2[[#This Row],[sdom]]="4EST",1,0)</f>
        <v>0</v>
      </c>
      <c r="AF179" s="12">
        <f>VLOOKUP(Tableau2[[#This Row],[essence]],Tableau5[],13,FALSE)</f>
        <v>0.67230000000000001</v>
      </c>
      <c r="AG179" s="12">
        <f>IF(Tableau2[[#This Row],[sdom]]="4OUEST",1,0)</f>
        <v>0</v>
      </c>
      <c r="AH179" s="12">
        <f>VLOOKUP(Tableau2[[#This Row],[essence]],Tableau5[],14,FALSE)</f>
        <v>0.43309999999999998</v>
      </c>
      <c r="AI179" s="12">
        <f>IF(Tableau2[[#This Row],[sdom]]="5EST",1,0)</f>
        <v>1</v>
      </c>
      <c r="AJ179" s="12">
        <f>VLOOKUP(Tableau2[[#This Row],[essence]],Tableau5[],16,FALSE)</f>
        <v>0</v>
      </c>
      <c r="AK179" s="12">
        <f>IF(Tableau2[[#This Row],[sdom]]="5OUEST",1,0)</f>
        <v>0</v>
      </c>
      <c r="AL179" s="12">
        <f>VLOOKUP(Tableau2[[#This Row],[essence]],Tableau5[],17,FALSE)</f>
        <v>0</v>
      </c>
      <c r="AM179" s="12">
        <f>IF(Tableau2[[#This Row],[sdom]]="6EST",1,0)</f>
        <v>0</v>
      </c>
      <c r="AN179" s="12">
        <f>VLOOKUP(Tableau2[[#This Row],[essence]],Tableau5[],19,FALSE)</f>
        <v>6.6900000000000001E-2</v>
      </c>
      <c r="AO179" s="12">
        <f>IF(Tableau2[[#This Row],[priorecol]]="C",1,0)</f>
        <v>1</v>
      </c>
      <c r="AP179" s="12">
        <f>VLOOKUP(Tableau2[[#This Row],[essence]],Tableau5[],20,FALSE)</f>
        <v>4.3799999999999999E-2</v>
      </c>
      <c r="AQ179" s="12">
        <f>IF(Tableau2[[#This Row],[priorecol]]="R",1,0)</f>
        <v>0</v>
      </c>
      <c r="AR179" s="12">
        <f>VLOOKUP(Tableau2[[#This Row],[essence]],Tableau5[],21,FALSE)</f>
        <v>2.7900000000000001E-2</v>
      </c>
      <c r="AS179" s="12">
        <f>IF(Tableau2[[#This Row],[priorecol]]="S",1,0)</f>
        <v>0</v>
      </c>
      <c r="AT179" s="12">
        <f>VLOOKUP(Tableau2[[#This Row],[essence]],Tableau5[],22,FALSE)</f>
        <v>0</v>
      </c>
      <c r="AU179" s="12">
        <f>VLOOKUP(Tableau2[[#This Row],[essence]],Tableau5[],23,FALSE)</f>
        <v>1.73E-3</v>
      </c>
      <c r="AV179" s="12">
        <f>VLOOKUP(Tableau2[[#This Row],[essence]],Tableau5[],18,FALSE)</f>
        <v>0.1295</v>
      </c>
      <c r="AW17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1.4358500000000003</v>
      </c>
      <c r="AX179" s="12">
        <f>1/(1+EXP(-Tableau2[[#This Row],[xb_c]]))</f>
        <v>0.80781117738818686</v>
      </c>
      <c r="AY179" s="12" t="str">
        <f t="shared" si="4"/>
        <v>NA</v>
      </c>
      <c r="AZ179" s="12" t="str">
        <f t="shared" si="5"/>
        <v>NA</v>
      </c>
      <c r="BA179" s="12">
        <f>Tableau2[[#This Row],[prob_c]]</f>
        <v>0.80781117738818686</v>
      </c>
      <c r="BB179" s="12">
        <f>1-Tableau2[[#This Row],[prob_c]]</f>
        <v>0.19218882261181314</v>
      </c>
    </row>
    <row r="180" spans="1:54" x14ac:dyDescent="0.25">
      <c r="A180" s="12">
        <v>8</v>
      </c>
      <c r="B180" s="12" t="s">
        <v>16</v>
      </c>
      <c r="C180" s="12">
        <v>2.1</v>
      </c>
      <c r="D180" s="12">
        <v>700</v>
      </c>
      <c r="E180" s="12">
        <v>20</v>
      </c>
      <c r="F180" s="12">
        <v>1</v>
      </c>
      <c r="G180" s="12">
        <v>11</v>
      </c>
      <c r="H180" s="12">
        <v>32</v>
      </c>
      <c r="I180" s="12" t="s">
        <v>22</v>
      </c>
      <c r="J180" s="12" t="s">
        <v>28</v>
      </c>
      <c r="K180" s="12">
        <f>VLOOKUP(Tableau2[[#This Row],[essence]],Tableau5[],2,FALSE)</f>
        <v>-0.54949999999999999</v>
      </c>
      <c r="L180" s="12">
        <f>VLOOKUP(Tableau2[[#This Row],[essence]],Tableau5[],3,FALSE)</f>
        <v>-0.14960000000000001</v>
      </c>
      <c r="M180" s="12">
        <f>IF(Tableau2[[#This Row],[priorecol]]="C",1,0)</f>
        <v>0</v>
      </c>
      <c r="N180" s="12">
        <f>VLOOKUP(Tableau2[[#This Row],[essence]],Tableau5[],4,FALSE)</f>
        <v>1.6746000000000001</v>
      </c>
      <c r="O180" s="12">
        <f>IF(Tableau2[[#This Row],[priorecol]]="R",1,0)</f>
        <v>1</v>
      </c>
      <c r="P180" s="12">
        <f>VLOOKUP(Tableau2[[#This Row],[essence]],Tableau5[],5,FALSE)</f>
        <v>0.65110000000000001</v>
      </c>
      <c r="Q180" s="12">
        <f>IF(Tableau2[[#This Row],[priorecol]]="S",1,0)</f>
        <v>0</v>
      </c>
      <c r="R180" s="12">
        <f>VLOOKUP(Tableau2[[#This Row],[essence]],Tableau5[],6,FALSE)</f>
        <v>-3.0599999999999999E-2</v>
      </c>
      <c r="S180" s="12">
        <f>VLOOKUP(Tableau2[[#This Row],[essence]],Tableau5[],15,FALSE)</f>
        <v>-3.8399999999999997E-2</v>
      </c>
      <c r="T180" s="12">
        <f>VLOOKUP(Tableau2[[#This Row],[essence]],Tableau5[],7,FALSE)</f>
        <v>1.2454000000000001</v>
      </c>
      <c r="U180" s="12">
        <f>IF(Tableau2[[#This Row],[sdom]]=1,1,0)</f>
        <v>0</v>
      </c>
      <c r="V180" s="12">
        <f>VLOOKUP(Tableau2[[#This Row],[essence]],Tableau5[],8,FALSE)</f>
        <v>0.85550000000000004</v>
      </c>
      <c r="W180" s="12">
        <f>IF(Tableau2[[#This Row],[sdom]]="2EST",1,0)</f>
        <v>0</v>
      </c>
      <c r="X180" s="12">
        <f>VLOOKUP(Tableau2[[#This Row],[essence]],Tableau5[],9,FALSE)</f>
        <v>1.2195</v>
      </c>
      <c r="Y180" s="12">
        <f>IF(Tableau2[[#This Row],[sdom]]="2OUEST",1,0)</f>
        <v>0</v>
      </c>
      <c r="Z180" s="12">
        <f>VLOOKUP(Tableau2[[#This Row],[essence]],Tableau5[],10,FALSE)</f>
        <v>0.94630000000000003</v>
      </c>
      <c r="AA180" s="12">
        <f>IF(Tableau2[[#This Row],[sdom]]="3EST",1,0)</f>
        <v>0</v>
      </c>
      <c r="AB180" s="12">
        <f>VLOOKUP(Tableau2[[#This Row],[essence]],Tableau5[],11,FALSE)</f>
        <v>0.64859999999999995</v>
      </c>
      <c r="AC180" s="12">
        <f>IF(Tableau2[[#This Row],[sdom]]="3OUEST",1,0)</f>
        <v>0</v>
      </c>
      <c r="AD180" s="12">
        <f>VLOOKUP(Tableau2[[#This Row],[essence]],Tableau5[],12,FALSE)</f>
        <v>0.91920000000000002</v>
      </c>
      <c r="AE180" s="12">
        <f>IF(Tableau2[[#This Row],[sdom]]="4EST",1,0)</f>
        <v>0</v>
      </c>
      <c r="AF180" s="12">
        <f>VLOOKUP(Tableau2[[#This Row],[essence]],Tableau5[],13,FALSE)</f>
        <v>0.67230000000000001</v>
      </c>
      <c r="AG180" s="12">
        <f>IF(Tableau2[[#This Row],[sdom]]="4OUEST",1,0)</f>
        <v>0</v>
      </c>
      <c r="AH180" s="12">
        <f>VLOOKUP(Tableau2[[#This Row],[essence]],Tableau5[],14,FALSE)</f>
        <v>0.43309999999999998</v>
      </c>
      <c r="AI180" s="12">
        <f>IF(Tableau2[[#This Row],[sdom]]="5EST",1,0)</f>
        <v>1</v>
      </c>
      <c r="AJ180" s="12">
        <f>VLOOKUP(Tableau2[[#This Row],[essence]],Tableau5[],16,FALSE)</f>
        <v>0</v>
      </c>
      <c r="AK180" s="12">
        <f>IF(Tableau2[[#This Row],[sdom]]="5OUEST",1,0)</f>
        <v>0</v>
      </c>
      <c r="AL180" s="12">
        <f>VLOOKUP(Tableau2[[#This Row],[essence]],Tableau5[],17,FALSE)</f>
        <v>0</v>
      </c>
      <c r="AM180" s="12">
        <f>IF(Tableau2[[#This Row],[sdom]]="6EST",1,0)</f>
        <v>0</v>
      </c>
      <c r="AN180" s="12">
        <f>VLOOKUP(Tableau2[[#This Row],[essence]],Tableau5[],19,FALSE)</f>
        <v>6.6900000000000001E-2</v>
      </c>
      <c r="AO180" s="12">
        <f>IF(Tableau2[[#This Row],[priorecol]]="C",1,0)</f>
        <v>0</v>
      </c>
      <c r="AP180" s="12">
        <f>VLOOKUP(Tableau2[[#This Row],[essence]],Tableau5[],20,FALSE)</f>
        <v>4.3799999999999999E-2</v>
      </c>
      <c r="AQ180" s="12">
        <f>IF(Tableau2[[#This Row],[priorecol]]="R",1,0)</f>
        <v>1</v>
      </c>
      <c r="AR180" s="12">
        <f>VLOOKUP(Tableau2[[#This Row],[essence]],Tableau5[],21,FALSE)</f>
        <v>2.7900000000000001E-2</v>
      </c>
      <c r="AS180" s="12">
        <f>IF(Tableau2[[#This Row],[priorecol]]="S",1,0)</f>
        <v>0</v>
      </c>
      <c r="AT180" s="12">
        <f>VLOOKUP(Tableau2[[#This Row],[essence]],Tableau5[],22,FALSE)</f>
        <v>0</v>
      </c>
      <c r="AU180" s="12">
        <f>VLOOKUP(Tableau2[[#This Row],[essence]],Tableau5[],23,FALSE)</f>
        <v>1.73E-3</v>
      </c>
      <c r="AV180" s="12">
        <f>VLOOKUP(Tableau2[[#This Row],[essence]],Tableau5[],18,FALSE)</f>
        <v>0.1295</v>
      </c>
      <c r="AW18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2.5917500000000002</v>
      </c>
      <c r="AX180" s="12">
        <f>1/(1+EXP(-Tableau2[[#This Row],[xb_c]]))</f>
        <v>0.93032873264843585</v>
      </c>
      <c r="AY180" s="12" t="str">
        <f t="shared" si="4"/>
        <v>NA</v>
      </c>
      <c r="AZ180" s="12" t="str">
        <f t="shared" si="5"/>
        <v>NA</v>
      </c>
      <c r="BA180" s="12">
        <f>Tableau2[[#This Row],[prob_c]]</f>
        <v>0.93032873264843585</v>
      </c>
      <c r="BB180" s="12">
        <f>1-Tableau2[[#This Row],[prob_c]]</f>
        <v>6.9671267351564148E-2</v>
      </c>
    </row>
    <row r="181" spans="1:54" x14ac:dyDescent="0.25">
      <c r="A181" s="12">
        <v>8</v>
      </c>
      <c r="B181" s="12" t="s">
        <v>16</v>
      </c>
      <c r="C181" s="12">
        <v>2.1</v>
      </c>
      <c r="D181" s="12">
        <v>700</v>
      </c>
      <c r="E181" s="12">
        <v>20</v>
      </c>
      <c r="F181" s="12">
        <v>1</v>
      </c>
      <c r="G181" s="12">
        <v>12</v>
      </c>
      <c r="H181" s="12">
        <v>33</v>
      </c>
      <c r="I181" s="12" t="s">
        <v>22</v>
      </c>
      <c r="J181" s="12" t="s">
        <v>29</v>
      </c>
      <c r="K181" s="12">
        <f>VLOOKUP(Tableau2[[#This Row],[essence]],Tableau5[],2,FALSE)</f>
        <v>-0.54949999999999999</v>
      </c>
      <c r="L181" s="12">
        <f>VLOOKUP(Tableau2[[#This Row],[essence]],Tableau5[],3,FALSE)</f>
        <v>-0.14960000000000001</v>
      </c>
      <c r="M181" s="12">
        <f>IF(Tableau2[[#This Row],[priorecol]]="C",1,0)</f>
        <v>0</v>
      </c>
      <c r="N181" s="12">
        <f>VLOOKUP(Tableau2[[#This Row],[essence]],Tableau5[],4,FALSE)</f>
        <v>1.6746000000000001</v>
      </c>
      <c r="O181" s="12">
        <f>IF(Tableau2[[#This Row],[priorecol]]="R",1,0)</f>
        <v>0</v>
      </c>
      <c r="P181" s="12">
        <f>VLOOKUP(Tableau2[[#This Row],[essence]],Tableau5[],5,FALSE)</f>
        <v>0.65110000000000001</v>
      </c>
      <c r="Q181" s="12">
        <f>IF(Tableau2[[#This Row],[priorecol]]="S",1,0)</f>
        <v>1</v>
      </c>
      <c r="R181" s="12">
        <f>VLOOKUP(Tableau2[[#This Row],[essence]],Tableau5[],6,FALSE)</f>
        <v>-3.0599999999999999E-2</v>
      </c>
      <c r="S181" s="12">
        <f>VLOOKUP(Tableau2[[#This Row],[essence]],Tableau5[],15,FALSE)</f>
        <v>-3.8399999999999997E-2</v>
      </c>
      <c r="T181" s="12">
        <f>VLOOKUP(Tableau2[[#This Row],[essence]],Tableau5[],7,FALSE)</f>
        <v>1.2454000000000001</v>
      </c>
      <c r="U181" s="12">
        <f>IF(Tableau2[[#This Row],[sdom]]=1,1,0)</f>
        <v>0</v>
      </c>
      <c r="V181" s="12">
        <f>VLOOKUP(Tableau2[[#This Row],[essence]],Tableau5[],8,FALSE)</f>
        <v>0.85550000000000004</v>
      </c>
      <c r="W181" s="12">
        <f>IF(Tableau2[[#This Row],[sdom]]="2EST",1,0)</f>
        <v>0</v>
      </c>
      <c r="X181" s="12">
        <f>VLOOKUP(Tableau2[[#This Row],[essence]],Tableau5[],9,FALSE)</f>
        <v>1.2195</v>
      </c>
      <c r="Y181" s="12">
        <f>IF(Tableau2[[#This Row],[sdom]]="2OUEST",1,0)</f>
        <v>0</v>
      </c>
      <c r="Z181" s="12">
        <f>VLOOKUP(Tableau2[[#This Row],[essence]],Tableau5[],10,FALSE)</f>
        <v>0.94630000000000003</v>
      </c>
      <c r="AA181" s="12">
        <f>IF(Tableau2[[#This Row],[sdom]]="3EST",1,0)</f>
        <v>0</v>
      </c>
      <c r="AB181" s="12">
        <f>VLOOKUP(Tableau2[[#This Row],[essence]],Tableau5[],11,FALSE)</f>
        <v>0.64859999999999995</v>
      </c>
      <c r="AC181" s="12">
        <f>IF(Tableau2[[#This Row],[sdom]]="3OUEST",1,0)</f>
        <v>0</v>
      </c>
      <c r="AD181" s="12">
        <f>VLOOKUP(Tableau2[[#This Row],[essence]],Tableau5[],12,FALSE)</f>
        <v>0.91920000000000002</v>
      </c>
      <c r="AE181" s="12">
        <f>IF(Tableau2[[#This Row],[sdom]]="4EST",1,0)</f>
        <v>0</v>
      </c>
      <c r="AF181" s="12">
        <f>VLOOKUP(Tableau2[[#This Row],[essence]],Tableau5[],13,FALSE)</f>
        <v>0.67230000000000001</v>
      </c>
      <c r="AG181" s="12">
        <f>IF(Tableau2[[#This Row],[sdom]]="4OUEST",1,0)</f>
        <v>0</v>
      </c>
      <c r="AH181" s="12">
        <f>VLOOKUP(Tableau2[[#This Row],[essence]],Tableau5[],14,FALSE)</f>
        <v>0.43309999999999998</v>
      </c>
      <c r="AI181" s="12">
        <f>IF(Tableau2[[#This Row],[sdom]]="5EST",1,0)</f>
        <v>1</v>
      </c>
      <c r="AJ181" s="12">
        <f>VLOOKUP(Tableau2[[#This Row],[essence]],Tableau5[],16,FALSE)</f>
        <v>0</v>
      </c>
      <c r="AK181" s="12">
        <f>IF(Tableau2[[#This Row],[sdom]]="5OUEST",1,0)</f>
        <v>0</v>
      </c>
      <c r="AL181" s="12">
        <f>VLOOKUP(Tableau2[[#This Row],[essence]],Tableau5[],17,FALSE)</f>
        <v>0</v>
      </c>
      <c r="AM181" s="12">
        <f>IF(Tableau2[[#This Row],[sdom]]="6EST",1,0)</f>
        <v>0</v>
      </c>
      <c r="AN181" s="12">
        <f>VLOOKUP(Tableau2[[#This Row],[essence]],Tableau5[],19,FALSE)</f>
        <v>6.6900000000000001E-2</v>
      </c>
      <c r="AO181" s="12">
        <f>IF(Tableau2[[#This Row],[priorecol]]="C",1,0)</f>
        <v>0</v>
      </c>
      <c r="AP181" s="12">
        <f>VLOOKUP(Tableau2[[#This Row],[essence]],Tableau5[],20,FALSE)</f>
        <v>4.3799999999999999E-2</v>
      </c>
      <c r="AQ181" s="12">
        <f>IF(Tableau2[[#This Row],[priorecol]]="R",1,0)</f>
        <v>0</v>
      </c>
      <c r="AR181" s="12">
        <f>VLOOKUP(Tableau2[[#This Row],[essence]],Tableau5[],21,FALSE)</f>
        <v>2.7900000000000001E-2</v>
      </c>
      <c r="AS181" s="12">
        <f>IF(Tableau2[[#This Row],[priorecol]]="S",1,0)</f>
        <v>1</v>
      </c>
      <c r="AT181" s="12">
        <f>VLOOKUP(Tableau2[[#This Row],[essence]],Tableau5[],22,FALSE)</f>
        <v>0</v>
      </c>
      <c r="AU181" s="12">
        <f>VLOOKUP(Tableau2[[#This Row],[essence]],Tableau5[],23,FALSE)</f>
        <v>1.73E-3</v>
      </c>
      <c r="AV181" s="12">
        <f>VLOOKUP(Tableau2[[#This Row],[essence]],Tableau5[],18,FALSE)</f>
        <v>0.1295</v>
      </c>
      <c r="AW18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1.0913500000000003</v>
      </c>
      <c r="AX181" s="12">
        <f>1/(1+EXP(-Tableau2[[#This Row],[xb_c]]))</f>
        <v>0.74863585015777268</v>
      </c>
      <c r="AY181" s="12" t="str">
        <f t="shared" si="4"/>
        <v>NA</v>
      </c>
      <c r="AZ181" s="12" t="str">
        <f t="shared" si="5"/>
        <v>NA</v>
      </c>
      <c r="BA181" s="12">
        <f>Tableau2[[#This Row],[prob_c]]</f>
        <v>0.74863585015777268</v>
      </c>
      <c r="BB181" s="12">
        <f>1-Tableau2[[#This Row],[prob_c]]</f>
        <v>0.25136414984222732</v>
      </c>
    </row>
    <row r="182" spans="1:54" x14ac:dyDescent="0.25">
      <c r="A182" s="12">
        <v>8</v>
      </c>
      <c r="B182" s="12" t="s">
        <v>16</v>
      </c>
      <c r="C182" s="12">
        <v>2.1</v>
      </c>
      <c r="D182" s="12">
        <v>700</v>
      </c>
      <c r="E182" s="12">
        <v>20</v>
      </c>
      <c r="F182" s="12">
        <v>1</v>
      </c>
      <c r="G182" s="12">
        <v>13</v>
      </c>
      <c r="H182" s="12">
        <v>24</v>
      </c>
      <c r="I182" s="12" t="s">
        <v>23</v>
      </c>
      <c r="J182" s="12" t="s">
        <v>27</v>
      </c>
      <c r="K182" s="12">
        <f>VLOOKUP(Tableau2[[#This Row],[essence]],Tableau5[],2,FALSE)</f>
        <v>-1.5804</v>
      </c>
      <c r="L182" s="12">
        <f>VLOOKUP(Tableau2[[#This Row],[essence]],Tableau5[],3,FALSE)</f>
        <v>0.70079999999999998</v>
      </c>
      <c r="M182" s="12">
        <f>IF(Tableau2[[#This Row],[priorecol]]="C",1,0)</f>
        <v>1</v>
      </c>
      <c r="N182" s="12">
        <f>VLOOKUP(Tableau2[[#This Row],[essence]],Tableau5[],4,FALSE)</f>
        <v>0.1178</v>
      </c>
      <c r="O182" s="12">
        <f>IF(Tableau2[[#This Row],[priorecol]]="R",1,0)</f>
        <v>0</v>
      </c>
      <c r="P182" s="12">
        <f>VLOOKUP(Tableau2[[#This Row],[essence]],Tableau5[],5,FALSE)</f>
        <v>0.88300000000000001</v>
      </c>
      <c r="Q182" s="12">
        <f>IF(Tableau2[[#This Row],[priorecol]]="S",1,0)</f>
        <v>0</v>
      </c>
      <c r="R182" s="12">
        <f>VLOOKUP(Tableau2[[#This Row],[essence]],Tableau5[],6,FALSE)</f>
        <v>4.8599999999999997E-2</v>
      </c>
      <c r="S182" s="12">
        <f>VLOOKUP(Tableau2[[#This Row],[essence]],Tableau5[],15,FALSE)</f>
        <v>0</v>
      </c>
      <c r="T182" s="12">
        <f>VLOOKUP(Tableau2[[#This Row],[essence]],Tableau5[],7,FALSE)</f>
        <v>1.111</v>
      </c>
      <c r="U182" s="12">
        <f>IF(Tableau2[[#This Row],[sdom]]=1,1,0)</f>
        <v>0</v>
      </c>
      <c r="V182" s="12">
        <f>VLOOKUP(Tableau2[[#This Row],[essence]],Tableau5[],8,FALSE)</f>
        <v>0.68489999999999995</v>
      </c>
      <c r="W182" s="12">
        <f>IF(Tableau2[[#This Row],[sdom]]="2EST",1,0)</f>
        <v>0</v>
      </c>
      <c r="X182" s="12">
        <f>VLOOKUP(Tableau2[[#This Row],[essence]],Tableau5[],9,FALSE)</f>
        <v>0.72130000000000005</v>
      </c>
      <c r="Y182" s="12">
        <f>IF(Tableau2[[#This Row],[sdom]]="2OUEST",1,0)</f>
        <v>0</v>
      </c>
      <c r="Z182" s="12">
        <f>VLOOKUP(Tableau2[[#This Row],[essence]],Tableau5[],10,FALSE)</f>
        <v>0.83930000000000005</v>
      </c>
      <c r="AA182" s="12">
        <f>IF(Tableau2[[#This Row],[sdom]]="3EST",1,0)</f>
        <v>0</v>
      </c>
      <c r="AB182" s="12">
        <f>VLOOKUP(Tableau2[[#This Row],[essence]],Tableau5[],11,FALSE)</f>
        <v>0.6865</v>
      </c>
      <c r="AC182" s="12">
        <f>IF(Tableau2[[#This Row],[sdom]]="3OUEST",1,0)</f>
        <v>0</v>
      </c>
      <c r="AD182" s="12">
        <f>VLOOKUP(Tableau2[[#This Row],[essence]],Tableau5[],12,FALSE)</f>
        <v>0.79569999999999996</v>
      </c>
      <c r="AE182" s="12">
        <f>IF(Tableau2[[#This Row],[sdom]]="4EST",1,0)</f>
        <v>0</v>
      </c>
      <c r="AF182" s="12">
        <f>VLOOKUP(Tableau2[[#This Row],[essence]],Tableau5[],13,FALSE)</f>
        <v>0.54700000000000004</v>
      </c>
      <c r="AG182" s="12">
        <f>IF(Tableau2[[#This Row],[sdom]]="4OUEST",1,0)</f>
        <v>0</v>
      </c>
      <c r="AH182" s="12">
        <f>VLOOKUP(Tableau2[[#This Row],[essence]],Tableau5[],14,FALSE)</f>
        <v>0</v>
      </c>
      <c r="AI182" s="12">
        <f>IF(Tableau2[[#This Row],[sdom]]="5EST",1,0)</f>
        <v>1</v>
      </c>
      <c r="AJ182" s="12">
        <f>VLOOKUP(Tableau2[[#This Row],[essence]],Tableau5[],16,FALSE)</f>
        <v>0</v>
      </c>
      <c r="AK182" s="12">
        <f>IF(Tableau2[[#This Row],[sdom]]="5OUEST",1,0)</f>
        <v>0</v>
      </c>
      <c r="AL182" s="12">
        <f>VLOOKUP(Tableau2[[#This Row],[essence]],Tableau5[],17,FALSE)</f>
        <v>0</v>
      </c>
      <c r="AM182" s="12">
        <f>IF(Tableau2[[#This Row],[sdom]]="6EST",1,0)</f>
        <v>0</v>
      </c>
      <c r="AN182" s="12">
        <f>VLOOKUP(Tableau2[[#This Row],[essence]],Tableau5[],19,FALSE)</f>
        <v>4.2000000000000003E-2</v>
      </c>
      <c r="AO182" s="12">
        <f>IF(Tableau2[[#This Row],[priorecol]]="C",1,0)</f>
        <v>1</v>
      </c>
      <c r="AP182" s="12">
        <f>VLOOKUP(Tableau2[[#This Row],[essence]],Tableau5[],20,FALSE)</f>
        <v>0.111</v>
      </c>
      <c r="AQ182" s="12">
        <f>IF(Tableau2[[#This Row],[priorecol]]="R",1,0)</f>
        <v>0</v>
      </c>
      <c r="AR182" s="12">
        <f>VLOOKUP(Tableau2[[#This Row],[essence]],Tableau5[],21,FALSE)</f>
        <v>4.3600000000000002E-3</v>
      </c>
      <c r="AS182" s="12">
        <f>IF(Tableau2[[#This Row],[priorecol]]="S",1,0)</f>
        <v>0</v>
      </c>
      <c r="AT182" s="12">
        <f>VLOOKUP(Tableau2[[#This Row],[essence]],Tableau5[],22,FALSE)</f>
        <v>0</v>
      </c>
      <c r="AU182" s="12">
        <f>VLOOKUP(Tableau2[[#This Row],[essence]],Tableau5[],23,FALSE)</f>
        <v>0</v>
      </c>
      <c r="AV182" s="12">
        <f>VLOOKUP(Tableau2[[#This Row],[essence]],Tableau5[],18,FALSE)</f>
        <v>0</v>
      </c>
      <c r="AW18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1.2948</v>
      </c>
      <c r="AX182" s="12">
        <f>1/(1+EXP(-Tableau2[[#This Row],[xb_c]]))</f>
        <v>0.78495853082499301</v>
      </c>
      <c r="AY182" s="12" t="str">
        <f t="shared" si="4"/>
        <v>NA</v>
      </c>
      <c r="AZ182" s="12" t="str">
        <f t="shared" si="5"/>
        <v>NA</v>
      </c>
      <c r="BA182" s="12">
        <f>Tableau2[[#This Row],[prob_c]]</f>
        <v>0.78495853082499301</v>
      </c>
      <c r="BB182" s="12">
        <f>1-Tableau2[[#This Row],[prob_c]]</f>
        <v>0.21504146917500699</v>
      </c>
    </row>
    <row r="183" spans="1:54" x14ac:dyDescent="0.25">
      <c r="A183" s="12">
        <v>8</v>
      </c>
      <c r="B183" s="12" t="s">
        <v>16</v>
      </c>
      <c r="C183" s="12">
        <v>2.1</v>
      </c>
      <c r="D183" s="12">
        <v>700</v>
      </c>
      <c r="E183" s="12">
        <v>20</v>
      </c>
      <c r="F183" s="12">
        <v>1</v>
      </c>
      <c r="G183" s="12">
        <v>14</v>
      </c>
      <c r="H183" s="12">
        <v>25</v>
      </c>
      <c r="I183" s="12" t="s">
        <v>23</v>
      </c>
      <c r="J183" s="12" t="s">
        <v>28</v>
      </c>
      <c r="K183" s="12">
        <f>VLOOKUP(Tableau2[[#This Row],[essence]],Tableau5[],2,FALSE)</f>
        <v>-1.5804</v>
      </c>
      <c r="L183" s="12">
        <f>VLOOKUP(Tableau2[[#This Row],[essence]],Tableau5[],3,FALSE)</f>
        <v>0.70079999999999998</v>
      </c>
      <c r="M183" s="12">
        <f>IF(Tableau2[[#This Row],[priorecol]]="C",1,0)</f>
        <v>0</v>
      </c>
      <c r="N183" s="12">
        <f>VLOOKUP(Tableau2[[#This Row],[essence]],Tableau5[],4,FALSE)</f>
        <v>0.1178</v>
      </c>
      <c r="O183" s="12">
        <f>IF(Tableau2[[#This Row],[priorecol]]="R",1,0)</f>
        <v>1</v>
      </c>
      <c r="P183" s="12">
        <f>VLOOKUP(Tableau2[[#This Row],[essence]],Tableau5[],5,FALSE)</f>
        <v>0.88300000000000001</v>
      </c>
      <c r="Q183" s="12">
        <f>IF(Tableau2[[#This Row],[priorecol]]="S",1,0)</f>
        <v>0</v>
      </c>
      <c r="R183" s="12">
        <f>VLOOKUP(Tableau2[[#This Row],[essence]],Tableau5[],6,FALSE)</f>
        <v>4.8599999999999997E-2</v>
      </c>
      <c r="S183" s="12">
        <f>VLOOKUP(Tableau2[[#This Row],[essence]],Tableau5[],15,FALSE)</f>
        <v>0</v>
      </c>
      <c r="T183" s="12">
        <f>VLOOKUP(Tableau2[[#This Row],[essence]],Tableau5[],7,FALSE)</f>
        <v>1.111</v>
      </c>
      <c r="U183" s="12">
        <f>IF(Tableau2[[#This Row],[sdom]]=1,1,0)</f>
        <v>0</v>
      </c>
      <c r="V183" s="12">
        <f>VLOOKUP(Tableau2[[#This Row],[essence]],Tableau5[],8,FALSE)</f>
        <v>0.68489999999999995</v>
      </c>
      <c r="W183" s="12">
        <f>IF(Tableau2[[#This Row],[sdom]]="2EST",1,0)</f>
        <v>0</v>
      </c>
      <c r="X183" s="12">
        <f>VLOOKUP(Tableau2[[#This Row],[essence]],Tableau5[],9,FALSE)</f>
        <v>0.72130000000000005</v>
      </c>
      <c r="Y183" s="12">
        <f>IF(Tableau2[[#This Row],[sdom]]="2OUEST",1,0)</f>
        <v>0</v>
      </c>
      <c r="Z183" s="12">
        <f>VLOOKUP(Tableau2[[#This Row],[essence]],Tableau5[],10,FALSE)</f>
        <v>0.83930000000000005</v>
      </c>
      <c r="AA183" s="12">
        <f>IF(Tableau2[[#This Row],[sdom]]="3EST",1,0)</f>
        <v>0</v>
      </c>
      <c r="AB183" s="12">
        <f>VLOOKUP(Tableau2[[#This Row],[essence]],Tableau5[],11,FALSE)</f>
        <v>0.6865</v>
      </c>
      <c r="AC183" s="12">
        <f>IF(Tableau2[[#This Row],[sdom]]="3OUEST",1,0)</f>
        <v>0</v>
      </c>
      <c r="AD183" s="12">
        <f>VLOOKUP(Tableau2[[#This Row],[essence]],Tableau5[],12,FALSE)</f>
        <v>0.79569999999999996</v>
      </c>
      <c r="AE183" s="12">
        <f>IF(Tableau2[[#This Row],[sdom]]="4EST",1,0)</f>
        <v>0</v>
      </c>
      <c r="AF183" s="12">
        <f>VLOOKUP(Tableau2[[#This Row],[essence]],Tableau5[],13,FALSE)</f>
        <v>0.54700000000000004</v>
      </c>
      <c r="AG183" s="12">
        <f>IF(Tableau2[[#This Row],[sdom]]="4OUEST",1,0)</f>
        <v>0</v>
      </c>
      <c r="AH183" s="12">
        <f>VLOOKUP(Tableau2[[#This Row],[essence]],Tableau5[],14,FALSE)</f>
        <v>0</v>
      </c>
      <c r="AI183" s="12">
        <f>IF(Tableau2[[#This Row],[sdom]]="5EST",1,0)</f>
        <v>1</v>
      </c>
      <c r="AJ183" s="12">
        <f>VLOOKUP(Tableau2[[#This Row],[essence]],Tableau5[],16,FALSE)</f>
        <v>0</v>
      </c>
      <c r="AK183" s="12">
        <f>IF(Tableau2[[#This Row],[sdom]]="5OUEST",1,0)</f>
        <v>0</v>
      </c>
      <c r="AL183" s="12">
        <f>VLOOKUP(Tableau2[[#This Row],[essence]],Tableau5[],17,FALSE)</f>
        <v>0</v>
      </c>
      <c r="AM183" s="12">
        <f>IF(Tableau2[[#This Row],[sdom]]="6EST",1,0)</f>
        <v>0</v>
      </c>
      <c r="AN183" s="12">
        <f>VLOOKUP(Tableau2[[#This Row],[essence]],Tableau5[],19,FALSE)</f>
        <v>4.2000000000000003E-2</v>
      </c>
      <c r="AO183" s="12">
        <f>IF(Tableau2[[#This Row],[priorecol]]="C",1,0)</f>
        <v>0</v>
      </c>
      <c r="AP183" s="12">
        <f>VLOOKUP(Tableau2[[#This Row],[essence]],Tableau5[],20,FALSE)</f>
        <v>0.111</v>
      </c>
      <c r="AQ183" s="12">
        <f>IF(Tableau2[[#This Row],[priorecol]]="R",1,0)</f>
        <v>1</v>
      </c>
      <c r="AR183" s="12">
        <f>VLOOKUP(Tableau2[[#This Row],[essence]],Tableau5[],21,FALSE)</f>
        <v>4.3600000000000002E-3</v>
      </c>
      <c r="AS183" s="12">
        <f>IF(Tableau2[[#This Row],[priorecol]]="S",1,0)</f>
        <v>0</v>
      </c>
      <c r="AT183" s="12">
        <f>VLOOKUP(Tableau2[[#This Row],[essence]],Tableau5[],22,FALSE)</f>
        <v>0</v>
      </c>
      <c r="AU183" s="12">
        <f>VLOOKUP(Tableau2[[#This Row],[essence]],Tableau5[],23,FALSE)</f>
        <v>0</v>
      </c>
      <c r="AV183" s="12">
        <f>VLOOKUP(Tableau2[[#This Row],[essence]],Tableau5[],18,FALSE)</f>
        <v>0</v>
      </c>
      <c r="AW18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2.5273999999999996</v>
      </c>
      <c r="AX183" s="12">
        <f>1/(1+EXP(-Tableau2[[#This Row],[xb_c]]))</f>
        <v>0.92604047780215482</v>
      </c>
      <c r="AY183" s="12" t="str">
        <f t="shared" si="4"/>
        <v>NA</v>
      </c>
      <c r="AZ183" s="12" t="str">
        <f t="shared" si="5"/>
        <v>NA</v>
      </c>
      <c r="BA183" s="12">
        <f>Tableau2[[#This Row],[prob_c]]</f>
        <v>0.92604047780215482</v>
      </c>
      <c r="BB183" s="12">
        <f>1-Tableau2[[#This Row],[prob_c]]</f>
        <v>7.3959522197845184E-2</v>
      </c>
    </row>
    <row r="184" spans="1:54" x14ac:dyDescent="0.25">
      <c r="A184" s="12">
        <v>8</v>
      </c>
      <c r="B184" s="12" t="s">
        <v>16</v>
      </c>
      <c r="C184" s="12">
        <v>2.1</v>
      </c>
      <c r="D184" s="12">
        <v>700</v>
      </c>
      <c r="E184" s="12">
        <v>20</v>
      </c>
      <c r="F184" s="12">
        <v>1</v>
      </c>
      <c r="G184" s="12">
        <v>15</v>
      </c>
      <c r="H184" s="12">
        <v>26</v>
      </c>
      <c r="I184" s="12" t="s">
        <v>23</v>
      </c>
      <c r="J184" s="12" t="s">
        <v>29</v>
      </c>
      <c r="K184" s="12">
        <f>VLOOKUP(Tableau2[[#This Row],[essence]],Tableau5[],2,FALSE)</f>
        <v>-1.5804</v>
      </c>
      <c r="L184" s="12">
        <f>VLOOKUP(Tableau2[[#This Row],[essence]],Tableau5[],3,FALSE)</f>
        <v>0.70079999999999998</v>
      </c>
      <c r="M184" s="12">
        <f>IF(Tableau2[[#This Row],[priorecol]]="C",1,0)</f>
        <v>0</v>
      </c>
      <c r="N184" s="12">
        <f>VLOOKUP(Tableau2[[#This Row],[essence]],Tableau5[],4,FALSE)</f>
        <v>0.1178</v>
      </c>
      <c r="O184" s="12">
        <f>IF(Tableau2[[#This Row],[priorecol]]="R",1,0)</f>
        <v>0</v>
      </c>
      <c r="P184" s="12">
        <f>VLOOKUP(Tableau2[[#This Row],[essence]],Tableau5[],5,FALSE)</f>
        <v>0.88300000000000001</v>
      </c>
      <c r="Q184" s="12">
        <f>IF(Tableau2[[#This Row],[priorecol]]="S",1,0)</f>
        <v>1</v>
      </c>
      <c r="R184" s="12">
        <f>VLOOKUP(Tableau2[[#This Row],[essence]],Tableau5[],6,FALSE)</f>
        <v>4.8599999999999997E-2</v>
      </c>
      <c r="S184" s="12">
        <f>VLOOKUP(Tableau2[[#This Row],[essence]],Tableau5[],15,FALSE)</f>
        <v>0</v>
      </c>
      <c r="T184" s="12">
        <f>VLOOKUP(Tableau2[[#This Row],[essence]],Tableau5[],7,FALSE)</f>
        <v>1.111</v>
      </c>
      <c r="U184" s="12">
        <f>IF(Tableau2[[#This Row],[sdom]]=1,1,0)</f>
        <v>0</v>
      </c>
      <c r="V184" s="12">
        <f>VLOOKUP(Tableau2[[#This Row],[essence]],Tableau5[],8,FALSE)</f>
        <v>0.68489999999999995</v>
      </c>
      <c r="W184" s="12">
        <f>IF(Tableau2[[#This Row],[sdom]]="2EST",1,0)</f>
        <v>0</v>
      </c>
      <c r="X184" s="12">
        <f>VLOOKUP(Tableau2[[#This Row],[essence]],Tableau5[],9,FALSE)</f>
        <v>0.72130000000000005</v>
      </c>
      <c r="Y184" s="12">
        <f>IF(Tableau2[[#This Row],[sdom]]="2OUEST",1,0)</f>
        <v>0</v>
      </c>
      <c r="Z184" s="12">
        <f>VLOOKUP(Tableau2[[#This Row],[essence]],Tableau5[],10,FALSE)</f>
        <v>0.83930000000000005</v>
      </c>
      <c r="AA184" s="12">
        <f>IF(Tableau2[[#This Row],[sdom]]="3EST",1,0)</f>
        <v>0</v>
      </c>
      <c r="AB184" s="12">
        <f>VLOOKUP(Tableau2[[#This Row],[essence]],Tableau5[],11,FALSE)</f>
        <v>0.6865</v>
      </c>
      <c r="AC184" s="12">
        <f>IF(Tableau2[[#This Row],[sdom]]="3OUEST",1,0)</f>
        <v>0</v>
      </c>
      <c r="AD184" s="12">
        <f>VLOOKUP(Tableau2[[#This Row],[essence]],Tableau5[],12,FALSE)</f>
        <v>0.79569999999999996</v>
      </c>
      <c r="AE184" s="12">
        <f>IF(Tableau2[[#This Row],[sdom]]="4EST",1,0)</f>
        <v>0</v>
      </c>
      <c r="AF184" s="12">
        <f>VLOOKUP(Tableau2[[#This Row],[essence]],Tableau5[],13,FALSE)</f>
        <v>0.54700000000000004</v>
      </c>
      <c r="AG184" s="12">
        <f>IF(Tableau2[[#This Row],[sdom]]="4OUEST",1,0)</f>
        <v>0</v>
      </c>
      <c r="AH184" s="12">
        <f>VLOOKUP(Tableau2[[#This Row],[essence]],Tableau5[],14,FALSE)</f>
        <v>0</v>
      </c>
      <c r="AI184" s="12">
        <f>IF(Tableau2[[#This Row],[sdom]]="5EST",1,0)</f>
        <v>1</v>
      </c>
      <c r="AJ184" s="12">
        <f>VLOOKUP(Tableau2[[#This Row],[essence]],Tableau5[],16,FALSE)</f>
        <v>0</v>
      </c>
      <c r="AK184" s="12">
        <f>IF(Tableau2[[#This Row],[sdom]]="5OUEST",1,0)</f>
        <v>0</v>
      </c>
      <c r="AL184" s="12">
        <f>VLOOKUP(Tableau2[[#This Row],[essence]],Tableau5[],17,FALSE)</f>
        <v>0</v>
      </c>
      <c r="AM184" s="12">
        <f>IF(Tableau2[[#This Row],[sdom]]="6EST",1,0)</f>
        <v>0</v>
      </c>
      <c r="AN184" s="12">
        <f>VLOOKUP(Tableau2[[#This Row],[essence]],Tableau5[],19,FALSE)</f>
        <v>4.2000000000000003E-2</v>
      </c>
      <c r="AO184" s="12">
        <f>IF(Tableau2[[#This Row],[priorecol]]="C",1,0)</f>
        <v>0</v>
      </c>
      <c r="AP184" s="12">
        <f>VLOOKUP(Tableau2[[#This Row],[essence]],Tableau5[],20,FALSE)</f>
        <v>0.111</v>
      </c>
      <c r="AQ184" s="12">
        <f>IF(Tableau2[[#This Row],[priorecol]]="R",1,0)</f>
        <v>0</v>
      </c>
      <c r="AR184" s="12">
        <f>VLOOKUP(Tableau2[[#This Row],[essence]],Tableau5[],21,FALSE)</f>
        <v>4.3600000000000002E-3</v>
      </c>
      <c r="AS184" s="12">
        <f>IF(Tableau2[[#This Row],[priorecol]]="S",1,0)</f>
        <v>1</v>
      </c>
      <c r="AT184" s="12">
        <f>VLOOKUP(Tableau2[[#This Row],[essence]],Tableau5[],22,FALSE)</f>
        <v>0</v>
      </c>
      <c r="AU184" s="12">
        <f>VLOOKUP(Tableau2[[#This Row],[essence]],Tableau5[],23,FALSE)</f>
        <v>0</v>
      </c>
      <c r="AV184" s="12">
        <f>VLOOKUP(Tableau2[[#This Row],[essence]],Tableau5[],18,FALSE)</f>
        <v>0</v>
      </c>
      <c r="AW18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0.67955999999999983</v>
      </c>
      <c r="AX184" s="12">
        <f>1/(1+EXP(-Tableau2[[#This Row],[xb_c]]))</f>
        <v>0.66364048688921007</v>
      </c>
      <c r="AY184" s="12" t="str">
        <f t="shared" si="4"/>
        <v>NA</v>
      </c>
      <c r="AZ184" s="12" t="str">
        <f t="shared" si="5"/>
        <v>NA</v>
      </c>
      <c r="BA184" s="12">
        <f>Tableau2[[#This Row],[prob_c]]</f>
        <v>0.66364048688921007</v>
      </c>
      <c r="BB184" s="12">
        <f>1-Tableau2[[#This Row],[prob_c]]</f>
        <v>0.33635951311078993</v>
      </c>
    </row>
    <row r="185" spans="1:54" x14ac:dyDescent="0.25">
      <c r="A185" s="12">
        <v>8</v>
      </c>
      <c r="B185" s="12" t="s">
        <v>16</v>
      </c>
      <c r="C185" s="12">
        <v>2.1</v>
      </c>
      <c r="D185" s="12">
        <v>700</v>
      </c>
      <c r="E185" s="12">
        <v>20</v>
      </c>
      <c r="F185" s="12">
        <v>1</v>
      </c>
      <c r="G185" s="12">
        <v>16</v>
      </c>
      <c r="H185" s="12">
        <v>27</v>
      </c>
      <c r="I185" s="12" t="s">
        <v>24</v>
      </c>
      <c r="J185" s="12" t="s">
        <v>27</v>
      </c>
      <c r="K185" s="12">
        <f>VLOOKUP(Tableau2[[#This Row],[essence]],Tableau5[],2,FALSE)</f>
        <v>1.9585999999999999</v>
      </c>
      <c r="L185" s="12">
        <f>VLOOKUP(Tableau2[[#This Row],[essence]],Tableau5[],3,FALSE)</f>
        <v>6.6000000000000003E-2</v>
      </c>
      <c r="M185" s="12">
        <f>IF(Tableau2[[#This Row],[priorecol]]="C",1,0)</f>
        <v>1</v>
      </c>
      <c r="N185" s="12">
        <f>VLOOKUP(Tableau2[[#This Row],[essence]],Tableau5[],4,FALSE)</f>
        <v>-1.9339999999999999</v>
      </c>
      <c r="O185" s="12">
        <f>IF(Tableau2[[#This Row],[priorecol]]="R",1,0)</f>
        <v>0</v>
      </c>
      <c r="P185" s="12">
        <f>VLOOKUP(Tableau2[[#This Row],[essence]],Tableau5[],5,FALSE)</f>
        <v>-4.4771999999999998</v>
      </c>
      <c r="Q185" s="12">
        <f>IF(Tableau2[[#This Row],[priorecol]]="S",1,0)</f>
        <v>0</v>
      </c>
      <c r="R185" s="12">
        <f>VLOOKUP(Tableau2[[#This Row],[essence]],Tableau5[],6,FALSE)</f>
        <v>-2.5499999999999998E-2</v>
      </c>
      <c r="S185" s="12">
        <f>VLOOKUP(Tableau2[[#This Row],[essence]],Tableau5[],15,FALSE)</f>
        <v>0</v>
      </c>
      <c r="T185" s="12">
        <f>VLOOKUP(Tableau2[[#This Row],[essence]],Tableau5[],7,FALSE)</f>
        <v>0</v>
      </c>
      <c r="U185" s="12">
        <f>IF(Tableau2[[#This Row],[sdom]]=1,1,0)</f>
        <v>0</v>
      </c>
      <c r="V185" s="12">
        <f>VLOOKUP(Tableau2[[#This Row],[essence]],Tableau5[],8,FALSE)</f>
        <v>0</v>
      </c>
      <c r="W185" s="12">
        <f>IF(Tableau2[[#This Row],[sdom]]="2EST",1,0)</f>
        <v>0</v>
      </c>
      <c r="X185" s="12">
        <f>VLOOKUP(Tableau2[[#This Row],[essence]],Tableau5[],9,FALSE)</f>
        <v>0</v>
      </c>
      <c r="Y185" s="12">
        <f>IF(Tableau2[[#This Row],[sdom]]="2OUEST",1,0)</f>
        <v>0</v>
      </c>
      <c r="Z185" s="12">
        <f>VLOOKUP(Tableau2[[#This Row],[essence]],Tableau5[],10,FALSE)</f>
        <v>0</v>
      </c>
      <c r="AA185" s="12">
        <f>IF(Tableau2[[#This Row],[sdom]]="3EST",1,0)</f>
        <v>0</v>
      </c>
      <c r="AB185" s="12">
        <f>VLOOKUP(Tableau2[[#This Row],[essence]],Tableau5[],11,FALSE)</f>
        <v>0</v>
      </c>
      <c r="AC185" s="12">
        <f>IF(Tableau2[[#This Row],[sdom]]="3OUEST",1,0)</f>
        <v>0</v>
      </c>
      <c r="AD185" s="12">
        <f>VLOOKUP(Tableau2[[#This Row],[essence]],Tableau5[],12,FALSE)</f>
        <v>0</v>
      </c>
      <c r="AE185" s="12">
        <f>IF(Tableau2[[#This Row],[sdom]]="4EST",1,0)</f>
        <v>0</v>
      </c>
      <c r="AF185" s="12">
        <f>VLOOKUP(Tableau2[[#This Row],[essence]],Tableau5[],13,FALSE)</f>
        <v>0</v>
      </c>
      <c r="AG185" s="12">
        <f>IF(Tableau2[[#This Row],[sdom]]="4OUEST",1,0)</f>
        <v>0</v>
      </c>
      <c r="AH185" s="12">
        <f>VLOOKUP(Tableau2[[#This Row],[essence]],Tableau5[],14,FALSE)</f>
        <v>0</v>
      </c>
      <c r="AI185" s="12">
        <f>IF(Tableau2[[#This Row],[sdom]]="5EST",1,0)</f>
        <v>1</v>
      </c>
      <c r="AJ185" s="12">
        <f>VLOOKUP(Tableau2[[#This Row],[essence]],Tableau5[],16,FALSE)</f>
        <v>0</v>
      </c>
      <c r="AK185" s="12">
        <f>IF(Tableau2[[#This Row],[sdom]]="5OUEST",1,0)</f>
        <v>0</v>
      </c>
      <c r="AL185" s="12">
        <f>VLOOKUP(Tableau2[[#This Row],[essence]],Tableau5[],17,FALSE)</f>
        <v>0</v>
      </c>
      <c r="AM185" s="12">
        <f>IF(Tableau2[[#This Row],[sdom]]="6EST",1,0)</f>
        <v>0</v>
      </c>
      <c r="AN185" s="12">
        <f>VLOOKUP(Tableau2[[#This Row],[essence]],Tableau5[],19,FALSE)</f>
        <v>4.2599999999999999E-2</v>
      </c>
      <c r="AO185" s="12">
        <f>IF(Tableau2[[#This Row],[priorecol]]="C",1,0)</f>
        <v>1</v>
      </c>
      <c r="AP185" s="12">
        <f>VLOOKUP(Tableau2[[#This Row],[essence]],Tableau5[],20,FALSE)</f>
        <v>0.17699999999999999</v>
      </c>
      <c r="AQ185" s="12">
        <f>IF(Tableau2[[#This Row],[priorecol]]="R",1,0)</f>
        <v>0</v>
      </c>
      <c r="AR185" s="12">
        <f>VLOOKUP(Tableau2[[#This Row],[essence]],Tableau5[],21,FALSE)</f>
        <v>0.19650000000000001</v>
      </c>
      <c r="AS185" s="12">
        <f>IF(Tableau2[[#This Row],[priorecol]]="S",1,0)</f>
        <v>0</v>
      </c>
      <c r="AT185" s="12">
        <f>VLOOKUP(Tableau2[[#This Row],[essence]],Tableau5[],22,FALSE)</f>
        <v>0</v>
      </c>
      <c r="AU185" s="12">
        <f>VLOOKUP(Tableau2[[#This Row],[essence]],Tableau5[],23,FALSE)</f>
        <v>0</v>
      </c>
      <c r="AV185" s="12">
        <f>VLOOKUP(Tableau2[[#This Row],[essence]],Tableau5[],18,FALSE)</f>
        <v>0</v>
      </c>
      <c r="AW18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2.4863</v>
      </c>
      <c r="AX185" s="12">
        <f>1/(1+EXP(-Tableau2[[#This Row],[xb_c]]))</f>
        <v>0.92317580088274886</v>
      </c>
      <c r="AY185" s="12" t="str">
        <f t="shared" si="4"/>
        <v>NA</v>
      </c>
      <c r="AZ185" s="12" t="str">
        <f t="shared" si="5"/>
        <v>NA</v>
      </c>
      <c r="BA185" s="12">
        <f>Tableau2[[#This Row],[prob_c]]</f>
        <v>0.92317580088274886</v>
      </c>
      <c r="BB185" s="12">
        <f>1-Tableau2[[#This Row],[prob_c]]</f>
        <v>7.6824199117251135E-2</v>
      </c>
    </row>
    <row r="186" spans="1:54" x14ac:dyDescent="0.25">
      <c r="A186" s="12">
        <v>8</v>
      </c>
      <c r="B186" s="12" t="s">
        <v>16</v>
      </c>
      <c r="C186" s="12">
        <v>2.1</v>
      </c>
      <c r="D186" s="12">
        <v>700</v>
      </c>
      <c r="E186" s="12">
        <v>20</v>
      </c>
      <c r="F186" s="12">
        <v>1</v>
      </c>
      <c r="G186" s="12">
        <v>17</v>
      </c>
      <c r="H186" s="12">
        <v>28</v>
      </c>
      <c r="I186" s="12" t="s">
        <v>24</v>
      </c>
      <c r="J186" s="12" t="s">
        <v>28</v>
      </c>
      <c r="K186" s="12">
        <f>VLOOKUP(Tableau2[[#This Row],[essence]],Tableau5[],2,FALSE)</f>
        <v>1.9585999999999999</v>
      </c>
      <c r="L186" s="12">
        <f>VLOOKUP(Tableau2[[#This Row],[essence]],Tableau5[],3,FALSE)</f>
        <v>6.6000000000000003E-2</v>
      </c>
      <c r="M186" s="12">
        <f>IF(Tableau2[[#This Row],[priorecol]]="C",1,0)</f>
        <v>0</v>
      </c>
      <c r="N186" s="12">
        <f>VLOOKUP(Tableau2[[#This Row],[essence]],Tableau5[],4,FALSE)</f>
        <v>-1.9339999999999999</v>
      </c>
      <c r="O186" s="12">
        <f>IF(Tableau2[[#This Row],[priorecol]]="R",1,0)</f>
        <v>1</v>
      </c>
      <c r="P186" s="12">
        <f>VLOOKUP(Tableau2[[#This Row],[essence]],Tableau5[],5,FALSE)</f>
        <v>-4.4771999999999998</v>
      </c>
      <c r="Q186" s="12">
        <f>IF(Tableau2[[#This Row],[priorecol]]="S",1,0)</f>
        <v>0</v>
      </c>
      <c r="R186" s="12">
        <f>VLOOKUP(Tableau2[[#This Row],[essence]],Tableau5[],6,FALSE)</f>
        <v>-2.5499999999999998E-2</v>
      </c>
      <c r="S186" s="12">
        <f>VLOOKUP(Tableau2[[#This Row],[essence]],Tableau5[],15,FALSE)</f>
        <v>0</v>
      </c>
      <c r="T186" s="12">
        <f>VLOOKUP(Tableau2[[#This Row],[essence]],Tableau5[],7,FALSE)</f>
        <v>0</v>
      </c>
      <c r="U186" s="12">
        <f>IF(Tableau2[[#This Row],[sdom]]=1,1,0)</f>
        <v>0</v>
      </c>
      <c r="V186" s="12">
        <f>VLOOKUP(Tableau2[[#This Row],[essence]],Tableau5[],8,FALSE)</f>
        <v>0</v>
      </c>
      <c r="W186" s="12">
        <f>IF(Tableau2[[#This Row],[sdom]]="2EST",1,0)</f>
        <v>0</v>
      </c>
      <c r="X186" s="12">
        <f>VLOOKUP(Tableau2[[#This Row],[essence]],Tableau5[],9,FALSE)</f>
        <v>0</v>
      </c>
      <c r="Y186" s="12">
        <f>IF(Tableau2[[#This Row],[sdom]]="2OUEST",1,0)</f>
        <v>0</v>
      </c>
      <c r="Z186" s="12">
        <f>VLOOKUP(Tableau2[[#This Row],[essence]],Tableau5[],10,FALSE)</f>
        <v>0</v>
      </c>
      <c r="AA186" s="12">
        <f>IF(Tableau2[[#This Row],[sdom]]="3EST",1,0)</f>
        <v>0</v>
      </c>
      <c r="AB186" s="12">
        <f>VLOOKUP(Tableau2[[#This Row],[essence]],Tableau5[],11,FALSE)</f>
        <v>0</v>
      </c>
      <c r="AC186" s="12">
        <f>IF(Tableau2[[#This Row],[sdom]]="3OUEST",1,0)</f>
        <v>0</v>
      </c>
      <c r="AD186" s="12">
        <f>VLOOKUP(Tableau2[[#This Row],[essence]],Tableau5[],12,FALSE)</f>
        <v>0</v>
      </c>
      <c r="AE186" s="12">
        <f>IF(Tableau2[[#This Row],[sdom]]="4EST",1,0)</f>
        <v>0</v>
      </c>
      <c r="AF186" s="12">
        <f>VLOOKUP(Tableau2[[#This Row],[essence]],Tableau5[],13,FALSE)</f>
        <v>0</v>
      </c>
      <c r="AG186" s="12">
        <f>IF(Tableau2[[#This Row],[sdom]]="4OUEST",1,0)</f>
        <v>0</v>
      </c>
      <c r="AH186" s="12">
        <f>VLOOKUP(Tableau2[[#This Row],[essence]],Tableau5[],14,FALSE)</f>
        <v>0</v>
      </c>
      <c r="AI186" s="12">
        <f>IF(Tableau2[[#This Row],[sdom]]="5EST",1,0)</f>
        <v>1</v>
      </c>
      <c r="AJ186" s="12">
        <f>VLOOKUP(Tableau2[[#This Row],[essence]],Tableau5[],16,FALSE)</f>
        <v>0</v>
      </c>
      <c r="AK186" s="12">
        <f>IF(Tableau2[[#This Row],[sdom]]="5OUEST",1,0)</f>
        <v>0</v>
      </c>
      <c r="AL186" s="12">
        <f>VLOOKUP(Tableau2[[#This Row],[essence]],Tableau5[],17,FALSE)</f>
        <v>0</v>
      </c>
      <c r="AM186" s="12">
        <f>IF(Tableau2[[#This Row],[sdom]]="6EST",1,0)</f>
        <v>0</v>
      </c>
      <c r="AN186" s="12">
        <f>VLOOKUP(Tableau2[[#This Row],[essence]],Tableau5[],19,FALSE)</f>
        <v>4.2599999999999999E-2</v>
      </c>
      <c r="AO186" s="12">
        <f>IF(Tableau2[[#This Row],[priorecol]]="C",1,0)</f>
        <v>0</v>
      </c>
      <c r="AP186" s="12">
        <f>VLOOKUP(Tableau2[[#This Row],[essence]],Tableau5[],20,FALSE)</f>
        <v>0.17699999999999999</v>
      </c>
      <c r="AQ186" s="12">
        <f>IF(Tableau2[[#This Row],[priorecol]]="R",1,0)</f>
        <v>1</v>
      </c>
      <c r="AR186" s="12">
        <f>VLOOKUP(Tableau2[[#This Row],[essence]],Tableau5[],21,FALSE)</f>
        <v>0.19650000000000001</v>
      </c>
      <c r="AS186" s="12">
        <f>IF(Tableau2[[#This Row],[priorecol]]="S",1,0)</f>
        <v>0</v>
      </c>
      <c r="AT186" s="12">
        <f>VLOOKUP(Tableau2[[#This Row],[essence]],Tableau5[],22,FALSE)</f>
        <v>0</v>
      </c>
      <c r="AU186" s="12">
        <f>VLOOKUP(Tableau2[[#This Row],[essence]],Tableau5[],23,FALSE)</f>
        <v>0</v>
      </c>
      <c r="AV186" s="12">
        <f>VLOOKUP(Tableau2[[#This Row],[essence]],Tableau5[],18,FALSE)</f>
        <v>0</v>
      </c>
      <c r="AW18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4.2665999999999995</v>
      </c>
      <c r="AX186" s="12">
        <f>1/(1+EXP(-Tableau2[[#This Row],[xb_c]]))</f>
        <v>0.98616469888045699</v>
      </c>
      <c r="AY186" s="12" t="str">
        <f t="shared" si="4"/>
        <v>NA</v>
      </c>
      <c r="AZ186" s="12" t="str">
        <f t="shared" si="5"/>
        <v>NA</v>
      </c>
      <c r="BA186" s="12">
        <f>Tableau2[[#This Row],[prob_c]]</f>
        <v>0.98616469888045699</v>
      </c>
      <c r="BB186" s="12">
        <f>1-Tableau2[[#This Row],[prob_c]]</f>
        <v>1.3835301119543009E-2</v>
      </c>
    </row>
    <row r="187" spans="1:54" x14ac:dyDescent="0.25">
      <c r="A187" s="12">
        <v>8</v>
      </c>
      <c r="B187" s="12" t="s">
        <v>16</v>
      </c>
      <c r="C187" s="12">
        <v>2.1</v>
      </c>
      <c r="D187" s="12">
        <v>700</v>
      </c>
      <c r="E187" s="12">
        <v>20</v>
      </c>
      <c r="F187" s="12">
        <v>1</v>
      </c>
      <c r="G187" s="12">
        <v>18</v>
      </c>
      <c r="H187" s="12">
        <v>29</v>
      </c>
      <c r="I187" s="12" t="s">
        <v>24</v>
      </c>
      <c r="J187" s="12" t="s">
        <v>29</v>
      </c>
      <c r="K187" s="12">
        <f>VLOOKUP(Tableau2[[#This Row],[essence]],Tableau5[],2,FALSE)</f>
        <v>1.9585999999999999</v>
      </c>
      <c r="L187" s="12">
        <f>VLOOKUP(Tableau2[[#This Row],[essence]],Tableau5[],3,FALSE)</f>
        <v>6.6000000000000003E-2</v>
      </c>
      <c r="M187" s="12">
        <f>IF(Tableau2[[#This Row],[priorecol]]="C",1,0)</f>
        <v>0</v>
      </c>
      <c r="N187" s="12">
        <f>VLOOKUP(Tableau2[[#This Row],[essence]],Tableau5[],4,FALSE)</f>
        <v>-1.9339999999999999</v>
      </c>
      <c r="O187" s="12">
        <f>IF(Tableau2[[#This Row],[priorecol]]="R",1,0)</f>
        <v>0</v>
      </c>
      <c r="P187" s="12">
        <f>VLOOKUP(Tableau2[[#This Row],[essence]],Tableau5[],5,FALSE)</f>
        <v>-4.4771999999999998</v>
      </c>
      <c r="Q187" s="12">
        <f>IF(Tableau2[[#This Row],[priorecol]]="S",1,0)</f>
        <v>1</v>
      </c>
      <c r="R187" s="12">
        <f>VLOOKUP(Tableau2[[#This Row],[essence]],Tableau5[],6,FALSE)</f>
        <v>-2.5499999999999998E-2</v>
      </c>
      <c r="S187" s="12">
        <f>VLOOKUP(Tableau2[[#This Row],[essence]],Tableau5[],15,FALSE)</f>
        <v>0</v>
      </c>
      <c r="T187" s="12">
        <f>VLOOKUP(Tableau2[[#This Row],[essence]],Tableau5[],7,FALSE)</f>
        <v>0</v>
      </c>
      <c r="U187" s="12">
        <f>IF(Tableau2[[#This Row],[sdom]]=1,1,0)</f>
        <v>0</v>
      </c>
      <c r="V187" s="12">
        <f>VLOOKUP(Tableau2[[#This Row],[essence]],Tableau5[],8,FALSE)</f>
        <v>0</v>
      </c>
      <c r="W187" s="12">
        <f>IF(Tableau2[[#This Row],[sdom]]="2EST",1,0)</f>
        <v>0</v>
      </c>
      <c r="X187" s="12">
        <f>VLOOKUP(Tableau2[[#This Row],[essence]],Tableau5[],9,FALSE)</f>
        <v>0</v>
      </c>
      <c r="Y187" s="12">
        <f>IF(Tableau2[[#This Row],[sdom]]="2OUEST",1,0)</f>
        <v>0</v>
      </c>
      <c r="Z187" s="12">
        <f>VLOOKUP(Tableau2[[#This Row],[essence]],Tableau5[],10,FALSE)</f>
        <v>0</v>
      </c>
      <c r="AA187" s="12">
        <f>IF(Tableau2[[#This Row],[sdom]]="3EST",1,0)</f>
        <v>0</v>
      </c>
      <c r="AB187" s="12">
        <f>VLOOKUP(Tableau2[[#This Row],[essence]],Tableau5[],11,FALSE)</f>
        <v>0</v>
      </c>
      <c r="AC187" s="12">
        <f>IF(Tableau2[[#This Row],[sdom]]="3OUEST",1,0)</f>
        <v>0</v>
      </c>
      <c r="AD187" s="12">
        <f>VLOOKUP(Tableau2[[#This Row],[essence]],Tableau5[],12,FALSE)</f>
        <v>0</v>
      </c>
      <c r="AE187" s="12">
        <f>IF(Tableau2[[#This Row],[sdom]]="4EST",1,0)</f>
        <v>0</v>
      </c>
      <c r="AF187" s="12">
        <f>VLOOKUP(Tableau2[[#This Row],[essence]],Tableau5[],13,FALSE)</f>
        <v>0</v>
      </c>
      <c r="AG187" s="12">
        <f>IF(Tableau2[[#This Row],[sdom]]="4OUEST",1,0)</f>
        <v>0</v>
      </c>
      <c r="AH187" s="12">
        <f>VLOOKUP(Tableau2[[#This Row],[essence]],Tableau5[],14,FALSE)</f>
        <v>0</v>
      </c>
      <c r="AI187" s="12">
        <f>IF(Tableau2[[#This Row],[sdom]]="5EST",1,0)</f>
        <v>1</v>
      </c>
      <c r="AJ187" s="12">
        <f>VLOOKUP(Tableau2[[#This Row],[essence]],Tableau5[],16,FALSE)</f>
        <v>0</v>
      </c>
      <c r="AK187" s="12">
        <f>IF(Tableau2[[#This Row],[sdom]]="5OUEST",1,0)</f>
        <v>0</v>
      </c>
      <c r="AL187" s="12">
        <f>VLOOKUP(Tableau2[[#This Row],[essence]],Tableau5[],17,FALSE)</f>
        <v>0</v>
      </c>
      <c r="AM187" s="12">
        <f>IF(Tableau2[[#This Row],[sdom]]="6EST",1,0)</f>
        <v>0</v>
      </c>
      <c r="AN187" s="12">
        <f>VLOOKUP(Tableau2[[#This Row],[essence]],Tableau5[],19,FALSE)</f>
        <v>4.2599999999999999E-2</v>
      </c>
      <c r="AO187" s="12">
        <f>IF(Tableau2[[#This Row],[priorecol]]="C",1,0)</f>
        <v>0</v>
      </c>
      <c r="AP187" s="12">
        <f>VLOOKUP(Tableau2[[#This Row],[essence]],Tableau5[],20,FALSE)</f>
        <v>0.17699999999999999</v>
      </c>
      <c r="AQ187" s="12">
        <f>IF(Tableau2[[#This Row],[priorecol]]="R",1,0)</f>
        <v>0</v>
      </c>
      <c r="AR187" s="12">
        <f>VLOOKUP(Tableau2[[#This Row],[essence]],Tableau5[],21,FALSE)</f>
        <v>0.19650000000000001</v>
      </c>
      <c r="AS187" s="12">
        <f>IF(Tableau2[[#This Row],[priorecol]]="S",1,0)</f>
        <v>1</v>
      </c>
      <c r="AT187" s="12">
        <f>VLOOKUP(Tableau2[[#This Row],[essence]],Tableau5[],22,FALSE)</f>
        <v>0</v>
      </c>
      <c r="AU187" s="12">
        <f>VLOOKUP(Tableau2[[#This Row],[essence]],Tableau5[],23,FALSE)</f>
        <v>0</v>
      </c>
      <c r="AV187" s="12">
        <f>VLOOKUP(Tableau2[[#This Row],[essence]],Tableau5[],18,FALSE)</f>
        <v>0</v>
      </c>
      <c r="AW18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2.4403999999999999</v>
      </c>
      <c r="AX187" s="12">
        <f>1/(1+EXP(-Tableau2[[#This Row],[xb_c]]))</f>
        <v>0.91985658096051848</v>
      </c>
      <c r="AY187" s="12" t="str">
        <f t="shared" si="4"/>
        <v>NA</v>
      </c>
      <c r="AZ187" s="12" t="str">
        <f t="shared" si="5"/>
        <v>NA</v>
      </c>
      <c r="BA187" s="12">
        <f>Tableau2[[#This Row],[prob_c]]</f>
        <v>0.91985658096051848</v>
      </c>
      <c r="BB187" s="12">
        <f>1-Tableau2[[#This Row],[prob_c]]</f>
        <v>8.0143419039481523E-2</v>
      </c>
    </row>
    <row r="188" spans="1:54" x14ac:dyDescent="0.25">
      <c r="A188" s="12">
        <v>8</v>
      </c>
      <c r="B188" s="12" t="s">
        <v>16</v>
      </c>
      <c r="C188" s="12">
        <v>2.1</v>
      </c>
      <c r="D188" s="12">
        <v>700</v>
      </c>
      <c r="E188" s="12">
        <v>20</v>
      </c>
      <c r="F188" s="12">
        <v>1</v>
      </c>
      <c r="G188" s="12">
        <v>19</v>
      </c>
      <c r="H188" s="12">
        <v>30</v>
      </c>
      <c r="I188" s="12" t="s">
        <v>25</v>
      </c>
      <c r="J188" s="12" t="s">
        <v>27</v>
      </c>
      <c r="K188" s="12">
        <f>VLOOKUP(Tableau2[[#This Row],[essence]],Tableau5[],2,FALSE)</f>
        <v>-2.4066000000000001</v>
      </c>
      <c r="L188" s="12">
        <f>VLOOKUP(Tableau2[[#This Row],[essence]],Tableau5[],3,FALSE)</f>
        <v>1.0301</v>
      </c>
      <c r="M188" s="12">
        <f>IF(Tableau2[[#This Row],[priorecol]]="C",1,0)</f>
        <v>1</v>
      </c>
      <c r="N188" s="12">
        <f>VLOOKUP(Tableau2[[#This Row],[essence]],Tableau5[],4,FALSE)</f>
        <v>1.9907999999999999</v>
      </c>
      <c r="O188" s="12">
        <f>IF(Tableau2[[#This Row],[priorecol]]="R",1,0)</f>
        <v>0</v>
      </c>
      <c r="P188" s="12">
        <f>VLOOKUP(Tableau2[[#This Row],[essence]],Tableau5[],5,FALSE)</f>
        <v>1.1955</v>
      </c>
      <c r="Q188" s="12">
        <f>IF(Tableau2[[#This Row],[priorecol]]="S",1,0)</f>
        <v>0</v>
      </c>
      <c r="R188" s="12">
        <f>VLOOKUP(Tableau2[[#This Row],[essence]],Tableau5[],6,FALSE)</f>
        <v>4.2599999999999999E-2</v>
      </c>
      <c r="S188" s="12">
        <f>VLOOKUP(Tableau2[[#This Row],[essence]],Tableau5[],15,FALSE)</f>
        <v>1.3299999999999999E-2</v>
      </c>
      <c r="T188" s="12">
        <f>VLOOKUP(Tableau2[[#This Row],[essence]],Tableau5[],7,FALSE)</f>
        <v>0</v>
      </c>
      <c r="U188" s="12">
        <f>IF(Tableau2[[#This Row],[sdom]]=1,1,0)</f>
        <v>0</v>
      </c>
      <c r="V188" s="12">
        <f>VLOOKUP(Tableau2[[#This Row],[essence]],Tableau5[],8,FALSE)</f>
        <v>0.72299999999999998</v>
      </c>
      <c r="W188" s="12">
        <f>IF(Tableau2[[#This Row],[sdom]]="2EST",1,0)</f>
        <v>0</v>
      </c>
      <c r="X188" s="12">
        <f>VLOOKUP(Tableau2[[#This Row],[essence]],Tableau5[],9,FALSE)</f>
        <v>0.28749999999999998</v>
      </c>
      <c r="Y188" s="12">
        <f>IF(Tableau2[[#This Row],[sdom]]="2OUEST",1,0)</f>
        <v>0</v>
      </c>
      <c r="Z188" s="12">
        <f>VLOOKUP(Tableau2[[#This Row],[essence]],Tableau5[],10,FALSE)</f>
        <v>0.5746</v>
      </c>
      <c r="AA188" s="12">
        <f>IF(Tableau2[[#This Row],[sdom]]="3EST",1,0)</f>
        <v>0</v>
      </c>
      <c r="AB188" s="12">
        <f>VLOOKUP(Tableau2[[#This Row],[essence]],Tableau5[],11,FALSE)</f>
        <v>0.40360000000000001</v>
      </c>
      <c r="AC188" s="12">
        <f>IF(Tableau2[[#This Row],[sdom]]="3OUEST",1,0)</f>
        <v>0</v>
      </c>
      <c r="AD188" s="12">
        <f>VLOOKUP(Tableau2[[#This Row],[essence]],Tableau5[],12,FALSE)</f>
        <v>0</v>
      </c>
      <c r="AE188" s="12">
        <f>IF(Tableau2[[#This Row],[sdom]]="4EST",1,0)</f>
        <v>0</v>
      </c>
      <c r="AF188" s="12">
        <f>VLOOKUP(Tableau2[[#This Row],[essence]],Tableau5[],13,FALSE)</f>
        <v>0</v>
      </c>
      <c r="AG188" s="12">
        <f>IF(Tableau2[[#This Row],[sdom]]="4OUEST",1,0)</f>
        <v>0</v>
      </c>
      <c r="AH188" s="12">
        <f>VLOOKUP(Tableau2[[#This Row],[essence]],Tableau5[],14,FALSE)</f>
        <v>0</v>
      </c>
      <c r="AI188" s="12">
        <f>IF(Tableau2[[#This Row],[sdom]]="5EST",1,0)</f>
        <v>1</v>
      </c>
      <c r="AJ188" s="12">
        <f>VLOOKUP(Tableau2[[#This Row],[essence]],Tableau5[],16,FALSE)</f>
        <v>0</v>
      </c>
      <c r="AK188" s="12">
        <f>IF(Tableau2[[#This Row],[sdom]]="5OUEST",1,0)</f>
        <v>0</v>
      </c>
      <c r="AL188" s="12">
        <f>VLOOKUP(Tableau2[[#This Row],[essence]],Tableau5[],17,FALSE)</f>
        <v>0</v>
      </c>
      <c r="AM188" s="12">
        <f>IF(Tableau2[[#This Row],[sdom]]="6EST",1,0)</f>
        <v>0</v>
      </c>
      <c r="AN188" s="12">
        <f>VLOOKUP(Tableau2[[#This Row],[essence]],Tableau5[],19,FALSE)</f>
        <v>0</v>
      </c>
      <c r="AO188" s="12">
        <f>IF(Tableau2[[#This Row],[priorecol]]="C",1,0)</f>
        <v>1</v>
      </c>
      <c r="AP188" s="12">
        <f>VLOOKUP(Tableau2[[#This Row],[essence]],Tableau5[],20,FALSE)</f>
        <v>0</v>
      </c>
      <c r="AQ188" s="12">
        <f>IF(Tableau2[[#This Row],[priorecol]]="R",1,0)</f>
        <v>0</v>
      </c>
      <c r="AR188" s="12">
        <f>VLOOKUP(Tableau2[[#This Row],[essence]],Tableau5[],21,FALSE)</f>
        <v>0</v>
      </c>
      <c r="AS188" s="12">
        <f>IF(Tableau2[[#This Row],[priorecol]]="S",1,0)</f>
        <v>0</v>
      </c>
      <c r="AT188" s="12">
        <f>VLOOKUP(Tableau2[[#This Row],[essence]],Tableau5[],22,FALSE)</f>
        <v>0.36130000000000001</v>
      </c>
      <c r="AU188" s="12">
        <f>VLOOKUP(Tableau2[[#This Row],[essence]],Tableau5[],23,FALSE)</f>
        <v>0</v>
      </c>
      <c r="AV188" s="12">
        <f>VLOOKUP(Tableau2[[#This Row],[essence]],Tableau5[],18,FALSE)</f>
        <v>0</v>
      </c>
      <c r="AW18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0.52879999999999994</v>
      </c>
      <c r="AX188" s="12">
        <f>1/(1+EXP(-Tableau2[[#This Row],[xb_c]]))</f>
        <v>0.62920318755794713</v>
      </c>
      <c r="AY188" s="12" t="str">
        <f t="shared" si="4"/>
        <v>NA</v>
      </c>
      <c r="AZ188" s="12" t="str">
        <f t="shared" si="5"/>
        <v>NA</v>
      </c>
      <c r="BA188" s="12">
        <f>Tableau2[[#This Row],[prob_c]]</f>
        <v>0.62920318755794713</v>
      </c>
      <c r="BB188" s="12">
        <f>1-Tableau2[[#This Row],[prob_c]]</f>
        <v>0.37079681244205287</v>
      </c>
    </row>
    <row r="189" spans="1:54" x14ac:dyDescent="0.25">
      <c r="A189" s="12">
        <v>8</v>
      </c>
      <c r="B189" s="12" t="s">
        <v>16</v>
      </c>
      <c r="C189" s="12">
        <v>2.1</v>
      </c>
      <c r="D189" s="12">
        <v>700</v>
      </c>
      <c r="E189" s="12">
        <v>20</v>
      </c>
      <c r="F189" s="12">
        <v>1</v>
      </c>
      <c r="G189" s="12">
        <v>20</v>
      </c>
      <c r="H189" s="12">
        <v>31</v>
      </c>
      <c r="I189" s="12" t="s">
        <v>25</v>
      </c>
      <c r="J189" s="12" t="s">
        <v>28</v>
      </c>
      <c r="K189" s="12">
        <f>VLOOKUP(Tableau2[[#This Row],[essence]],Tableau5[],2,FALSE)</f>
        <v>-2.4066000000000001</v>
      </c>
      <c r="L189" s="12">
        <f>VLOOKUP(Tableau2[[#This Row],[essence]],Tableau5[],3,FALSE)</f>
        <v>1.0301</v>
      </c>
      <c r="M189" s="12">
        <f>IF(Tableau2[[#This Row],[priorecol]]="C",1,0)</f>
        <v>0</v>
      </c>
      <c r="N189" s="12">
        <f>VLOOKUP(Tableau2[[#This Row],[essence]],Tableau5[],4,FALSE)</f>
        <v>1.9907999999999999</v>
      </c>
      <c r="O189" s="12">
        <f>IF(Tableau2[[#This Row],[priorecol]]="R",1,0)</f>
        <v>1</v>
      </c>
      <c r="P189" s="12">
        <f>VLOOKUP(Tableau2[[#This Row],[essence]],Tableau5[],5,FALSE)</f>
        <v>1.1955</v>
      </c>
      <c r="Q189" s="12">
        <f>IF(Tableau2[[#This Row],[priorecol]]="S",1,0)</f>
        <v>0</v>
      </c>
      <c r="R189" s="12">
        <f>VLOOKUP(Tableau2[[#This Row],[essence]],Tableau5[],6,FALSE)</f>
        <v>4.2599999999999999E-2</v>
      </c>
      <c r="S189" s="12">
        <f>VLOOKUP(Tableau2[[#This Row],[essence]],Tableau5[],15,FALSE)</f>
        <v>1.3299999999999999E-2</v>
      </c>
      <c r="T189" s="12">
        <f>VLOOKUP(Tableau2[[#This Row],[essence]],Tableau5[],7,FALSE)</f>
        <v>0</v>
      </c>
      <c r="U189" s="12">
        <f>IF(Tableau2[[#This Row],[sdom]]=1,1,0)</f>
        <v>0</v>
      </c>
      <c r="V189" s="12">
        <f>VLOOKUP(Tableau2[[#This Row],[essence]],Tableau5[],8,FALSE)</f>
        <v>0.72299999999999998</v>
      </c>
      <c r="W189" s="12">
        <f>IF(Tableau2[[#This Row],[sdom]]="2EST",1,0)</f>
        <v>0</v>
      </c>
      <c r="X189" s="12">
        <f>VLOOKUP(Tableau2[[#This Row],[essence]],Tableau5[],9,FALSE)</f>
        <v>0.28749999999999998</v>
      </c>
      <c r="Y189" s="12">
        <f>IF(Tableau2[[#This Row],[sdom]]="2OUEST",1,0)</f>
        <v>0</v>
      </c>
      <c r="Z189" s="12">
        <f>VLOOKUP(Tableau2[[#This Row],[essence]],Tableau5[],10,FALSE)</f>
        <v>0.5746</v>
      </c>
      <c r="AA189" s="12">
        <f>IF(Tableau2[[#This Row],[sdom]]="3EST",1,0)</f>
        <v>0</v>
      </c>
      <c r="AB189" s="12">
        <f>VLOOKUP(Tableau2[[#This Row],[essence]],Tableau5[],11,FALSE)</f>
        <v>0.40360000000000001</v>
      </c>
      <c r="AC189" s="12">
        <f>IF(Tableau2[[#This Row],[sdom]]="3OUEST",1,0)</f>
        <v>0</v>
      </c>
      <c r="AD189" s="12">
        <f>VLOOKUP(Tableau2[[#This Row],[essence]],Tableau5[],12,FALSE)</f>
        <v>0</v>
      </c>
      <c r="AE189" s="12">
        <f>IF(Tableau2[[#This Row],[sdom]]="4EST",1,0)</f>
        <v>0</v>
      </c>
      <c r="AF189" s="12">
        <f>VLOOKUP(Tableau2[[#This Row],[essence]],Tableau5[],13,FALSE)</f>
        <v>0</v>
      </c>
      <c r="AG189" s="12">
        <f>IF(Tableau2[[#This Row],[sdom]]="4OUEST",1,0)</f>
        <v>0</v>
      </c>
      <c r="AH189" s="12">
        <f>VLOOKUP(Tableau2[[#This Row],[essence]],Tableau5[],14,FALSE)</f>
        <v>0</v>
      </c>
      <c r="AI189" s="12">
        <f>IF(Tableau2[[#This Row],[sdom]]="5EST",1,0)</f>
        <v>1</v>
      </c>
      <c r="AJ189" s="12">
        <f>VLOOKUP(Tableau2[[#This Row],[essence]],Tableau5[],16,FALSE)</f>
        <v>0</v>
      </c>
      <c r="AK189" s="12">
        <f>IF(Tableau2[[#This Row],[sdom]]="5OUEST",1,0)</f>
        <v>0</v>
      </c>
      <c r="AL189" s="12">
        <f>VLOOKUP(Tableau2[[#This Row],[essence]],Tableau5[],17,FALSE)</f>
        <v>0</v>
      </c>
      <c r="AM189" s="12">
        <f>IF(Tableau2[[#This Row],[sdom]]="6EST",1,0)</f>
        <v>0</v>
      </c>
      <c r="AN189" s="12">
        <f>VLOOKUP(Tableau2[[#This Row],[essence]],Tableau5[],19,FALSE)</f>
        <v>0</v>
      </c>
      <c r="AO189" s="12">
        <f>IF(Tableau2[[#This Row],[priorecol]]="C",1,0)</f>
        <v>0</v>
      </c>
      <c r="AP189" s="12">
        <f>VLOOKUP(Tableau2[[#This Row],[essence]],Tableau5[],20,FALSE)</f>
        <v>0</v>
      </c>
      <c r="AQ189" s="12">
        <f>IF(Tableau2[[#This Row],[priorecol]]="R",1,0)</f>
        <v>1</v>
      </c>
      <c r="AR189" s="12">
        <f>VLOOKUP(Tableau2[[#This Row],[essence]],Tableau5[],21,FALSE)</f>
        <v>0</v>
      </c>
      <c r="AS189" s="12">
        <f>IF(Tableau2[[#This Row],[priorecol]]="S",1,0)</f>
        <v>0</v>
      </c>
      <c r="AT189" s="12">
        <f>VLOOKUP(Tableau2[[#This Row],[essence]],Tableau5[],22,FALSE)</f>
        <v>0.36130000000000001</v>
      </c>
      <c r="AU189" s="12">
        <f>VLOOKUP(Tableau2[[#This Row],[essence]],Tableau5[],23,FALSE)</f>
        <v>0</v>
      </c>
      <c r="AV189" s="12">
        <f>VLOOKUP(Tableau2[[#This Row],[essence]],Tableau5[],18,FALSE)</f>
        <v>0</v>
      </c>
      <c r="AW18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1.5320999999999998</v>
      </c>
      <c r="AX189" s="12">
        <f>1/(1+EXP(-Tableau2[[#This Row],[xb_c]]))</f>
        <v>0.82231336153201928</v>
      </c>
      <c r="AY189" s="12" t="str">
        <f t="shared" si="4"/>
        <v>NA</v>
      </c>
      <c r="AZ189" s="12" t="str">
        <f t="shared" si="5"/>
        <v>NA</v>
      </c>
      <c r="BA189" s="12">
        <f>Tableau2[[#This Row],[prob_c]]</f>
        <v>0.82231336153201928</v>
      </c>
      <c r="BB189" s="12">
        <f>1-Tableau2[[#This Row],[prob_c]]</f>
        <v>0.17768663846798072</v>
      </c>
    </row>
    <row r="190" spans="1:54" x14ac:dyDescent="0.25">
      <c r="A190" s="12">
        <v>8</v>
      </c>
      <c r="B190" s="12" t="s">
        <v>16</v>
      </c>
      <c r="C190" s="12">
        <v>2.1</v>
      </c>
      <c r="D190" s="12">
        <v>700</v>
      </c>
      <c r="E190" s="12">
        <v>20</v>
      </c>
      <c r="F190" s="12">
        <v>1</v>
      </c>
      <c r="G190" s="12">
        <v>21</v>
      </c>
      <c r="H190" s="12">
        <v>32</v>
      </c>
      <c r="I190" s="12" t="s">
        <v>25</v>
      </c>
      <c r="J190" s="12" t="s">
        <v>29</v>
      </c>
      <c r="K190" s="12">
        <f>VLOOKUP(Tableau2[[#This Row],[essence]],Tableau5[],2,FALSE)</f>
        <v>-2.4066000000000001</v>
      </c>
      <c r="L190" s="12">
        <f>VLOOKUP(Tableau2[[#This Row],[essence]],Tableau5[],3,FALSE)</f>
        <v>1.0301</v>
      </c>
      <c r="M190" s="12">
        <f>IF(Tableau2[[#This Row],[priorecol]]="C",1,0)</f>
        <v>0</v>
      </c>
      <c r="N190" s="12">
        <f>VLOOKUP(Tableau2[[#This Row],[essence]],Tableau5[],4,FALSE)</f>
        <v>1.9907999999999999</v>
      </c>
      <c r="O190" s="12">
        <f>IF(Tableau2[[#This Row],[priorecol]]="R",1,0)</f>
        <v>0</v>
      </c>
      <c r="P190" s="12">
        <f>VLOOKUP(Tableau2[[#This Row],[essence]],Tableau5[],5,FALSE)</f>
        <v>1.1955</v>
      </c>
      <c r="Q190" s="12">
        <f>IF(Tableau2[[#This Row],[priorecol]]="S",1,0)</f>
        <v>1</v>
      </c>
      <c r="R190" s="12">
        <f>VLOOKUP(Tableau2[[#This Row],[essence]],Tableau5[],6,FALSE)</f>
        <v>4.2599999999999999E-2</v>
      </c>
      <c r="S190" s="12">
        <f>VLOOKUP(Tableau2[[#This Row],[essence]],Tableau5[],15,FALSE)</f>
        <v>1.3299999999999999E-2</v>
      </c>
      <c r="T190" s="12">
        <f>VLOOKUP(Tableau2[[#This Row],[essence]],Tableau5[],7,FALSE)</f>
        <v>0</v>
      </c>
      <c r="U190" s="12">
        <f>IF(Tableau2[[#This Row],[sdom]]=1,1,0)</f>
        <v>0</v>
      </c>
      <c r="V190" s="12">
        <f>VLOOKUP(Tableau2[[#This Row],[essence]],Tableau5[],8,FALSE)</f>
        <v>0.72299999999999998</v>
      </c>
      <c r="W190" s="12">
        <f>IF(Tableau2[[#This Row],[sdom]]="2EST",1,0)</f>
        <v>0</v>
      </c>
      <c r="X190" s="12">
        <f>VLOOKUP(Tableau2[[#This Row],[essence]],Tableau5[],9,FALSE)</f>
        <v>0.28749999999999998</v>
      </c>
      <c r="Y190" s="12">
        <f>IF(Tableau2[[#This Row],[sdom]]="2OUEST",1,0)</f>
        <v>0</v>
      </c>
      <c r="Z190" s="12">
        <f>VLOOKUP(Tableau2[[#This Row],[essence]],Tableau5[],10,FALSE)</f>
        <v>0.5746</v>
      </c>
      <c r="AA190" s="12">
        <f>IF(Tableau2[[#This Row],[sdom]]="3EST",1,0)</f>
        <v>0</v>
      </c>
      <c r="AB190" s="12">
        <f>VLOOKUP(Tableau2[[#This Row],[essence]],Tableau5[],11,FALSE)</f>
        <v>0.40360000000000001</v>
      </c>
      <c r="AC190" s="12">
        <f>IF(Tableau2[[#This Row],[sdom]]="3OUEST",1,0)</f>
        <v>0</v>
      </c>
      <c r="AD190" s="12">
        <f>VLOOKUP(Tableau2[[#This Row],[essence]],Tableau5[],12,FALSE)</f>
        <v>0</v>
      </c>
      <c r="AE190" s="12">
        <f>IF(Tableau2[[#This Row],[sdom]]="4EST",1,0)</f>
        <v>0</v>
      </c>
      <c r="AF190" s="12">
        <f>VLOOKUP(Tableau2[[#This Row],[essence]],Tableau5[],13,FALSE)</f>
        <v>0</v>
      </c>
      <c r="AG190" s="12">
        <f>IF(Tableau2[[#This Row],[sdom]]="4OUEST",1,0)</f>
        <v>0</v>
      </c>
      <c r="AH190" s="12">
        <f>VLOOKUP(Tableau2[[#This Row],[essence]],Tableau5[],14,FALSE)</f>
        <v>0</v>
      </c>
      <c r="AI190" s="12">
        <f>IF(Tableau2[[#This Row],[sdom]]="5EST",1,0)</f>
        <v>1</v>
      </c>
      <c r="AJ190" s="12">
        <f>VLOOKUP(Tableau2[[#This Row],[essence]],Tableau5[],16,FALSE)</f>
        <v>0</v>
      </c>
      <c r="AK190" s="12">
        <f>IF(Tableau2[[#This Row],[sdom]]="5OUEST",1,0)</f>
        <v>0</v>
      </c>
      <c r="AL190" s="12">
        <f>VLOOKUP(Tableau2[[#This Row],[essence]],Tableau5[],17,FALSE)</f>
        <v>0</v>
      </c>
      <c r="AM190" s="12">
        <f>IF(Tableau2[[#This Row],[sdom]]="6EST",1,0)</f>
        <v>0</v>
      </c>
      <c r="AN190" s="12">
        <f>VLOOKUP(Tableau2[[#This Row],[essence]],Tableau5[],19,FALSE)</f>
        <v>0</v>
      </c>
      <c r="AO190" s="12">
        <f>IF(Tableau2[[#This Row],[priorecol]]="C",1,0)</f>
        <v>0</v>
      </c>
      <c r="AP190" s="12">
        <f>VLOOKUP(Tableau2[[#This Row],[essence]],Tableau5[],20,FALSE)</f>
        <v>0</v>
      </c>
      <c r="AQ190" s="12">
        <f>IF(Tableau2[[#This Row],[priorecol]]="R",1,0)</f>
        <v>0</v>
      </c>
      <c r="AR190" s="12">
        <f>VLOOKUP(Tableau2[[#This Row],[essence]],Tableau5[],21,FALSE)</f>
        <v>0</v>
      </c>
      <c r="AS190" s="12">
        <f>IF(Tableau2[[#This Row],[priorecol]]="S",1,0)</f>
        <v>1</v>
      </c>
      <c r="AT190" s="12">
        <f>VLOOKUP(Tableau2[[#This Row],[essence]],Tableau5[],22,FALSE)</f>
        <v>0.36130000000000001</v>
      </c>
      <c r="AU190" s="12">
        <f>VLOOKUP(Tableau2[[#This Row],[essence]],Tableau5[],23,FALSE)</f>
        <v>0</v>
      </c>
      <c r="AV190" s="12">
        <f>VLOOKUP(Tableau2[[#This Row],[essence]],Tableau5[],18,FALSE)</f>
        <v>0</v>
      </c>
      <c r="AW19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0.77939999999999987</v>
      </c>
      <c r="AX190" s="12">
        <f>1/(1+EXP(-Tableau2[[#This Row],[xb_c]]))</f>
        <v>0.68555078579676243</v>
      </c>
      <c r="AY190" s="12" t="str">
        <f t="shared" si="4"/>
        <v>NA</v>
      </c>
      <c r="AZ190" s="12" t="str">
        <f t="shared" si="5"/>
        <v>NA</v>
      </c>
      <c r="BA190" s="12">
        <f>Tableau2[[#This Row],[prob_c]]</f>
        <v>0.68555078579676243</v>
      </c>
      <c r="BB190" s="12">
        <f>1-Tableau2[[#This Row],[prob_c]]</f>
        <v>0.31444921420323757</v>
      </c>
    </row>
    <row r="191" spans="1:54" x14ac:dyDescent="0.25">
      <c r="A191" s="12">
        <v>8</v>
      </c>
      <c r="B191" s="12" t="s">
        <v>16</v>
      </c>
      <c r="C191" s="12">
        <v>2.1</v>
      </c>
      <c r="D191" s="12">
        <v>700</v>
      </c>
      <c r="E191" s="12">
        <v>20</v>
      </c>
      <c r="F191" s="12">
        <v>1</v>
      </c>
      <c r="G191" s="12">
        <v>22</v>
      </c>
      <c r="H191" s="12">
        <v>33</v>
      </c>
      <c r="I191" s="12" t="s">
        <v>26</v>
      </c>
      <c r="J191" s="12" t="s">
        <v>27</v>
      </c>
      <c r="K191" s="12">
        <f>VLOOKUP(Tableau2[[#This Row],[essence]],Tableau5[],2,FALSE)</f>
        <v>-9.0399999999999994E-2</v>
      </c>
      <c r="L191" s="12">
        <f>VLOOKUP(Tableau2[[#This Row],[essence]],Tableau5[],3,FALSE)</f>
        <v>1.0844</v>
      </c>
      <c r="M191" s="12">
        <f>IF(Tableau2[[#This Row],[priorecol]]="C",1,0)</f>
        <v>1</v>
      </c>
      <c r="N191" s="12">
        <f>VLOOKUP(Tableau2[[#This Row],[essence]],Tableau5[],4,FALSE)</f>
        <v>-1.3041</v>
      </c>
      <c r="O191" s="12">
        <f>IF(Tableau2[[#This Row],[priorecol]]="R",1,0)</f>
        <v>0</v>
      </c>
      <c r="P191" s="12">
        <f>VLOOKUP(Tableau2[[#This Row],[essence]],Tableau5[],5,FALSE)</f>
        <v>-0.79790000000000005</v>
      </c>
      <c r="Q191" s="12">
        <f>IF(Tableau2[[#This Row],[priorecol]]="S",1,0)</f>
        <v>0</v>
      </c>
      <c r="R191" s="12">
        <f>VLOOKUP(Tableau2[[#This Row],[essence]],Tableau5[],6,FALSE)</f>
        <v>-5.3E-3</v>
      </c>
      <c r="S191" s="12">
        <f>VLOOKUP(Tableau2[[#This Row],[essence]],Tableau5[],15,FALSE)</f>
        <v>1.2500000000000001E-2</v>
      </c>
      <c r="T191" s="12">
        <f>VLOOKUP(Tableau2[[#This Row],[essence]],Tableau5[],7,FALSE)</f>
        <v>0</v>
      </c>
      <c r="U191" s="12">
        <f>IF(Tableau2[[#This Row],[sdom]]=1,1,0)</f>
        <v>0</v>
      </c>
      <c r="V191" s="12">
        <f>VLOOKUP(Tableau2[[#This Row],[essence]],Tableau5[],8,FALSE)</f>
        <v>0.1497</v>
      </c>
      <c r="W191" s="12">
        <f>IF(Tableau2[[#This Row],[sdom]]="2EST",1,0)</f>
        <v>0</v>
      </c>
      <c r="X191" s="12">
        <f>VLOOKUP(Tableau2[[#This Row],[essence]],Tableau5[],9,FALSE)</f>
        <v>0.4839</v>
      </c>
      <c r="Y191" s="12">
        <f>IF(Tableau2[[#This Row],[sdom]]="2OUEST",1,0)</f>
        <v>0</v>
      </c>
      <c r="Z191" s="12">
        <f>VLOOKUP(Tableau2[[#This Row],[essence]],Tableau5[],10,FALSE)</f>
        <v>-0.14019999999999999</v>
      </c>
      <c r="AA191" s="12">
        <f>IF(Tableau2[[#This Row],[sdom]]="3EST",1,0)</f>
        <v>0</v>
      </c>
      <c r="AB191" s="12">
        <f>VLOOKUP(Tableau2[[#This Row],[essence]],Tableau5[],11,FALSE)</f>
        <v>0.65649999999999997</v>
      </c>
      <c r="AC191" s="12">
        <f>IF(Tableau2[[#This Row],[sdom]]="3OUEST",1,0)</f>
        <v>0</v>
      </c>
      <c r="AD191" s="12">
        <f>VLOOKUP(Tableau2[[#This Row],[essence]],Tableau5[],12,FALSE)</f>
        <v>-1.21E-2</v>
      </c>
      <c r="AE191" s="12">
        <f>IF(Tableau2[[#This Row],[sdom]]="4EST",1,0)</f>
        <v>0</v>
      </c>
      <c r="AF191" s="12">
        <f>VLOOKUP(Tableau2[[#This Row],[essence]],Tableau5[],13,FALSE)</f>
        <v>0.52600000000000002</v>
      </c>
      <c r="AG191" s="12">
        <f>IF(Tableau2[[#This Row],[sdom]]="4OUEST",1,0)</f>
        <v>0</v>
      </c>
      <c r="AH191" s="12">
        <f>VLOOKUP(Tableau2[[#This Row],[essence]],Tableau5[],14,FALSE)</f>
        <v>-0.753</v>
      </c>
      <c r="AI191" s="12">
        <f>IF(Tableau2[[#This Row],[sdom]]="5EST",1,0)</f>
        <v>1</v>
      </c>
      <c r="AJ191" s="12">
        <f>VLOOKUP(Tableau2[[#This Row],[essence]],Tableau5[],16,FALSE)</f>
        <v>0</v>
      </c>
      <c r="AK191" s="12">
        <f>IF(Tableau2[[#This Row],[sdom]]="5OUEST",1,0)</f>
        <v>0</v>
      </c>
      <c r="AL191" s="12">
        <f>VLOOKUP(Tableau2[[#This Row],[essence]],Tableau5[],17,FALSE)</f>
        <v>0</v>
      </c>
      <c r="AM191" s="12">
        <f>IF(Tableau2[[#This Row],[sdom]]="6EST",1,0)</f>
        <v>0</v>
      </c>
      <c r="AN191" s="12">
        <f>VLOOKUP(Tableau2[[#This Row],[essence]],Tableau5[],19,FALSE)</f>
        <v>3.04E-2</v>
      </c>
      <c r="AO191" s="12">
        <f>IF(Tableau2[[#This Row],[priorecol]]="C",1,0)</f>
        <v>1</v>
      </c>
      <c r="AP191" s="12">
        <f>VLOOKUP(Tableau2[[#This Row],[essence]],Tableau5[],20,FALSE)</f>
        <v>0.14549999999999999</v>
      </c>
      <c r="AQ191" s="12">
        <f>IF(Tableau2[[#This Row],[priorecol]]="R",1,0)</f>
        <v>0</v>
      </c>
      <c r="AR191" s="12">
        <f>VLOOKUP(Tableau2[[#This Row],[essence]],Tableau5[],21,FALSE)</f>
        <v>7.8700000000000006E-2</v>
      </c>
      <c r="AS191" s="12">
        <f>IF(Tableau2[[#This Row],[priorecol]]="S",1,0)</f>
        <v>0</v>
      </c>
      <c r="AT191" s="12">
        <f>VLOOKUP(Tableau2[[#This Row],[essence]],Tableau5[],22,FALSE)</f>
        <v>0</v>
      </c>
      <c r="AU191" s="12">
        <f>VLOOKUP(Tableau2[[#This Row],[essence]],Tableau5[],23,FALSE)</f>
        <v>0</v>
      </c>
      <c r="AV191" s="12">
        <f>VLOOKUP(Tableau2[[#This Row],[essence]],Tableau5[],18,FALSE)</f>
        <v>0</v>
      </c>
      <c r="AW19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1.3193000000000001</v>
      </c>
      <c r="AX191" s="12">
        <f>1/(1+EXP(-Tableau2[[#This Row],[xb_c]]))</f>
        <v>0.78906522118878109</v>
      </c>
      <c r="AY191" s="12" t="str">
        <f t="shared" si="4"/>
        <v>NA</v>
      </c>
      <c r="AZ191" s="12" t="str">
        <f t="shared" si="5"/>
        <v>NA</v>
      </c>
      <c r="BA191" s="12">
        <f>Tableau2[[#This Row],[prob_c]]</f>
        <v>0.78906522118878109</v>
      </c>
      <c r="BB191" s="12">
        <f>1-Tableau2[[#This Row],[prob_c]]</f>
        <v>0.21093477881121891</v>
      </c>
    </row>
    <row r="192" spans="1:54" x14ac:dyDescent="0.25">
      <c r="A192" s="12">
        <v>8</v>
      </c>
      <c r="B192" s="12" t="s">
        <v>16</v>
      </c>
      <c r="C192" s="12">
        <v>2.1</v>
      </c>
      <c r="D192" s="12">
        <v>700</v>
      </c>
      <c r="E192" s="12">
        <v>20</v>
      </c>
      <c r="F192" s="12">
        <v>1</v>
      </c>
      <c r="G192" s="12">
        <v>23</v>
      </c>
      <c r="H192" s="12">
        <v>24</v>
      </c>
      <c r="I192" s="12" t="s">
        <v>26</v>
      </c>
      <c r="J192" s="12" t="s">
        <v>28</v>
      </c>
      <c r="K192" s="12">
        <f>VLOOKUP(Tableau2[[#This Row],[essence]],Tableau5[],2,FALSE)</f>
        <v>-9.0399999999999994E-2</v>
      </c>
      <c r="L192" s="12">
        <f>VLOOKUP(Tableau2[[#This Row],[essence]],Tableau5[],3,FALSE)</f>
        <v>1.0844</v>
      </c>
      <c r="M192" s="12">
        <f>IF(Tableau2[[#This Row],[priorecol]]="C",1,0)</f>
        <v>0</v>
      </c>
      <c r="N192" s="12">
        <f>VLOOKUP(Tableau2[[#This Row],[essence]],Tableau5[],4,FALSE)</f>
        <v>-1.3041</v>
      </c>
      <c r="O192" s="12">
        <f>IF(Tableau2[[#This Row],[priorecol]]="R",1,0)</f>
        <v>1</v>
      </c>
      <c r="P192" s="12">
        <f>VLOOKUP(Tableau2[[#This Row],[essence]],Tableau5[],5,FALSE)</f>
        <v>-0.79790000000000005</v>
      </c>
      <c r="Q192" s="12">
        <f>IF(Tableau2[[#This Row],[priorecol]]="S",1,0)</f>
        <v>0</v>
      </c>
      <c r="R192" s="12">
        <f>VLOOKUP(Tableau2[[#This Row],[essence]],Tableau5[],6,FALSE)</f>
        <v>-5.3E-3</v>
      </c>
      <c r="S192" s="12">
        <f>VLOOKUP(Tableau2[[#This Row],[essence]],Tableau5[],15,FALSE)</f>
        <v>1.2500000000000001E-2</v>
      </c>
      <c r="T192" s="12">
        <f>VLOOKUP(Tableau2[[#This Row],[essence]],Tableau5[],7,FALSE)</f>
        <v>0</v>
      </c>
      <c r="U192" s="12">
        <f>IF(Tableau2[[#This Row],[sdom]]=1,1,0)</f>
        <v>0</v>
      </c>
      <c r="V192" s="12">
        <f>VLOOKUP(Tableau2[[#This Row],[essence]],Tableau5[],8,FALSE)</f>
        <v>0.1497</v>
      </c>
      <c r="W192" s="12">
        <f>IF(Tableau2[[#This Row],[sdom]]="2EST",1,0)</f>
        <v>0</v>
      </c>
      <c r="X192" s="12">
        <f>VLOOKUP(Tableau2[[#This Row],[essence]],Tableau5[],9,FALSE)</f>
        <v>0.4839</v>
      </c>
      <c r="Y192" s="12">
        <f>IF(Tableau2[[#This Row],[sdom]]="2OUEST",1,0)</f>
        <v>0</v>
      </c>
      <c r="Z192" s="12">
        <f>VLOOKUP(Tableau2[[#This Row],[essence]],Tableau5[],10,FALSE)</f>
        <v>-0.14019999999999999</v>
      </c>
      <c r="AA192" s="12">
        <f>IF(Tableau2[[#This Row],[sdom]]="3EST",1,0)</f>
        <v>0</v>
      </c>
      <c r="AB192" s="12">
        <f>VLOOKUP(Tableau2[[#This Row],[essence]],Tableau5[],11,FALSE)</f>
        <v>0.65649999999999997</v>
      </c>
      <c r="AC192" s="12">
        <f>IF(Tableau2[[#This Row],[sdom]]="3OUEST",1,0)</f>
        <v>0</v>
      </c>
      <c r="AD192" s="12">
        <f>VLOOKUP(Tableau2[[#This Row],[essence]],Tableau5[],12,FALSE)</f>
        <v>-1.21E-2</v>
      </c>
      <c r="AE192" s="12">
        <f>IF(Tableau2[[#This Row],[sdom]]="4EST",1,0)</f>
        <v>0</v>
      </c>
      <c r="AF192" s="12">
        <f>VLOOKUP(Tableau2[[#This Row],[essence]],Tableau5[],13,FALSE)</f>
        <v>0.52600000000000002</v>
      </c>
      <c r="AG192" s="12">
        <f>IF(Tableau2[[#This Row],[sdom]]="4OUEST",1,0)</f>
        <v>0</v>
      </c>
      <c r="AH192" s="12">
        <f>VLOOKUP(Tableau2[[#This Row],[essence]],Tableau5[],14,FALSE)</f>
        <v>-0.753</v>
      </c>
      <c r="AI192" s="12">
        <f>IF(Tableau2[[#This Row],[sdom]]="5EST",1,0)</f>
        <v>1</v>
      </c>
      <c r="AJ192" s="12">
        <f>VLOOKUP(Tableau2[[#This Row],[essence]],Tableau5[],16,FALSE)</f>
        <v>0</v>
      </c>
      <c r="AK192" s="12">
        <f>IF(Tableau2[[#This Row],[sdom]]="5OUEST",1,0)</f>
        <v>0</v>
      </c>
      <c r="AL192" s="12">
        <f>VLOOKUP(Tableau2[[#This Row],[essence]],Tableau5[],17,FALSE)</f>
        <v>0</v>
      </c>
      <c r="AM192" s="12">
        <f>IF(Tableau2[[#This Row],[sdom]]="6EST",1,0)</f>
        <v>0</v>
      </c>
      <c r="AN192" s="12">
        <f>VLOOKUP(Tableau2[[#This Row],[essence]],Tableau5[],19,FALSE)</f>
        <v>3.04E-2</v>
      </c>
      <c r="AO192" s="12">
        <f>IF(Tableau2[[#This Row],[priorecol]]="C",1,0)</f>
        <v>0</v>
      </c>
      <c r="AP192" s="12">
        <f>VLOOKUP(Tableau2[[#This Row],[essence]],Tableau5[],20,FALSE)</f>
        <v>0.14549999999999999</v>
      </c>
      <c r="AQ192" s="12">
        <f>IF(Tableau2[[#This Row],[priorecol]]="R",1,0)</f>
        <v>1</v>
      </c>
      <c r="AR192" s="12">
        <f>VLOOKUP(Tableau2[[#This Row],[essence]],Tableau5[],21,FALSE)</f>
        <v>7.8700000000000006E-2</v>
      </c>
      <c r="AS192" s="12">
        <f>IF(Tableau2[[#This Row],[priorecol]]="S",1,0)</f>
        <v>0</v>
      </c>
      <c r="AT192" s="12">
        <f>VLOOKUP(Tableau2[[#This Row],[essence]],Tableau5[],22,FALSE)</f>
        <v>0</v>
      </c>
      <c r="AU192" s="12">
        <f>VLOOKUP(Tableau2[[#This Row],[essence]],Tableau5[],23,FALSE)</f>
        <v>0</v>
      </c>
      <c r="AV192" s="12">
        <f>VLOOKUP(Tableau2[[#This Row],[essence]],Tableau5[],18,FALSE)</f>
        <v>0</v>
      </c>
      <c r="AW19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1.4672999999999998</v>
      </c>
      <c r="AX192" s="12">
        <f>1/(1+EXP(-Tableau2[[#This Row],[xb_c]]))</f>
        <v>0.81264665240961276</v>
      </c>
      <c r="AY192" s="12" t="str">
        <f t="shared" si="4"/>
        <v>NA</v>
      </c>
      <c r="AZ192" s="12" t="str">
        <f t="shared" si="5"/>
        <v>NA</v>
      </c>
      <c r="BA192" s="12">
        <f>Tableau2[[#This Row],[prob_c]]</f>
        <v>0.81264665240961276</v>
      </c>
      <c r="BB192" s="12">
        <f>1-Tableau2[[#This Row],[prob_c]]</f>
        <v>0.18735334759038724</v>
      </c>
    </row>
    <row r="193" spans="1:54" x14ac:dyDescent="0.25">
      <c r="A193" s="12">
        <v>8</v>
      </c>
      <c r="B193" s="12" t="s">
        <v>16</v>
      </c>
      <c r="C193" s="12">
        <v>2.1</v>
      </c>
      <c r="D193" s="12">
        <v>700</v>
      </c>
      <c r="E193" s="12">
        <v>20</v>
      </c>
      <c r="F193" s="12">
        <v>1</v>
      </c>
      <c r="G193" s="12">
        <v>24</v>
      </c>
      <c r="H193" s="12">
        <v>25</v>
      </c>
      <c r="I193" s="12" t="s">
        <v>26</v>
      </c>
      <c r="J193" s="12" t="s">
        <v>29</v>
      </c>
      <c r="K193" s="12">
        <f>VLOOKUP(Tableau2[[#This Row],[essence]],Tableau5[],2,FALSE)</f>
        <v>-9.0399999999999994E-2</v>
      </c>
      <c r="L193" s="12">
        <f>VLOOKUP(Tableau2[[#This Row],[essence]],Tableau5[],3,FALSE)</f>
        <v>1.0844</v>
      </c>
      <c r="M193" s="12">
        <f>IF(Tableau2[[#This Row],[priorecol]]="C",1,0)</f>
        <v>0</v>
      </c>
      <c r="N193" s="12">
        <f>VLOOKUP(Tableau2[[#This Row],[essence]],Tableau5[],4,FALSE)</f>
        <v>-1.3041</v>
      </c>
      <c r="O193" s="12">
        <f>IF(Tableau2[[#This Row],[priorecol]]="R",1,0)</f>
        <v>0</v>
      </c>
      <c r="P193" s="12">
        <f>VLOOKUP(Tableau2[[#This Row],[essence]],Tableau5[],5,FALSE)</f>
        <v>-0.79790000000000005</v>
      </c>
      <c r="Q193" s="12">
        <f>IF(Tableau2[[#This Row],[priorecol]]="S",1,0)</f>
        <v>1</v>
      </c>
      <c r="R193" s="12">
        <f>VLOOKUP(Tableau2[[#This Row],[essence]],Tableau5[],6,FALSE)</f>
        <v>-5.3E-3</v>
      </c>
      <c r="S193" s="12">
        <f>VLOOKUP(Tableau2[[#This Row],[essence]],Tableau5[],15,FALSE)</f>
        <v>1.2500000000000001E-2</v>
      </c>
      <c r="T193" s="12">
        <f>VLOOKUP(Tableau2[[#This Row],[essence]],Tableau5[],7,FALSE)</f>
        <v>0</v>
      </c>
      <c r="U193" s="12">
        <f>IF(Tableau2[[#This Row],[sdom]]=1,1,0)</f>
        <v>0</v>
      </c>
      <c r="V193" s="12">
        <f>VLOOKUP(Tableau2[[#This Row],[essence]],Tableau5[],8,FALSE)</f>
        <v>0.1497</v>
      </c>
      <c r="W193" s="12">
        <f>IF(Tableau2[[#This Row],[sdom]]="2EST",1,0)</f>
        <v>0</v>
      </c>
      <c r="X193" s="12">
        <f>VLOOKUP(Tableau2[[#This Row],[essence]],Tableau5[],9,FALSE)</f>
        <v>0.4839</v>
      </c>
      <c r="Y193" s="12">
        <f>IF(Tableau2[[#This Row],[sdom]]="2OUEST",1,0)</f>
        <v>0</v>
      </c>
      <c r="Z193" s="12">
        <f>VLOOKUP(Tableau2[[#This Row],[essence]],Tableau5[],10,FALSE)</f>
        <v>-0.14019999999999999</v>
      </c>
      <c r="AA193" s="12">
        <f>IF(Tableau2[[#This Row],[sdom]]="3EST",1,0)</f>
        <v>0</v>
      </c>
      <c r="AB193" s="12">
        <f>VLOOKUP(Tableau2[[#This Row],[essence]],Tableau5[],11,FALSE)</f>
        <v>0.65649999999999997</v>
      </c>
      <c r="AC193" s="12">
        <f>IF(Tableau2[[#This Row],[sdom]]="3OUEST",1,0)</f>
        <v>0</v>
      </c>
      <c r="AD193" s="12">
        <f>VLOOKUP(Tableau2[[#This Row],[essence]],Tableau5[],12,FALSE)</f>
        <v>-1.21E-2</v>
      </c>
      <c r="AE193" s="12">
        <f>IF(Tableau2[[#This Row],[sdom]]="4EST",1,0)</f>
        <v>0</v>
      </c>
      <c r="AF193" s="12">
        <f>VLOOKUP(Tableau2[[#This Row],[essence]],Tableau5[],13,FALSE)</f>
        <v>0.52600000000000002</v>
      </c>
      <c r="AG193" s="12">
        <f>IF(Tableau2[[#This Row],[sdom]]="4OUEST",1,0)</f>
        <v>0</v>
      </c>
      <c r="AH193" s="12">
        <f>VLOOKUP(Tableau2[[#This Row],[essence]],Tableau5[],14,FALSE)</f>
        <v>-0.753</v>
      </c>
      <c r="AI193" s="12">
        <f>IF(Tableau2[[#This Row],[sdom]]="5EST",1,0)</f>
        <v>1</v>
      </c>
      <c r="AJ193" s="12">
        <f>VLOOKUP(Tableau2[[#This Row],[essence]],Tableau5[],16,FALSE)</f>
        <v>0</v>
      </c>
      <c r="AK193" s="12">
        <f>IF(Tableau2[[#This Row],[sdom]]="5OUEST",1,0)</f>
        <v>0</v>
      </c>
      <c r="AL193" s="12">
        <f>VLOOKUP(Tableau2[[#This Row],[essence]],Tableau5[],17,FALSE)</f>
        <v>0</v>
      </c>
      <c r="AM193" s="12">
        <f>IF(Tableau2[[#This Row],[sdom]]="6EST",1,0)</f>
        <v>0</v>
      </c>
      <c r="AN193" s="12">
        <f>VLOOKUP(Tableau2[[#This Row],[essence]],Tableau5[],19,FALSE)</f>
        <v>3.04E-2</v>
      </c>
      <c r="AO193" s="12">
        <f>IF(Tableau2[[#This Row],[priorecol]]="C",1,0)</f>
        <v>0</v>
      </c>
      <c r="AP193" s="12">
        <f>VLOOKUP(Tableau2[[#This Row],[essence]],Tableau5[],20,FALSE)</f>
        <v>0.14549999999999999</v>
      </c>
      <c r="AQ193" s="12">
        <f>IF(Tableau2[[#This Row],[priorecol]]="R",1,0)</f>
        <v>0</v>
      </c>
      <c r="AR193" s="12">
        <f>VLOOKUP(Tableau2[[#This Row],[essence]],Tableau5[],21,FALSE)</f>
        <v>7.8700000000000006E-2</v>
      </c>
      <c r="AS193" s="12">
        <f>IF(Tableau2[[#This Row],[priorecol]]="S",1,0)</f>
        <v>1</v>
      </c>
      <c r="AT193" s="12">
        <f>VLOOKUP(Tableau2[[#This Row],[essence]],Tableau5[],22,FALSE)</f>
        <v>0</v>
      </c>
      <c r="AU193" s="12">
        <f>VLOOKUP(Tableau2[[#This Row],[essence]],Tableau5[],23,FALSE)</f>
        <v>0</v>
      </c>
      <c r="AV193" s="12">
        <f>VLOOKUP(Tableau2[[#This Row],[essence]],Tableau5[],18,FALSE)</f>
        <v>0</v>
      </c>
      <c r="AW19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0.44370000000000021</v>
      </c>
      <c r="AX193" s="12">
        <f>1/(1+EXP(-Tableau2[[#This Row],[xb_c]]))</f>
        <v>0.60914031267059798</v>
      </c>
      <c r="AY193" s="12" t="str">
        <f t="shared" si="4"/>
        <v>NA</v>
      </c>
      <c r="AZ193" s="12" t="str">
        <f t="shared" si="5"/>
        <v>NA</v>
      </c>
      <c r="BA193" s="12">
        <f>Tableau2[[#This Row],[prob_c]]</f>
        <v>0.60914031267059798</v>
      </c>
      <c r="BB193" s="12">
        <f>1-Tableau2[[#This Row],[prob_c]]</f>
        <v>0.39085968732940202</v>
      </c>
    </row>
    <row r="194" spans="1:54" x14ac:dyDescent="0.25">
      <c r="A194" s="12">
        <v>9</v>
      </c>
      <c r="B194" s="12" t="s">
        <v>17</v>
      </c>
      <c r="C194" s="12">
        <v>0.1</v>
      </c>
      <c r="D194" s="12">
        <v>700</v>
      </c>
      <c r="E194" s="12">
        <v>22</v>
      </c>
      <c r="F194" s="12">
        <v>0</v>
      </c>
      <c r="G194" s="12">
        <v>1</v>
      </c>
      <c r="H194" s="12">
        <v>26</v>
      </c>
      <c r="I194" s="12" t="s">
        <v>19</v>
      </c>
      <c r="J194" s="12" t="s">
        <v>27</v>
      </c>
      <c r="K194" s="12">
        <f>VLOOKUP(Tableau2[[#This Row],[essence]],Tableau5[],2,FALSE)</f>
        <v>-1.806</v>
      </c>
      <c r="L194" s="12">
        <f>VLOOKUP(Tableau2[[#This Row],[essence]],Tableau5[],3,FALSE)</f>
        <v>1.2398</v>
      </c>
      <c r="M194" s="12">
        <f>IF(Tableau2[[#This Row],[priorecol]]="C",1,0)</f>
        <v>1</v>
      </c>
      <c r="N194" s="12">
        <f>VLOOKUP(Tableau2[[#This Row],[essence]],Tableau5[],4,FALSE)</f>
        <v>2.6488</v>
      </c>
      <c r="O194" s="12">
        <f>IF(Tableau2[[#This Row],[priorecol]]="R",1,0)</f>
        <v>0</v>
      </c>
      <c r="P194" s="12">
        <f>VLOOKUP(Tableau2[[#This Row],[essence]],Tableau5[],5,FALSE)</f>
        <v>0.61070000000000002</v>
      </c>
      <c r="Q194" s="12">
        <f>IF(Tableau2[[#This Row],[priorecol]]="S",1,0)</f>
        <v>0</v>
      </c>
      <c r="R194" s="12">
        <f>VLOOKUP(Tableau2[[#This Row],[essence]],Tableau5[],6,FALSE)</f>
        <v>5.67E-2</v>
      </c>
      <c r="S194" s="12">
        <f>VLOOKUP(Tableau2[[#This Row],[essence]],Tableau5[],15,FALSE)</f>
        <v>1.35E-2</v>
      </c>
      <c r="T194" s="12">
        <f>VLOOKUP(Tableau2[[#This Row],[essence]],Tableau5[],7,FALSE)</f>
        <v>0.95779999999999998</v>
      </c>
      <c r="U194" s="12">
        <f>IF(Tableau2[[#This Row],[sdom]]=1,1,0)</f>
        <v>0</v>
      </c>
      <c r="V194" s="12">
        <f>VLOOKUP(Tableau2[[#This Row],[essence]],Tableau5[],8,FALSE)</f>
        <v>0.66500000000000004</v>
      </c>
      <c r="W194" s="12">
        <f>IF(Tableau2[[#This Row],[sdom]]="2EST",1,0)</f>
        <v>0</v>
      </c>
      <c r="X194" s="12">
        <f>VLOOKUP(Tableau2[[#This Row],[essence]],Tableau5[],9,FALSE)</f>
        <v>0.32479999999999998</v>
      </c>
      <c r="Y194" s="12">
        <f>IF(Tableau2[[#This Row],[sdom]]="2OUEST",1,0)</f>
        <v>0</v>
      </c>
      <c r="Z194" s="12">
        <f>VLOOKUP(Tableau2[[#This Row],[essence]],Tableau5[],10,FALSE)</f>
        <v>0.62949999999999995</v>
      </c>
      <c r="AA194" s="12">
        <f>IF(Tableau2[[#This Row],[sdom]]="3EST",1,0)</f>
        <v>0</v>
      </c>
      <c r="AB194" s="12">
        <f>VLOOKUP(Tableau2[[#This Row],[essence]],Tableau5[],11,FALSE)</f>
        <v>0.56679999999999997</v>
      </c>
      <c r="AC194" s="12">
        <f>IF(Tableau2[[#This Row],[sdom]]="3OUEST",1,0)</f>
        <v>0</v>
      </c>
      <c r="AD194" s="12">
        <f>VLOOKUP(Tableau2[[#This Row],[essence]],Tableau5[],12,FALSE)</f>
        <v>0.21729999999999999</v>
      </c>
      <c r="AE194" s="12">
        <f>IF(Tableau2[[#This Row],[sdom]]="4EST",1,0)</f>
        <v>0</v>
      </c>
      <c r="AF194" s="12">
        <f>VLOOKUP(Tableau2[[#This Row],[essence]],Tableau5[],13,FALSE)</f>
        <v>0.39939999999999998</v>
      </c>
      <c r="AG194" s="12">
        <f>IF(Tableau2[[#This Row],[sdom]]="4OUEST",1,0)</f>
        <v>0</v>
      </c>
      <c r="AH194" s="12">
        <f>VLOOKUP(Tableau2[[#This Row],[essence]],Tableau5[],14,FALSE)</f>
        <v>6.5299999999999997E-2</v>
      </c>
      <c r="AI194" s="12">
        <f>IF(Tableau2[[#This Row],[sdom]]="5EST",1,0)</f>
        <v>0</v>
      </c>
      <c r="AJ194" s="12">
        <f>VLOOKUP(Tableau2[[#This Row],[essence]],Tableau5[],16,FALSE)</f>
        <v>0</v>
      </c>
      <c r="AK194" s="12">
        <f>IF(Tableau2[[#This Row],[sdom]]="5OUEST",1,0)</f>
        <v>1</v>
      </c>
      <c r="AL194" s="12">
        <f>VLOOKUP(Tableau2[[#This Row],[essence]],Tableau5[],17,FALSE)</f>
        <v>0</v>
      </c>
      <c r="AM194" s="12">
        <f>IF(Tableau2[[#This Row],[sdom]]="6EST",1,0)</f>
        <v>0</v>
      </c>
      <c r="AN194" s="12">
        <f>VLOOKUP(Tableau2[[#This Row],[essence]],Tableau5[],19,FALSE)</f>
        <v>0</v>
      </c>
      <c r="AO194" s="12">
        <f>IF(Tableau2[[#This Row],[priorecol]]="C",1,0)</f>
        <v>1</v>
      </c>
      <c r="AP194" s="12">
        <f>VLOOKUP(Tableau2[[#This Row],[essence]],Tableau5[],20,FALSE)</f>
        <v>0</v>
      </c>
      <c r="AQ194" s="12">
        <f>IF(Tableau2[[#This Row],[priorecol]]="R",1,0)</f>
        <v>0</v>
      </c>
      <c r="AR194" s="12">
        <f>VLOOKUP(Tableau2[[#This Row],[essence]],Tableau5[],21,FALSE)</f>
        <v>0</v>
      </c>
      <c r="AS194" s="12">
        <f>IF(Tableau2[[#This Row],[priorecol]]="S",1,0)</f>
        <v>0</v>
      </c>
      <c r="AT194" s="12">
        <f>VLOOKUP(Tableau2[[#This Row],[essence]],Tableau5[],22,FALSE)</f>
        <v>0</v>
      </c>
      <c r="AU194" s="12">
        <f>VLOOKUP(Tableau2[[#This Row],[essence]],Tableau5[],23,FALSE)</f>
        <v>0</v>
      </c>
      <c r="AV194" s="12">
        <f>VLOOKUP(Tableau2[[#This Row],[essence]],Tableau5[],18,FALSE)</f>
        <v>0</v>
      </c>
      <c r="AW19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1.2049999999999998</v>
      </c>
      <c r="AX194" s="12">
        <f>1/(1+EXP(-Tableau2[[#This Row],[xb_c]]))</f>
        <v>0.76941306122874853</v>
      </c>
      <c r="AY194" s="12" t="str">
        <f t="shared" ref="AY194:AY241" si="6">"NA"</f>
        <v>NA</v>
      </c>
      <c r="AZ194" s="12" t="str">
        <f t="shared" ref="AZ194:AZ241" si="7">"NA"</f>
        <v>NA</v>
      </c>
      <c r="BA194" s="12">
        <f>Tableau2[[#This Row],[prob_c]]</f>
        <v>0.76941306122874853</v>
      </c>
      <c r="BB194" s="12">
        <f>1-Tableau2[[#This Row],[prob_c]]</f>
        <v>0.23058693877125147</v>
      </c>
    </row>
    <row r="195" spans="1:54" x14ac:dyDescent="0.25">
      <c r="A195" s="12">
        <v>9</v>
      </c>
      <c r="B195" s="12" t="s">
        <v>17</v>
      </c>
      <c r="C195" s="12">
        <v>0.1</v>
      </c>
      <c r="D195" s="12">
        <v>700</v>
      </c>
      <c r="E195" s="12">
        <v>22</v>
      </c>
      <c r="F195" s="12">
        <v>0</v>
      </c>
      <c r="G195" s="12">
        <v>2</v>
      </c>
      <c r="H195" s="12">
        <v>27</v>
      </c>
      <c r="I195" s="12" t="s">
        <v>19</v>
      </c>
      <c r="J195" s="12" t="s">
        <v>28</v>
      </c>
      <c r="K195" s="12">
        <f>VLOOKUP(Tableau2[[#This Row],[essence]],Tableau5[],2,FALSE)</f>
        <v>-1.806</v>
      </c>
      <c r="L195" s="12">
        <f>VLOOKUP(Tableau2[[#This Row],[essence]],Tableau5[],3,FALSE)</f>
        <v>1.2398</v>
      </c>
      <c r="M195" s="12">
        <f>IF(Tableau2[[#This Row],[priorecol]]="C",1,0)</f>
        <v>0</v>
      </c>
      <c r="N195" s="12">
        <f>VLOOKUP(Tableau2[[#This Row],[essence]],Tableau5[],4,FALSE)</f>
        <v>2.6488</v>
      </c>
      <c r="O195" s="12">
        <f>IF(Tableau2[[#This Row],[priorecol]]="R",1,0)</f>
        <v>1</v>
      </c>
      <c r="P195" s="12">
        <f>VLOOKUP(Tableau2[[#This Row],[essence]],Tableau5[],5,FALSE)</f>
        <v>0.61070000000000002</v>
      </c>
      <c r="Q195" s="12">
        <f>IF(Tableau2[[#This Row],[priorecol]]="S",1,0)</f>
        <v>0</v>
      </c>
      <c r="R195" s="12">
        <f>VLOOKUP(Tableau2[[#This Row],[essence]],Tableau5[],6,FALSE)</f>
        <v>5.67E-2</v>
      </c>
      <c r="S195" s="12">
        <f>VLOOKUP(Tableau2[[#This Row],[essence]],Tableau5[],15,FALSE)</f>
        <v>1.35E-2</v>
      </c>
      <c r="T195" s="12">
        <f>VLOOKUP(Tableau2[[#This Row],[essence]],Tableau5[],7,FALSE)</f>
        <v>0.95779999999999998</v>
      </c>
      <c r="U195" s="12">
        <f>IF(Tableau2[[#This Row],[sdom]]=1,1,0)</f>
        <v>0</v>
      </c>
      <c r="V195" s="12">
        <f>VLOOKUP(Tableau2[[#This Row],[essence]],Tableau5[],8,FALSE)</f>
        <v>0.66500000000000004</v>
      </c>
      <c r="W195" s="12">
        <f>IF(Tableau2[[#This Row],[sdom]]="2EST",1,0)</f>
        <v>0</v>
      </c>
      <c r="X195" s="12">
        <f>VLOOKUP(Tableau2[[#This Row],[essence]],Tableau5[],9,FALSE)</f>
        <v>0.32479999999999998</v>
      </c>
      <c r="Y195" s="12">
        <f>IF(Tableau2[[#This Row],[sdom]]="2OUEST",1,0)</f>
        <v>0</v>
      </c>
      <c r="Z195" s="12">
        <f>VLOOKUP(Tableau2[[#This Row],[essence]],Tableau5[],10,FALSE)</f>
        <v>0.62949999999999995</v>
      </c>
      <c r="AA195" s="12">
        <f>IF(Tableau2[[#This Row],[sdom]]="3EST",1,0)</f>
        <v>0</v>
      </c>
      <c r="AB195" s="12">
        <f>VLOOKUP(Tableau2[[#This Row],[essence]],Tableau5[],11,FALSE)</f>
        <v>0.56679999999999997</v>
      </c>
      <c r="AC195" s="12">
        <f>IF(Tableau2[[#This Row],[sdom]]="3OUEST",1,0)</f>
        <v>0</v>
      </c>
      <c r="AD195" s="12">
        <f>VLOOKUP(Tableau2[[#This Row],[essence]],Tableau5[],12,FALSE)</f>
        <v>0.21729999999999999</v>
      </c>
      <c r="AE195" s="12">
        <f>IF(Tableau2[[#This Row],[sdom]]="4EST",1,0)</f>
        <v>0</v>
      </c>
      <c r="AF195" s="12">
        <f>VLOOKUP(Tableau2[[#This Row],[essence]],Tableau5[],13,FALSE)</f>
        <v>0.39939999999999998</v>
      </c>
      <c r="AG195" s="12">
        <f>IF(Tableau2[[#This Row],[sdom]]="4OUEST",1,0)</f>
        <v>0</v>
      </c>
      <c r="AH195" s="12">
        <f>VLOOKUP(Tableau2[[#This Row],[essence]],Tableau5[],14,FALSE)</f>
        <v>6.5299999999999997E-2</v>
      </c>
      <c r="AI195" s="12">
        <f>IF(Tableau2[[#This Row],[sdom]]="5EST",1,0)</f>
        <v>0</v>
      </c>
      <c r="AJ195" s="12">
        <f>VLOOKUP(Tableau2[[#This Row],[essence]],Tableau5[],16,FALSE)</f>
        <v>0</v>
      </c>
      <c r="AK195" s="12">
        <f>IF(Tableau2[[#This Row],[sdom]]="5OUEST",1,0)</f>
        <v>1</v>
      </c>
      <c r="AL195" s="12">
        <f>VLOOKUP(Tableau2[[#This Row],[essence]],Tableau5[],17,FALSE)</f>
        <v>0</v>
      </c>
      <c r="AM195" s="12">
        <f>IF(Tableau2[[#This Row],[sdom]]="6EST",1,0)</f>
        <v>0</v>
      </c>
      <c r="AN195" s="12">
        <f>VLOOKUP(Tableau2[[#This Row],[essence]],Tableau5[],19,FALSE)</f>
        <v>0</v>
      </c>
      <c r="AO195" s="12">
        <f>IF(Tableau2[[#This Row],[priorecol]]="C",1,0)</f>
        <v>0</v>
      </c>
      <c r="AP195" s="12">
        <f>VLOOKUP(Tableau2[[#This Row],[essence]],Tableau5[],20,FALSE)</f>
        <v>0</v>
      </c>
      <c r="AQ195" s="12">
        <f>IF(Tableau2[[#This Row],[priorecol]]="R",1,0)</f>
        <v>1</v>
      </c>
      <c r="AR195" s="12">
        <f>VLOOKUP(Tableau2[[#This Row],[essence]],Tableau5[],21,FALSE)</f>
        <v>0</v>
      </c>
      <c r="AS195" s="12">
        <f>IF(Tableau2[[#This Row],[priorecol]]="S",1,0)</f>
        <v>0</v>
      </c>
      <c r="AT195" s="12">
        <f>VLOOKUP(Tableau2[[#This Row],[essence]],Tableau5[],22,FALSE)</f>
        <v>0</v>
      </c>
      <c r="AU195" s="12">
        <f>VLOOKUP(Tableau2[[#This Row],[essence]],Tableau5[],23,FALSE)</f>
        <v>0</v>
      </c>
      <c r="AV195" s="12">
        <f>VLOOKUP(Tableau2[[#This Row],[essence]],Tableau5[],18,FALSE)</f>
        <v>0</v>
      </c>
      <c r="AW19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2.6707000000000001</v>
      </c>
      <c r="AX195" s="12">
        <f>1/(1+EXP(-Tableau2[[#This Row],[xb_c]]))</f>
        <v>0.93527541902340494</v>
      </c>
      <c r="AY195" s="12" t="str">
        <f t="shared" si="6"/>
        <v>NA</v>
      </c>
      <c r="AZ195" s="12" t="str">
        <f t="shared" si="7"/>
        <v>NA</v>
      </c>
      <c r="BA195" s="12">
        <f>Tableau2[[#This Row],[prob_c]]</f>
        <v>0.93527541902340494</v>
      </c>
      <c r="BB195" s="12">
        <f>1-Tableau2[[#This Row],[prob_c]]</f>
        <v>6.4724580976595059E-2</v>
      </c>
    </row>
    <row r="196" spans="1:54" x14ac:dyDescent="0.25">
      <c r="A196" s="12">
        <v>9</v>
      </c>
      <c r="B196" s="12" t="s">
        <v>17</v>
      </c>
      <c r="C196" s="12">
        <v>0.1</v>
      </c>
      <c r="D196" s="12">
        <v>700</v>
      </c>
      <c r="E196" s="12">
        <v>22</v>
      </c>
      <c r="F196" s="12">
        <v>0</v>
      </c>
      <c r="G196" s="12">
        <v>3</v>
      </c>
      <c r="H196" s="12">
        <v>28</v>
      </c>
      <c r="I196" s="12" t="s">
        <v>19</v>
      </c>
      <c r="J196" s="12" t="s">
        <v>29</v>
      </c>
      <c r="K196" s="12">
        <f>VLOOKUP(Tableau2[[#This Row],[essence]],Tableau5[],2,FALSE)</f>
        <v>-1.806</v>
      </c>
      <c r="L196" s="12">
        <f>VLOOKUP(Tableau2[[#This Row],[essence]],Tableau5[],3,FALSE)</f>
        <v>1.2398</v>
      </c>
      <c r="M196" s="12">
        <f>IF(Tableau2[[#This Row],[priorecol]]="C",1,0)</f>
        <v>0</v>
      </c>
      <c r="N196" s="12">
        <f>VLOOKUP(Tableau2[[#This Row],[essence]],Tableau5[],4,FALSE)</f>
        <v>2.6488</v>
      </c>
      <c r="O196" s="12">
        <f>IF(Tableau2[[#This Row],[priorecol]]="R",1,0)</f>
        <v>0</v>
      </c>
      <c r="P196" s="12">
        <f>VLOOKUP(Tableau2[[#This Row],[essence]],Tableau5[],5,FALSE)</f>
        <v>0.61070000000000002</v>
      </c>
      <c r="Q196" s="12">
        <f>IF(Tableau2[[#This Row],[priorecol]]="S",1,0)</f>
        <v>1</v>
      </c>
      <c r="R196" s="12">
        <f>VLOOKUP(Tableau2[[#This Row],[essence]],Tableau5[],6,FALSE)</f>
        <v>5.67E-2</v>
      </c>
      <c r="S196" s="12">
        <f>VLOOKUP(Tableau2[[#This Row],[essence]],Tableau5[],15,FALSE)</f>
        <v>1.35E-2</v>
      </c>
      <c r="T196" s="12">
        <f>VLOOKUP(Tableau2[[#This Row],[essence]],Tableau5[],7,FALSE)</f>
        <v>0.95779999999999998</v>
      </c>
      <c r="U196" s="12">
        <f>IF(Tableau2[[#This Row],[sdom]]=1,1,0)</f>
        <v>0</v>
      </c>
      <c r="V196" s="12">
        <f>VLOOKUP(Tableau2[[#This Row],[essence]],Tableau5[],8,FALSE)</f>
        <v>0.66500000000000004</v>
      </c>
      <c r="W196" s="12">
        <f>IF(Tableau2[[#This Row],[sdom]]="2EST",1,0)</f>
        <v>0</v>
      </c>
      <c r="X196" s="12">
        <f>VLOOKUP(Tableau2[[#This Row],[essence]],Tableau5[],9,FALSE)</f>
        <v>0.32479999999999998</v>
      </c>
      <c r="Y196" s="12">
        <f>IF(Tableau2[[#This Row],[sdom]]="2OUEST",1,0)</f>
        <v>0</v>
      </c>
      <c r="Z196" s="12">
        <f>VLOOKUP(Tableau2[[#This Row],[essence]],Tableau5[],10,FALSE)</f>
        <v>0.62949999999999995</v>
      </c>
      <c r="AA196" s="12">
        <f>IF(Tableau2[[#This Row],[sdom]]="3EST",1,0)</f>
        <v>0</v>
      </c>
      <c r="AB196" s="12">
        <f>VLOOKUP(Tableau2[[#This Row],[essence]],Tableau5[],11,FALSE)</f>
        <v>0.56679999999999997</v>
      </c>
      <c r="AC196" s="12">
        <f>IF(Tableau2[[#This Row],[sdom]]="3OUEST",1,0)</f>
        <v>0</v>
      </c>
      <c r="AD196" s="12">
        <f>VLOOKUP(Tableau2[[#This Row],[essence]],Tableau5[],12,FALSE)</f>
        <v>0.21729999999999999</v>
      </c>
      <c r="AE196" s="12">
        <f>IF(Tableau2[[#This Row],[sdom]]="4EST",1,0)</f>
        <v>0</v>
      </c>
      <c r="AF196" s="12">
        <f>VLOOKUP(Tableau2[[#This Row],[essence]],Tableau5[],13,FALSE)</f>
        <v>0.39939999999999998</v>
      </c>
      <c r="AG196" s="12">
        <f>IF(Tableau2[[#This Row],[sdom]]="4OUEST",1,0)</f>
        <v>0</v>
      </c>
      <c r="AH196" s="12">
        <f>VLOOKUP(Tableau2[[#This Row],[essence]],Tableau5[],14,FALSE)</f>
        <v>6.5299999999999997E-2</v>
      </c>
      <c r="AI196" s="12">
        <f>IF(Tableau2[[#This Row],[sdom]]="5EST",1,0)</f>
        <v>0</v>
      </c>
      <c r="AJ196" s="12">
        <f>VLOOKUP(Tableau2[[#This Row],[essence]],Tableau5[],16,FALSE)</f>
        <v>0</v>
      </c>
      <c r="AK196" s="12">
        <f>IF(Tableau2[[#This Row],[sdom]]="5OUEST",1,0)</f>
        <v>1</v>
      </c>
      <c r="AL196" s="12">
        <f>VLOOKUP(Tableau2[[#This Row],[essence]],Tableau5[],17,FALSE)</f>
        <v>0</v>
      </c>
      <c r="AM196" s="12">
        <f>IF(Tableau2[[#This Row],[sdom]]="6EST",1,0)</f>
        <v>0</v>
      </c>
      <c r="AN196" s="12">
        <f>VLOOKUP(Tableau2[[#This Row],[essence]],Tableau5[],19,FALSE)</f>
        <v>0</v>
      </c>
      <c r="AO196" s="12">
        <f>IF(Tableau2[[#This Row],[priorecol]]="C",1,0)</f>
        <v>0</v>
      </c>
      <c r="AP196" s="12">
        <f>VLOOKUP(Tableau2[[#This Row],[essence]],Tableau5[],20,FALSE)</f>
        <v>0</v>
      </c>
      <c r="AQ196" s="12">
        <f>IF(Tableau2[[#This Row],[priorecol]]="R",1,0)</f>
        <v>0</v>
      </c>
      <c r="AR196" s="12">
        <f>VLOOKUP(Tableau2[[#This Row],[essence]],Tableau5[],21,FALSE)</f>
        <v>0</v>
      </c>
      <c r="AS196" s="12">
        <f>IF(Tableau2[[#This Row],[priorecol]]="S",1,0)</f>
        <v>1</v>
      </c>
      <c r="AT196" s="12">
        <f>VLOOKUP(Tableau2[[#This Row],[essence]],Tableau5[],22,FALSE)</f>
        <v>0</v>
      </c>
      <c r="AU196" s="12">
        <f>VLOOKUP(Tableau2[[#This Row],[essence]],Tableau5[],23,FALSE)</f>
        <v>0</v>
      </c>
      <c r="AV196" s="12">
        <f>VLOOKUP(Tableau2[[#This Row],[essence]],Tableau5[],18,FALSE)</f>
        <v>0</v>
      </c>
      <c r="AW19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0.68930000000000002</v>
      </c>
      <c r="AX196" s="12">
        <f>1/(1+EXP(-Tableau2[[#This Row],[xb_c]]))</f>
        <v>0.66581119017973811</v>
      </c>
      <c r="AY196" s="12" t="str">
        <f t="shared" si="6"/>
        <v>NA</v>
      </c>
      <c r="AZ196" s="12" t="str">
        <f t="shared" si="7"/>
        <v>NA</v>
      </c>
      <c r="BA196" s="12">
        <f>Tableau2[[#This Row],[prob_c]]</f>
        <v>0.66581119017973811</v>
      </c>
      <c r="BB196" s="12">
        <f>1-Tableau2[[#This Row],[prob_c]]</f>
        <v>0.33418880982026189</v>
      </c>
    </row>
    <row r="197" spans="1:54" x14ac:dyDescent="0.25">
      <c r="A197" s="12">
        <v>9</v>
      </c>
      <c r="B197" s="12" t="s">
        <v>17</v>
      </c>
      <c r="C197" s="12">
        <v>0.1</v>
      </c>
      <c r="D197" s="12">
        <v>700</v>
      </c>
      <c r="E197" s="12">
        <v>22</v>
      </c>
      <c r="F197" s="12">
        <v>0</v>
      </c>
      <c r="G197" s="12">
        <v>4</v>
      </c>
      <c r="H197" s="12">
        <v>29</v>
      </c>
      <c r="I197" s="12" t="s">
        <v>20</v>
      </c>
      <c r="J197" s="12" t="s">
        <v>27</v>
      </c>
      <c r="K197" s="12">
        <f>VLOOKUP(Tableau2[[#This Row],[essence]],Tableau5[],2,FALSE)</f>
        <v>0.69510000000000005</v>
      </c>
      <c r="L197" s="12">
        <f>VLOOKUP(Tableau2[[#This Row],[essence]],Tableau5[],3,FALSE)</f>
        <v>-0.51849999999999996</v>
      </c>
      <c r="M197" s="12">
        <f>IF(Tableau2[[#This Row],[priorecol]]="C",1,0)</f>
        <v>1</v>
      </c>
      <c r="N197" s="12">
        <f>VLOOKUP(Tableau2[[#This Row],[essence]],Tableau5[],4,FALSE)</f>
        <v>0.52129999999999999</v>
      </c>
      <c r="O197" s="12">
        <f>IF(Tableau2[[#This Row],[priorecol]]="R",1,0)</f>
        <v>0</v>
      </c>
      <c r="P197" s="12">
        <f>VLOOKUP(Tableau2[[#This Row],[essence]],Tableau5[],5,FALSE)</f>
        <v>-0.37890000000000001</v>
      </c>
      <c r="Q197" s="12">
        <f>IF(Tableau2[[#This Row],[priorecol]]="S",1,0)</f>
        <v>0</v>
      </c>
      <c r="R197" s="12">
        <f>VLOOKUP(Tableau2[[#This Row],[essence]],Tableau5[],6,FALSE)</f>
        <v>-5.5999999999999995E-4</v>
      </c>
      <c r="S197" s="12">
        <f>VLOOKUP(Tableau2[[#This Row],[essence]],Tableau5[],15,FALSE)</f>
        <v>1.52E-2</v>
      </c>
      <c r="T197" s="12">
        <f>VLOOKUP(Tableau2[[#This Row],[essence]],Tableau5[],7,FALSE)</f>
        <v>0</v>
      </c>
      <c r="U197" s="12">
        <f>IF(Tableau2[[#This Row],[sdom]]=1,1,0)</f>
        <v>0</v>
      </c>
      <c r="V197" s="12">
        <f>VLOOKUP(Tableau2[[#This Row],[essence]],Tableau5[],8,FALSE)</f>
        <v>-8.7900000000000006E-2</v>
      </c>
      <c r="W197" s="12">
        <f>IF(Tableau2[[#This Row],[sdom]]="2EST",1,0)</f>
        <v>0</v>
      </c>
      <c r="X197" s="12">
        <f>VLOOKUP(Tableau2[[#This Row],[essence]],Tableau5[],9,FALSE)</f>
        <v>0.42620000000000002</v>
      </c>
      <c r="Y197" s="12">
        <f>IF(Tableau2[[#This Row],[sdom]]="2OUEST",1,0)</f>
        <v>0</v>
      </c>
      <c r="Z197" s="12">
        <f>VLOOKUP(Tableau2[[#This Row],[essence]],Tableau5[],10,FALSE)</f>
        <v>0.54149999999999998</v>
      </c>
      <c r="AA197" s="12">
        <f>IF(Tableau2[[#This Row],[sdom]]="3EST",1,0)</f>
        <v>0</v>
      </c>
      <c r="AB197" s="12">
        <f>VLOOKUP(Tableau2[[#This Row],[essence]],Tableau5[],11,FALSE)</f>
        <v>0.50339999999999996</v>
      </c>
      <c r="AC197" s="12">
        <f>IF(Tableau2[[#This Row],[sdom]]="3OUEST",1,0)</f>
        <v>0</v>
      </c>
      <c r="AD197" s="12">
        <f>VLOOKUP(Tableau2[[#This Row],[essence]],Tableau5[],12,FALSE)</f>
        <v>-3.0599999999999999E-2</v>
      </c>
      <c r="AE197" s="12">
        <f>IF(Tableau2[[#This Row],[sdom]]="4EST",1,0)</f>
        <v>0</v>
      </c>
      <c r="AF197" s="12">
        <f>VLOOKUP(Tableau2[[#This Row],[essence]],Tableau5[],13,FALSE)</f>
        <v>0.1583</v>
      </c>
      <c r="AG197" s="12">
        <f>IF(Tableau2[[#This Row],[sdom]]="4OUEST",1,0)</f>
        <v>0</v>
      </c>
      <c r="AH197" s="12">
        <f>VLOOKUP(Tableau2[[#This Row],[essence]],Tableau5[],14,FALSE)</f>
        <v>3.9800000000000002E-2</v>
      </c>
      <c r="AI197" s="12">
        <f>IF(Tableau2[[#This Row],[sdom]]="5EST",1,0)</f>
        <v>0</v>
      </c>
      <c r="AJ197" s="12">
        <f>VLOOKUP(Tableau2[[#This Row],[essence]],Tableau5[],16,FALSE)</f>
        <v>0.13650000000000001</v>
      </c>
      <c r="AK197" s="12">
        <f>IF(Tableau2[[#This Row],[sdom]]="5OUEST",1,0)</f>
        <v>1</v>
      </c>
      <c r="AL197" s="12">
        <f>VLOOKUP(Tableau2[[#This Row],[essence]],Tableau5[],17,FALSE)</f>
        <v>-0.39140000000000003</v>
      </c>
      <c r="AM197" s="12">
        <f>IF(Tableau2[[#This Row],[sdom]]="6EST",1,0)</f>
        <v>0</v>
      </c>
      <c r="AN197" s="12">
        <f>VLOOKUP(Tableau2[[#This Row],[essence]],Tableau5[],19,FALSE)</f>
        <v>5.8000000000000003E-2</v>
      </c>
      <c r="AO197" s="12">
        <f>IF(Tableau2[[#This Row],[priorecol]]="C",1,0)</f>
        <v>1</v>
      </c>
      <c r="AP197" s="12">
        <f>VLOOKUP(Tableau2[[#This Row],[essence]],Tableau5[],20,FALSE)</f>
        <v>4.7500000000000001E-2</v>
      </c>
      <c r="AQ197" s="12">
        <f>IF(Tableau2[[#This Row],[priorecol]]="R",1,0)</f>
        <v>0</v>
      </c>
      <c r="AR197" s="12">
        <f>VLOOKUP(Tableau2[[#This Row],[essence]],Tableau5[],21,FALSE)</f>
        <v>4.87E-2</v>
      </c>
      <c r="AS197" s="12">
        <f>IF(Tableau2[[#This Row],[priorecol]]="S",1,0)</f>
        <v>0</v>
      </c>
      <c r="AT197" s="12">
        <f>VLOOKUP(Tableau2[[#This Row],[essence]],Tableau5[],22,FALSE)</f>
        <v>0</v>
      </c>
      <c r="AU197" s="12">
        <f>VLOOKUP(Tableau2[[#This Row],[essence]],Tableau5[],23,FALSE)</f>
        <v>0</v>
      </c>
      <c r="AV197" s="12">
        <f>VLOOKUP(Tableau2[[#This Row],[essence]],Tableau5[],18,FALSE)</f>
        <v>-0.112</v>
      </c>
      <c r="AW19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2.3020600000000004</v>
      </c>
      <c r="AX197" s="12">
        <f>1/(1+EXP(-Tableau2[[#This Row],[xb_c]]))</f>
        <v>0.90904750365274034</v>
      </c>
      <c r="AY197" s="12" t="str">
        <f t="shared" si="6"/>
        <v>NA</v>
      </c>
      <c r="AZ197" s="12" t="str">
        <f t="shared" si="7"/>
        <v>NA</v>
      </c>
      <c r="BA197" s="12">
        <f>Tableau2[[#This Row],[prob_c]]</f>
        <v>0.90904750365274034</v>
      </c>
      <c r="BB197" s="12">
        <f>1-Tableau2[[#This Row],[prob_c]]</f>
        <v>9.0952496347259659E-2</v>
      </c>
    </row>
    <row r="198" spans="1:54" x14ac:dyDescent="0.25">
      <c r="A198" s="12">
        <v>9</v>
      </c>
      <c r="B198" s="12" t="s">
        <v>17</v>
      </c>
      <c r="C198" s="12">
        <v>0.1</v>
      </c>
      <c r="D198" s="12">
        <v>700</v>
      </c>
      <c r="E198" s="12">
        <v>22</v>
      </c>
      <c r="F198" s="12">
        <v>0</v>
      </c>
      <c r="G198" s="12">
        <v>5</v>
      </c>
      <c r="H198" s="12">
        <v>30</v>
      </c>
      <c r="I198" s="12" t="s">
        <v>20</v>
      </c>
      <c r="J198" s="12" t="s">
        <v>28</v>
      </c>
      <c r="K198" s="12">
        <f>VLOOKUP(Tableau2[[#This Row],[essence]],Tableau5[],2,FALSE)</f>
        <v>0.69510000000000005</v>
      </c>
      <c r="L198" s="12">
        <f>VLOOKUP(Tableau2[[#This Row],[essence]],Tableau5[],3,FALSE)</f>
        <v>-0.51849999999999996</v>
      </c>
      <c r="M198" s="12">
        <f>IF(Tableau2[[#This Row],[priorecol]]="C",1,0)</f>
        <v>0</v>
      </c>
      <c r="N198" s="12">
        <f>VLOOKUP(Tableau2[[#This Row],[essence]],Tableau5[],4,FALSE)</f>
        <v>0.52129999999999999</v>
      </c>
      <c r="O198" s="12">
        <f>IF(Tableau2[[#This Row],[priorecol]]="R",1,0)</f>
        <v>1</v>
      </c>
      <c r="P198" s="12">
        <f>VLOOKUP(Tableau2[[#This Row],[essence]],Tableau5[],5,FALSE)</f>
        <v>-0.37890000000000001</v>
      </c>
      <c r="Q198" s="12">
        <f>IF(Tableau2[[#This Row],[priorecol]]="S",1,0)</f>
        <v>0</v>
      </c>
      <c r="R198" s="12">
        <f>VLOOKUP(Tableau2[[#This Row],[essence]],Tableau5[],6,FALSE)</f>
        <v>-5.5999999999999995E-4</v>
      </c>
      <c r="S198" s="12">
        <f>VLOOKUP(Tableau2[[#This Row],[essence]],Tableau5[],15,FALSE)</f>
        <v>1.52E-2</v>
      </c>
      <c r="T198" s="12">
        <f>VLOOKUP(Tableau2[[#This Row],[essence]],Tableau5[],7,FALSE)</f>
        <v>0</v>
      </c>
      <c r="U198" s="12">
        <f>IF(Tableau2[[#This Row],[sdom]]=1,1,0)</f>
        <v>0</v>
      </c>
      <c r="V198" s="12">
        <f>VLOOKUP(Tableau2[[#This Row],[essence]],Tableau5[],8,FALSE)</f>
        <v>-8.7900000000000006E-2</v>
      </c>
      <c r="W198" s="12">
        <f>IF(Tableau2[[#This Row],[sdom]]="2EST",1,0)</f>
        <v>0</v>
      </c>
      <c r="X198" s="12">
        <f>VLOOKUP(Tableau2[[#This Row],[essence]],Tableau5[],9,FALSE)</f>
        <v>0.42620000000000002</v>
      </c>
      <c r="Y198" s="12">
        <f>IF(Tableau2[[#This Row],[sdom]]="2OUEST",1,0)</f>
        <v>0</v>
      </c>
      <c r="Z198" s="12">
        <f>VLOOKUP(Tableau2[[#This Row],[essence]],Tableau5[],10,FALSE)</f>
        <v>0.54149999999999998</v>
      </c>
      <c r="AA198" s="12">
        <f>IF(Tableau2[[#This Row],[sdom]]="3EST",1,0)</f>
        <v>0</v>
      </c>
      <c r="AB198" s="12">
        <f>VLOOKUP(Tableau2[[#This Row],[essence]],Tableau5[],11,FALSE)</f>
        <v>0.50339999999999996</v>
      </c>
      <c r="AC198" s="12">
        <f>IF(Tableau2[[#This Row],[sdom]]="3OUEST",1,0)</f>
        <v>0</v>
      </c>
      <c r="AD198" s="12">
        <f>VLOOKUP(Tableau2[[#This Row],[essence]],Tableau5[],12,FALSE)</f>
        <v>-3.0599999999999999E-2</v>
      </c>
      <c r="AE198" s="12">
        <f>IF(Tableau2[[#This Row],[sdom]]="4EST",1,0)</f>
        <v>0</v>
      </c>
      <c r="AF198" s="12">
        <f>VLOOKUP(Tableau2[[#This Row],[essence]],Tableau5[],13,FALSE)</f>
        <v>0.1583</v>
      </c>
      <c r="AG198" s="12">
        <f>IF(Tableau2[[#This Row],[sdom]]="4OUEST",1,0)</f>
        <v>0</v>
      </c>
      <c r="AH198" s="12">
        <f>VLOOKUP(Tableau2[[#This Row],[essence]],Tableau5[],14,FALSE)</f>
        <v>3.9800000000000002E-2</v>
      </c>
      <c r="AI198" s="12">
        <f>IF(Tableau2[[#This Row],[sdom]]="5EST",1,0)</f>
        <v>0</v>
      </c>
      <c r="AJ198" s="12">
        <f>VLOOKUP(Tableau2[[#This Row],[essence]],Tableau5[],16,FALSE)</f>
        <v>0.13650000000000001</v>
      </c>
      <c r="AK198" s="12">
        <f>IF(Tableau2[[#This Row],[sdom]]="5OUEST",1,0)</f>
        <v>1</v>
      </c>
      <c r="AL198" s="12">
        <f>VLOOKUP(Tableau2[[#This Row],[essence]],Tableau5[],17,FALSE)</f>
        <v>-0.39140000000000003</v>
      </c>
      <c r="AM198" s="12">
        <f>IF(Tableau2[[#This Row],[sdom]]="6EST",1,0)</f>
        <v>0</v>
      </c>
      <c r="AN198" s="12">
        <f>VLOOKUP(Tableau2[[#This Row],[essence]],Tableau5[],19,FALSE)</f>
        <v>5.8000000000000003E-2</v>
      </c>
      <c r="AO198" s="12">
        <f>IF(Tableau2[[#This Row],[priorecol]]="C",1,0)</f>
        <v>0</v>
      </c>
      <c r="AP198" s="12">
        <f>VLOOKUP(Tableau2[[#This Row],[essence]],Tableau5[],20,FALSE)</f>
        <v>4.7500000000000001E-2</v>
      </c>
      <c r="AQ198" s="12">
        <f>IF(Tableau2[[#This Row],[priorecol]]="R",1,0)</f>
        <v>1</v>
      </c>
      <c r="AR198" s="12">
        <f>VLOOKUP(Tableau2[[#This Row],[essence]],Tableau5[],21,FALSE)</f>
        <v>4.87E-2</v>
      </c>
      <c r="AS198" s="12">
        <f>IF(Tableau2[[#This Row],[priorecol]]="S",1,0)</f>
        <v>0</v>
      </c>
      <c r="AT198" s="12">
        <f>VLOOKUP(Tableau2[[#This Row],[essence]],Tableau5[],22,FALSE)</f>
        <v>0</v>
      </c>
      <c r="AU198" s="12">
        <f>VLOOKUP(Tableau2[[#This Row],[essence]],Tableau5[],23,FALSE)</f>
        <v>0</v>
      </c>
      <c r="AV198" s="12">
        <f>VLOOKUP(Tableau2[[#This Row],[essence]],Tableau5[],18,FALSE)</f>
        <v>-0.112</v>
      </c>
      <c r="AW19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3.0843000000000003</v>
      </c>
      <c r="AX198" s="12">
        <f>1/(1+EXP(-Tableau2[[#This Row],[xb_c]]))</f>
        <v>0.95624046994040668</v>
      </c>
      <c r="AY198" s="12" t="str">
        <f t="shared" si="6"/>
        <v>NA</v>
      </c>
      <c r="AZ198" s="12" t="str">
        <f t="shared" si="7"/>
        <v>NA</v>
      </c>
      <c r="BA198" s="12">
        <f>Tableau2[[#This Row],[prob_c]]</f>
        <v>0.95624046994040668</v>
      </c>
      <c r="BB198" s="12">
        <f>1-Tableau2[[#This Row],[prob_c]]</f>
        <v>4.3759530059593321E-2</v>
      </c>
    </row>
    <row r="199" spans="1:54" x14ac:dyDescent="0.25">
      <c r="A199" s="12">
        <v>9</v>
      </c>
      <c r="B199" s="12" t="s">
        <v>17</v>
      </c>
      <c r="C199" s="12">
        <v>0.1</v>
      </c>
      <c r="D199" s="12">
        <v>700</v>
      </c>
      <c r="E199" s="12">
        <v>22</v>
      </c>
      <c r="F199" s="12">
        <v>0</v>
      </c>
      <c r="G199" s="12">
        <v>6</v>
      </c>
      <c r="H199" s="12">
        <v>31</v>
      </c>
      <c r="I199" s="12" t="s">
        <v>20</v>
      </c>
      <c r="J199" s="12" t="s">
        <v>29</v>
      </c>
      <c r="K199" s="12">
        <f>VLOOKUP(Tableau2[[#This Row],[essence]],Tableau5[],2,FALSE)</f>
        <v>0.69510000000000005</v>
      </c>
      <c r="L199" s="12">
        <f>VLOOKUP(Tableau2[[#This Row],[essence]],Tableau5[],3,FALSE)</f>
        <v>-0.51849999999999996</v>
      </c>
      <c r="M199" s="12">
        <f>IF(Tableau2[[#This Row],[priorecol]]="C",1,0)</f>
        <v>0</v>
      </c>
      <c r="N199" s="12">
        <f>VLOOKUP(Tableau2[[#This Row],[essence]],Tableau5[],4,FALSE)</f>
        <v>0.52129999999999999</v>
      </c>
      <c r="O199" s="12">
        <f>IF(Tableau2[[#This Row],[priorecol]]="R",1,0)</f>
        <v>0</v>
      </c>
      <c r="P199" s="12">
        <f>VLOOKUP(Tableau2[[#This Row],[essence]],Tableau5[],5,FALSE)</f>
        <v>-0.37890000000000001</v>
      </c>
      <c r="Q199" s="12">
        <f>IF(Tableau2[[#This Row],[priorecol]]="S",1,0)</f>
        <v>1</v>
      </c>
      <c r="R199" s="12">
        <f>VLOOKUP(Tableau2[[#This Row],[essence]],Tableau5[],6,FALSE)</f>
        <v>-5.5999999999999995E-4</v>
      </c>
      <c r="S199" s="12">
        <f>VLOOKUP(Tableau2[[#This Row],[essence]],Tableau5[],15,FALSE)</f>
        <v>1.52E-2</v>
      </c>
      <c r="T199" s="12">
        <f>VLOOKUP(Tableau2[[#This Row],[essence]],Tableau5[],7,FALSE)</f>
        <v>0</v>
      </c>
      <c r="U199" s="12">
        <f>IF(Tableau2[[#This Row],[sdom]]=1,1,0)</f>
        <v>0</v>
      </c>
      <c r="V199" s="12">
        <f>VLOOKUP(Tableau2[[#This Row],[essence]],Tableau5[],8,FALSE)</f>
        <v>-8.7900000000000006E-2</v>
      </c>
      <c r="W199" s="12">
        <f>IF(Tableau2[[#This Row],[sdom]]="2EST",1,0)</f>
        <v>0</v>
      </c>
      <c r="X199" s="12">
        <f>VLOOKUP(Tableau2[[#This Row],[essence]],Tableau5[],9,FALSE)</f>
        <v>0.42620000000000002</v>
      </c>
      <c r="Y199" s="12">
        <f>IF(Tableau2[[#This Row],[sdom]]="2OUEST",1,0)</f>
        <v>0</v>
      </c>
      <c r="Z199" s="12">
        <f>VLOOKUP(Tableau2[[#This Row],[essence]],Tableau5[],10,FALSE)</f>
        <v>0.54149999999999998</v>
      </c>
      <c r="AA199" s="12">
        <f>IF(Tableau2[[#This Row],[sdom]]="3EST",1,0)</f>
        <v>0</v>
      </c>
      <c r="AB199" s="12">
        <f>VLOOKUP(Tableau2[[#This Row],[essence]],Tableau5[],11,FALSE)</f>
        <v>0.50339999999999996</v>
      </c>
      <c r="AC199" s="12">
        <f>IF(Tableau2[[#This Row],[sdom]]="3OUEST",1,0)</f>
        <v>0</v>
      </c>
      <c r="AD199" s="12">
        <f>VLOOKUP(Tableau2[[#This Row],[essence]],Tableau5[],12,FALSE)</f>
        <v>-3.0599999999999999E-2</v>
      </c>
      <c r="AE199" s="12">
        <f>IF(Tableau2[[#This Row],[sdom]]="4EST",1,0)</f>
        <v>0</v>
      </c>
      <c r="AF199" s="12">
        <f>VLOOKUP(Tableau2[[#This Row],[essence]],Tableau5[],13,FALSE)</f>
        <v>0.1583</v>
      </c>
      <c r="AG199" s="12">
        <f>IF(Tableau2[[#This Row],[sdom]]="4OUEST",1,0)</f>
        <v>0</v>
      </c>
      <c r="AH199" s="12">
        <f>VLOOKUP(Tableau2[[#This Row],[essence]],Tableau5[],14,FALSE)</f>
        <v>3.9800000000000002E-2</v>
      </c>
      <c r="AI199" s="12">
        <f>IF(Tableau2[[#This Row],[sdom]]="5EST",1,0)</f>
        <v>0</v>
      </c>
      <c r="AJ199" s="12">
        <f>VLOOKUP(Tableau2[[#This Row],[essence]],Tableau5[],16,FALSE)</f>
        <v>0.13650000000000001</v>
      </c>
      <c r="AK199" s="12">
        <f>IF(Tableau2[[#This Row],[sdom]]="5OUEST",1,0)</f>
        <v>1</v>
      </c>
      <c r="AL199" s="12">
        <f>VLOOKUP(Tableau2[[#This Row],[essence]],Tableau5[],17,FALSE)</f>
        <v>-0.39140000000000003</v>
      </c>
      <c r="AM199" s="12">
        <f>IF(Tableau2[[#This Row],[sdom]]="6EST",1,0)</f>
        <v>0</v>
      </c>
      <c r="AN199" s="12">
        <f>VLOOKUP(Tableau2[[#This Row],[essence]],Tableau5[],19,FALSE)</f>
        <v>5.8000000000000003E-2</v>
      </c>
      <c r="AO199" s="12">
        <f>IF(Tableau2[[#This Row],[priorecol]]="C",1,0)</f>
        <v>0</v>
      </c>
      <c r="AP199" s="12">
        <f>VLOOKUP(Tableau2[[#This Row],[essence]],Tableau5[],20,FALSE)</f>
        <v>4.7500000000000001E-2</v>
      </c>
      <c r="AQ199" s="12">
        <f>IF(Tableau2[[#This Row],[priorecol]]="R",1,0)</f>
        <v>0</v>
      </c>
      <c r="AR199" s="12">
        <f>VLOOKUP(Tableau2[[#This Row],[essence]],Tableau5[],21,FALSE)</f>
        <v>4.87E-2</v>
      </c>
      <c r="AS199" s="12">
        <f>IF(Tableau2[[#This Row],[priorecol]]="S",1,0)</f>
        <v>1</v>
      </c>
      <c r="AT199" s="12">
        <f>VLOOKUP(Tableau2[[#This Row],[essence]],Tableau5[],22,FALSE)</f>
        <v>0</v>
      </c>
      <c r="AU199" s="12">
        <f>VLOOKUP(Tableau2[[#This Row],[essence]],Tableau5[],23,FALSE)</f>
        <v>0</v>
      </c>
      <c r="AV199" s="12">
        <f>VLOOKUP(Tableau2[[#This Row],[essence]],Tableau5[],18,FALSE)</f>
        <v>-0.112</v>
      </c>
      <c r="AW19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2.26824</v>
      </c>
      <c r="AX199" s="12">
        <f>1/(1+EXP(-Tableau2[[#This Row],[xb_c]]))</f>
        <v>0.90621230952299314</v>
      </c>
      <c r="AY199" s="12" t="str">
        <f t="shared" si="6"/>
        <v>NA</v>
      </c>
      <c r="AZ199" s="12" t="str">
        <f t="shared" si="7"/>
        <v>NA</v>
      </c>
      <c r="BA199" s="12">
        <f>Tableau2[[#This Row],[prob_c]]</f>
        <v>0.90621230952299314</v>
      </c>
      <c r="BB199" s="12">
        <f>1-Tableau2[[#This Row],[prob_c]]</f>
        <v>9.3787690477006858E-2</v>
      </c>
    </row>
    <row r="200" spans="1:54" x14ac:dyDescent="0.25">
      <c r="A200" s="12">
        <v>9</v>
      </c>
      <c r="B200" s="12" t="s">
        <v>17</v>
      </c>
      <c r="C200" s="12">
        <v>0.1</v>
      </c>
      <c r="D200" s="12">
        <v>700</v>
      </c>
      <c r="E200" s="12">
        <v>22</v>
      </c>
      <c r="F200" s="12">
        <v>0</v>
      </c>
      <c r="G200" s="12">
        <v>7</v>
      </c>
      <c r="H200" s="12">
        <v>32</v>
      </c>
      <c r="I200" s="12" t="s">
        <v>21</v>
      </c>
      <c r="J200" s="12" t="s">
        <v>27</v>
      </c>
      <c r="K200" s="12">
        <f>VLOOKUP(Tableau2[[#This Row],[essence]],Tableau5[],2,FALSE)</f>
        <v>5.0801999999999996</v>
      </c>
      <c r="L200" s="12">
        <f>VLOOKUP(Tableau2[[#This Row],[essence]],Tableau5[],3,FALSE)</f>
        <v>1.7765</v>
      </c>
      <c r="M200" s="12">
        <f>IF(Tableau2[[#This Row],[priorecol]]="C",1,0)</f>
        <v>1</v>
      </c>
      <c r="N200" s="12">
        <f>VLOOKUP(Tableau2[[#This Row],[essence]],Tableau5[],4,FALSE)</f>
        <v>3.3664000000000001</v>
      </c>
      <c r="O200" s="12">
        <f>IF(Tableau2[[#This Row],[priorecol]]="R",1,0)</f>
        <v>0</v>
      </c>
      <c r="P200" s="12">
        <f>VLOOKUP(Tableau2[[#This Row],[essence]],Tableau5[],5,FALSE)</f>
        <v>0.57940000000000003</v>
      </c>
      <c r="Q200" s="12">
        <f>IF(Tableau2[[#This Row],[priorecol]]="S",1,0)</f>
        <v>0</v>
      </c>
      <c r="R200" s="12">
        <f>VLOOKUP(Tableau2[[#This Row],[essence]],Tableau5[],6,FALSE)</f>
        <v>-0.2109</v>
      </c>
      <c r="S200" s="12">
        <f>VLOOKUP(Tableau2[[#This Row],[essence]],Tableau5[],15,FALSE)</f>
        <v>-0.2429</v>
      </c>
      <c r="T200" s="12">
        <f>VLOOKUP(Tableau2[[#This Row],[essence]],Tableau5[],7,FALSE)</f>
        <v>0</v>
      </c>
      <c r="U200" s="12">
        <f>IF(Tableau2[[#This Row],[sdom]]=1,1,0)</f>
        <v>0</v>
      </c>
      <c r="V200" s="12">
        <f>VLOOKUP(Tableau2[[#This Row],[essence]],Tableau5[],8,FALSE)</f>
        <v>0</v>
      </c>
      <c r="W200" s="12">
        <f>IF(Tableau2[[#This Row],[sdom]]="2EST",1,0)</f>
        <v>0</v>
      </c>
      <c r="X200" s="12">
        <f>VLOOKUP(Tableau2[[#This Row],[essence]],Tableau5[],9,FALSE)</f>
        <v>0</v>
      </c>
      <c r="Y200" s="12">
        <f>IF(Tableau2[[#This Row],[sdom]]="2OUEST",1,0)</f>
        <v>0</v>
      </c>
      <c r="Z200" s="12">
        <f>VLOOKUP(Tableau2[[#This Row],[essence]],Tableau5[],10,FALSE)</f>
        <v>0</v>
      </c>
      <c r="AA200" s="12">
        <f>IF(Tableau2[[#This Row],[sdom]]="3EST",1,0)</f>
        <v>0</v>
      </c>
      <c r="AB200" s="12">
        <f>VLOOKUP(Tableau2[[#This Row],[essence]],Tableau5[],11,FALSE)</f>
        <v>0</v>
      </c>
      <c r="AC200" s="12">
        <f>IF(Tableau2[[#This Row],[sdom]]="3OUEST",1,0)</f>
        <v>0</v>
      </c>
      <c r="AD200" s="12">
        <f>VLOOKUP(Tableau2[[#This Row],[essence]],Tableau5[],12,FALSE)</f>
        <v>0</v>
      </c>
      <c r="AE200" s="12">
        <f>IF(Tableau2[[#This Row],[sdom]]="4EST",1,0)</f>
        <v>0</v>
      </c>
      <c r="AF200" s="12">
        <f>VLOOKUP(Tableau2[[#This Row],[essence]],Tableau5[],13,FALSE)</f>
        <v>0</v>
      </c>
      <c r="AG200" s="12">
        <f>IF(Tableau2[[#This Row],[sdom]]="4OUEST",1,0)</f>
        <v>0</v>
      </c>
      <c r="AH200" s="12">
        <f>VLOOKUP(Tableau2[[#This Row],[essence]],Tableau5[],14,FALSE)</f>
        <v>0</v>
      </c>
      <c r="AI200" s="12">
        <f>IF(Tableau2[[#This Row],[sdom]]="5EST",1,0)</f>
        <v>0</v>
      </c>
      <c r="AJ200" s="12">
        <f>VLOOKUP(Tableau2[[#This Row],[essence]],Tableau5[],16,FALSE)</f>
        <v>0</v>
      </c>
      <c r="AK200" s="12">
        <f>IF(Tableau2[[#This Row],[sdom]]="5OUEST",1,0)</f>
        <v>1</v>
      </c>
      <c r="AL200" s="12">
        <f>VLOOKUP(Tableau2[[#This Row],[essence]],Tableau5[],17,FALSE)</f>
        <v>0</v>
      </c>
      <c r="AM200" s="12">
        <f>IF(Tableau2[[#This Row],[sdom]]="6EST",1,0)</f>
        <v>0</v>
      </c>
      <c r="AN200" s="12">
        <f>VLOOKUP(Tableau2[[#This Row],[essence]],Tableau5[],19,FALSE)</f>
        <v>0</v>
      </c>
      <c r="AO200" s="12">
        <f>IF(Tableau2[[#This Row],[priorecol]]="C",1,0)</f>
        <v>1</v>
      </c>
      <c r="AP200" s="12">
        <f>VLOOKUP(Tableau2[[#This Row],[essence]],Tableau5[],20,FALSE)</f>
        <v>0</v>
      </c>
      <c r="AQ200" s="12">
        <f>IF(Tableau2[[#This Row],[priorecol]]="R",1,0)</f>
        <v>0</v>
      </c>
      <c r="AR200" s="12">
        <f>VLOOKUP(Tableau2[[#This Row],[essence]],Tableau5[],21,FALSE)</f>
        <v>0</v>
      </c>
      <c r="AS200" s="12">
        <f>IF(Tableau2[[#This Row],[priorecol]]="S",1,0)</f>
        <v>0</v>
      </c>
      <c r="AT200" s="12">
        <f>VLOOKUP(Tableau2[[#This Row],[essence]],Tableau5[],22,FALSE)</f>
        <v>1.1384000000000001</v>
      </c>
      <c r="AU200" s="12">
        <f>VLOOKUP(Tableau2[[#This Row],[essence]],Tableau5[],23,FALSE)</f>
        <v>1.0699999999999999E-2</v>
      </c>
      <c r="AV200" s="12">
        <f>VLOOKUP(Tableau2[[#This Row],[essence]],Tableau5[],18,FALSE)</f>
        <v>0</v>
      </c>
      <c r="AW20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2.2968999999999999</v>
      </c>
      <c r="AX200" s="12">
        <f>1/(1+EXP(-Tableau2[[#This Row],[xb_c]]))</f>
        <v>0.90861997269698125</v>
      </c>
      <c r="AY200" s="12" t="str">
        <f t="shared" si="6"/>
        <v>NA</v>
      </c>
      <c r="AZ200" s="12" t="str">
        <f t="shared" si="7"/>
        <v>NA</v>
      </c>
      <c r="BA200" s="12">
        <f>Tableau2[[#This Row],[prob_c]]</f>
        <v>0.90861997269698125</v>
      </c>
      <c r="BB200" s="12">
        <f>1-Tableau2[[#This Row],[prob_c]]</f>
        <v>9.1380027303018752E-2</v>
      </c>
    </row>
    <row r="201" spans="1:54" x14ac:dyDescent="0.25">
      <c r="A201" s="12">
        <v>9</v>
      </c>
      <c r="B201" s="12" t="s">
        <v>17</v>
      </c>
      <c r="C201" s="12">
        <v>0.1</v>
      </c>
      <c r="D201" s="12">
        <v>700</v>
      </c>
      <c r="E201" s="12">
        <v>22</v>
      </c>
      <c r="F201" s="12">
        <v>0</v>
      </c>
      <c r="G201" s="12">
        <v>8</v>
      </c>
      <c r="H201" s="12">
        <v>33</v>
      </c>
      <c r="I201" s="12" t="s">
        <v>21</v>
      </c>
      <c r="J201" s="12" t="s">
        <v>28</v>
      </c>
      <c r="K201" s="12">
        <f>VLOOKUP(Tableau2[[#This Row],[essence]],Tableau5[],2,FALSE)</f>
        <v>5.0801999999999996</v>
      </c>
      <c r="L201" s="12">
        <f>VLOOKUP(Tableau2[[#This Row],[essence]],Tableau5[],3,FALSE)</f>
        <v>1.7765</v>
      </c>
      <c r="M201" s="12">
        <f>IF(Tableau2[[#This Row],[priorecol]]="C",1,0)</f>
        <v>0</v>
      </c>
      <c r="N201" s="12">
        <f>VLOOKUP(Tableau2[[#This Row],[essence]],Tableau5[],4,FALSE)</f>
        <v>3.3664000000000001</v>
      </c>
      <c r="O201" s="12">
        <f>IF(Tableau2[[#This Row],[priorecol]]="R",1,0)</f>
        <v>1</v>
      </c>
      <c r="P201" s="12">
        <f>VLOOKUP(Tableau2[[#This Row],[essence]],Tableau5[],5,FALSE)</f>
        <v>0.57940000000000003</v>
      </c>
      <c r="Q201" s="12">
        <f>IF(Tableau2[[#This Row],[priorecol]]="S",1,0)</f>
        <v>0</v>
      </c>
      <c r="R201" s="12">
        <f>VLOOKUP(Tableau2[[#This Row],[essence]],Tableau5[],6,FALSE)</f>
        <v>-0.2109</v>
      </c>
      <c r="S201" s="12">
        <f>VLOOKUP(Tableau2[[#This Row],[essence]],Tableau5[],15,FALSE)</f>
        <v>-0.2429</v>
      </c>
      <c r="T201" s="12">
        <f>VLOOKUP(Tableau2[[#This Row],[essence]],Tableau5[],7,FALSE)</f>
        <v>0</v>
      </c>
      <c r="U201" s="12">
        <f>IF(Tableau2[[#This Row],[sdom]]=1,1,0)</f>
        <v>0</v>
      </c>
      <c r="V201" s="12">
        <f>VLOOKUP(Tableau2[[#This Row],[essence]],Tableau5[],8,FALSE)</f>
        <v>0</v>
      </c>
      <c r="W201" s="12">
        <f>IF(Tableau2[[#This Row],[sdom]]="2EST",1,0)</f>
        <v>0</v>
      </c>
      <c r="X201" s="12">
        <f>VLOOKUP(Tableau2[[#This Row],[essence]],Tableau5[],9,FALSE)</f>
        <v>0</v>
      </c>
      <c r="Y201" s="12">
        <f>IF(Tableau2[[#This Row],[sdom]]="2OUEST",1,0)</f>
        <v>0</v>
      </c>
      <c r="Z201" s="12">
        <f>VLOOKUP(Tableau2[[#This Row],[essence]],Tableau5[],10,FALSE)</f>
        <v>0</v>
      </c>
      <c r="AA201" s="12">
        <f>IF(Tableau2[[#This Row],[sdom]]="3EST",1,0)</f>
        <v>0</v>
      </c>
      <c r="AB201" s="12">
        <f>VLOOKUP(Tableau2[[#This Row],[essence]],Tableau5[],11,FALSE)</f>
        <v>0</v>
      </c>
      <c r="AC201" s="12">
        <f>IF(Tableau2[[#This Row],[sdom]]="3OUEST",1,0)</f>
        <v>0</v>
      </c>
      <c r="AD201" s="12">
        <f>VLOOKUP(Tableau2[[#This Row],[essence]],Tableau5[],12,FALSE)</f>
        <v>0</v>
      </c>
      <c r="AE201" s="12">
        <f>IF(Tableau2[[#This Row],[sdom]]="4EST",1,0)</f>
        <v>0</v>
      </c>
      <c r="AF201" s="12">
        <f>VLOOKUP(Tableau2[[#This Row],[essence]],Tableau5[],13,FALSE)</f>
        <v>0</v>
      </c>
      <c r="AG201" s="12">
        <f>IF(Tableau2[[#This Row],[sdom]]="4OUEST",1,0)</f>
        <v>0</v>
      </c>
      <c r="AH201" s="12">
        <f>VLOOKUP(Tableau2[[#This Row],[essence]],Tableau5[],14,FALSE)</f>
        <v>0</v>
      </c>
      <c r="AI201" s="12">
        <f>IF(Tableau2[[#This Row],[sdom]]="5EST",1,0)</f>
        <v>0</v>
      </c>
      <c r="AJ201" s="12">
        <f>VLOOKUP(Tableau2[[#This Row],[essence]],Tableau5[],16,FALSE)</f>
        <v>0</v>
      </c>
      <c r="AK201" s="12">
        <f>IF(Tableau2[[#This Row],[sdom]]="5OUEST",1,0)</f>
        <v>1</v>
      </c>
      <c r="AL201" s="12">
        <f>VLOOKUP(Tableau2[[#This Row],[essence]],Tableau5[],17,FALSE)</f>
        <v>0</v>
      </c>
      <c r="AM201" s="12">
        <f>IF(Tableau2[[#This Row],[sdom]]="6EST",1,0)</f>
        <v>0</v>
      </c>
      <c r="AN201" s="12">
        <f>VLOOKUP(Tableau2[[#This Row],[essence]],Tableau5[],19,FALSE)</f>
        <v>0</v>
      </c>
      <c r="AO201" s="12">
        <f>IF(Tableau2[[#This Row],[priorecol]]="C",1,0)</f>
        <v>0</v>
      </c>
      <c r="AP201" s="12">
        <f>VLOOKUP(Tableau2[[#This Row],[essence]],Tableau5[],20,FALSE)</f>
        <v>0</v>
      </c>
      <c r="AQ201" s="12">
        <f>IF(Tableau2[[#This Row],[priorecol]]="R",1,0)</f>
        <v>1</v>
      </c>
      <c r="AR201" s="12">
        <f>VLOOKUP(Tableau2[[#This Row],[essence]],Tableau5[],21,FALSE)</f>
        <v>0</v>
      </c>
      <c r="AS201" s="12">
        <f>IF(Tableau2[[#This Row],[priorecol]]="S",1,0)</f>
        <v>0</v>
      </c>
      <c r="AT201" s="12">
        <f>VLOOKUP(Tableau2[[#This Row],[essence]],Tableau5[],22,FALSE)</f>
        <v>1.1384000000000001</v>
      </c>
      <c r="AU201" s="12">
        <f>VLOOKUP(Tableau2[[#This Row],[essence]],Tableau5[],23,FALSE)</f>
        <v>1.0699999999999999E-2</v>
      </c>
      <c r="AV201" s="12">
        <f>VLOOKUP(Tableau2[[#This Row],[essence]],Tableau5[],18,FALSE)</f>
        <v>0</v>
      </c>
      <c r="AW20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3.9113000000000007</v>
      </c>
      <c r="AX201" s="12">
        <f>1/(1+EXP(-Tableau2[[#This Row],[xb_c]]))</f>
        <v>0.98037825342940099</v>
      </c>
      <c r="AY201" s="12" t="str">
        <f t="shared" si="6"/>
        <v>NA</v>
      </c>
      <c r="AZ201" s="12" t="str">
        <f t="shared" si="7"/>
        <v>NA</v>
      </c>
      <c r="BA201" s="12">
        <f>Tableau2[[#This Row],[prob_c]]</f>
        <v>0.98037825342940099</v>
      </c>
      <c r="BB201" s="12">
        <f>1-Tableau2[[#This Row],[prob_c]]</f>
        <v>1.9621746570599008E-2</v>
      </c>
    </row>
    <row r="202" spans="1:54" x14ac:dyDescent="0.25">
      <c r="A202" s="12">
        <v>9</v>
      </c>
      <c r="B202" s="12" t="s">
        <v>17</v>
      </c>
      <c r="C202" s="12">
        <v>0.1</v>
      </c>
      <c r="D202" s="12">
        <v>700</v>
      </c>
      <c r="E202" s="12">
        <v>22</v>
      </c>
      <c r="F202" s="12">
        <v>0</v>
      </c>
      <c r="G202" s="12">
        <v>9</v>
      </c>
      <c r="H202" s="12">
        <v>24</v>
      </c>
      <c r="I202" s="12" t="s">
        <v>21</v>
      </c>
      <c r="J202" s="12" t="s">
        <v>29</v>
      </c>
      <c r="K202" s="12">
        <f>VLOOKUP(Tableau2[[#This Row],[essence]],Tableau5[],2,FALSE)</f>
        <v>5.0801999999999996</v>
      </c>
      <c r="L202" s="12">
        <f>VLOOKUP(Tableau2[[#This Row],[essence]],Tableau5[],3,FALSE)</f>
        <v>1.7765</v>
      </c>
      <c r="M202" s="12">
        <f>IF(Tableau2[[#This Row],[priorecol]]="C",1,0)</f>
        <v>0</v>
      </c>
      <c r="N202" s="12">
        <f>VLOOKUP(Tableau2[[#This Row],[essence]],Tableau5[],4,FALSE)</f>
        <v>3.3664000000000001</v>
      </c>
      <c r="O202" s="12">
        <f>IF(Tableau2[[#This Row],[priorecol]]="R",1,0)</f>
        <v>0</v>
      </c>
      <c r="P202" s="12">
        <f>VLOOKUP(Tableau2[[#This Row],[essence]],Tableau5[],5,FALSE)</f>
        <v>0.57940000000000003</v>
      </c>
      <c r="Q202" s="12">
        <f>IF(Tableau2[[#This Row],[priorecol]]="S",1,0)</f>
        <v>1</v>
      </c>
      <c r="R202" s="12">
        <f>VLOOKUP(Tableau2[[#This Row],[essence]],Tableau5[],6,FALSE)</f>
        <v>-0.2109</v>
      </c>
      <c r="S202" s="12">
        <f>VLOOKUP(Tableau2[[#This Row],[essence]],Tableau5[],15,FALSE)</f>
        <v>-0.2429</v>
      </c>
      <c r="T202" s="12">
        <f>VLOOKUP(Tableau2[[#This Row],[essence]],Tableau5[],7,FALSE)</f>
        <v>0</v>
      </c>
      <c r="U202" s="12">
        <f>IF(Tableau2[[#This Row],[sdom]]=1,1,0)</f>
        <v>0</v>
      </c>
      <c r="V202" s="12">
        <f>VLOOKUP(Tableau2[[#This Row],[essence]],Tableau5[],8,FALSE)</f>
        <v>0</v>
      </c>
      <c r="W202" s="12">
        <f>IF(Tableau2[[#This Row],[sdom]]="2EST",1,0)</f>
        <v>0</v>
      </c>
      <c r="X202" s="12">
        <f>VLOOKUP(Tableau2[[#This Row],[essence]],Tableau5[],9,FALSE)</f>
        <v>0</v>
      </c>
      <c r="Y202" s="12">
        <f>IF(Tableau2[[#This Row],[sdom]]="2OUEST",1,0)</f>
        <v>0</v>
      </c>
      <c r="Z202" s="12">
        <f>VLOOKUP(Tableau2[[#This Row],[essence]],Tableau5[],10,FALSE)</f>
        <v>0</v>
      </c>
      <c r="AA202" s="12">
        <f>IF(Tableau2[[#This Row],[sdom]]="3EST",1,0)</f>
        <v>0</v>
      </c>
      <c r="AB202" s="12">
        <f>VLOOKUP(Tableau2[[#This Row],[essence]],Tableau5[],11,FALSE)</f>
        <v>0</v>
      </c>
      <c r="AC202" s="12">
        <f>IF(Tableau2[[#This Row],[sdom]]="3OUEST",1,0)</f>
        <v>0</v>
      </c>
      <c r="AD202" s="12">
        <f>VLOOKUP(Tableau2[[#This Row],[essence]],Tableau5[],12,FALSE)</f>
        <v>0</v>
      </c>
      <c r="AE202" s="12">
        <f>IF(Tableau2[[#This Row],[sdom]]="4EST",1,0)</f>
        <v>0</v>
      </c>
      <c r="AF202" s="12">
        <f>VLOOKUP(Tableau2[[#This Row],[essence]],Tableau5[],13,FALSE)</f>
        <v>0</v>
      </c>
      <c r="AG202" s="12">
        <f>IF(Tableau2[[#This Row],[sdom]]="4OUEST",1,0)</f>
        <v>0</v>
      </c>
      <c r="AH202" s="12">
        <f>VLOOKUP(Tableau2[[#This Row],[essence]],Tableau5[],14,FALSE)</f>
        <v>0</v>
      </c>
      <c r="AI202" s="12">
        <f>IF(Tableau2[[#This Row],[sdom]]="5EST",1,0)</f>
        <v>0</v>
      </c>
      <c r="AJ202" s="12">
        <f>VLOOKUP(Tableau2[[#This Row],[essence]],Tableau5[],16,FALSE)</f>
        <v>0</v>
      </c>
      <c r="AK202" s="12">
        <f>IF(Tableau2[[#This Row],[sdom]]="5OUEST",1,0)</f>
        <v>1</v>
      </c>
      <c r="AL202" s="12">
        <f>VLOOKUP(Tableau2[[#This Row],[essence]],Tableau5[],17,FALSE)</f>
        <v>0</v>
      </c>
      <c r="AM202" s="12">
        <f>IF(Tableau2[[#This Row],[sdom]]="6EST",1,0)</f>
        <v>0</v>
      </c>
      <c r="AN202" s="12">
        <f>VLOOKUP(Tableau2[[#This Row],[essence]],Tableau5[],19,FALSE)</f>
        <v>0</v>
      </c>
      <c r="AO202" s="12">
        <f>IF(Tableau2[[#This Row],[priorecol]]="C",1,0)</f>
        <v>0</v>
      </c>
      <c r="AP202" s="12">
        <f>VLOOKUP(Tableau2[[#This Row],[essence]],Tableau5[],20,FALSE)</f>
        <v>0</v>
      </c>
      <c r="AQ202" s="12">
        <f>IF(Tableau2[[#This Row],[priorecol]]="R",1,0)</f>
        <v>0</v>
      </c>
      <c r="AR202" s="12">
        <f>VLOOKUP(Tableau2[[#This Row],[essence]],Tableau5[],21,FALSE)</f>
        <v>0</v>
      </c>
      <c r="AS202" s="12">
        <f>IF(Tableau2[[#This Row],[priorecol]]="S",1,0)</f>
        <v>1</v>
      </c>
      <c r="AT202" s="12">
        <f>VLOOKUP(Tableau2[[#This Row],[essence]],Tableau5[],22,FALSE)</f>
        <v>1.1384000000000001</v>
      </c>
      <c r="AU202" s="12">
        <f>VLOOKUP(Tableau2[[#This Row],[essence]],Tableau5[],23,FALSE)</f>
        <v>1.0699999999999999E-2</v>
      </c>
      <c r="AV202" s="12">
        <f>VLOOKUP(Tableau2[[#This Row],[essence]],Tableau5[],18,FALSE)</f>
        <v>0</v>
      </c>
      <c r="AW20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0.9037999999999986</v>
      </c>
      <c r="AX202" s="12">
        <f>1/(1+EXP(-Tableau2[[#This Row],[xb_c]]))</f>
        <v>0.71172977737940268</v>
      </c>
      <c r="AY202" s="12" t="str">
        <f t="shared" si="6"/>
        <v>NA</v>
      </c>
      <c r="AZ202" s="12" t="str">
        <f t="shared" si="7"/>
        <v>NA</v>
      </c>
      <c r="BA202" s="12">
        <f>Tableau2[[#This Row],[prob_c]]</f>
        <v>0.71172977737940268</v>
      </c>
      <c r="BB202" s="12">
        <f>1-Tableau2[[#This Row],[prob_c]]</f>
        <v>0.28827022262059732</v>
      </c>
    </row>
    <row r="203" spans="1:54" x14ac:dyDescent="0.25">
      <c r="A203" s="12">
        <v>9</v>
      </c>
      <c r="B203" s="12" t="s">
        <v>17</v>
      </c>
      <c r="C203" s="12">
        <v>0.1</v>
      </c>
      <c r="D203" s="12">
        <v>700</v>
      </c>
      <c r="E203" s="12">
        <v>22</v>
      </c>
      <c r="F203" s="12">
        <v>0</v>
      </c>
      <c r="G203" s="12">
        <v>10</v>
      </c>
      <c r="H203" s="12">
        <v>25</v>
      </c>
      <c r="I203" s="12" t="s">
        <v>22</v>
      </c>
      <c r="J203" s="12" t="s">
        <v>27</v>
      </c>
      <c r="K203" s="12">
        <f>VLOOKUP(Tableau2[[#This Row],[essence]],Tableau5[],2,FALSE)</f>
        <v>-0.54949999999999999</v>
      </c>
      <c r="L203" s="12">
        <f>VLOOKUP(Tableau2[[#This Row],[essence]],Tableau5[],3,FALSE)</f>
        <v>-0.14960000000000001</v>
      </c>
      <c r="M203" s="12">
        <f>IF(Tableau2[[#This Row],[priorecol]]="C",1,0)</f>
        <v>1</v>
      </c>
      <c r="N203" s="12">
        <f>VLOOKUP(Tableau2[[#This Row],[essence]],Tableau5[],4,FALSE)</f>
        <v>1.6746000000000001</v>
      </c>
      <c r="O203" s="12">
        <f>IF(Tableau2[[#This Row],[priorecol]]="R",1,0)</f>
        <v>0</v>
      </c>
      <c r="P203" s="12">
        <f>VLOOKUP(Tableau2[[#This Row],[essence]],Tableau5[],5,FALSE)</f>
        <v>0.65110000000000001</v>
      </c>
      <c r="Q203" s="12">
        <f>IF(Tableau2[[#This Row],[priorecol]]="S",1,0)</f>
        <v>0</v>
      </c>
      <c r="R203" s="12">
        <f>VLOOKUP(Tableau2[[#This Row],[essence]],Tableau5[],6,FALSE)</f>
        <v>-3.0599999999999999E-2</v>
      </c>
      <c r="S203" s="12">
        <f>VLOOKUP(Tableau2[[#This Row],[essence]],Tableau5[],15,FALSE)</f>
        <v>-3.8399999999999997E-2</v>
      </c>
      <c r="T203" s="12">
        <f>VLOOKUP(Tableau2[[#This Row],[essence]],Tableau5[],7,FALSE)</f>
        <v>1.2454000000000001</v>
      </c>
      <c r="U203" s="12">
        <f>IF(Tableau2[[#This Row],[sdom]]=1,1,0)</f>
        <v>0</v>
      </c>
      <c r="V203" s="12">
        <f>VLOOKUP(Tableau2[[#This Row],[essence]],Tableau5[],8,FALSE)</f>
        <v>0.85550000000000004</v>
      </c>
      <c r="W203" s="12">
        <f>IF(Tableau2[[#This Row],[sdom]]="2EST",1,0)</f>
        <v>0</v>
      </c>
      <c r="X203" s="12">
        <f>VLOOKUP(Tableau2[[#This Row],[essence]],Tableau5[],9,FALSE)</f>
        <v>1.2195</v>
      </c>
      <c r="Y203" s="12">
        <f>IF(Tableau2[[#This Row],[sdom]]="2OUEST",1,0)</f>
        <v>0</v>
      </c>
      <c r="Z203" s="12">
        <f>VLOOKUP(Tableau2[[#This Row],[essence]],Tableau5[],10,FALSE)</f>
        <v>0.94630000000000003</v>
      </c>
      <c r="AA203" s="12">
        <f>IF(Tableau2[[#This Row],[sdom]]="3EST",1,0)</f>
        <v>0</v>
      </c>
      <c r="AB203" s="12">
        <f>VLOOKUP(Tableau2[[#This Row],[essence]],Tableau5[],11,FALSE)</f>
        <v>0.64859999999999995</v>
      </c>
      <c r="AC203" s="12">
        <f>IF(Tableau2[[#This Row],[sdom]]="3OUEST",1,0)</f>
        <v>0</v>
      </c>
      <c r="AD203" s="12">
        <f>VLOOKUP(Tableau2[[#This Row],[essence]],Tableau5[],12,FALSE)</f>
        <v>0.91920000000000002</v>
      </c>
      <c r="AE203" s="12">
        <f>IF(Tableau2[[#This Row],[sdom]]="4EST",1,0)</f>
        <v>0</v>
      </c>
      <c r="AF203" s="12">
        <f>VLOOKUP(Tableau2[[#This Row],[essence]],Tableau5[],13,FALSE)</f>
        <v>0.67230000000000001</v>
      </c>
      <c r="AG203" s="12">
        <f>IF(Tableau2[[#This Row],[sdom]]="4OUEST",1,0)</f>
        <v>0</v>
      </c>
      <c r="AH203" s="12">
        <f>VLOOKUP(Tableau2[[#This Row],[essence]],Tableau5[],14,FALSE)</f>
        <v>0.43309999999999998</v>
      </c>
      <c r="AI203" s="12">
        <f>IF(Tableau2[[#This Row],[sdom]]="5EST",1,0)</f>
        <v>0</v>
      </c>
      <c r="AJ203" s="12">
        <f>VLOOKUP(Tableau2[[#This Row],[essence]],Tableau5[],16,FALSE)</f>
        <v>0</v>
      </c>
      <c r="AK203" s="12">
        <f>IF(Tableau2[[#This Row],[sdom]]="5OUEST",1,0)</f>
        <v>1</v>
      </c>
      <c r="AL203" s="12">
        <f>VLOOKUP(Tableau2[[#This Row],[essence]],Tableau5[],17,FALSE)</f>
        <v>0</v>
      </c>
      <c r="AM203" s="12">
        <f>IF(Tableau2[[#This Row],[sdom]]="6EST",1,0)</f>
        <v>0</v>
      </c>
      <c r="AN203" s="12">
        <f>VLOOKUP(Tableau2[[#This Row],[essence]],Tableau5[],19,FALSE)</f>
        <v>6.6900000000000001E-2</v>
      </c>
      <c r="AO203" s="12">
        <f>IF(Tableau2[[#This Row],[priorecol]]="C",1,0)</f>
        <v>1</v>
      </c>
      <c r="AP203" s="12">
        <f>VLOOKUP(Tableau2[[#This Row],[essence]],Tableau5[],20,FALSE)</f>
        <v>4.3799999999999999E-2</v>
      </c>
      <c r="AQ203" s="12">
        <f>IF(Tableau2[[#This Row],[priorecol]]="R",1,0)</f>
        <v>0</v>
      </c>
      <c r="AR203" s="12">
        <f>VLOOKUP(Tableau2[[#This Row],[essence]],Tableau5[],21,FALSE)</f>
        <v>2.7900000000000001E-2</v>
      </c>
      <c r="AS203" s="12">
        <f>IF(Tableau2[[#This Row],[priorecol]]="S",1,0)</f>
        <v>0</v>
      </c>
      <c r="AT203" s="12">
        <f>VLOOKUP(Tableau2[[#This Row],[essence]],Tableau5[],22,FALSE)</f>
        <v>0</v>
      </c>
      <c r="AU203" s="12">
        <f>VLOOKUP(Tableau2[[#This Row],[essence]],Tableau5[],23,FALSE)</f>
        <v>1.73E-3</v>
      </c>
      <c r="AV203" s="12">
        <f>VLOOKUP(Tableau2[[#This Row],[essence]],Tableau5[],18,FALSE)</f>
        <v>0.1295</v>
      </c>
      <c r="AW20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0.32805000000000006</v>
      </c>
      <c r="AX203" s="12">
        <f>1/(1+EXP(-Tableau2[[#This Row],[xb_c]]))</f>
        <v>0.58128483629745287</v>
      </c>
      <c r="AY203" s="12" t="str">
        <f t="shared" si="6"/>
        <v>NA</v>
      </c>
      <c r="AZ203" s="12" t="str">
        <f t="shared" si="7"/>
        <v>NA</v>
      </c>
      <c r="BA203" s="12">
        <f>Tableau2[[#This Row],[prob_c]]</f>
        <v>0.58128483629745287</v>
      </c>
      <c r="BB203" s="12">
        <f>1-Tableau2[[#This Row],[prob_c]]</f>
        <v>0.41871516370254713</v>
      </c>
    </row>
    <row r="204" spans="1:54" x14ac:dyDescent="0.25">
      <c r="A204" s="12">
        <v>9</v>
      </c>
      <c r="B204" s="12" t="s">
        <v>17</v>
      </c>
      <c r="C204" s="12">
        <v>0.1</v>
      </c>
      <c r="D204" s="12">
        <v>700</v>
      </c>
      <c r="E204" s="12">
        <v>22</v>
      </c>
      <c r="F204" s="12">
        <v>0</v>
      </c>
      <c r="G204" s="12">
        <v>11</v>
      </c>
      <c r="H204" s="12">
        <v>26</v>
      </c>
      <c r="I204" s="12" t="s">
        <v>22</v>
      </c>
      <c r="J204" s="12" t="s">
        <v>28</v>
      </c>
      <c r="K204" s="12">
        <f>VLOOKUP(Tableau2[[#This Row],[essence]],Tableau5[],2,FALSE)</f>
        <v>-0.54949999999999999</v>
      </c>
      <c r="L204" s="12">
        <f>VLOOKUP(Tableau2[[#This Row],[essence]],Tableau5[],3,FALSE)</f>
        <v>-0.14960000000000001</v>
      </c>
      <c r="M204" s="12">
        <f>IF(Tableau2[[#This Row],[priorecol]]="C",1,0)</f>
        <v>0</v>
      </c>
      <c r="N204" s="12">
        <f>VLOOKUP(Tableau2[[#This Row],[essence]],Tableau5[],4,FALSE)</f>
        <v>1.6746000000000001</v>
      </c>
      <c r="O204" s="12">
        <f>IF(Tableau2[[#This Row],[priorecol]]="R",1,0)</f>
        <v>1</v>
      </c>
      <c r="P204" s="12">
        <f>VLOOKUP(Tableau2[[#This Row],[essence]],Tableau5[],5,FALSE)</f>
        <v>0.65110000000000001</v>
      </c>
      <c r="Q204" s="12">
        <f>IF(Tableau2[[#This Row],[priorecol]]="S",1,0)</f>
        <v>0</v>
      </c>
      <c r="R204" s="12">
        <f>VLOOKUP(Tableau2[[#This Row],[essence]],Tableau5[],6,FALSE)</f>
        <v>-3.0599999999999999E-2</v>
      </c>
      <c r="S204" s="12">
        <f>VLOOKUP(Tableau2[[#This Row],[essence]],Tableau5[],15,FALSE)</f>
        <v>-3.8399999999999997E-2</v>
      </c>
      <c r="T204" s="12">
        <f>VLOOKUP(Tableau2[[#This Row],[essence]],Tableau5[],7,FALSE)</f>
        <v>1.2454000000000001</v>
      </c>
      <c r="U204" s="12">
        <f>IF(Tableau2[[#This Row],[sdom]]=1,1,0)</f>
        <v>0</v>
      </c>
      <c r="V204" s="12">
        <f>VLOOKUP(Tableau2[[#This Row],[essence]],Tableau5[],8,FALSE)</f>
        <v>0.85550000000000004</v>
      </c>
      <c r="W204" s="12">
        <f>IF(Tableau2[[#This Row],[sdom]]="2EST",1,0)</f>
        <v>0</v>
      </c>
      <c r="X204" s="12">
        <f>VLOOKUP(Tableau2[[#This Row],[essence]],Tableau5[],9,FALSE)</f>
        <v>1.2195</v>
      </c>
      <c r="Y204" s="12">
        <f>IF(Tableau2[[#This Row],[sdom]]="2OUEST",1,0)</f>
        <v>0</v>
      </c>
      <c r="Z204" s="12">
        <f>VLOOKUP(Tableau2[[#This Row],[essence]],Tableau5[],10,FALSE)</f>
        <v>0.94630000000000003</v>
      </c>
      <c r="AA204" s="12">
        <f>IF(Tableau2[[#This Row],[sdom]]="3EST",1,0)</f>
        <v>0</v>
      </c>
      <c r="AB204" s="12">
        <f>VLOOKUP(Tableau2[[#This Row],[essence]],Tableau5[],11,FALSE)</f>
        <v>0.64859999999999995</v>
      </c>
      <c r="AC204" s="12">
        <f>IF(Tableau2[[#This Row],[sdom]]="3OUEST",1,0)</f>
        <v>0</v>
      </c>
      <c r="AD204" s="12">
        <f>VLOOKUP(Tableau2[[#This Row],[essence]],Tableau5[],12,FALSE)</f>
        <v>0.91920000000000002</v>
      </c>
      <c r="AE204" s="12">
        <f>IF(Tableau2[[#This Row],[sdom]]="4EST",1,0)</f>
        <v>0</v>
      </c>
      <c r="AF204" s="12">
        <f>VLOOKUP(Tableau2[[#This Row],[essence]],Tableau5[],13,FALSE)</f>
        <v>0.67230000000000001</v>
      </c>
      <c r="AG204" s="12">
        <f>IF(Tableau2[[#This Row],[sdom]]="4OUEST",1,0)</f>
        <v>0</v>
      </c>
      <c r="AH204" s="12">
        <f>VLOOKUP(Tableau2[[#This Row],[essence]],Tableau5[],14,FALSE)</f>
        <v>0.43309999999999998</v>
      </c>
      <c r="AI204" s="12">
        <f>IF(Tableau2[[#This Row],[sdom]]="5EST",1,0)</f>
        <v>0</v>
      </c>
      <c r="AJ204" s="12">
        <f>VLOOKUP(Tableau2[[#This Row],[essence]],Tableau5[],16,FALSE)</f>
        <v>0</v>
      </c>
      <c r="AK204" s="12">
        <f>IF(Tableau2[[#This Row],[sdom]]="5OUEST",1,0)</f>
        <v>1</v>
      </c>
      <c r="AL204" s="12">
        <f>VLOOKUP(Tableau2[[#This Row],[essence]],Tableau5[],17,FALSE)</f>
        <v>0</v>
      </c>
      <c r="AM204" s="12">
        <f>IF(Tableau2[[#This Row],[sdom]]="6EST",1,0)</f>
        <v>0</v>
      </c>
      <c r="AN204" s="12">
        <f>VLOOKUP(Tableau2[[#This Row],[essence]],Tableau5[],19,FALSE)</f>
        <v>6.6900000000000001E-2</v>
      </c>
      <c r="AO204" s="12">
        <f>IF(Tableau2[[#This Row],[priorecol]]="C",1,0)</f>
        <v>0</v>
      </c>
      <c r="AP204" s="12">
        <f>VLOOKUP(Tableau2[[#This Row],[essence]],Tableau5[],20,FALSE)</f>
        <v>4.3799999999999999E-2</v>
      </c>
      <c r="AQ204" s="12">
        <f>IF(Tableau2[[#This Row],[priorecol]]="R",1,0)</f>
        <v>1</v>
      </c>
      <c r="AR204" s="12">
        <f>VLOOKUP(Tableau2[[#This Row],[essence]],Tableau5[],21,FALSE)</f>
        <v>2.7900000000000001E-2</v>
      </c>
      <c r="AS204" s="12">
        <f>IF(Tableau2[[#This Row],[priorecol]]="S",1,0)</f>
        <v>0</v>
      </c>
      <c r="AT204" s="12">
        <f>VLOOKUP(Tableau2[[#This Row],[essence]],Tableau5[],22,FALSE)</f>
        <v>0</v>
      </c>
      <c r="AU204" s="12">
        <f>VLOOKUP(Tableau2[[#This Row],[essence]],Tableau5[],23,FALSE)</f>
        <v>1.73E-3</v>
      </c>
      <c r="AV204" s="12">
        <f>VLOOKUP(Tableau2[[#This Row],[essence]],Tableau5[],18,FALSE)</f>
        <v>0.1295</v>
      </c>
      <c r="AW20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1.6260100000000004</v>
      </c>
      <c r="AX204" s="12">
        <f>1/(1+EXP(-Tableau2[[#This Row],[xb_c]]))</f>
        <v>0.83562231537253273</v>
      </c>
      <c r="AY204" s="12" t="str">
        <f t="shared" si="6"/>
        <v>NA</v>
      </c>
      <c r="AZ204" s="12" t="str">
        <f t="shared" si="7"/>
        <v>NA</v>
      </c>
      <c r="BA204" s="12">
        <f>Tableau2[[#This Row],[prob_c]]</f>
        <v>0.83562231537253273</v>
      </c>
      <c r="BB204" s="12">
        <f>1-Tableau2[[#This Row],[prob_c]]</f>
        <v>0.16437768462746727</v>
      </c>
    </row>
    <row r="205" spans="1:54" x14ac:dyDescent="0.25">
      <c r="A205" s="12">
        <v>9</v>
      </c>
      <c r="B205" s="12" t="s">
        <v>17</v>
      </c>
      <c r="C205" s="12">
        <v>0.1</v>
      </c>
      <c r="D205" s="12">
        <v>700</v>
      </c>
      <c r="E205" s="12">
        <v>22</v>
      </c>
      <c r="F205" s="12">
        <v>0</v>
      </c>
      <c r="G205" s="12">
        <v>12</v>
      </c>
      <c r="H205" s="12">
        <v>27</v>
      </c>
      <c r="I205" s="12" t="s">
        <v>22</v>
      </c>
      <c r="J205" s="12" t="s">
        <v>29</v>
      </c>
      <c r="K205" s="12">
        <f>VLOOKUP(Tableau2[[#This Row],[essence]],Tableau5[],2,FALSE)</f>
        <v>-0.54949999999999999</v>
      </c>
      <c r="L205" s="12">
        <f>VLOOKUP(Tableau2[[#This Row],[essence]],Tableau5[],3,FALSE)</f>
        <v>-0.14960000000000001</v>
      </c>
      <c r="M205" s="12">
        <f>IF(Tableau2[[#This Row],[priorecol]]="C",1,0)</f>
        <v>0</v>
      </c>
      <c r="N205" s="12">
        <f>VLOOKUP(Tableau2[[#This Row],[essence]],Tableau5[],4,FALSE)</f>
        <v>1.6746000000000001</v>
      </c>
      <c r="O205" s="12">
        <f>IF(Tableau2[[#This Row],[priorecol]]="R",1,0)</f>
        <v>0</v>
      </c>
      <c r="P205" s="12">
        <f>VLOOKUP(Tableau2[[#This Row],[essence]],Tableau5[],5,FALSE)</f>
        <v>0.65110000000000001</v>
      </c>
      <c r="Q205" s="12">
        <f>IF(Tableau2[[#This Row],[priorecol]]="S",1,0)</f>
        <v>1</v>
      </c>
      <c r="R205" s="12">
        <f>VLOOKUP(Tableau2[[#This Row],[essence]],Tableau5[],6,FALSE)</f>
        <v>-3.0599999999999999E-2</v>
      </c>
      <c r="S205" s="12">
        <f>VLOOKUP(Tableau2[[#This Row],[essence]],Tableau5[],15,FALSE)</f>
        <v>-3.8399999999999997E-2</v>
      </c>
      <c r="T205" s="12">
        <f>VLOOKUP(Tableau2[[#This Row],[essence]],Tableau5[],7,FALSE)</f>
        <v>1.2454000000000001</v>
      </c>
      <c r="U205" s="12">
        <f>IF(Tableau2[[#This Row],[sdom]]=1,1,0)</f>
        <v>0</v>
      </c>
      <c r="V205" s="12">
        <f>VLOOKUP(Tableau2[[#This Row],[essence]],Tableau5[],8,FALSE)</f>
        <v>0.85550000000000004</v>
      </c>
      <c r="W205" s="12">
        <f>IF(Tableau2[[#This Row],[sdom]]="2EST",1,0)</f>
        <v>0</v>
      </c>
      <c r="X205" s="12">
        <f>VLOOKUP(Tableau2[[#This Row],[essence]],Tableau5[],9,FALSE)</f>
        <v>1.2195</v>
      </c>
      <c r="Y205" s="12">
        <f>IF(Tableau2[[#This Row],[sdom]]="2OUEST",1,0)</f>
        <v>0</v>
      </c>
      <c r="Z205" s="12">
        <f>VLOOKUP(Tableau2[[#This Row],[essence]],Tableau5[],10,FALSE)</f>
        <v>0.94630000000000003</v>
      </c>
      <c r="AA205" s="12">
        <f>IF(Tableau2[[#This Row],[sdom]]="3EST",1,0)</f>
        <v>0</v>
      </c>
      <c r="AB205" s="12">
        <f>VLOOKUP(Tableau2[[#This Row],[essence]],Tableau5[],11,FALSE)</f>
        <v>0.64859999999999995</v>
      </c>
      <c r="AC205" s="12">
        <f>IF(Tableau2[[#This Row],[sdom]]="3OUEST",1,0)</f>
        <v>0</v>
      </c>
      <c r="AD205" s="12">
        <f>VLOOKUP(Tableau2[[#This Row],[essence]],Tableau5[],12,FALSE)</f>
        <v>0.91920000000000002</v>
      </c>
      <c r="AE205" s="12">
        <f>IF(Tableau2[[#This Row],[sdom]]="4EST",1,0)</f>
        <v>0</v>
      </c>
      <c r="AF205" s="12">
        <f>VLOOKUP(Tableau2[[#This Row],[essence]],Tableau5[],13,FALSE)</f>
        <v>0.67230000000000001</v>
      </c>
      <c r="AG205" s="12">
        <f>IF(Tableau2[[#This Row],[sdom]]="4OUEST",1,0)</f>
        <v>0</v>
      </c>
      <c r="AH205" s="12">
        <f>VLOOKUP(Tableau2[[#This Row],[essence]],Tableau5[],14,FALSE)</f>
        <v>0.43309999999999998</v>
      </c>
      <c r="AI205" s="12">
        <f>IF(Tableau2[[#This Row],[sdom]]="5EST",1,0)</f>
        <v>0</v>
      </c>
      <c r="AJ205" s="12">
        <f>VLOOKUP(Tableau2[[#This Row],[essence]],Tableau5[],16,FALSE)</f>
        <v>0</v>
      </c>
      <c r="AK205" s="12">
        <f>IF(Tableau2[[#This Row],[sdom]]="5OUEST",1,0)</f>
        <v>1</v>
      </c>
      <c r="AL205" s="12">
        <f>VLOOKUP(Tableau2[[#This Row],[essence]],Tableau5[],17,FALSE)</f>
        <v>0</v>
      </c>
      <c r="AM205" s="12">
        <f>IF(Tableau2[[#This Row],[sdom]]="6EST",1,0)</f>
        <v>0</v>
      </c>
      <c r="AN205" s="12">
        <f>VLOOKUP(Tableau2[[#This Row],[essence]],Tableau5[],19,FALSE)</f>
        <v>6.6900000000000001E-2</v>
      </c>
      <c r="AO205" s="12">
        <f>IF(Tableau2[[#This Row],[priorecol]]="C",1,0)</f>
        <v>0</v>
      </c>
      <c r="AP205" s="12">
        <f>VLOOKUP(Tableau2[[#This Row],[essence]],Tableau5[],20,FALSE)</f>
        <v>4.3799999999999999E-2</v>
      </c>
      <c r="AQ205" s="12">
        <f>IF(Tableau2[[#This Row],[priorecol]]="R",1,0)</f>
        <v>0</v>
      </c>
      <c r="AR205" s="12">
        <f>VLOOKUP(Tableau2[[#This Row],[essence]],Tableau5[],21,FALSE)</f>
        <v>2.7900000000000001E-2</v>
      </c>
      <c r="AS205" s="12">
        <f>IF(Tableau2[[#This Row],[priorecol]]="S",1,0)</f>
        <v>1</v>
      </c>
      <c r="AT205" s="12">
        <f>VLOOKUP(Tableau2[[#This Row],[essence]],Tableau5[],22,FALSE)</f>
        <v>0</v>
      </c>
      <c r="AU205" s="12">
        <f>VLOOKUP(Tableau2[[#This Row],[essence]],Tableau5[],23,FALSE)</f>
        <v>1.73E-3</v>
      </c>
      <c r="AV205" s="12">
        <f>VLOOKUP(Tableau2[[#This Row],[essence]],Tableau5[],18,FALSE)</f>
        <v>0.1295</v>
      </c>
      <c r="AW20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0.22447000000000014</v>
      </c>
      <c r="AX205" s="12">
        <f>1/(1+EXP(-Tableau2[[#This Row],[xb_c]]))</f>
        <v>0.55588304956800427</v>
      </c>
      <c r="AY205" s="12" t="str">
        <f t="shared" si="6"/>
        <v>NA</v>
      </c>
      <c r="AZ205" s="12" t="str">
        <f t="shared" si="7"/>
        <v>NA</v>
      </c>
      <c r="BA205" s="12">
        <f>Tableau2[[#This Row],[prob_c]]</f>
        <v>0.55588304956800427</v>
      </c>
      <c r="BB205" s="12">
        <f>1-Tableau2[[#This Row],[prob_c]]</f>
        <v>0.44411695043199573</v>
      </c>
    </row>
    <row r="206" spans="1:54" x14ac:dyDescent="0.25">
      <c r="A206" s="12">
        <v>9</v>
      </c>
      <c r="B206" s="12" t="s">
        <v>17</v>
      </c>
      <c r="C206" s="12">
        <v>0.1</v>
      </c>
      <c r="D206" s="12">
        <v>700</v>
      </c>
      <c r="E206" s="12">
        <v>22</v>
      </c>
      <c r="F206" s="12">
        <v>0</v>
      </c>
      <c r="G206" s="12">
        <v>13</v>
      </c>
      <c r="H206" s="12">
        <v>28</v>
      </c>
      <c r="I206" s="12" t="s">
        <v>23</v>
      </c>
      <c r="J206" s="12" t="s">
        <v>27</v>
      </c>
      <c r="K206" s="12">
        <f>VLOOKUP(Tableau2[[#This Row],[essence]],Tableau5[],2,FALSE)</f>
        <v>-1.5804</v>
      </c>
      <c r="L206" s="12">
        <f>VLOOKUP(Tableau2[[#This Row],[essence]],Tableau5[],3,FALSE)</f>
        <v>0.70079999999999998</v>
      </c>
      <c r="M206" s="12">
        <f>IF(Tableau2[[#This Row],[priorecol]]="C",1,0)</f>
        <v>1</v>
      </c>
      <c r="N206" s="12">
        <f>VLOOKUP(Tableau2[[#This Row],[essence]],Tableau5[],4,FALSE)</f>
        <v>0.1178</v>
      </c>
      <c r="O206" s="12">
        <f>IF(Tableau2[[#This Row],[priorecol]]="R",1,0)</f>
        <v>0</v>
      </c>
      <c r="P206" s="12">
        <f>VLOOKUP(Tableau2[[#This Row],[essence]],Tableau5[],5,FALSE)</f>
        <v>0.88300000000000001</v>
      </c>
      <c r="Q206" s="12">
        <f>IF(Tableau2[[#This Row],[priorecol]]="S",1,0)</f>
        <v>0</v>
      </c>
      <c r="R206" s="12">
        <f>VLOOKUP(Tableau2[[#This Row],[essence]],Tableau5[],6,FALSE)</f>
        <v>4.8599999999999997E-2</v>
      </c>
      <c r="S206" s="12">
        <f>VLOOKUP(Tableau2[[#This Row],[essence]],Tableau5[],15,FALSE)</f>
        <v>0</v>
      </c>
      <c r="T206" s="12">
        <f>VLOOKUP(Tableau2[[#This Row],[essence]],Tableau5[],7,FALSE)</f>
        <v>1.111</v>
      </c>
      <c r="U206" s="12">
        <f>IF(Tableau2[[#This Row],[sdom]]=1,1,0)</f>
        <v>0</v>
      </c>
      <c r="V206" s="12">
        <f>VLOOKUP(Tableau2[[#This Row],[essence]],Tableau5[],8,FALSE)</f>
        <v>0.68489999999999995</v>
      </c>
      <c r="W206" s="12">
        <f>IF(Tableau2[[#This Row],[sdom]]="2EST",1,0)</f>
        <v>0</v>
      </c>
      <c r="X206" s="12">
        <f>VLOOKUP(Tableau2[[#This Row],[essence]],Tableau5[],9,FALSE)</f>
        <v>0.72130000000000005</v>
      </c>
      <c r="Y206" s="12">
        <f>IF(Tableau2[[#This Row],[sdom]]="2OUEST",1,0)</f>
        <v>0</v>
      </c>
      <c r="Z206" s="12">
        <f>VLOOKUP(Tableau2[[#This Row],[essence]],Tableau5[],10,FALSE)</f>
        <v>0.83930000000000005</v>
      </c>
      <c r="AA206" s="12">
        <f>IF(Tableau2[[#This Row],[sdom]]="3EST",1,0)</f>
        <v>0</v>
      </c>
      <c r="AB206" s="12">
        <f>VLOOKUP(Tableau2[[#This Row],[essence]],Tableau5[],11,FALSE)</f>
        <v>0.6865</v>
      </c>
      <c r="AC206" s="12">
        <f>IF(Tableau2[[#This Row],[sdom]]="3OUEST",1,0)</f>
        <v>0</v>
      </c>
      <c r="AD206" s="12">
        <f>VLOOKUP(Tableau2[[#This Row],[essence]],Tableau5[],12,FALSE)</f>
        <v>0.79569999999999996</v>
      </c>
      <c r="AE206" s="12">
        <f>IF(Tableau2[[#This Row],[sdom]]="4EST",1,0)</f>
        <v>0</v>
      </c>
      <c r="AF206" s="12">
        <f>VLOOKUP(Tableau2[[#This Row],[essence]],Tableau5[],13,FALSE)</f>
        <v>0.54700000000000004</v>
      </c>
      <c r="AG206" s="12">
        <f>IF(Tableau2[[#This Row],[sdom]]="4OUEST",1,0)</f>
        <v>0</v>
      </c>
      <c r="AH206" s="12">
        <f>VLOOKUP(Tableau2[[#This Row],[essence]],Tableau5[],14,FALSE)</f>
        <v>0</v>
      </c>
      <c r="AI206" s="12">
        <f>IF(Tableau2[[#This Row],[sdom]]="5EST",1,0)</f>
        <v>0</v>
      </c>
      <c r="AJ206" s="12">
        <f>VLOOKUP(Tableau2[[#This Row],[essence]],Tableau5[],16,FALSE)</f>
        <v>0</v>
      </c>
      <c r="AK206" s="12">
        <f>IF(Tableau2[[#This Row],[sdom]]="5OUEST",1,0)</f>
        <v>1</v>
      </c>
      <c r="AL206" s="12">
        <f>VLOOKUP(Tableau2[[#This Row],[essence]],Tableau5[],17,FALSE)</f>
        <v>0</v>
      </c>
      <c r="AM206" s="12">
        <f>IF(Tableau2[[#This Row],[sdom]]="6EST",1,0)</f>
        <v>0</v>
      </c>
      <c r="AN206" s="12">
        <f>VLOOKUP(Tableau2[[#This Row],[essence]],Tableau5[],19,FALSE)</f>
        <v>4.2000000000000003E-2</v>
      </c>
      <c r="AO206" s="12">
        <f>IF(Tableau2[[#This Row],[priorecol]]="C",1,0)</f>
        <v>1</v>
      </c>
      <c r="AP206" s="12">
        <f>VLOOKUP(Tableau2[[#This Row],[essence]],Tableau5[],20,FALSE)</f>
        <v>0.111</v>
      </c>
      <c r="AQ206" s="12">
        <f>IF(Tableau2[[#This Row],[priorecol]]="R",1,0)</f>
        <v>0</v>
      </c>
      <c r="AR206" s="12">
        <f>VLOOKUP(Tableau2[[#This Row],[essence]],Tableau5[],21,FALSE)</f>
        <v>4.3600000000000002E-3</v>
      </c>
      <c r="AS206" s="12">
        <f>IF(Tableau2[[#This Row],[priorecol]]="S",1,0)</f>
        <v>0</v>
      </c>
      <c r="AT206" s="12">
        <f>VLOOKUP(Tableau2[[#This Row],[essence]],Tableau5[],22,FALSE)</f>
        <v>0</v>
      </c>
      <c r="AU206" s="12">
        <f>VLOOKUP(Tableau2[[#This Row],[essence]],Tableau5[],23,FALSE)</f>
        <v>0</v>
      </c>
      <c r="AV206" s="12">
        <f>VLOOKUP(Tableau2[[#This Row],[essence]],Tableau5[],18,FALSE)</f>
        <v>0</v>
      </c>
      <c r="AW20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1.6572</v>
      </c>
      <c r="AX206" s="12">
        <f>1/(1+EXP(-Tableau2[[#This Row],[xb_c]]))</f>
        <v>0.83986177820177665</v>
      </c>
      <c r="AY206" s="12" t="str">
        <f t="shared" si="6"/>
        <v>NA</v>
      </c>
      <c r="AZ206" s="12" t="str">
        <f t="shared" si="7"/>
        <v>NA</v>
      </c>
      <c r="BA206" s="12">
        <f>Tableau2[[#This Row],[prob_c]]</f>
        <v>0.83986177820177665</v>
      </c>
      <c r="BB206" s="12">
        <f>1-Tableau2[[#This Row],[prob_c]]</f>
        <v>0.16013822179822335</v>
      </c>
    </row>
    <row r="207" spans="1:54" x14ac:dyDescent="0.25">
      <c r="A207" s="12">
        <v>9</v>
      </c>
      <c r="B207" s="12" t="s">
        <v>17</v>
      </c>
      <c r="C207" s="12">
        <v>0.1</v>
      </c>
      <c r="D207" s="12">
        <v>700</v>
      </c>
      <c r="E207" s="12">
        <v>22</v>
      </c>
      <c r="F207" s="12">
        <v>0</v>
      </c>
      <c r="G207" s="12">
        <v>14</v>
      </c>
      <c r="H207" s="12">
        <v>29</v>
      </c>
      <c r="I207" s="12" t="s">
        <v>23</v>
      </c>
      <c r="J207" s="12" t="s">
        <v>28</v>
      </c>
      <c r="K207" s="12">
        <f>VLOOKUP(Tableau2[[#This Row],[essence]],Tableau5[],2,FALSE)</f>
        <v>-1.5804</v>
      </c>
      <c r="L207" s="12">
        <f>VLOOKUP(Tableau2[[#This Row],[essence]],Tableau5[],3,FALSE)</f>
        <v>0.70079999999999998</v>
      </c>
      <c r="M207" s="12">
        <f>IF(Tableau2[[#This Row],[priorecol]]="C",1,0)</f>
        <v>0</v>
      </c>
      <c r="N207" s="12">
        <f>VLOOKUP(Tableau2[[#This Row],[essence]],Tableau5[],4,FALSE)</f>
        <v>0.1178</v>
      </c>
      <c r="O207" s="12">
        <f>IF(Tableau2[[#This Row],[priorecol]]="R",1,0)</f>
        <v>1</v>
      </c>
      <c r="P207" s="12">
        <f>VLOOKUP(Tableau2[[#This Row],[essence]],Tableau5[],5,FALSE)</f>
        <v>0.88300000000000001</v>
      </c>
      <c r="Q207" s="12">
        <f>IF(Tableau2[[#This Row],[priorecol]]="S",1,0)</f>
        <v>0</v>
      </c>
      <c r="R207" s="12">
        <f>VLOOKUP(Tableau2[[#This Row],[essence]],Tableau5[],6,FALSE)</f>
        <v>4.8599999999999997E-2</v>
      </c>
      <c r="S207" s="12">
        <f>VLOOKUP(Tableau2[[#This Row],[essence]],Tableau5[],15,FALSE)</f>
        <v>0</v>
      </c>
      <c r="T207" s="12">
        <f>VLOOKUP(Tableau2[[#This Row],[essence]],Tableau5[],7,FALSE)</f>
        <v>1.111</v>
      </c>
      <c r="U207" s="12">
        <f>IF(Tableau2[[#This Row],[sdom]]=1,1,0)</f>
        <v>0</v>
      </c>
      <c r="V207" s="12">
        <f>VLOOKUP(Tableau2[[#This Row],[essence]],Tableau5[],8,FALSE)</f>
        <v>0.68489999999999995</v>
      </c>
      <c r="W207" s="12">
        <f>IF(Tableau2[[#This Row],[sdom]]="2EST",1,0)</f>
        <v>0</v>
      </c>
      <c r="X207" s="12">
        <f>VLOOKUP(Tableau2[[#This Row],[essence]],Tableau5[],9,FALSE)</f>
        <v>0.72130000000000005</v>
      </c>
      <c r="Y207" s="12">
        <f>IF(Tableau2[[#This Row],[sdom]]="2OUEST",1,0)</f>
        <v>0</v>
      </c>
      <c r="Z207" s="12">
        <f>VLOOKUP(Tableau2[[#This Row],[essence]],Tableau5[],10,FALSE)</f>
        <v>0.83930000000000005</v>
      </c>
      <c r="AA207" s="12">
        <f>IF(Tableau2[[#This Row],[sdom]]="3EST",1,0)</f>
        <v>0</v>
      </c>
      <c r="AB207" s="12">
        <f>VLOOKUP(Tableau2[[#This Row],[essence]],Tableau5[],11,FALSE)</f>
        <v>0.6865</v>
      </c>
      <c r="AC207" s="12">
        <f>IF(Tableau2[[#This Row],[sdom]]="3OUEST",1,0)</f>
        <v>0</v>
      </c>
      <c r="AD207" s="12">
        <f>VLOOKUP(Tableau2[[#This Row],[essence]],Tableau5[],12,FALSE)</f>
        <v>0.79569999999999996</v>
      </c>
      <c r="AE207" s="12">
        <f>IF(Tableau2[[#This Row],[sdom]]="4EST",1,0)</f>
        <v>0</v>
      </c>
      <c r="AF207" s="12">
        <f>VLOOKUP(Tableau2[[#This Row],[essence]],Tableau5[],13,FALSE)</f>
        <v>0.54700000000000004</v>
      </c>
      <c r="AG207" s="12">
        <f>IF(Tableau2[[#This Row],[sdom]]="4OUEST",1,0)</f>
        <v>0</v>
      </c>
      <c r="AH207" s="12">
        <f>VLOOKUP(Tableau2[[#This Row],[essence]],Tableau5[],14,FALSE)</f>
        <v>0</v>
      </c>
      <c r="AI207" s="12">
        <f>IF(Tableau2[[#This Row],[sdom]]="5EST",1,0)</f>
        <v>0</v>
      </c>
      <c r="AJ207" s="12">
        <f>VLOOKUP(Tableau2[[#This Row],[essence]],Tableau5[],16,FALSE)</f>
        <v>0</v>
      </c>
      <c r="AK207" s="12">
        <f>IF(Tableau2[[#This Row],[sdom]]="5OUEST",1,0)</f>
        <v>1</v>
      </c>
      <c r="AL207" s="12">
        <f>VLOOKUP(Tableau2[[#This Row],[essence]],Tableau5[],17,FALSE)</f>
        <v>0</v>
      </c>
      <c r="AM207" s="12">
        <f>IF(Tableau2[[#This Row],[sdom]]="6EST",1,0)</f>
        <v>0</v>
      </c>
      <c r="AN207" s="12">
        <f>VLOOKUP(Tableau2[[#This Row],[essence]],Tableau5[],19,FALSE)</f>
        <v>4.2000000000000003E-2</v>
      </c>
      <c r="AO207" s="12">
        <f>IF(Tableau2[[#This Row],[priorecol]]="C",1,0)</f>
        <v>0</v>
      </c>
      <c r="AP207" s="12">
        <f>VLOOKUP(Tableau2[[#This Row],[essence]],Tableau5[],20,FALSE)</f>
        <v>0.111</v>
      </c>
      <c r="AQ207" s="12">
        <f>IF(Tableau2[[#This Row],[priorecol]]="R",1,0)</f>
        <v>1</v>
      </c>
      <c r="AR207" s="12">
        <f>VLOOKUP(Tableau2[[#This Row],[essence]],Tableau5[],21,FALSE)</f>
        <v>4.3600000000000002E-3</v>
      </c>
      <c r="AS207" s="12">
        <f>IF(Tableau2[[#This Row],[priorecol]]="S",1,0)</f>
        <v>0</v>
      </c>
      <c r="AT207" s="12">
        <f>VLOOKUP(Tableau2[[#This Row],[essence]],Tableau5[],22,FALSE)</f>
        <v>0</v>
      </c>
      <c r="AU207" s="12">
        <f>VLOOKUP(Tableau2[[#This Row],[essence]],Tableau5[],23,FALSE)</f>
        <v>0</v>
      </c>
      <c r="AV207" s="12">
        <f>VLOOKUP(Tableau2[[#This Row],[essence]],Tableau5[],18,FALSE)</f>
        <v>0</v>
      </c>
      <c r="AW20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3.1657999999999999</v>
      </c>
      <c r="AX207" s="12">
        <f>1/(1+EXP(-Tableau2[[#This Row],[xb_c]]))</f>
        <v>0.9595267914720671</v>
      </c>
      <c r="AY207" s="12" t="str">
        <f t="shared" si="6"/>
        <v>NA</v>
      </c>
      <c r="AZ207" s="12" t="str">
        <f t="shared" si="7"/>
        <v>NA</v>
      </c>
      <c r="BA207" s="12">
        <f>Tableau2[[#This Row],[prob_c]]</f>
        <v>0.9595267914720671</v>
      </c>
      <c r="BB207" s="12">
        <f>1-Tableau2[[#This Row],[prob_c]]</f>
        <v>4.0473208527932902E-2</v>
      </c>
    </row>
    <row r="208" spans="1:54" x14ac:dyDescent="0.25">
      <c r="A208" s="12">
        <v>9</v>
      </c>
      <c r="B208" s="12" t="s">
        <v>17</v>
      </c>
      <c r="C208" s="12">
        <v>0.1</v>
      </c>
      <c r="D208" s="12">
        <v>700</v>
      </c>
      <c r="E208" s="12">
        <v>22</v>
      </c>
      <c r="F208" s="12">
        <v>0</v>
      </c>
      <c r="G208" s="12">
        <v>15</v>
      </c>
      <c r="H208" s="12">
        <v>30</v>
      </c>
      <c r="I208" s="12" t="s">
        <v>23</v>
      </c>
      <c r="J208" s="12" t="s">
        <v>29</v>
      </c>
      <c r="K208" s="12">
        <f>VLOOKUP(Tableau2[[#This Row],[essence]],Tableau5[],2,FALSE)</f>
        <v>-1.5804</v>
      </c>
      <c r="L208" s="12">
        <f>VLOOKUP(Tableau2[[#This Row],[essence]],Tableau5[],3,FALSE)</f>
        <v>0.70079999999999998</v>
      </c>
      <c r="M208" s="12">
        <f>IF(Tableau2[[#This Row],[priorecol]]="C",1,0)</f>
        <v>0</v>
      </c>
      <c r="N208" s="12">
        <f>VLOOKUP(Tableau2[[#This Row],[essence]],Tableau5[],4,FALSE)</f>
        <v>0.1178</v>
      </c>
      <c r="O208" s="12">
        <f>IF(Tableau2[[#This Row],[priorecol]]="R",1,0)</f>
        <v>0</v>
      </c>
      <c r="P208" s="12">
        <f>VLOOKUP(Tableau2[[#This Row],[essence]],Tableau5[],5,FALSE)</f>
        <v>0.88300000000000001</v>
      </c>
      <c r="Q208" s="12">
        <f>IF(Tableau2[[#This Row],[priorecol]]="S",1,0)</f>
        <v>1</v>
      </c>
      <c r="R208" s="12">
        <f>VLOOKUP(Tableau2[[#This Row],[essence]],Tableau5[],6,FALSE)</f>
        <v>4.8599999999999997E-2</v>
      </c>
      <c r="S208" s="12">
        <f>VLOOKUP(Tableau2[[#This Row],[essence]],Tableau5[],15,FALSE)</f>
        <v>0</v>
      </c>
      <c r="T208" s="12">
        <f>VLOOKUP(Tableau2[[#This Row],[essence]],Tableau5[],7,FALSE)</f>
        <v>1.111</v>
      </c>
      <c r="U208" s="12">
        <f>IF(Tableau2[[#This Row],[sdom]]=1,1,0)</f>
        <v>0</v>
      </c>
      <c r="V208" s="12">
        <f>VLOOKUP(Tableau2[[#This Row],[essence]],Tableau5[],8,FALSE)</f>
        <v>0.68489999999999995</v>
      </c>
      <c r="W208" s="12">
        <f>IF(Tableau2[[#This Row],[sdom]]="2EST",1,0)</f>
        <v>0</v>
      </c>
      <c r="X208" s="12">
        <f>VLOOKUP(Tableau2[[#This Row],[essence]],Tableau5[],9,FALSE)</f>
        <v>0.72130000000000005</v>
      </c>
      <c r="Y208" s="12">
        <f>IF(Tableau2[[#This Row],[sdom]]="2OUEST",1,0)</f>
        <v>0</v>
      </c>
      <c r="Z208" s="12">
        <f>VLOOKUP(Tableau2[[#This Row],[essence]],Tableau5[],10,FALSE)</f>
        <v>0.83930000000000005</v>
      </c>
      <c r="AA208" s="12">
        <f>IF(Tableau2[[#This Row],[sdom]]="3EST",1,0)</f>
        <v>0</v>
      </c>
      <c r="AB208" s="12">
        <f>VLOOKUP(Tableau2[[#This Row],[essence]],Tableau5[],11,FALSE)</f>
        <v>0.6865</v>
      </c>
      <c r="AC208" s="12">
        <f>IF(Tableau2[[#This Row],[sdom]]="3OUEST",1,0)</f>
        <v>0</v>
      </c>
      <c r="AD208" s="12">
        <f>VLOOKUP(Tableau2[[#This Row],[essence]],Tableau5[],12,FALSE)</f>
        <v>0.79569999999999996</v>
      </c>
      <c r="AE208" s="12">
        <f>IF(Tableau2[[#This Row],[sdom]]="4EST",1,0)</f>
        <v>0</v>
      </c>
      <c r="AF208" s="12">
        <f>VLOOKUP(Tableau2[[#This Row],[essence]],Tableau5[],13,FALSE)</f>
        <v>0.54700000000000004</v>
      </c>
      <c r="AG208" s="12">
        <f>IF(Tableau2[[#This Row],[sdom]]="4OUEST",1,0)</f>
        <v>0</v>
      </c>
      <c r="AH208" s="12">
        <f>VLOOKUP(Tableau2[[#This Row],[essence]],Tableau5[],14,FALSE)</f>
        <v>0</v>
      </c>
      <c r="AI208" s="12">
        <f>IF(Tableau2[[#This Row],[sdom]]="5EST",1,0)</f>
        <v>0</v>
      </c>
      <c r="AJ208" s="12">
        <f>VLOOKUP(Tableau2[[#This Row],[essence]],Tableau5[],16,FALSE)</f>
        <v>0</v>
      </c>
      <c r="AK208" s="12">
        <f>IF(Tableau2[[#This Row],[sdom]]="5OUEST",1,0)</f>
        <v>1</v>
      </c>
      <c r="AL208" s="12">
        <f>VLOOKUP(Tableau2[[#This Row],[essence]],Tableau5[],17,FALSE)</f>
        <v>0</v>
      </c>
      <c r="AM208" s="12">
        <f>IF(Tableau2[[#This Row],[sdom]]="6EST",1,0)</f>
        <v>0</v>
      </c>
      <c r="AN208" s="12">
        <f>VLOOKUP(Tableau2[[#This Row],[essence]],Tableau5[],19,FALSE)</f>
        <v>4.2000000000000003E-2</v>
      </c>
      <c r="AO208" s="12">
        <f>IF(Tableau2[[#This Row],[priorecol]]="C",1,0)</f>
        <v>0</v>
      </c>
      <c r="AP208" s="12">
        <f>VLOOKUP(Tableau2[[#This Row],[essence]],Tableau5[],20,FALSE)</f>
        <v>0.111</v>
      </c>
      <c r="AQ208" s="12">
        <f>IF(Tableau2[[#This Row],[priorecol]]="R",1,0)</f>
        <v>0</v>
      </c>
      <c r="AR208" s="12">
        <f>VLOOKUP(Tableau2[[#This Row],[essence]],Tableau5[],21,FALSE)</f>
        <v>4.3600000000000002E-3</v>
      </c>
      <c r="AS208" s="12">
        <f>IF(Tableau2[[#This Row],[priorecol]]="S",1,0)</f>
        <v>1</v>
      </c>
      <c r="AT208" s="12">
        <f>VLOOKUP(Tableau2[[#This Row],[essence]],Tableau5[],22,FALSE)</f>
        <v>0</v>
      </c>
      <c r="AU208" s="12">
        <f>VLOOKUP(Tableau2[[#This Row],[essence]],Tableau5[],23,FALSE)</f>
        <v>0</v>
      </c>
      <c r="AV208" s="12">
        <f>VLOOKUP(Tableau2[[#This Row],[essence]],Tableau5[],18,FALSE)</f>
        <v>0</v>
      </c>
      <c r="AW20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0.89139999999999997</v>
      </c>
      <c r="AX208" s="12">
        <f>1/(1+EXP(-Tableau2[[#This Row],[xb_c]]))</f>
        <v>0.70917899890689451</v>
      </c>
      <c r="AY208" s="12" t="str">
        <f t="shared" si="6"/>
        <v>NA</v>
      </c>
      <c r="AZ208" s="12" t="str">
        <f t="shared" si="7"/>
        <v>NA</v>
      </c>
      <c r="BA208" s="12">
        <f>Tableau2[[#This Row],[prob_c]]</f>
        <v>0.70917899890689451</v>
      </c>
      <c r="BB208" s="12">
        <f>1-Tableau2[[#This Row],[prob_c]]</f>
        <v>0.29082100109310549</v>
      </c>
    </row>
    <row r="209" spans="1:54" x14ac:dyDescent="0.25">
      <c r="A209" s="12">
        <v>9</v>
      </c>
      <c r="B209" s="12" t="s">
        <v>17</v>
      </c>
      <c r="C209" s="12">
        <v>0.1</v>
      </c>
      <c r="D209" s="12">
        <v>700</v>
      </c>
      <c r="E209" s="12">
        <v>22</v>
      </c>
      <c r="F209" s="12">
        <v>0</v>
      </c>
      <c r="G209" s="12">
        <v>16</v>
      </c>
      <c r="H209" s="12">
        <v>31</v>
      </c>
      <c r="I209" s="12" t="s">
        <v>24</v>
      </c>
      <c r="J209" s="12" t="s">
        <v>27</v>
      </c>
      <c r="K209" s="12">
        <f>VLOOKUP(Tableau2[[#This Row],[essence]],Tableau5[],2,FALSE)</f>
        <v>1.9585999999999999</v>
      </c>
      <c r="L209" s="12">
        <f>VLOOKUP(Tableau2[[#This Row],[essence]],Tableau5[],3,FALSE)</f>
        <v>6.6000000000000003E-2</v>
      </c>
      <c r="M209" s="12">
        <f>IF(Tableau2[[#This Row],[priorecol]]="C",1,0)</f>
        <v>1</v>
      </c>
      <c r="N209" s="12">
        <f>VLOOKUP(Tableau2[[#This Row],[essence]],Tableau5[],4,FALSE)</f>
        <v>-1.9339999999999999</v>
      </c>
      <c r="O209" s="12">
        <f>IF(Tableau2[[#This Row],[priorecol]]="R",1,0)</f>
        <v>0</v>
      </c>
      <c r="P209" s="12">
        <f>VLOOKUP(Tableau2[[#This Row],[essence]],Tableau5[],5,FALSE)</f>
        <v>-4.4771999999999998</v>
      </c>
      <c r="Q209" s="12">
        <f>IF(Tableau2[[#This Row],[priorecol]]="S",1,0)</f>
        <v>0</v>
      </c>
      <c r="R209" s="12">
        <f>VLOOKUP(Tableau2[[#This Row],[essence]],Tableau5[],6,FALSE)</f>
        <v>-2.5499999999999998E-2</v>
      </c>
      <c r="S209" s="12">
        <f>VLOOKUP(Tableau2[[#This Row],[essence]],Tableau5[],15,FALSE)</f>
        <v>0</v>
      </c>
      <c r="T209" s="12">
        <f>VLOOKUP(Tableau2[[#This Row],[essence]],Tableau5[],7,FALSE)</f>
        <v>0</v>
      </c>
      <c r="U209" s="12">
        <f>IF(Tableau2[[#This Row],[sdom]]=1,1,0)</f>
        <v>0</v>
      </c>
      <c r="V209" s="12">
        <f>VLOOKUP(Tableau2[[#This Row],[essence]],Tableau5[],8,FALSE)</f>
        <v>0</v>
      </c>
      <c r="W209" s="12">
        <f>IF(Tableau2[[#This Row],[sdom]]="2EST",1,0)</f>
        <v>0</v>
      </c>
      <c r="X209" s="12">
        <f>VLOOKUP(Tableau2[[#This Row],[essence]],Tableau5[],9,FALSE)</f>
        <v>0</v>
      </c>
      <c r="Y209" s="12">
        <f>IF(Tableau2[[#This Row],[sdom]]="2OUEST",1,0)</f>
        <v>0</v>
      </c>
      <c r="Z209" s="12">
        <f>VLOOKUP(Tableau2[[#This Row],[essence]],Tableau5[],10,FALSE)</f>
        <v>0</v>
      </c>
      <c r="AA209" s="12">
        <f>IF(Tableau2[[#This Row],[sdom]]="3EST",1,0)</f>
        <v>0</v>
      </c>
      <c r="AB209" s="12">
        <f>VLOOKUP(Tableau2[[#This Row],[essence]],Tableau5[],11,FALSE)</f>
        <v>0</v>
      </c>
      <c r="AC209" s="12">
        <f>IF(Tableau2[[#This Row],[sdom]]="3OUEST",1,0)</f>
        <v>0</v>
      </c>
      <c r="AD209" s="12">
        <f>VLOOKUP(Tableau2[[#This Row],[essence]],Tableau5[],12,FALSE)</f>
        <v>0</v>
      </c>
      <c r="AE209" s="12">
        <f>IF(Tableau2[[#This Row],[sdom]]="4EST",1,0)</f>
        <v>0</v>
      </c>
      <c r="AF209" s="12">
        <f>VLOOKUP(Tableau2[[#This Row],[essence]],Tableau5[],13,FALSE)</f>
        <v>0</v>
      </c>
      <c r="AG209" s="12">
        <f>IF(Tableau2[[#This Row],[sdom]]="4OUEST",1,0)</f>
        <v>0</v>
      </c>
      <c r="AH209" s="12">
        <f>VLOOKUP(Tableau2[[#This Row],[essence]],Tableau5[],14,FALSE)</f>
        <v>0</v>
      </c>
      <c r="AI209" s="12">
        <f>IF(Tableau2[[#This Row],[sdom]]="5EST",1,0)</f>
        <v>0</v>
      </c>
      <c r="AJ209" s="12">
        <f>VLOOKUP(Tableau2[[#This Row],[essence]],Tableau5[],16,FALSE)</f>
        <v>0</v>
      </c>
      <c r="AK209" s="12">
        <f>IF(Tableau2[[#This Row],[sdom]]="5OUEST",1,0)</f>
        <v>1</v>
      </c>
      <c r="AL209" s="12">
        <f>VLOOKUP(Tableau2[[#This Row],[essence]],Tableau5[],17,FALSE)</f>
        <v>0</v>
      </c>
      <c r="AM209" s="12">
        <f>IF(Tableau2[[#This Row],[sdom]]="6EST",1,0)</f>
        <v>0</v>
      </c>
      <c r="AN209" s="12">
        <f>VLOOKUP(Tableau2[[#This Row],[essence]],Tableau5[],19,FALSE)</f>
        <v>4.2599999999999999E-2</v>
      </c>
      <c r="AO209" s="12">
        <f>IF(Tableau2[[#This Row],[priorecol]]="C",1,0)</f>
        <v>1</v>
      </c>
      <c r="AP209" s="12">
        <f>VLOOKUP(Tableau2[[#This Row],[essence]],Tableau5[],20,FALSE)</f>
        <v>0.17699999999999999</v>
      </c>
      <c r="AQ209" s="12">
        <f>IF(Tableau2[[#This Row],[priorecol]]="R",1,0)</f>
        <v>0</v>
      </c>
      <c r="AR209" s="12">
        <f>VLOOKUP(Tableau2[[#This Row],[essence]],Tableau5[],21,FALSE)</f>
        <v>0.19650000000000001</v>
      </c>
      <c r="AS209" s="12">
        <f>IF(Tableau2[[#This Row],[priorecol]]="S",1,0)</f>
        <v>0</v>
      </c>
      <c r="AT209" s="12">
        <f>VLOOKUP(Tableau2[[#This Row],[essence]],Tableau5[],22,FALSE)</f>
        <v>0</v>
      </c>
      <c r="AU209" s="12">
        <f>VLOOKUP(Tableau2[[#This Row],[essence]],Tableau5[],23,FALSE)</f>
        <v>0</v>
      </c>
      <c r="AV209" s="12">
        <f>VLOOKUP(Tableau2[[#This Row],[essence]],Tableau5[],18,FALSE)</f>
        <v>0</v>
      </c>
      <c r="AW20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2.5547</v>
      </c>
      <c r="AX209" s="12">
        <f>1/(1+EXP(-Tableau2[[#This Row],[xb_c]]))</f>
        <v>0.92788863098303642</v>
      </c>
      <c r="AY209" s="12" t="str">
        <f t="shared" si="6"/>
        <v>NA</v>
      </c>
      <c r="AZ209" s="12" t="str">
        <f t="shared" si="7"/>
        <v>NA</v>
      </c>
      <c r="BA209" s="12">
        <f>Tableau2[[#This Row],[prob_c]]</f>
        <v>0.92788863098303642</v>
      </c>
      <c r="BB209" s="12">
        <f>1-Tableau2[[#This Row],[prob_c]]</f>
        <v>7.2111369016963578E-2</v>
      </c>
    </row>
    <row r="210" spans="1:54" x14ac:dyDescent="0.25">
      <c r="A210" s="12">
        <v>9</v>
      </c>
      <c r="B210" s="12" t="s">
        <v>17</v>
      </c>
      <c r="C210" s="12">
        <v>0.1</v>
      </c>
      <c r="D210" s="12">
        <v>700</v>
      </c>
      <c r="E210" s="12">
        <v>22</v>
      </c>
      <c r="F210" s="12">
        <v>0</v>
      </c>
      <c r="G210" s="12">
        <v>17</v>
      </c>
      <c r="H210" s="12">
        <v>32</v>
      </c>
      <c r="I210" s="12" t="s">
        <v>24</v>
      </c>
      <c r="J210" s="12" t="s">
        <v>28</v>
      </c>
      <c r="K210" s="12">
        <f>VLOOKUP(Tableau2[[#This Row],[essence]],Tableau5[],2,FALSE)</f>
        <v>1.9585999999999999</v>
      </c>
      <c r="L210" s="12">
        <f>VLOOKUP(Tableau2[[#This Row],[essence]],Tableau5[],3,FALSE)</f>
        <v>6.6000000000000003E-2</v>
      </c>
      <c r="M210" s="12">
        <f>IF(Tableau2[[#This Row],[priorecol]]="C",1,0)</f>
        <v>0</v>
      </c>
      <c r="N210" s="12">
        <f>VLOOKUP(Tableau2[[#This Row],[essence]],Tableau5[],4,FALSE)</f>
        <v>-1.9339999999999999</v>
      </c>
      <c r="O210" s="12">
        <f>IF(Tableau2[[#This Row],[priorecol]]="R",1,0)</f>
        <v>1</v>
      </c>
      <c r="P210" s="12">
        <f>VLOOKUP(Tableau2[[#This Row],[essence]],Tableau5[],5,FALSE)</f>
        <v>-4.4771999999999998</v>
      </c>
      <c r="Q210" s="12">
        <f>IF(Tableau2[[#This Row],[priorecol]]="S",1,0)</f>
        <v>0</v>
      </c>
      <c r="R210" s="12">
        <f>VLOOKUP(Tableau2[[#This Row],[essence]],Tableau5[],6,FALSE)</f>
        <v>-2.5499999999999998E-2</v>
      </c>
      <c r="S210" s="12">
        <f>VLOOKUP(Tableau2[[#This Row],[essence]],Tableau5[],15,FALSE)</f>
        <v>0</v>
      </c>
      <c r="T210" s="12">
        <f>VLOOKUP(Tableau2[[#This Row],[essence]],Tableau5[],7,FALSE)</f>
        <v>0</v>
      </c>
      <c r="U210" s="12">
        <f>IF(Tableau2[[#This Row],[sdom]]=1,1,0)</f>
        <v>0</v>
      </c>
      <c r="V210" s="12">
        <f>VLOOKUP(Tableau2[[#This Row],[essence]],Tableau5[],8,FALSE)</f>
        <v>0</v>
      </c>
      <c r="W210" s="12">
        <f>IF(Tableau2[[#This Row],[sdom]]="2EST",1,0)</f>
        <v>0</v>
      </c>
      <c r="X210" s="12">
        <f>VLOOKUP(Tableau2[[#This Row],[essence]],Tableau5[],9,FALSE)</f>
        <v>0</v>
      </c>
      <c r="Y210" s="12">
        <f>IF(Tableau2[[#This Row],[sdom]]="2OUEST",1,0)</f>
        <v>0</v>
      </c>
      <c r="Z210" s="12">
        <f>VLOOKUP(Tableau2[[#This Row],[essence]],Tableau5[],10,FALSE)</f>
        <v>0</v>
      </c>
      <c r="AA210" s="12">
        <f>IF(Tableau2[[#This Row],[sdom]]="3EST",1,0)</f>
        <v>0</v>
      </c>
      <c r="AB210" s="12">
        <f>VLOOKUP(Tableau2[[#This Row],[essence]],Tableau5[],11,FALSE)</f>
        <v>0</v>
      </c>
      <c r="AC210" s="12">
        <f>IF(Tableau2[[#This Row],[sdom]]="3OUEST",1,0)</f>
        <v>0</v>
      </c>
      <c r="AD210" s="12">
        <f>VLOOKUP(Tableau2[[#This Row],[essence]],Tableau5[],12,FALSE)</f>
        <v>0</v>
      </c>
      <c r="AE210" s="12">
        <f>IF(Tableau2[[#This Row],[sdom]]="4EST",1,0)</f>
        <v>0</v>
      </c>
      <c r="AF210" s="12">
        <f>VLOOKUP(Tableau2[[#This Row],[essence]],Tableau5[],13,FALSE)</f>
        <v>0</v>
      </c>
      <c r="AG210" s="12">
        <f>IF(Tableau2[[#This Row],[sdom]]="4OUEST",1,0)</f>
        <v>0</v>
      </c>
      <c r="AH210" s="12">
        <f>VLOOKUP(Tableau2[[#This Row],[essence]],Tableau5[],14,FALSE)</f>
        <v>0</v>
      </c>
      <c r="AI210" s="12">
        <f>IF(Tableau2[[#This Row],[sdom]]="5EST",1,0)</f>
        <v>0</v>
      </c>
      <c r="AJ210" s="12">
        <f>VLOOKUP(Tableau2[[#This Row],[essence]],Tableau5[],16,FALSE)</f>
        <v>0</v>
      </c>
      <c r="AK210" s="12">
        <f>IF(Tableau2[[#This Row],[sdom]]="5OUEST",1,0)</f>
        <v>1</v>
      </c>
      <c r="AL210" s="12">
        <f>VLOOKUP(Tableau2[[#This Row],[essence]],Tableau5[],17,FALSE)</f>
        <v>0</v>
      </c>
      <c r="AM210" s="12">
        <f>IF(Tableau2[[#This Row],[sdom]]="6EST",1,0)</f>
        <v>0</v>
      </c>
      <c r="AN210" s="12">
        <f>VLOOKUP(Tableau2[[#This Row],[essence]],Tableau5[],19,FALSE)</f>
        <v>4.2599999999999999E-2</v>
      </c>
      <c r="AO210" s="12">
        <f>IF(Tableau2[[#This Row],[priorecol]]="C",1,0)</f>
        <v>0</v>
      </c>
      <c r="AP210" s="12">
        <f>VLOOKUP(Tableau2[[#This Row],[essence]],Tableau5[],20,FALSE)</f>
        <v>0.17699999999999999</v>
      </c>
      <c r="AQ210" s="12">
        <f>IF(Tableau2[[#This Row],[priorecol]]="R",1,0)</f>
        <v>1</v>
      </c>
      <c r="AR210" s="12">
        <f>VLOOKUP(Tableau2[[#This Row],[essence]],Tableau5[],21,FALSE)</f>
        <v>0.19650000000000001</v>
      </c>
      <c r="AS210" s="12">
        <f>IF(Tableau2[[#This Row],[priorecol]]="S",1,0)</f>
        <v>0</v>
      </c>
      <c r="AT210" s="12">
        <f>VLOOKUP(Tableau2[[#This Row],[essence]],Tableau5[],22,FALSE)</f>
        <v>0</v>
      </c>
      <c r="AU210" s="12">
        <f>VLOOKUP(Tableau2[[#This Row],[essence]],Tableau5[],23,FALSE)</f>
        <v>0</v>
      </c>
      <c r="AV210" s="12">
        <f>VLOOKUP(Tableau2[[#This Row],[essence]],Tableau5[],18,FALSE)</f>
        <v>0</v>
      </c>
      <c r="AW21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4.8725999999999994</v>
      </c>
      <c r="AX210" s="12">
        <f>1/(1+EXP(-Tableau2[[#This Row],[xb_c]]))</f>
        <v>0.99240468980264895</v>
      </c>
      <c r="AY210" s="12" t="str">
        <f t="shared" si="6"/>
        <v>NA</v>
      </c>
      <c r="AZ210" s="12" t="str">
        <f t="shared" si="7"/>
        <v>NA</v>
      </c>
      <c r="BA210" s="12">
        <f>Tableau2[[#This Row],[prob_c]]</f>
        <v>0.99240468980264895</v>
      </c>
      <c r="BB210" s="12">
        <f>1-Tableau2[[#This Row],[prob_c]]</f>
        <v>7.5953101973510462E-3</v>
      </c>
    </row>
    <row r="211" spans="1:54" x14ac:dyDescent="0.25">
      <c r="A211" s="12">
        <v>9</v>
      </c>
      <c r="B211" s="12" t="s">
        <v>17</v>
      </c>
      <c r="C211" s="12">
        <v>0.1</v>
      </c>
      <c r="D211" s="12">
        <v>700</v>
      </c>
      <c r="E211" s="12">
        <v>22</v>
      </c>
      <c r="F211" s="12">
        <v>0</v>
      </c>
      <c r="G211" s="12">
        <v>18</v>
      </c>
      <c r="H211" s="12">
        <v>33</v>
      </c>
      <c r="I211" s="12" t="s">
        <v>24</v>
      </c>
      <c r="J211" s="12" t="s">
        <v>29</v>
      </c>
      <c r="K211" s="12">
        <f>VLOOKUP(Tableau2[[#This Row],[essence]],Tableau5[],2,FALSE)</f>
        <v>1.9585999999999999</v>
      </c>
      <c r="L211" s="12">
        <f>VLOOKUP(Tableau2[[#This Row],[essence]],Tableau5[],3,FALSE)</f>
        <v>6.6000000000000003E-2</v>
      </c>
      <c r="M211" s="12">
        <f>IF(Tableau2[[#This Row],[priorecol]]="C",1,0)</f>
        <v>0</v>
      </c>
      <c r="N211" s="12">
        <f>VLOOKUP(Tableau2[[#This Row],[essence]],Tableau5[],4,FALSE)</f>
        <v>-1.9339999999999999</v>
      </c>
      <c r="O211" s="12">
        <f>IF(Tableau2[[#This Row],[priorecol]]="R",1,0)</f>
        <v>0</v>
      </c>
      <c r="P211" s="12">
        <f>VLOOKUP(Tableau2[[#This Row],[essence]],Tableau5[],5,FALSE)</f>
        <v>-4.4771999999999998</v>
      </c>
      <c r="Q211" s="12">
        <f>IF(Tableau2[[#This Row],[priorecol]]="S",1,0)</f>
        <v>1</v>
      </c>
      <c r="R211" s="12">
        <f>VLOOKUP(Tableau2[[#This Row],[essence]],Tableau5[],6,FALSE)</f>
        <v>-2.5499999999999998E-2</v>
      </c>
      <c r="S211" s="12">
        <f>VLOOKUP(Tableau2[[#This Row],[essence]],Tableau5[],15,FALSE)</f>
        <v>0</v>
      </c>
      <c r="T211" s="12">
        <f>VLOOKUP(Tableau2[[#This Row],[essence]],Tableau5[],7,FALSE)</f>
        <v>0</v>
      </c>
      <c r="U211" s="12">
        <f>IF(Tableau2[[#This Row],[sdom]]=1,1,0)</f>
        <v>0</v>
      </c>
      <c r="V211" s="12">
        <f>VLOOKUP(Tableau2[[#This Row],[essence]],Tableau5[],8,FALSE)</f>
        <v>0</v>
      </c>
      <c r="W211" s="12">
        <f>IF(Tableau2[[#This Row],[sdom]]="2EST",1,0)</f>
        <v>0</v>
      </c>
      <c r="X211" s="12">
        <f>VLOOKUP(Tableau2[[#This Row],[essence]],Tableau5[],9,FALSE)</f>
        <v>0</v>
      </c>
      <c r="Y211" s="12">
        <f>IF(Tableau2[[#This Row],[sdom]]="2OUEST",1,0)</f>
        <v>0</v>
      </c>
      <c r="Z211" s="12">
        <f>VLOOKUP(Tableau2[[#This Row],[essence]],Tableau5[],10,FALSE)</f>
        <v>0</v>
      </c>
      <c r="AA211" s="12">
        <f>IF(Tableau2[[#This Row],[sdom]]="3EST",1,0)</f>
        <v>0</v>
      </c>
      <c r="AB211" s="12">
        <f>VLOOKUP(Tableau2[[#This Row],[essence]],Tableau5[],11,FALSE)</f>
        <v>0</v>
      </c>
      <c r="AC211" s="12">
        <f>IF(Tableau2[[#This Row],[sdom]]="3OUEST",1,0)</f>
        <v>0</v>
      </c>
      <c r="AD211" s="12">
        <f>VLOOKUP(Tableau2[[#This Row],[essence]],Tableau5[],12,FALSE)</f>
        <v>0</v>
      </c>
      <c r="AE211" s="12">
        <f>IF(Tableau2[[#This Row],[sdom]]="4EST",1,0)</f>
        <v>0</v>
      </c>
      <c r="AF211" s="12">
        <f>VLOOKUP(Tableau2[[#This Row],[essence]],Tableau5[],13,FALSE)</f>
        <v>0</v>
      </c>
      <c r="AG211" s="12">
        <f>IF(Tableau2[[#This Row],[sdom]]="4OUEST",1,0)</f>
        <v>0</v>
      </c>
      <c r="AH211" s="12">
        <f>VLOOKUP(Tableau2[[#This Row],[essence]],Tableau5[],14,FALSE)</f>
        <v>0</v>
      </c>
      <c r="AI211" s="12">
        <f>IF(Tableau2[[#This Row],[sdom]]="5EST",1,0)</f>
        <v>0</v>
      </c>
      <c r="AJ211" s="12">
        <f>VLOOKUP(Tableau2[[#This Row],[essence]],Tableau5[],16,FALSE)</f>
        <v>0</v>
      </c>
      <c r="AK211" s="12">
        <f>IF(Tableau2[[#This Row],[sdom]]="5OUEST",1,0)</f>
        <v>1</v>
      </c>
      <c r="AL211" s="12">
        <f>VLOOKUP(Tableau2[[#This Row],[essence]],Tableau5[],17,FALSE)</f>
        <v>0</v>
      </c>
      <c r="AM211" s="12">
        <f>IF(Tableau2[[#This Row],[sdom]]="6EST",1,0)</f>
        <v>0</v>
      </c>
      <c r="AN211" s="12">
        <f>VLOOKUP(Tableau2[[#This Row],[essence]],Tableau5[],19,FALSE)</f>
        <v>4.2599999999999999E-2</v>
      </c>
      <c r="AO211" s="12">
        <f>IF(Tableau2[[#This Row],[priorecol]]="C",1,0)</f>
        <v>0</v>
      </c>
      <c r="AP211" s="12">
        <f>VLOOKUP(Tableau2[[#This Row],[essence]],Tableau5[],20,FALSE)</f>
        <v>0.17699999999999999</v>
      </c>
      <c r="AQ211" s="12">
        <f>IF(Tableau2[[#This Row],[priorecol]]="R",1,0)</f>
        <v>0</v>
      </c>
      <c r="AR211" s="12">
        <f>VLOOKUP(Tableau2[[#This Row],[essence]],Tableau5[],21,FALSE)</f>
        <v>0.19650000000000001</v>
      </c>
      <c r="AS211" s="12">
        <f>IF(Tableau2[[#This Row],[priorecol]]="S",1,0)</f>
        <v>1</v>
      </c>
      <c r="AT211" s="12">
        <f>VLOOKUP(Tableau2[[#This Row],[essence]],Tableau5[],22,FALSE)</f>
        <v>0</v>
      </c>
      <c r="AU211" s="12">
        <f>VLOOKUP(Tableau2[[#This Row],[essence]],Tableau5[],23,FALSE)</f>
        <v>0</v>
      </c>
      <c r="AV211" s="12">
        <f>VLOOKUP(Tableau2[[#This Row],[essence]],Tableau5[],18,FALSE)</f>
        <v>0</v>
      </c>
      <c r="AW21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3.1244000000000005</v>
      </c>
      <c r="AX211" s="12">
        <f>1/(1+EXP(-Tableau2[[#This Row],[xb_c]]))</f>
        <v>0.95788807562654943</v>
      </c>
      <c r="AY211" s="12" t="str">
        <f t="shared" si="6"/>
        <v>NA</v>
      </c>
      <c r="AZ211" s="12" t="str">
        <f t="shared" si="7"/>
        <v>NA</v>
      </c>
      <c r="BA211" s="12">
        <f>Tableau2[[#This Row],[prob_c]]</f>
        <v>0.95788807562654943</v>
      </c>
      <c r="BB211" s="12">
        <f>1-Tableau2[[#This Row],[prob_c]]</f>
        <v>4.2111924373450571E-2</v>
      </c>
    </row>
    <row r="212" spans="1:54" x14ac:dyDescent="0.25">
      <c r="A212" s="12">
        <v>9</v>
      </c>
      <c r="B212" s="12" t="s">
        <v>17</v>
      </c>
      <c r="C212" s="12">
        <v>0.1</v>
      </c>
      <c r="D212" s="12">
        <v>700</v>
      </c>
      <c r="E212" s="12">
        <v>22</v>
      </c>
      <c r="F212" s="12">
        <v>0</v>
      </c>
      <c r="G212" s="12">
        <v>19</v>
      </c>
      <c r="H212" s="12">
        <v>24</v>
      </c>
      <c r="I212" s="12" t="s">
        <v>25</v>
      </c>
      <c r="J212" s="12" t="s">
        <v>27</v>
      </c>
      <c r="K212" s="12">
        <f>VLOOKUP(Tableau2[[#This Row],[essence]],Tableau5[],2,FALSE)</f>
        <v>-2.4066000000000001</v>
      </c>
      <c r="L212" s="12">
        <f>VLOOKUP(Tableau2[[#This Row],[essence]],Tableau5[],3,FALSE)</f>
        <v>1.0301</v>
      </c>
      <c r="M212" s="12">
        <f>IF(Tableau2[[#This Row],[priorecol]]="C",1,0)</f>
        <v>1</v>
      </c>
      <c r="N212" s="12">
        <f>VLOOKUP(Tableau2[[#This Row],[essence]],Tableau5[],4,FALSE)</f>
        <v>1.9907999999999999</v>
      </c>
      <c r="O212" s="12">
        <f>IF(Tableau2[[#This Row],[priorecol]]="R",1,0)</f>
        <v>0</v>
      </c>
      <c r="P212" s="12">
        <f>VLOOKUP(Tableau2[[#This Row],[essence]],Tableau5[],5,FALSE)</f>
        <v>1.1955</v>
      </c>
      <c r="Q212" s="12">
        <f>IF(Tableau2[[#This Row],[priorecol]]="S",1,0)</f>
        <v>0</v>
      </c>
      <c r="R212" s="12">
        <f>VLOOKUP(Tableau2[[#This Row],[essence]],Tableau5[],6,FALSE)</f>
        <v>4.2599999999999999E-2</v>
      </c>
      <c r="S212" s="12">
        <f>VLOOKUP(Tableau2[[#This Row],[essence]],Tableau5[],15,FALSE)</f>
        <v>1.3299999999999999E-2</v>
      </c>
      <c r="T212" s="12">
        <f>VLOOKUP(Tableau2[[#This Row],[essence]],Tableau5[],7,FALSE)</f>
        <v>0</v>
      </c>
      <c r="U212" s="12">
        <f>IF(Tableau2[[#This Row],[sdom]]=1,1,0)</f>
        <v>0</v>
      </c>
      <c r="V212" s="12">
        <f>VLOOKUP(Tableau2[[#This Row],[essence]],Tableau5[],8,FALSE)</f>
        <v>0.72299999999999998</v>
      </c>
      <c r="W212" s="12">
        <f>IF(Tableau2[[#This Row],[sdom]]="2EST",1,0)</f>
        <v>0</v>
      </c>
      <c r="X212" s="12">
        <f>VLOOKUP(Tableau2[[#This Row],[essence]],Tableau5[],9,FALSE)</f>
        <v>0.28749999999999998</v>
      </c>
      <c r="Y212" s="12">
        <f>IF(Tableau2[[#This Row],[sdom]]="2OUEST",1,0)</f>
        <v>0</v>
      </c>
      <c r="Z212" s="12">
        <f>VLOOKUP(Tableau2[[#This Row],[essence]],Tableau5[],10,FALSE)</f>
        <v>0.5746</v>
      </c>
      <c r="AA212" s="12">
        <f>IF(Tableau2[[#This Row],[sdom]]="3EST",1,0)</f>
        <v>0</v>
      </c>
      <c r="AB212" s="12">
        <f>VLOOKUP(Tableau2[[#This Row],[essence]],Tableau5[],11,FALSE)</f>
        <v>0.40360000000000001</v>
      </c>
      <c r="AC212" s="12">
        <f>IF(Tableau2[[#This Row],[sdom]]="3OUEST",1,0)</f>
        <v>0</v>
      </c>
      <c r="AD212" s="12">
        <f>VLOOKUP(Tableau2[[#This Row],[essence]],Tableau5[],12,FALSE)</f>
        <v>0</v>
      </c>
      <c r="AE212" s="12">
        <f>IF(Tableau2[[#This Row],[sdom]]="4EST",1,0)</f>
        <v>0</v>
      </c>
      <c r="AF212" s="12">
        <f>VLOOKUP(Tableau2[[#This Row],[essence]],Tableau5[],13,FALSE)</f>
        <v>0</v>
      </c>
      <c r="AG212" s="12">
        <f>IF(Tableau2[[#This Row],[sdom]]="4OUEST",1,0)</f>
        <v>0</v>
      </c>
      <c r="AH212" s="12">
        <f>VLOOKUP(Tableau2[[#This Row],[essence]],Tableau5[],14,FALSE)</f>
        <v>0</v>
      </c>
      <c r="AI212" s="12">
        <f>IF(Tableau2[[#This Row],[sdom]]="5EST",1,0)</f>
        <v>0</v>
      </c>
      <c r="AJ212" s="12">
        <f>VLOOKUP(Tableau2[[#This Row],[essence]],Tableau5[],16,FALSE)</f>
        <v>0</v>
      </c>
      <c r="AK212" s="12">
        <f>IF(Tableau2[[#This Row],[sdom]]="5OUEST",1,0)</f>
        <v>1</v>
      </c>
      <c r="AL212" s="12">
        <f>VLOOKUP(Tableau2[[#This Row],[essence]],Tableau5[],17,FALSE)</f>
        <v>0</v>
      </c>
      <c r="AM212" s="12">
        <f>IF(Tableau2[[#This Row],[sdom]]="6EST",1,0)</f>
        <v>0</v>
      </c>
      <c r="AN212" s="12">
        <f>VLOOKUP(Tableau2[[#This Row],[essence]],Tableau5[],19,FALSE)</f>
        <v>0</v>
      </c>
      <c r="AO212" s="12">
        <f>IF(Tableau2[[#This Row],[priorecol]]="C",1,0)</f>
        <v>1</v>
      </c>
      <c r="AP212" s="12">
        <f>VLOOKUP(Tableau2[[#This Row],[essence]],Tableau5[],20,FALSE)</f>
        <v>0</v>
      </c>
      <c r="AQ212" s="12">
        <f>IF(Tableau2[[#This Row],[priorecol]]="R",1,0)</f>
        <v>0</v>
      </c>
      <c r="AR212" s="12">
        <f>VLOOKUP(Tableau2[[#This Row],[essence]],Tableau5[],21,FALSE)</f>
        <v>0</v>
      </c>
      <c r="AS212" s="12">
        <f>IF(Tableau2[[#This Row],[priorecol]]="S",1,0)</f>
        <v>0</v>
      </c>
      <c r="AT212" s="12">
        <f>VLOOKUP(Tableau2[[#This Row],[essence]],Tableau5[],22,FALSE)</f>
        <v>0.36130000000000001</v>
      </c>
      <c r="AU212" s="12">
        <f>VLOOKUP(Tableau2[[#This Row],[essence]],Tableau5[],23,FALSE)</f>
        <v>0</v>
      </c>
      <c r="AV212" s="12">
        <f>VLOOKUP(Tableau2[[#This Row],[essence]],Tableau5[],18,FALSE)</f>
        <v>0</v>
      </c>
      <c r="AW21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-6.150000000000011E-2</v>
      </c>
      <c r="AX212" s="12">
        <f>1/(1+EXP(-Tableau2[[#This Row],[xb_c]]))</f>
        <v>0.48462984417563237</v>
      </c>
      <c r="AY212" s="12" t="str">
        <f t="shared" si="6"/>
        <v>NA</v>
      </c>
      <c r="AZ212" s="12" t="str">
        <f t="shared" si="7"/>
        <v>NA</v>
      </c>
      <c r="BA212" s="12">
        <f>Tableau2[[#This Row],[prob_c]]</f>
        <v>0.48462984417563237</v>
      </c>
      <c r="BB212" s="12">
        <f>1-Tableau2[[#This Row],[prob_c]]</f>
        <v>0.51537015582436763</v>
      </c>
    </row>
    <row r="213" spans="1:54" x14ac:dyDescent="0.25">
      <c r="A213" s="12">
        <v>9</v>
      </c>
      <c r="B213" s="12" t="s">
        <v>17</v>
      </c>
      <c r="C213" s="12">
        <v>0.1</v>
      </c>
      <c r="D213" s="12">
        <v>700</v>
      </c>
      <c r="E213" s="12">
        <v>22</v>
      </c>
      <c r="F213" s="12">
        <v>0</v>
      </c>
      <c r="G213" s="12">
        <v>20</v>
      </c>
      <c r="H213" s="12">
        <v>25</v>
      </c>
      <c r="I213" s="12" t="s">
        <v>25</v>
      </c>
      <c r="J213" s="12" t="s">
        <v>28</v>
      </c>
      <c r="K213" s="12">
        <f>VLOOKUP(Tableau2[[#This Row],[essence]],Tableau5[],2,FALSE)</f>
        <v>-2.4066000000000001</v>
      </c>
      <c r="L213" s="12">
        <f>VLOOKUP(Tableau2[[#This Row],[essence]],Tableau5[],3,FALSE)</f>
        <v>1.0301</v>
      </c>
      <c r="M213" s="12">
        <f>IF(Tableau2[[#This Row],[priorecol]]="C",1,0)</f>
        <v>0</v>
      </c>
      <c r="N213" s="12">
        <f>VLOOKUP(Tableau2[[#This Row],[essence]],Tableau5[],4,FALSE)</f>
        <v>1.9907999999999999</v>
      </c>
      <c r="O213" s="12">
        <f>IF(Tableau2[[#This Row],[priorecol]]="R",1,0)</f>
        <v>1</v>
      </c>
      <c r="P213" s="12">
        <f>VLOOKUP(Tableau2[[#This Row],[essence]],Tableau5[],5,FALSE)</f>
        <v>1.1955</v>
      </c>
      <c r="Q213" s="12">
        <f>IF(Tableau2[[#This Row],[priorecol]]="S",1,0)</f>
        <v>0</v>
      </c>
      <c r="R213" s="12">
        <f>VLOOKUP(Tableau2[[#This Row],[essence]],Tableau5[],6,FALSE)</f>
        <v>4.2599999999999999E-2</v>
      </c>
      <c r="S213" s="12">
        <f>VLOOKUP(Tableau2[[#This Row],[essence]],Tableau5[],15,FALSE)</f>
        <v>1.3299999999999999E-2</v>
      </c>
      <c r="T213" s="12">
        <f>VLOOKUP(Tableau2[[#This Row],[essence]],Tableau5[],7,FALSE)</f>
        <v>0</v>
      </c>
      <c r="U213" s="12">
        <f>IF(Tableau2[[#This Row],[sdom]]=1,1,0)</f>
        <v>0</v>
      </c>
      <c r="V213" s="12">
        <f>VLOOKUP(Tableau2[[#This Row],[essence]],Tableau5[],8,FALSE)</f>
        <v>0.72299999999999998</v>
      </c>
      <c r="W213" s="12">
        <f>IF(Tableau2[[#This Row],[sdom]]="2EST",1,0)</f>
        <v>0</v>
      </c>
      <c r="X213" s="12">
        <f>VLOOKUP(Tableau2[[#This Row],[essence]],Tableau5[],9,FALSE)</f>
        <v>0.28749999999999998</v>
      </c>
      <c r="Y213" s="12">
        <f>IF(Tableau2[[#This Row],[sdom]]="2OUEST",1,0)</f>
        <v>0</v>
      </c>
      <c r="Z213" s="12">
        <f>VLOOKUP(Tableau2[[#This Row],[essence]],Tableau5[],10,FALSE)</f>
        <v>0.5746</v>
      </c>
      <c r="AA213" s="12">
        <f>IF(Tableau2[[#This Row],[sdom]]="3EST",1,0)</f>
        <v>0</v>
      </c>
      <c r="AB213" s="12">
        <f>VLOOKUP(Tableau2[[#This Row],[essence]],Tableau5[],11,FALSE)</f>
        <v>0.40360000000000001</v>
      </c>
      <c r="AC213" s="12">
        <f>IF(Tableau2[[#This Row],[sdom]]="3OUEST",1,0)</f>
        <v>0</v>
      </c>
      <c r="AD213" s="12">
        <f>VLOOKUP(Tableau2[[#This Row],[essence]],Tableau5[],12,FALSE)</f>
        <v>0</v>
      </c>
      <c r="AE213" s="12">
        <f>IF(Tableau2[[#This Row],[sdom]]="4EST",1,0)</f>
        <v>0</v>
      </c>
      <c r="AF213" s="12">
        <f>VLOOKUP(Tableau2[[#This Row],[essence]],Tableau5[],13,FALSE)</f>
        <v>0</v>
      </c>
      <c r="AG213" s="12">
        <f>IF(Tableau2[[#This Row],[sdom]]="4OUEST",1,0)</f>
        <v>0</v>
      </c>
      <c r="AH213" s="12">
        <f>VLOOKUP(Tableau2[[#This Row],[essence]],Tableau5[],14,FALSE)</f>
        <v>0</v>
      </c>
      <c r="AI213" s="12">
        <f>IF(Tableau2[[#This Row],[sdom]]="5EST",1,0)</f>
        <v>0</v>
      </c>
      <c r="AJ213" s="12">
        <f>VLOOKUP(Tableau2[[#This Row],[essence]],Tableau5[],16,FALSE)</f>
        <v>0</v>
      </c>
      <c r="AK213" s="12">
        <f>IF(Tableau2[[#This Row],[sdom]]="5OUEST",1,0)</f>
        <v>1</v>
      </c>
      <c r="AL213" s="12">
        <f>VLOOKUP(Tableau2[[#This Row],[essence]],Tableau5[],17,FALSE)</f>
        <v>0</v>
      </c>
      <c r="AM213" s="12">
        <f>IF(Tableau2[[#This Row],[sdom]]="6EST",1,0)</f>
        <v>0</v>
      </c>
      <c r="AN213" s="12">
        <f>VLOOKUP(Tableau2[[#This Row],[essence]],Tableau5[],19,FALSE)</f>
        <v>0</v>
      </c>
      <c r="AO213" s="12">
        <f>IF(Tableau2[[#This Row],[priorecol]]="C",1,0)</f>
        <v>0</v>
      </c>
      <c r="AP213" s="12">
        <f>VLOOKUP(Tableau2[[#This Row],[essence]],Tableau5[],20,FALSE)</f>
        <v>0</v>
      </c>
      <c r="AQ213" s="12">
        <f>IF(Tableau2[[#This Row],[priorecol]]="R",1,0)</f>
        <v>1</v>
      </c>
      <c r="AR213" s="12">
        <f>VLOOKUP(Tableau2[[#This Row],[essence]],Tableau5[],21,FALSE)</f>
        <v>0</v>
      </c>
      <c r="AS213" s="12">
        <f>IF(Tableau2[[#This Row],[priorecol]]="S",1,0)</f>
        <v>0</v>
      </c>
      <c r="AT213" s="12">
        <f>VLOOKUP(Tableau2[[#This Row],[essence]],Tableau5[],22,FALSE)</f>
        <v>0.36130000000000001</v>
      </c>
      <c r="AU213" s="12">
        <f>VLOOKUP(Tableau2[[#This Row],[essence]],Tableau5[],23,FALSE)</f>
        <v>0</v>
      </c>
      <c r="AV213" s="12">
        <f>VLOOKUP(Tableau2[[#This Row],[essence]],Tableau5[],18,FALSE)</f>
        <v>0</v>
      </c>
      <c r="AW21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0.94179999999999975</v>
      </c>
      <c r="AX213" s="12">
        <f>1/(1+EXP(-Tableau2[[#This Row],[xb_c]]))</f>
        <v>0.71946310559400073</v>
      </c>
      <c r="AY213" s="12" t="str">
        <f t="shared" si="6"/>
        <v>NA</v>
      </c>
      <c r="AZ213" s="12" t="str">
        <f t="shared" si="7"/>
        <v>NA</v>
      </c>
      <c r="BA213" s="12">
        <f>Tableau2[[#This Row],[prob_c]]</f>
        <v>0.71946310559400073</v>
      </c>
      <c r="BB213" s="12">
        <f>1-Tableau2[[#This Row],[prob_c]]</f>
        <v>0.28053689440599927</v>
      </c>
    </row>
    <row r="214" spans="1:54" x14ac:dyDescent="0.25">
      <c r="A214" s="12">
        <v>9</v>
      </c>
      <c r="B214" s="12" t="s">
        <v>17</v>
      </c>
      <c r="C214" s="12">
        <v>0.1</v>
      </c>
      <c r="D214" s="12">
        <v>700</v>
      </c>
      <c r="E214" s="12">
        <v>22</v>
      </c>
      <c r="F214" s="12">
        <v>0</v>
      </c>
      <c r="G214" s="12">
        <v>21</v>
      </c>
      <c r="H214" s="12">
        <v>26</v>
      </c>
      <c r="I214" s="12" t="s">
        <v>25</v>
      </c>
      <c r="J214" s="12" t="s">
        <v>29</v>
      </c>
      <c r="K214" s="12">
        <f>VLOOKUP(Tableau2[[#This Row],[essence]],Tableau5[],2,FALSE)</f>
        <v>-2.4066000000000001</v>
      </c>
      <c r="L214" s="12">
        <f>VLOOKUP(Tableau2[[#This Row],[essence]],Tableau5[],3,FALSE)</f>
        <v>1.0301</v>
      </c>
      <c r="M214" s="12">
        <f>IF(Tableau2[[#This Row],[priorecol]]="C",1,0)</f>
        <v>0</v>
      </c>
      <c r="N214" s="12">
        <f>VLOOKUP(Tableau2[[#This Row],[essence]],Tableau5[],4,FALSE)</f>
        <v>1.9907999999999999</v>
      </c>
      <c r="O214" s="12">
        <f>IF(Tableau2[[#This Row],[priorecol]]="R",1,0)</f>
        <v>0</v>
      </c>
      <c r="P214" s="12">
        <f>VLOOKUP(Tableau2[[#This Row],[essence]],Tableau5[],5,FALSE)</f>
        <v>1.1955</v>
      </c>
      <c r="Q214" s="12">
        <f>IF(Tableau2[[#This Row],[priorecol]]="S",1,0)</f>
        <v>1</v>
      </c>
      <c r="R214" s="12">
        <f>VLOOKUP(Tableau2[[#This Row],[essence]],Tableau5[],6,FALSE)</f>
        <v>4.2599999999999999E-2</v>
      </c>
      <c r="S214" s="12">
        <f>VLOOKUP(Tableau2[[#This Row],[essence]],Tableau5[],15,FALSE)</f>
        <v>1.3299999999999999E-2</v>
      </c>
      <c r="T214" s="12">
        <f>VLOOKUP(Tableau2[[#This Row],[essence]],Tableau5[],7,FALSE)</f>
        <v>0</v>
      </c>
      <c r="U214" s="12">
        <f>IF(Tableau2[[#This Row],[sdom]]=1,1,0)</f>
        <v>0</v>
      </c>
      <c r="V214" s="12">
        <f>VLOOKUP(Tableau2[[#This Row],[essence]],Tableau5[],8,FALSE)</f>
        <v>0.72299999999999998</v>
      </c>
      <c r="W214" s="12">
        <f>IF(Tableau2[[#This Row],[sdom]]="2EST",1,0)</f>
        <v>0</v>
      </c>
      <c r="X214" s="12">
        <f>VLOOKUP(Tableau2[[#This Row],[essence]],Tableau5[],9,FALSE)</f>
        <v>0.28749999999999998</v>
      </c>
      <c r="Y214" s="12">
        <f>IF(Tableau2[[#This Row],[sdom]]="2OUEST",1,0)</f>
        <v>0</v>
      </c>
      <c r="Z214" s="12">
        <f>VLOOKUP(Tableau2[[#This Row],[essence]],Tableau5[],10,FALSE)</f>
        <v>0.5746</v>
      </c>
      <c r="AA214" s="12">
        <f>IF(Tableau2[[#This Row],[sdom]]="3EST",1,0)</f>
        <v>0</v>
      </c>
      <c r="AB214" s="12">
        <f>VLOOKUP(Tableau2[[#This Row],[essence]],Tableau5[],11,FALSE)</f>
        <v>0.40360000000000001</v>
      </c>
      <c r="AC214" s="12">
        <f>IF(Tableau2[[#This Row],[sdom]]="3OUEST",1,0)</f>
        <v>0</v>
      </c>
      <c r="AD214" s="12">
        <f>VLOOKUP(Tableau2[[#This Row],[essence]],Tableau5[],12,FALSE)</f>
        <v>0</v>
      </c>
      <c r="AE214" s="12">
        <f>IF(Tableau2[[#This Row],[sdom]]="4EST",1,0)</f>
        <v>0</v>
      </c>
      <c r="AF214" s="12">
        <f>VLOOKUP(Tableau2[[#This Row],[essence]],Tableau5[],13,FALSE)</f>
        <v>0</v>
      </c>
      <c r="AG214" s="12">
        <f>IF(Tableau2[[#This Row],[sdom]]="4OUEST",1,0)</f>
        <v>0</v>
      </c>
      <c r="AH214" s="12">
        <f>VLOOKUP(Tableau2[[#This Row],[essence]],Tableau5[],14,FALSE)</f>
        <v>0</v>
      </c>
      <c r="AI214" s="12">
        <f>IF(Tableau2[[#This Row],[sdom]]="5EST",1,0)</f>
        <v>0</v>
      </c>
      <c r="AJ214" s="12">
        <f>VLOOKUP(Tableau2[[#This Row],[essence]],Tableau5[],16,FALSE)</f>
        <v>0</v>
      </c>
      <c r="AK214" s="12">
        <f>IF(Tableau2[[#This Row],[sdom]]="5OUEST",1,0)</f>
        <v>1</v>
      </c>
      <c r="AL214" s="12">
        <f>VLOOKUP(Tableau2[[#This Row],[essence]],Tableau5[],17,FALSE)</f>
        <v>0</v>
      </c>
      <c r="AM214" s="12">
        <f>IF(Tableau2[[#This Row],[sdom]]="6EST",1,0)</f>
        <v>0</v>
      </c>
      <c r="AN214" s="12">
        <f>VLOOKUP(Tableau2[[#This Row],[essence]],Tableau5[],19,FALSE)</f>
        <v>0</v>
      </c>
      <c r="AO214" s="12">
        <f>IF(Tableau2[[#This Row],[priorecol]]="C",1,0)</f>
        <v>0</v>
      </c>
      <c r="AP214" s="12">
        <f>VLOOKUP(Tableau2[[#This Row],[essence]],Tableau5[],20,FALSE)</f>
        <v>0</v>
      </c>
      <c r="AQ214" s="12">
        <f>IF(Tableau2[[#This Row],[priorecol]]="R",1,0)</f>
        <v>0</v>
      </c>
      <c r="AR214" s="12">
        <f>VLOOKUP(Tableau2[[#This Row],[essence]],Tableau5[],21,FALSE)</f>
        <v>0</v>
      </c>
      <c r="AS214" s="12">
        <f>IF(Tableau2[[#This Row],[priorecol]]="S",1,0)</f>
        <v>1</v>
      </c>
      <c r="AT214" s="12">
        <f>VLOOKUP(Tableau2[[#This Row],[essence]],Tableau5[],22,FALSE)</f>
        <v>0.36130000000000001</v>
      </c>
      <c r="AU214" s="12">
        <f>VLOOKUP(Tableau2[[#This Row],[essence]],Tableau5[],23,FALSE)</f>
        <v>0</v>
      </c>
      <c r="AV214" s="12">
        <f>VLOOKUP(Tableau2[[#This Row],[essence]],Tableau5[],18,FALSE)</f>
        <v>0</v>
      </c>
      <c r="AW21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0.18909999999999982</v>
      </c>
      <c r="AX214" s="12">
        <f>1/(1+EXP(-Tableau2[[#This Row],[xb_c]]))</f>
        <v>0.54713462712344652</v>
      </c>
      <c r="AY214" s="12" t="str">
        <f t="shared" si="6"/>
        <v>NA</v>
      </c>
      <c r="AZ214" s="12" t="str">
        <f t="shared" si="7"/>
        <v>NA</v>
      </c>
      <c r="BA214" s="12">
        <f>Tableau2[[#This Row],[prob_c]]</f>
        <v>0.54713462712344652</v>
      </c>
      <c r="BB214" s="12">
        <f>1-Tableau2[[#This Row],[prob_c]]</f>
        <v>0.45286537287655348</v>
      </c>
    </row>
    <row r="215" spans="1:54" x14ac:dyDescent="0.25">
      <c r="A215" s="12">
        <v>9</v>
      </c>
      <c r="B215" s="12" t="s">
        <v>17</v>
      </c>
      <c r="C215" s="12">
        <v>0.1</v>
      </c>
      <c r="D215" s="12">
        <v>700</v>
      </c>
      <c r="E215" s="12">
        <v>22</v>
      </c>
      <c r="F215" s="12">
        <v>0</v>
      </c>
      <c r="G215" s="12">
        <v>22</v>
      </c>
      <c r="H215" s="12">
        <v>27</v>
      </c>
      <c r="I215" s="12" t="s">
        <v>26</v>
      </c>
      <c r="J215" s="12" t="s">
        <v>27</v>
      </c>
      <c r="K215" s="12">
        <f>VLOOKUP(Tableau2[[#This Row],[essence]],Tableau5[],2,FALSE)</f>
        <v>-9.0399999999999994E-2</v>
      </c>
      <c r="L215" s="12">
        <f>VLOOKUP(Tableau2[[#This Row],[essence]],Tableau5[],3,FALSE)</f>
        <v>1.0844</v>
      </c>
      <c r="M215" s="12">
        <f>IF(Tableau2[[#This Row],[priorecol]]="C",1,0)</f>
        <v>1</v>
      </c>
      <c r="N215" s="12">
        <f>VLOOKUP(Tableau2[[#This Row],[essence]],Tableau5[],4,FALSE)</f>
        <v>-1.3041</v>
      </c>
      <c r="O215" s="12">
        <f>IF(Tableau2[[#This Row],[priorecol]]="R",1,0)</f>
        <v>0</v>
      </c>
      <c r="P215" s="12">
        <f>VLOOKUP(Tableau2[[#This Row],[essence]],Tableau5[],5,FALSE)</f>
        <v>-0.79790000000000005</v>
      </c>
      <c r="Q215" s="12">
        <f>IF(Tableau2[[#This Row],[priorecol]]="S",1,0)</f>
        <v>0</v>
      </c>
      <c r="R215" s="12">
        <f>VLOOKUP(Tableau2[[#This Row],[essence]],Tableau5[],6,FALSE)</f>
        <v>-5.3E-3</v>
      </c>
      <c r="S215" s="12">
        <f>VLOOKUP(Tableau2[[#This Row],[essence]],Tableau5[],15,FALSE)</f>
        <v>1.2500000000000001E-2</v>
      </c>
      <c r="T215" s="12">
        <f>VLOOKUP(Tableau2[[#This Row],[essence]],Tableau5[],7,FALSE)</f>
        <v>0</v>
      </c>
      <c r="U215" s="12">
        <f>IF(Tableau2[[#This Row],[sdom]]=1,1,0)</f>
        <v>0</v>
      </c>
      <c r="V215" s="12">
        <f>VLOOKUP(Tableau2[[#This Row],[essence]],Tableau5[],8,FALSE)</f>
        <v>0.1497</v>
      </c>
      <c r="W215" s="12">
        <f>IF(Tableau2[[#This Row],[sdom]]="2EST",1,0)</f>
        <v>0</v>
      </c>
      <c r="X215" s="12">
        <f>VLOOKUP(Tableau2[[#This Row],[essence]],Tableau5[],9,FALSE)</f>
        <v>0.4839</v>
      </c>
      <c r="Y215" s="12">
        <f>IF(Tableau2[[#This Row],[sdom]]="2OUEST",1,0)</f>
        <v>0</v>
      </c>
      <c r="Z215" s="12">
        <f>VLOOKUP(Tableau2[[#This Row],[essence]],Tableau5[],10,FALSE)</f>
        <v>-0.14019999999999999</v>
      </c>
      <c r="AA215" s="12">
        <f>IF(Tableau2[[#This Row],[sdom]]="3EST",1,0)</f>
        <v>0</v>
      </c>
      <c r="AB215" s="12">
        <f>VLOOKUP(Tableau2[[#This Row],[essence]],Tableau5[],11,FALSE)</f>
        <v>0.65649999999999997</v>
      </c>
      <c r="AC215" s="12">
        <f>IF(Tableau2[[#This Row],[sdom]]="3OUEST",1,0)</f>
        <v>0</v>
      </c>
      <c r="AD215" s="12">
        <f>VLOOKUP(Tableau2[[#This Row],[essence]],Tableau5[],12,FALSE)</f>
        <v>-1.21E-2</v>
      </c>
      <c r="AE215" s="12">
        <f>IF(Tableau2[[#This Row],[sdom]]="4EST",1,0)</f>
        <v>0</v>
      </c>
      <c r="AF215" s="12">
        <f>VLOOKUP(Tableau2[[#This Row],[essence]],Tableau5[],13,FALSE)</f>
        <v>0.52600000000000002</v>
      </c>
      <c r="AG215" s="12">
        <f>IF(Tableau2[[#This Row],[sdom]]="4OUEST",1,0)</f>
        <v>0</v>
      </c>
      <c r="AH215" s="12">
        <f>VLOOKUP(Tableau2[[#This Row],[essence]],Tableau5[],14,FALSE)</f>
        <v>-0.753</v>
      </c>
      <c r="AI215" s="12">
        <f>IF(Tableau2[[#This Row],[sdom]]="5EST",1,0)</f>
        <v>0</v>
      </c>
      <c r="AJ215" s="12">
        <f>VLOOKUP(Tableau2[[#This Row],[essence]],Tableau5[],16,FALSE)</f>
        <v>0</v>
      </c>
      <c r="AK215" s="12">
        <f>IF(Tableau2[[#This Row],[sdom]]="5OUEST",1,0)</f>
        <v>1</v>
      </c>
      <c r="AL215" s="12">
        <f>VLOOKUP(Tableau2[[#This Row],[essence]],Tableau5[],17,FALSE)</f>
        <v>0</v>
      </c>
      <c r="AM215" s="12">
        <f>IF(Tableau2[[#This Row],[sdom]]="6EST",1,0)</f>
        <v>0</v>
      </c>
      <c r="AN215" s="12">
        <f>VLOOKUP(Tableau2[[#This Row],[essence]],Tableau5[],19,FALSE)</f>
        <v>3.04E-2</v>
      </c>
      <c r="AO215" s="12">
        <f>IF(Tableau2[[#This Row],[priorecol]]="C",1,0)</f>
        <v>1</v>
      </c>
      <c r="AP215" s="12">
        <f>VLOOKUP(Tableau2[[#This Row],[essence]],Tableau5[],20,FALSE)</f>
        <v>0.14549999999999999</v>
      </c>
      <c r="AQ215" s="12">
        <f>IF(Tableau2[[#This Row],[priorecol]]="R",1,0)</f>
        <v>0</v>
      </c>
      <c r="AR215" s="12">
        <f>VLOOKUP(Tableau2[[#This Row],[essence]],Tableau5[],21,FALSE)</f>
        <v>7.8700000000000006E-2</v>
      </c>
      <c r="AS215" s="12">
        <f>IF(Tableau2[[#This Row],[priorecol]]="S",1,0)</f>
        <v>0</v>
      </c>
      <c r="AT215" s="12">
        <f>VLOOKUP(Tableau2[[#This Row],[essence]],Tableau5[],22,FALSE)</f>
        <v>0</v>
      </c>
      <c r="AU215" s="12">
        <f>VLOOKUP(Tableau2[[#This Row],[essence]],Tableau5[],23,FALSE)</f>
        <v>0</v>
      </c>
      <c r="AV215" s="12">
        <f>VLOOKUP(Tableau2[[#This Row],[essence]],Tableau5[],18,FALSE)</f>
        <v>0</v>
      </c>
      <c r="AW21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1.9467000000000001</v>
      </c>
      <c r="AX215" s="12">
        <f>1/(1+EXP(-Tableau2[[#This Row],[xb_c]]))</f>
        <v>0.87508636436197029</v>
      </c>
      <c r="AY215" s="12" t="str">
        <f t="shared" si="6"/>
        <v>NA</v>
      </c>
      <c r="AZ215" s="12" t="str">
        <f t="shared" si="7"/>
        <v>NA</v>
      </c>
      <c r="BA215" s="12">
        <f>Tableau2[[#This Row],[prob_c]]</f>
        <v>0.87508636436197029</v>
      </c>
      <c r="BB215" s="12">
        <f>1-Tableau2[[#This Row],[prob_c]]</f>
        <v>0.12491363563802971</v>
      </c>
    </row>
    <row r="216" spans="1:54" x14ac:dyDescent="0.25">
      <c r="A216" s="12">
        <v>9</v>
      </c>
      <c r="B216" s="12" t="s">
        <v>17</v>
      </c>
      <c r="C216" s="12">
        <v>0.1</v>
      </c>
      <c r="D216" s="12">
        <v>700</v>
      </c>
      <c r="E216" s="12">
        <v>22</v>
      </c>
      <c r="F216" s="12">
        <v>0</v>
      </c>
      <c r="G216" s="12">
        <v>23</v>
      </c>
      <c r="H216" s="12">
        <v>28</v>
      </c>
      <c r="I216" s="12" t="s">
        <v>26</v>
      </c>
      <c r="J216" s="12" t="s">
        <v>28</v>
      </c>
      <c r="K216" s="12">
        <f>VLOOKUP(Tableau2[[#This Row],[essence]],Tableau5[],2,FALSE)</f>
        <v>-9.0399999999999994E-2</v>
      </c>
      <c r="L216" s="12">
        <f>VLOOKUP(Tableau2[[#This Row],[essence]],Tableau5[],3,FALSE)</f>
        <v>1.0844</v>
      </c>
      <c r="M216" s="12">
        <f>IF(Tableau2[[#This Row],[priorecol]]="C",1,0)</f>
        <v>0</v>
      </c>
      <c r="N216" s="12">
        <f>VLOOKUP(Tableau2[[#This Row],[essence]],Tableau5[],4,FALSE)</f>
        <v>-1.3041</v>
      </c>
      <c r="O216" s="12">
        <f>IF(Tableau2[[#This Row],[priorecol]]="R",1,0)</f>
        <v>1</v>
      </c>
      <c r="P216" s="12">
        <f>VLOOKUP(Tableau2[[#This Row],[essence]],Tableau5[],5,FALSE)</f>
        <v>-0.79790000000000005</v>
      </c>
      <c r="Q216" s="12">
        <f>IF(Tableau2[[#This Row],[priorecol]]="S",1,0)</f>
        <v>0</v>
      </c>
      <c r="R216" s="12">
        <f>VLOOKUP(Tableau2[[#This Row],[essence]],Tableau5[],6,FALSE)</f>
        <v>-5.3E-3</v>
      </c>
      <c r="S216" s="12">
        <f>VLOOKUP(Tableau2[[#This Row],[essence]],Tableau5[],15,FALSE)</f>
        <v>1.2500000000000001E-2</v>
      </c>
      <c r="T216" s="12">
        <f>VLOOKUP(Tableau2[[#This Row],[essence]],Tableau5[],7,FALSE)</f>
        <v>0</v>
      </c>
      <c r="U216" s="12">
        <f>IF(Tableau2[[#This Row],[sdom]]=1,1,0)</f>
        <v>0</v>
      </c>
      <c r="V216" s="12">
        <f>VLOOKUP(Tableau2[[#This Row],[essence]],Tableau5[],8,FALSE)</f>
        <v>0.1497</v>
      </c>
      <c r="W216" s="12">
        <f>IF(Tableau2[[#This Row],[sdom]]="2EST",1,0)</f>
        <v>0</v>
      </c>
      <c r="X216" s="12">
        <f>VLOOKUP(Tableau2[[#This Row],[essence]],Tableau5[],9,FALSE)</f>
        <v>0.4839</v>
      </c>
      <c r="Y216" s="12">
        <f>IF(Tableau2[[#This Row],[sdom]]="2OUEST",1,0)</f>
        <v>0</v>
      </c>
      <c r="Z216" s="12">
        <f>VLOOKUP(Tableau2[[#This Row],[essence]],Tableau5[],10,FALSE)</f>
        <v>-0.14019999999999999</v>
      </c>
      <c r="AA216" s="12">
        <f>IF(Tableau2[[#This Row],[sdom]]="3EST",1,0)</f>
        <v>0</v>
      </c>
      <c r="AB216" s="12">
        <f>VLOOKUP(Tableau2[[#This Row],[essence]],Tableau5[],11,FALSE)</f>
        <v>0.65649999999999997</v>
      </c>
      <c r="AC216" s="12">
        <f>IF(Tableau2[[#This Row],[sdom]]="3OUEST",1,0)</f>
        <v>0</v>
      </c>
      <c r="AD216" s="12">
        <f>VLOOKUP(Tableau2[[#This Row],[essence]],Tableau5[],12,FALSE)</f>
        <v>-1.21E-2</v>
      </c>
      <c r="AE216" s="12">
        <f>IF(Tableau2[[#This Row],[sdom]]="4EST",1,0)</f>
        <v>0</v>
      </c>
      <c r="AF216" s="12">
        <f>VLOOKUP(Tableau2[[#This Row],[essence]],Tableau5[],13,FALSE)</f>
        <v>0.52600000000000002</v>
      </c>
      <c r="AG216" s="12">
        <f>IF(Tableau2[[#This Row],[sdom]]="4OUEST",1,0)</f>
        <v>0</v>
      </c>
      <c r="AH216" s="12">
        <f>VLOOKUP(Tableau2[[#This Row],[essence]],Tableau5[],14,FALSE)</f>
        <v>-0.753</v>
      </c>
      <c r="AI216" s="12">
        <f>IF(Tableau2[[#This Row],[sdom]]="5EST",1,0)</f>
        <v>0</v>
      </c>
      <c r="AJ216" s="12">
        <f>VLOOKUP(Tableau2[[#This Row],[essence]],Tableau5[],16,FALSE)</f>
        <v>0</v>
      </c>
      <c r="AK216" s="12">
        <f>IF(Tableau2[[#This Row],[sdom]]="5OUEST",1,0)</f>
        <v>1</v>
      </c>
      <c r="AL216" s="12">
        <f>VLOOKUP(Tableau2[[#This Row],[essence]],Tableau5[],17,FALSE)</f>
        <v>0</v>
      </c>
      <c r="AM216" s="12">
        <f>IF(Tableau2[[#This Row],[sdom]]="6EST",1,0)</f>
        <v>0</v>
      </c>
      <c r="AN216" s="12">
        <f>VLOOKUP(Tableau2[[#This Row],[essence]],Tableau5[],19,FALSE)</f>
        <v>3.04E-2</v>
      </c>
      <c r="AO216" s="12">
        <f>IF(Tableau2[[#This Row],[priorecol]]="C",1,0)</f>
        <v>0</v>
      </c>
      <c r="AP216" s="12">
        <f>VLOOKUP(Tableau2[[#This Row],[essence]],Tableau5[],20,FALSE)</f>
        <v>0.14549999999999999</v>
      </c>
      <c r="AQ216" s="12">
        <f>IF(Tableau2[[#This Row],[priorecol]]="R",1,0)</f>
        <v>1</v>
      </c>
      <c r="AR216" s="12">
        <f>VLOOKUP(Tableau2[[#This Row],[essence]],Tableau5[],21,FALSE)</f>
        <v>7.8700000000000006E-2</v>
      </c>
      <c r="AS216" s="12">
        <f>IF(Tableau2[[#This Row],[priorecol]]="S",1,0)</f>
        <v>0</v>
      </c>
      <c r="AT216" s="12">
        <f>VLOOKUP(Tableau2[[#This Row],[essence]],Tableau5[],22,FALSE)</f>
        <v>0</v>
      </c>
      <c r="AU216" s="12">
        <f>VLOOKUP(Tableau2[[#This Row],[essence]],Tableau5[],23,FALSE)</f>
        <v>0</v>
      </c>
      <c r="AV216" s="12">
        <f>VLOOKUP(Tableau2[[#This Row],[essence]],Tableau5[],18,FALSE)</f>
        <v>0</v>
      </c>
      <c r="AW21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2.8060999999999998</v>
      </c>
      <c r="AX216" s="12">
        <f>1/(1+EXP(-Tableau2[[#This Row],[xb_c]]))</f>
        <v>0.94300456786756814</v>
      </c>
      <c r="AY216" s="12" t="str">
        <f t="shared" si="6"/>
        <v>NA</v>
      </c>
      <c r="AZ216" s="12" t="str">
        <f t="shared" si="7"/>
        <v>NA</v>
      </c>
      <c r="BA216" s="12">
        <f>Tableau2[[#This Row],[prob_c]]</f>
        <v>0.94300456786756814</v>
      </c>
      <c r="BB216" s="12">
        <f>1-Tableau2[[#This Row],[prob_c]]</f>
        <v>5.6995432132431856E-2</v>
      </c>
    </row>
    <row r="217" spans="1:54" x14ac:dyDescent="0.25">
      <c r="A217" s="12">
        <v>9</v>
      </c>
      <c r="B217" s="12" t="s">
        <v>17</v>
      </c>
      <c r="C217" s="12">
        <v>0.1</v>
      </c>
      <c r="D217" s="12">
        <v>700</v>
      </c>
      <c r="E217" s="12">
        <v>22</v>
      </c>
      <c r="F217" s="12">
        <v>0</v>
      </c>
      <c r="G217" s="12">
        <v>24</v>
      </c>
      <c r="H217" s="12">
        <v>29</v>
      </c>
      <c r="I217" s="12" t="s">
        <v>26</v>
      </c>
      <c r="J217" s="12" t="s">
        <v>29</v>
      </c>
      <c r="K217" s="12">
        <f>VLOOKUP(Tableau2[[#This Row],[essence]],Tableau5[],2,FALSE)</f>
        <v>-9.0399999999999994E-2</v>
      </c>
      <c r="L217" s="12">
        <f>VLOOKUP(Tableau2[[#This Row],[essence]],Tableau5[],3,FALSE)</f>
        <v>1.0844</v>
      </c>
      <c r="M217" s="12">
        <f>IF(Tableau2[[#This Row],[priorecol]]="C",1,0)</f>
        <v>0</v>
      </c>
      <c r="N217" s="12">
        <f>VLOOKUP(Tableau2[[#This Row],[essence]],Tableau5[],4,FALSE)</f>
        <v>-1.3041</v>
      </c>
      <c r="O217" s="12">
        <f>IF(Tableau2[[#This Row],[priorecol]]="R",1,0)</f>
        <v>0</v>
      </c>
      <c r="P217" s="12">
        <f>VLOOKUP(Tableau2[[#This Row],[essence]],Tableau5[],5,FALSE)</f>
        <v>-0.79790000000000005</v>
      </c>
      <c r="Q217" s="12">
        <f>IF(Tableau2[[#This Row],[priorecol]]="S",1,0)</f>
        <v>1</v>
      </c>
      <c r="R217" s="12">
        <f>VLOOKUP(Tableau2[[#This Row],[essence]],Tableau5[],6,FALSE)</f>
        <v>-5.3E-3</v>
      </c>
      <c r="S217" s="12">
        <f>VLOOKUP(Tableau2[[#This Row],[essence]],Tableau5[],15,FALSE)</f>
        <v>1.2500000000000001E-2</v>
      </c>
      <c r="T217" s="12">
        <f>VLOOKUP(Tableau2[[#This Row],[essence]],Tableau5[],7,FALSE)</f>
        <v>0</v>
      </c>
      <c r="U217" s="12">
        <f>IF(Tableau2[[#This Row],[sdom]]=1,1,0)</f>
        <v>0</v>
      </c>
      <c r="V217" s="12">
        <f>VLOOKUP(Tableau2[[#This Row],[essence]],Tableau5[],8,FALSE)</f>
        <v>0.1497</v>
      </c>
      <c r="W217" s="12">
        <f>IF(Tableau2[[#This Row],[sdom]]="2EST",1,0)</f>
        <v>0</v>
      </c>
      <c r="X217" s="12">
        <f>VLOOKUP(Tableau2[[#This Row],[essence]],Tableau5[],9,FALSE)</f>
        <v>0.4839</v>
      </c>
      <c r="Y217" s="12">
        <f>IF(Tableau2[[#This Row],[sdom]]="2OUEST",1,0)</f>
        <v>0</v>
      </c>
      <c r="Z217" s="12">
        <f>VLOOKUP(Tableau2[[#This Row],[essence]],Tableau5[],10,FALSE)</f>
        <v>-0.14019999999999999</v>
      </c>
      <c r="AA217" s="12">
        <f>IF(Tableau2[[#This Row],[sdom]]="3EST",1,0)</f>
        <v>0</v>
      </c>
      <c r="AB217" s="12">
        <f>VLOOKUP(Tableau2[[#This Row],[essence]],Tableau5[],11,FALSE)</f>
        <v>0.65649999999999997</v>
      </c>
      <c r="AC217" s="12">
        <f>IF(Tableau2[[#This Row],[sdom]]="3OUEST",1,0)</f>
        <v>0</v>
      </c>
      <c r="AD217" s="12">
        <f>VLOOKUP(Tableau2[[#This Row],[essence]],Tableau5[],12,FALSE)</f>
        <v>-1.21E-2</v>
      </c>
      <c r="AE217" s="12">
        <f>IF(Tableau2[[#This Row],[sdom]]="4EST",1,0)</f>
        <v>0</v>
      </c>
      <c r="AF217" s="12">
        <f>VLOOKUP(Tableau2[[#This Row],[essence]],Tableau5[],13,FALSE)</f>
        <v>0.52600000000000002</v>
      </c>
      <c r="AG217" s="12">
        <f>IF(Tableau2[[#This Row],[sdom]]="4OUEST",1,0)</f>
        <v>0</v>
      </c>
      <c r="AH217" s="12">
        <f>VLOOKUP(Tableau2[[#This Row],[essence]],Tableau5[],14,FALSE)</f>
        <v>-0.753</v>
      </c>
      <c r="AI217" s="12">
        <f>IF(Tableau2[[#This Row],[sdom]]="5EST",1,0)</f>
        <v>0</v>
      </c>
      <c r="AJ217" s="12">
        <f>VLOOKUP(Tableau2[[#This Row],[essence]],Tableau5[],16,FALSE)</f>
        <v>0</v>
      </c>
      <c r="AK217" s="12">
        <f>IF(Tableau2[[#This Row],[sdom]]="5OUEST",1,0)</f>
        <v>1</v>
      </c>
      <c r="AL217" s="12">
        <f>VLOOKUP(Tableau2[[#This Row],[essence]],Tableau5[],17,FALSE)</f>
        <v>0</v>
      </c>
      <c r="AM217" s="12">
        <f>IF(Tableau2[[#This Row],[sdom]]="6EST",1,0)</f>
        <v>0</v>
      </c>
      <c r="AN217" s="12">
        <f>VLOOKUP(Tableau2[[#This Row],[essence]],Tableau5[],19,FALSE)</f>
        <v>3.04E-2</v>
      </c>
      <c r="AO217" s="12">
        <f>IF(Tableau2[[#This Row],[priorecol]]="C",1,0)</f>
        <v>0</v>
      </c>
      <c r="AP217" s="12">
        <f>VLOOKUP(Tableau2[[#This Row],[essence]],Tableau5[],20,FALSE)</f>
        <v>0.14549999999999999</v>
      </c>
      <c r="AQ217" s="12">
        <f>IF(Tableau2[[#This Row],[priorecol]]="R",1,0)</f>
        <v>0</v>
      </c>
      <c r="AR217" s="12">
        <f>VLOOKUP(Tableau2[[#This Row],[essence]],Tableau5[],21,FALSE)</f>
        <v>7.8700000000000006E-2</v>
      </c>
      <c r="AS217" s="12">
        <f>IF(Tableau2[[#This Row],[priorecol]]="S",1,0)</f>
        <v>1</v>
      </c>
      <c r="AT217" s="12">
        <f>VLOOKUP(Tableau2[[#This Row],[essence]],Tableau5[],22,FALSE)</f>
        <v>0</v>
      </c>
      <c r="AU217" s="12">
        <f>VLOOKUP(Tableau2[[#This Row],[essence]],Tableau5[],23,FALSE)</f>
        <v>0</v>
      </c>
      <c r="AV217" s="12">
        <f>VLOOKUP(Tableau2[[#This Row],[essence]],Tableau5[],18,FALSE)</f>
        <v>0</v>
      </c>
      <c r="AW21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1.5153000000000003</v>
      </c>
      <c r="AX217" s="12">
        <f>1/(1+EXP(-Tableau2[[#This Row],[xb_c]]))</f>
        <v>0.81984533874148413</v>
      </c>
      <c r="AY217" s="12" t="str">
        <f t="shared" si="6"/>
        <v>NA</v>
      </c>
      <c r="AZ217" s="12" t="str">
        <f t="shared" si="7"/>
        <v>NA</v>
      </c>
      <c r="BA217" s="12">
        <f>Tableau2[[#This Row],[prob_c]]</f>
        <v>0.81984533874148413</v>
      </c>
      <c r="BB217" s="12">
        <f>1-Tableau2[[#This Row],[prob_c]]</f>
        <v>0.18015466125851587</v>
      </c>
    </row>
    <row r="218" spans="1:54" x14ac:dyDescent="0.25">
      <c r="A218" s="12">
        <v>10</v>
      </c>
      <c r="B218" s="12" t="s">
        <v>18</v>
      </c>
      <c r="C218" s="12">
        <v>2.1</v>
      </c>
      <c r="D218" s="12">
        <v>700</v>
      </c>
      <c r="E218" s="12">
        <v>20</v>
      </c>
      <c r="F218" s="12">
        <v>1</v>
      </c>
      <c r="G218" s="12">
        <v>1</v>
      </c>
      <c r="H218" s="12">
        <v>30</v>
      </c>
      <c r="I218" s="12" t="s">
        <v>19</v>
      </c>
      <c r="J218" s="12" t="s">
        <v>27</v>
      </c>
      <c r="K218" s="12">
        <f>VLOOKUP(Tableau2[[#This Row],[essence]],Tableau5[],2,FALSE)</f>
        <v>-1.806</v>
      </c>
      <c r="L218" s="12">
        <f>VLOOKUP(Tableau2[[#This Row],[essence]],Tableau5[],3,FALSE)</f>
        <v>1.2398</v>
      </c>
      <c r="M218" s="12">
        <f>IF(Tableau2[[#This Row],[priorecol]]="C",1,0)</f>
        <v>1</v>
      </c>
      <c r="N218" s="12">
        <f>VLOOKUP(Tableau2[[#This Row],[essence]],Tableau5[],4,FALSE)</f>
        <v>2.6488</v>
      </c>
      <c r="O218" s="12">
        <f>IF(Tableau2[[#This Row],[priorecol]]="R",1,0)</f>
        <v>0</v>
      </c>
      <c r="P218" s="12">
        <f>VLOOKUP(Tableau2[[#This Row],[essence]],Tableau5[],5,FALSE)</f>
        <v>0.61070000000000002</v>
      </c>
      <c r="Q218" s="12">
        <f>IF(Tableau2[[#This Row],[priorecol]]="S",1,0)</f>
        <v>0</v>
      </c>
      <c r="R218" s="12">
        <f>VLOOKUP(Tableau2[[#This Row],[essence]],Tableau5[],6,FALSE)</f>
        <v>5.67E-2</v>
      </c>
      <c r="S218" s="12">
        <f>VLOOKUP(Tableau2[[#This Row],[essence]],Tableau5[],15,FALSE)</f>
        <v>1.35E-2</v>
      </c>
      <c r="T218" s="12">
        <f>VLOOKUP(Tableau2[[#This Row],[essence]],Tableau5[],7,FALSE)</f>
        <v>0.95779999999999998</v>
      </c>
      <c r="U218" s="12">
        <f>IF(Tableau2[[#This Row],[sdom]]=1,1,0)</f>
        <v>0</v>
      </c>
      <c r="V218" s="12">
        <f>VLOOKUP(Tableau2[[#This Row],[essence]],Tableau5[],8,FALSE)</f>
        <v>0.66500000000000004</v>
      </c>
      <c r="W218" s="12">
        <f>IF(Tableau2[[#This Row],[sdom]]="2EST",1,0)</f>
        <v>0</v>
      </c>
      <c r="X218" s="12">
        <f>VLOOKUP(Tableau2[[#This Row],[essence]],Tableau5[],9,FALSE)</f>
        <v>0.32479999999999998</v>
      </c>
      <c r="Y218" s="12">
        <f>IF(Tableau2[[#This Row],[sdom]]="2OUEST",1,0)</f>
        <v>0</v>
      </c>
      <c r="Z218" s="12">
        <f>VLOOKUP(Tableau2[[#This Row],[essence]],Tableau5[],10,FALSE)</f>
        <v>0.62949999999999995</v>
      </c>
      <c r="AA218" s="12">
        <f>IF(Tableau2[[#This Row],[sdom]]="3EST",1,0)</f>
        <v>0</v>
      </c>
      <c r="AB218" s="12">
        <f>VLOOKUP(Tableau2[[#This Row],[essence]],Tableau5[],11,FALSE)</f>
        <v>0.56679999999999997</v>
      </c>
      <c r="AC218" s="12">
        <f>IF(Tableau2[[#This Row],[sdom]]="3OUEST",1,0)</f>
        <v>0</v>
      </c>
      <c r="AD218" s="12">
        <f>VLOOKUP(Tableau2[[#This Row],[essence]],Tableau5[],12,FALSE)</f>
        <v>0.21729999999999999</v>
      </c>
      <c r="AE218" s="12">
        <f>IF(Tableau2[[#This Row],[sdom]]="4EST",1,0)</f>
        <v>0</v>
      </c>
      <c r="AF218" s="12">
        <f>VLOOKUP(Tableau2[[#This Row],[essence]],Tableau5[],13,FALSE)</f>
        <v>0.39939999999999998</v>
      </c>
      <c r="AG218" s="12">
        <f>IF(Tableau2[[#This Row],[sdom]]="4OUEST",1,0)</f>
        <v>0</v>
      </c>
      <c r="AH218" s="12">
        <f>VLOOKUP(Tableau2[[#This Row],[essence]],Tableau5[],14,FALSE)</f>
        <v>6.5299999999999997E-2</v>
      </c>
      <c r="AI218" s="12">
        <f>IF(Tableau2[[#This Row],[sdom]]="5EST",1,0)</f>
        <v>0</v>
      </c>
      <c r="AJ218" s="12">
        <f>VLOOKUP(Tableau2[[#This Row],[essence]],Tableau5[],16,FALSE)</f>
        <v>0</v>
      </c>
      <c r="AK218" s="12">
        <f>IF(Tableau2[[#This Row],[sdom]]="5OUEST",1,0)</f>
        <v>0</v>
      </c>
      <c r="AL218" s="12">
        <f>VLOOKUP(Tableau2[[#This Row],[essence]],Tableau5[],17,FALSE)</f>
        <v>0</v>
      </c>
      <c r="AM218" s="12">
        <f>IF(Tableau2[[#This Row],[sdom]]="6EST",1,0)</f>
        <v>1</v>
      </c>
      <c r="AN218" s="12">
        <f>VLOOKUP(Tableau2[[#This Row],[essence]],Tableau5[],19,FALSE)</f>
        <v>0</v>
      </c>
      <c r="AO218" s="12">
        <f>IF(Tableau2[[#This Row],[priorecol]]="C",1,0)</f>
        <v>1</v>
      </c>
      <c r="AP218" s="12">
        <f>VLOOKUP(Tableau2[[#This Row],[essence]],Tableau5[],20,FALSE)</f>
        <v>0</v>
      </c>
      <c r="AQ218" s="12">
        <f>IF(Tableau2[[#This Row],[priorecol]]="R",1,0)</f>
        <v>0</v>
      </c>
      <c r="AR218" s="12">
        <f>VLOOKUP(Tableau2[[#This Row],[essence]],Tableau5[],21,FALSE)</f>
        <v>0</v>
      </c>
      <c r="AS218" s="12">
        <f>IF(Tableau2[[#This Row],[priorecol]]="S",1,0)</f>
        <v>0</v>
      </c>
      <c r="AT218" s="12">
        <f>VLOOKUP(Tableau2[[#This Row],[essence]],Tableau5[],22,FALSE)</f>
        <v>0</v>
      </c>
      <c r="AU218" s="12">
        <f>VLOOKUP(Tableau2[[#This Row],[essence]],Tableau5[],23,FALSE)</f>
        <v>0</v>
      </c>
      <c r="AV218" s="12">
        <f>VLOOKUP(Tableau2[[#This Row],[essence]],Tableau5[],18,FALSE)</f>
        <v>0</v>
      </c>
      <c r="AW21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1.4048</v>
      </c>
      <c r="AX218" s="12">
        <f>1/(1+EXP(-Tableau2[[#This Row],[xb_c]]))</f>
        <v>0.80294447139402403</v>
      </c>
      <c r="AY218" s="12" t="str">
        <f t="shared" si="6"/>
        <v>NA</v>
      </c>
      <c r="AZ218" s="12" t="str">
        <f t="shared" si="7"/>
        <v>NA</v>
      </c>
      <c r="BA218" s="12">
        <f>Tableau2[[#This Row],[prob_c]]</f>
        <v>0.80294447139402403</v>
      </c>
      <c r="BB218" s="12">
        <f>1-Tableau2[[#This Row],[prob_c]]</f>
        <v>0.19705552860597597</v>
      </c>
    </row>
    <row r="219" spans="1:54" x14ac:dyDescent="0.25">
      <c r="A219" s="12">
        <v>10</v>
      </c>
      <c r="B219" s="12" t="s">
        <v>18</v>
      </c>
      <c r="C219" s="12">
        <v>2.1</v>
      </c>
      <c r="D219" s="12">
        <v>700</v>
      </c>
      <c r="E219" s="12">
        <v>20</v>
      </c>
      <c r="F219" s="12">
        <v>1</v>
      </c>
      <c r="G219" s="12">
        <v>2</v>
      </c>
      <c r="H219" s="12">
        <v>31</v>
      </c>
      <c r="I219" s="12" t="s">
        <v>19</v>
      </c>
      <c r="J219" s="12" t="s">
        <v>28</v>
      </c>
      <c r="K219" s="12">
        <f>VLOOKUP(Tableau2[[#This Row],[essence]],Tableau5[],2,FALSE)</f>
        <v>-1.806</v>
      </c>
      <c r="L219" s="12">
        <f>VLOOKUP(Tableau2[[#This Row],[essence]],Tableau5[],3,FALSE)</f>
        <v>1.2398</v>
      </c>
      <c r="M219" s="12">
        <f>IF(Tableau2[[#This Row],[priorecol]]="C",1,0)</f>
        <v>0</v>
      </c>
      <c r="N219" s="12">
        <f>VLOOKUP(Tableau2[[#This Row],[essence]],Tableau5[],4,FALSE)</f>
        <v>2.6488</v>
      </c>
      <c r="O219" s="12">
        <f>IF(Tableau2[[#This Row],[priorecol]]="R",1,0)</f>
        <v>1</v>
      </c>
      <c r="P219" s="12">
        <f>VLOOKUP(Tableau2[[#This Row],[essence]],Tableau5[],5,FALSE)</f>
        <v>0.61070000000000002</v>
      </c>
      <c r="Q219" s="12">
        <f>IF(Tableau2[[#This Row],[priorecol]]="S",1,0)</f>
        <v>0</v>
      </c>
      <c r="R219" s="12">
        <f>VLOOKUP(Tableau2[[#This Row],[essence]],Tableau5[],6,FALSE)</f>
        <v>5.67E-2</v>
      </c>
      <c r="S219" s="12">
        <f>VLOOKUP(Tableau2[[#This Row],[essence]],Tableau5[],15,FALSE)</f>
        <v>1.35E-2</v>
      </c>
      <c r="T219" s="12">
        <f>VLOOKUP(Tableau2[[#This Row],[essence]],Tableau5[],7,FALSE)</f>
        <v>0.95779999999999998</v>
      </c>
      <c r="U219" s="12">
        <f>IF(Tableau2[[#This Row],[sdom]]=1,1,0)</f>
        <v>0</v>
      </c>
      <c r="V219" s="12">
        <f>VLOOKUP(Tableau2[[#This Row],[essence]],Tableau5[],8,FALSE)</f>
        <v>0.66500000000000004</v>
      </c>
      <c r="W219" s="12">
        <f>IF(Tableau2[[#This Row],[sdom]]="2EST",1,0)</f>
        <v>0</v>
      </c>
      <c r="X219" s="12">
        <f>VLOOKUP(Tableau2[[#This Row],[essence]],Tableau5[],9,FALSE)</f>
        <v>0.32479999999999998</v>
      </c>
      <c r="Y219" s="12">
        <f>IF(Tableau2[[#This Row],[sdom]]="2OUEST",1,0)</f>
        <v>0</v>
      </c>
      <c r="Z219" s="12">
        <f>VLOOKUP(Tableau2[[#This Row],[essence]],Tableau5[],10,FALSE)</f>
        <v>0.62949999999999995</v>
      </c>
      <c r="AA219" s="12">
        <f>IF(Tableau2[[#This Row],[sdom]]="3EST",1,0)</f>
        <v>0</v>
      </c>
      <c r="AB219" s="12">
        <f>VLOOKUP(Tableau2[[#This Row],[essence]],Tableau5[],11,FALSE)</f>
        <v>0.56679999999999997</v>
      </c>
      <c r="AC219" s="12">
        <f>IF(Tableau2[[#This Row],[sdom]]="3OUEST",1,0)</f>
        <v>0</v>
      </c>
      <c r="AD219" s="12">
        <f>VLOOKUP(Tableau2[[#This Row],[essence]],Tableau5[],12,FALSE)</f>
        <v>0.21729999999999999</v>
      </c>
      <c r="AE219" s="12">
        <f>IF(Tableau2[[#This Row],[sdom]]="4EST",1,0)</f>
        <v>0</v>
      </c>
      <c r="AF219" s="12">
        <f>VLOOKUP(Tableau2[[#This Row],[essence]],Tableau5[],13,FALSE)</f>
        <v>0.39939999999999998</v>
      </c>
      <c r="AG219" s="12">
        <f>IF(Tableau2[[#This Row],[sdom]]="4OUEST",1,0)</f>
        <v>0</v>
      </c>
      <c r="AH219" s="12">
        <f>VLOOKUP(Tableau2[[#This Row],[essence]],Tableau5[],14,FALSE)</f>
        <v>6.5299999999999997E-2</v>
      </c>
      <c r="AI219" s="12">
        <f>IF(Tableau2[[#This Row],[sdom]]="5EST",1,0)</f>
        <v>0</v>
      </c>
      <c r="AJ219" s="12">
        <f>VLOOKUP(Tableau2[[#This Row],[essence]],Tableau5[],16,FALSE)</f>
        <v>0</v>
      </c>
      <c r="AK219" s="12">
        <f>IF(Tableau2[[#This Row],[sdom]]="5OUEST",1,0)</f>
        <v>0</v>
      </c>
      <c r="AL219" s="12">
        <f>VLOOKUP(Tableau2[[#This Row],[essence]],Tableau5[],17,FALSE)</f>
        <v>0</v>
      </c>
      <c r="AM219" s="12">
        <f>IF(Tableau2[[#This Row],[sdom]]="6EST",1,0)</f>
        <v>1</v>
      </c>
      <c r="AN219" s="12">
        <f>VLOOKUP(Tableau2[[#This Row],[essence]],Tableau5[],19,FALSE)</f>
        <v>0</v>
      </c>
      <c r="AO219" s="12">
        <f>IF(Tableau2[[#This Row],[priorecol]]="C",1,0)</f>
        <v>0</v>
      </c>
      <c r="AP219" s="12">
        <f>VLOOKUP(Tableau2[[#This Row],[essence]],Tableau5[],20,FALSE)</f>
        <v>0</v>
      </c>
      <c r="AQ219" s="12">
        <f>IF(Tableau2[[#This Row],[priorecol]]="R",1,0)</f>
        <v>1</v>
      </c>
      <c r="AR219" s="12">
        <f>VLOOKUP(Tableau2[[#This Row],[essence]],Tableau5[],21,FALSE)</f>
        <v>0</v>
      </c>
      <c r="AS219" s="12">
        <f>IF(Tableau2[[#This Row],[priorecol]]="S",1,0)</f>
        <v>0</v>
      </c>
      <c r="AT219" s="12">
        <f>VLOOKUP(Tableau2[[#This Row],[essence]],Tableau5[],22,FALSE)</f>
        <v>0</v>
      </c>
      <c r="AU219" s="12">
        <f>VLOOKUP(Tableau2[[#This Row],[essence]],Tableau5[],23,FALSE)</f>
        <v>0</v>
      </c>
      <c r="AV219" s="12">
        <f>VLOOKUP(Tableau2[[#This Row],[essence]],Tableau5[],18,FALSE)</f>
        <v>0</v>
      </c>
      <c r="AW21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2.8705000000000003</v>
      </c>
      <c r="AX219" s="12">
        <f>1/(1+EXP(-Tableau2[[#This Row],[xb_c]]))</f>
        <v>0.94636873113535214</v>
      </c>
      <c r="AY219" s="12" t="str">
        <f t="shared" si="6"/>
        <v>NA</v>
      </c>
      <c r="AZ219" s="12" t="str">
        <f t="shared" si="7"/>
        <v>NA</v>
      </c>
      <c r="BA219" s="12">
        <f>Tableau2[[#This Row],[prob_c]]</f>
        <v>0.94636873113535214</v>
      </c>
      <c r="BB219" s="12">
        <f>1-Tableau2[[#This Row],[prob_c]]</f>
        <v>5.3631268864647863E-2</v>
      </c>
    </row>
    <row r="220" spans="1:54" x14ac:dyDescent="0.25">
      <c r="A220" s="12">
        <v>10</v>
      </c>
      <c r="B220" s="12" t="s">
        <v>18</v>
      </c>
      <c r="C220" s="12">
        <v>2.1</v>
      </c>
      <c r="D220" s="12">
        <v>700</v>
      </c>
      <c r="E220" s="12">
        <v>20</v>
      </c>
      <c r="F220" s="12">
        <v>1</v>
      </c>
      <c r="G220" s="12">
        <v>3</v>
      </c>
      <c r="H220" s="12">
        <v>32</v>
      </c>
      <c r="I220" s="12" t="s">
        <v>19</v>
      </c>
      <c r="J220" s="12" t="s">
        <v>29</v>
      </c>
      <c r="K220" s="12">
        <f>VLOOKUP(Tableau2[[#This Row],[essence]],Tableau5[],2,FALSE)</f>
        <v>-1.806</v>
      </c>
      <c r="L220" s="12">
        <f>VLOOKUP(Tableau2[[#This Row],[essence]],Tableau5[],3,FALSE)</f>
        <v>1.2398</v>
      </c>
      <c r="M220" s="12">
        <f>IF(Tableau2[[#This Row],[priorecol]]="C",1,0)</f>
        <v>0</v>
      </c>
      <c r="N220" s="12">
        <f>VLOOKUP(Tableau2[[#This Row],[essence]],Tableau5[],4,FALSE)</f>
        <v>2.6488</v>
      </c>
      <c r="O220" s="12">
        <f>IF(Tableau2[[#This Row],[priorecol]]="R",1,0)</f>
        <v>0</v>
      </c>
      <c r="P220" s="12">
        <f>VLOOKUP(Tableau2[[#This Row],[essence]],Tableau5[],5,FALSE)</f>
        <v>0.61070000000000002</v>
      </c>
      <c r="Q220" s="12">
        <f>IF(Tableau2[[#This Row],[priorecol]]="S",1,0)</f>
        <v>1</v>
      </c>
      <c r="R220" s="12">
        <f>VLOOKUP(Tableau2[[#This Row],[essence]],Tableau5[],6,FALSE)</f>
        <v>5.67E-2</v>
      </c>
      <c r="S220" s="12">
        <f>VLOOKUP(Tableau2[[#This Row],[essence]],Tableau5[],15,FALSE)</f>
        <v>1.35E-2</v>
      </c>
      <c r="T220" s="12">
        <f>VLOOKUP(Tableau2[[#This Row],[essence]],Tableau5[],7,FALSE)</f>
        <v>0.95779999999999998</v>
      </c>
      <c r="U220" s="12">
        <f>IF(Tableau2[[#This Row],[sdom]]=1,1,0)</f>
        <v>0</v>
      </c>
      <c r="V220" s="12">
        <f>VLOOKUP(Tableau2[[#This Row],[essence]],Tableau5[],8,FALSE)</f>
        <v>0.66500000000000004</v>
      </c>
      <c r="W220" s="12">
        <f>IF(Tableau2[[#This Row],[sdom]]="2EST",1,0)</f>
        <v>0</v>
      </c>
      <c r="X220" s="12">
        <f>VLOOKUP(Tableau2[[#This Row],[essence]],Tableau5[],9,FALSE)</f>
        <v>0.32479999999999998</v>
      </c>
      <c r="Y220" s="12">
        <f>IF(Tableau2[[#This Row],[sdom]]="2OUEST",1,0)</f>
        <v>0</v>
      </c>
      <c r="Z220" s="12">
        <f>VLOOKUP(Tableau2[[#This Row],[essence]],Tableau5[],10,FALSE)</f>
        <v>0.62949999999999995</v>
      </c>
      <c r="AA220" s="12">
        <f>IF(Tableau2[[#This Row],[sdom]]="3EST",1,0)</f>
        <v>0</v>
      </c>
      <c r="AB220" s="12">
        <f>VLOOKUP(Tableau2[[#This Row],[essence]],Tableau5[],11,FALSE)</f>
        <v>0.56679999999999997</v>
      </c>
      <c r="AC220" s="12">
        <f>IF(Tableau2[[#This Row],[sdom]]="3OUEST",1,0)</f>
        <v>0</v>
      </c>
      <c r="AD220" s="12">
        <f>VLOOKUP(Tableau2[[#This Row],[essence]],Tableau5[],12,FALSE)</f>
        <v>0.21729999999999999</v>
      </c>
      <c r="AE220" s="12">
        <f>IF(Tableau2[[#This Row],[sdom]]="4EST",1,0)</f>
        <v>0</v>
      </c>
      <c r="AF220" s="12">
        <f>VLOOKUP(Tableau2[[#This Row],[essence]],Tableau5[],13,FALSE)</f>
        <v>0.39939999999999998</v>
      </c>
      <c r="AG220" s="12">
        <f>IF(Tableau2[[#This Row],[sdom]]="4OUEST",1,0)</f>
        <v>0</v>
      </c>
      <c r="AH220" s="12">
        <f>VLOOKUP(Tableau2[[#This Row],[essence]],Tableau5[],14,FALSE)</f>
        <v>6.5299999999999997E-2</v>
      </c>
      <c r="AI220" s="12">
        <f>IF(Tableau2[[#This Row],[sdom]]="5EST",1,0)</f>
        <v>0</v>
      </c>
      <c r="AJ220" s="12">
        <f>VLOOKUP(Tableau2[[#This Row],[essence]],Tableau5[],16,FALSE)</f>
        <v>0</v>
      </c>
      <c r="AK220" s="12">
        <f>IF(Tableau2[[#This Row],[sdom]]="5OUEST",1,0)</f>
        <v>0</v>
      </c>
      <c r="AL220" s="12">
        <f>VLOOKUP(Tableau2[[#This Row],[essence]],Tableau5[],17,FALSE)</f>
        <v>0</v>
      </c>
      <c r="AM220" s="12">
        <f>IF(Tableau2[[#This Row],[sdom]]="6EST",1,0)</f>
        <v>1</v>
      </c>
      <c r="AN220" s="12">
        <f>VLOOKUP(Tableau2[[#This Row],[essence]],Tableau5[],19,FALSE)</f>
        <v>0</v>
      </c>
      <c r="AO220" s="12">
        <f>IF(Tableau2[[#This Row],[priorecol]]="C",1,0)</f>
        <v>0</v>
      </c>
      <c r="AP220" s="12">
        <f>VLOOKUP(Tableau2[[#This Row],[essence]],Tableau5[],20,FALSE)</f>
        <v>0</v>
      </c>
      <c r="AQ220" s="12">
        <f>IF(Tableau2[[#This Row],[priorecol]]="R",1,0)</f>
        <v>0</v>
      </c>
      <c r="AR220" s="12">
        <f>VLOOKUP(Tableau2[[#This Row],[essence]],Tableau5[],21,FALSE)</f>
        <v>0</v>
      </c>
      <c r="AS220" s="12">
        <f>IF(Tableau2[[#This Row],[priorecol]]="S",1,0)</f>
        <v>1</v>
      </c>
      <c r="AT220" s="12">
        <f>VLOOKUP(Tableau2[[#This Row],[essence]],Tableau5[],22,FALSE)</f>
        <v>0</v>
      </c>
      <c r="AU220" s="12">
        <f>VLOOKUP(Tableau2[[#This Row],[essence]],Tableau5[],23,FALSE)</f>
        <v>0</v>
      </c>
      <c r="AV220" s="12">
        <f>VLOOKUP(Tableau2[[#This Row],[essence]],Tableau5[],18,FALSE)</f>
        <v>0</v>
      </c>
      <c r="AW22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0.8891</v>
      </c>
      <c r="AX220" s="12">
        <f>1/(1+EXP(-Tableau2[[#This Row],[xb_c]]))</f>
        <v>0.70870440924871592</v>
      </c>
      <c r="AY220" s="12" t="str">
        <f t="shared" si="6"/>
        <v>NA</v>
      </c>
      <c r="AZ220" s="12" t="str">
        <f t="shared" si="7"/>
        <v>NA</v>
      </c>
      <c r="BA220" s="12">
        <f>Tableau2[[#This Row],[prob_c]]</f>
        <v>0.70870440924871592</v>
      </c>
      <c r="BB220" s="12">
        <f>1-Tableau2[[#This Row],[prob_c]]</f>
        <v>0.29129559075128408</v>
      </c>
    </row>
    <row r="221" spans="1:54" x14ac:dyDescent="0.25">
      <c r="A221" s="12">
        <v>10</v>
      </c>
      <c r="B221" s="12" t="s">
        <v>18</v>
      </c>
      <c r="C221" s="12">
        <v>2.1</v>
      </c>
      <c r="D221" s="12">
        <v>700</v>
      </c>
      <c r="E221" s="12">
        <v>20</v>
      </c>
      <c r="F221" s="12">
        <v>1</v>
      </c>
      <c r="G221" s="12">
        <v>4</v>
      </c>
      <c r="H221" s="12">
        <v>33</v>
      </c>
      <c r="I221" s="12" t="s">
        <v>20</v>
      </c>
      <c r="J221" s="12" t="s">
        <v>27</v>
      </c>
      <c r="K221" s="12">
        <f>VLOOKUP(Tableau2[[#This Row],[essence]],Tableau5[],2,FALSE)</f>
        <v>0.69510000000000005</v>
      </c>
      <c r="L221" s="12">
        <f>VLOOKUP(Tableau2[[#This Row],[essence]],Tableau5[],3,FALSE)</f>
        <v>-0.51849999999999996</v>
      </c>
      <c r="M221" s="12">
        <f>IF(Tableau2[[#This Row],[priorecol]]="C",1,0)</f>
        <v>1</v>
      </c>
      <c r="N221" s="12">
        <f>VLOOKUP(Tableau2[[#This Row],[essence]],Tableau5[],4,FALSE)</f>
        <v>0.52129999999999999</v>
      </c>
      <c r="O221" s="12">
        <f>IF(Tableau2[[#This Row],[priorecol]]="R",1,0)</f>
        <v>0</v>
      </c>
      <c r="P221" s="12">
        <f>VLOOKUP(Tableau2[[#This Row],[essence]],Tableau5[],5,FALSE)</f>
        <v>-0.37890000000000001</v>
      </c>
      <c r="Q221" s="12">
        <f>IF(Tableau2[[#This Row],[priorecol]]="S",1,0)</f>
        <v>0</v>
      </c>
      <c r="R221" s="12">
        <f>VLOOKUP(Tableau2[[#This Row],[essence]],Tableau5[],6,FALSE)</f>
        <v>-5.5999999999999995E-4</v>
      </c>
      <c r="S221" s="12">
        <f>VLOOKUP(Tableau2[[#This Row],[essence]],Tableau5[],15,FALSE)</f>
        <v>1.52E-2</v>
      </c>
      <c r="T221" s="12">
        <f>VLOOKUP(Tableau2[[#This Row],[essence]],Tableau5[],7,FALSE)</f>
        <v>0</v>
      </c>
      <c r="U221" s="12">
        <f>IF(Tableau2[[#This Row],[sdom]]=1,1,0)</f>
        <v>0</v>
      </c>
      <c r="V221" s="12">
        <f>VLOOKUP(Tableau2[[#This Row],[essence]],Tableau5[],8,FALSE)</f>
        <v>-8.7900000000000006E-2</v>
      </c>
      <c r="W221" s="12">
        <f>IF(Tableau2[[#This Row],[sdom]]="2EST",1,0)</f>
        <v>0</v>
      </c>
      <c r="X221" s="12">
        <f>VLOOKUP(Tableau2[[#This Row],[essence]],Tableau5[],9,FALSE)</f>
        <v>0.42620000000000002</v>
      </c>
      <c r="Y221" s="12">
        <f>IF(Tableau2[[#This Row],[sdom]]="2OUEST",1,0)</f>
        <v>0</v>
      </c>
      <c r="Z221" s="12">
        <f>VLOOKUP(Tableau2[[#This Row],[essence]],Tableau5[],10,FALSE)</f>
        <v>0.54149999999999998</v>
      </c>
      <c r="AA221" s="12">
        <f>IF(Tableau2[[#This Row],[sdom]]="3EST",1,0)</f>
        <v>0</v>
      </c>
      <c r="AB221" s="12">
        <f>VLOOKUP(Tableau2[[#This Row],[essence]],Tableau5[],11,FALSE)</f>
        <v>0.50339999999999996</v>
      </c>
      <c r="AC221" s="12">
        <f>IF(Tableau2[[#This Row],[sdom]]="3OUEST",1,0)</f>
        <v>0</v>
      </c>
      <c r="AD221" s="12">
        <f>VLOOKUP(Tableau2[[#This Row],[essence]],Tableau5[],12,FALSE)</f>
        <v>-3.0599999999999999E-2</v>
      </c>
      <c r="AE221" s="12">
        <f>IF(Tableau2[[#This Row],[sdom]]="4EST",1,0)</f>
        <v>0</v>
      </c>
      <c r="AF221" s="12">
        <f>VLOOKUP(Tableau2[[#This Row],[essence]],Tableau5[],13,FALSE)</f>
        <v>0.1583</v>
      </c>
      <c r="AG221" s="12">
        <f>IF(Tableau2[[#This Row],[sdom]]="4OUEST",1,0)</f>
        <v>0</v>
      </c>
      <c r="AH221" s="12">
        <f>VLOOKUP(Tableau2[[#This Row],[essence]],Tableau5[],14,FALSE)</f>
        <v>3.9800000000000002E-2</v>
      </c>
      <c r="AI221" s="12">
        <f>IF(Tableau2[[#This Row],[sdom]]="5EST",1,0)</f>
        <v>0</v>
      </c>
      <c r="AJ221" s="12">
        <f>VLOOKUP(Tableau2[[#This Row],[essence]],Tableau5[],16,FALSE)</f>
        <v>0.13650000000000001</v>
      </c>
      <c r="AK221" s="12">
        <f>IF(Tableau2[[#This Row],[sdom]]="5OUEST",1,0)</f>
        <v>0</v>
      </c>
      <c r="AL221" s="12">
        <f>VLOOKUP(Tableau2[[#This Row],[essence]],Tableau5[],17,FALSE)</f>
        <v>-0.39140000000000003</v>
      </c>
      <c r="AM221" s="12">
        <f>IF(Tableau2[[#This Row],[sdom]]="6EST",1,0)</f>
        <v>1</v>
      </c>
      <c r="AN221" s="12">
        <f>VLOOKUP(Tableau2[[#This Row],[essence]],Tableau5[],19,FALSE)</f>
        <v>5.8000000000000003E-2</v>
      </c>
      <c r="AO221" s="12">
        <f>IF(Tableau2[[#This Row],[priorecol]]="C",1,0)</f>
        <v>1</v>
      </c>
      <c r="AP221" s="12">
        <f>VLOOKUP(Tableau2[[#This Row],[essence]],Tableau5[],20,FALSE)</f>
        <v>4.7500000000000001E-2</v>
      </c>
      <c r="AQ221" s="12">
        <f>IF(Tableau2[[#This Row],[priorecol]]="R",1,0)</f>
        <v>0</v>
      </c>
      <c r="AR221" s="12">
        <f>VLOOKUP(Tableau2[[#This Row],[essence]],Tableau5[],21,FALSE)</f>
        <v>4.87E-2</v>
      </c>
      <c r="AS221" s="12">
        <f>IF(Tableau2[[#This Row],[priorecol]]="S",1,0)</f>
        <v>0</v>
      </c>
      <c r="AT221" s="12">
        <f>VLOOKUP(Tableau2[[#This Row],[essence]],Tableau5[],22,FALSE)</f>
        <v>0</v>
      </c>
      <c r="AU221" s="12">
        <f>VLOOKUP(Tableau2[[#This Row],[essence]],Tableau5[],23,FALSE)</f>
        <v>0</v>
      </c>
      <c r="AV221" s="12">
        <f>VLOOKUP(Tableau2[[#This Row],[essence]],Tableau5[],18,FALSE)</f>
        <v>-0.112</v>
      </c>
      <c r="AW22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1.7495200000000002</v>
      </c>
      <c r="AX221" s="12">
        <f>1/(1+EXP(-Tableau2[[#This Row],[xb_c]]))</f>
        <v>0.85189224971184607</v>
      </c>
      <c r="AY221" s="12" t="str">
        <f t="shared" si="6"/>
        <v>NA</v>
      </c>
      <c r="AZ221" s="12" t="str">
        <f t="shared" si="7"/>
        <v>NA</v>
      </c>
      <c r="BA221" s="12">
        <f>Tableau2[[#This Row],[prob_c]]</f>
        <v>0.85189224971184607</v>
      </c>
      <c r="BB221" s="12">
        <f>1-Tableau2[[#This Row],[prob_c]]</f>
        <v>0.14810775028815393</v>
      </c>
    </row>
    <row r="222" spans="1:54" x14ac:dyDescent="0.25">
      <c r="A222" s="12">
        <v>10</v>
      </c>
      <c r="B222" s="12" t="s">
        <v>18</v>
      </c>
      <c r="C222" s="12">
        <v>2.1</v>
      </c>
      <c r="D222" s="12">
        <v>700</v>
      </c>
      <c r="E222" s="12">
        <v>20</v>
      </c>
      <c r="F222" s="12">
        <v>1</v>
      </c>
      <c r="G222" s="12">
        <v>5</v>
      </c>
      <c r="H222" s="12">
        <v>24</v>
      </c>
      <c r="I222" s="12" t="s">
        <v>20</v>
      </c>
      <c r="J222" s="12" t="s">
        <v>28</v>
      </c>
      <c r="K222" s="12">
        <f>VLOOKUP(Tableau2[[#This Row],[essence]],Tableau5[],2,FALSE)</f>
        <v>0.69510000000000005</v>
      </c>
      <c r="L222" s="12">
        <f>VLOOKUP(Tableau2[[#This Row],[essence]],Tableau5[],3,FALSE)</f>
        <v>-0.51849999999999996</v>
      </c>
      <c r="M222" s="12">
        <f>IF(Tableau2[[#This Row],[priorecol]]="C",1,0)</f>
        <v>0</v>
      </c>
      <c r="N222" s="12">
        <f>VLOOKUP(Tableau2[[#This Row],[essence]],Tableau5[],4,FALSE)</f>
        <v>0.52129999999999999</v>
      </c>
      <c r="O222" s="12">
        <f>IF(Tableau2[[#This Row],[priorecol]]="R",1,0)</f>
        <v>1</v>
      </c>
      <c r="P222" s="12">
        <f>VLOOKUP(Tableau2[[#This Row],[essence]],Tableau5[],5,FALSE)</f>
        <v>-0.37890000000000001</v>
      </c>
      <c r="Q222" s="12">
        <f>IF(Tableau2[[#This Row],[priorecol]]="S",1,0)</f>
        <v>0</v>
      </c>
      <c r="R222" s="12">
        <f>VLOOKUP(Tableau2[[#This Row],[essence]],Tableau5[],6,FALSE)</f>
        <v>-5.5999999999999995E-4</v>
      </c>
      <c r="S222" s="12">
        <f>VLOOKUP(Tableau2[[#This Row],[essence]],Tableau5[],15,FALSE)</f>
        <v>1.52E-2</v>
      </c>
      <c r="T222" s="12">
        <f>VLOOKUP(Tableau2[[#This Row],[essence]],Tableau5[],7,FALSE)</f>
        <v>0</v>
      </c>
      <c r="U222" s="12">
        <f>IF(Tableau2[[#This Row],[sdom]]=1,1,0)</f>
        <v>0</v>
      </c>
      <c r="V222" s="12">
        <f>VLOOKUP(Tableau2[[#This Row],[essence]],Tableau5[],8,FALSE)</f>
        <v>-8.7900000000000006E-2</v>
      </c>
      <c r="W222" s="12">
        <f>IF(Tableau2[[#This Row],[sdom]]="2EST",1,0)</f>
        <v>0</v>
      </c>
      <c r="X222" s="12">
        <f>VLOOKUP(Tableau2[[#This Row],[essence]],Tableau5[],9,FALSE)</f>
        <v>0.42620000000000002</v>
      </c>
      <c r="Y222" s="12">
        <f>IF(Tableau2[[#This Row],[sdom]]="2OUEST",1,0)</f>
        <v>0</v>
      </c>
      <c r="Z222" s="12">
        <f>VLOOKUP(Tableau2[[#This Row],[essence]],Tableau5[],10,FALSE)</f>
        <v>0.54149999999999998</v>
      </c>
      <c r="AA222" s="12">
        <f>IF(Tableau2[[#This Row],[sdom]]="3EST",1,0)</f>
        <v>0</v>
      </c>
      <c r="AB222" s="12">
        <f>VLOOKUP(Tableau2[[#This Row],[essence]],Tableau5[],11,FALSE)</f>
        <v>0.50339999999999996</v>
      </c>
      <c r="AC222" s="12">
        <f>IF(Tableau2[[#This Row],[sdom]]="3OUEST",1,0)</f>
        <v>0</v>
      </c>
      <c r="AD222" s="12">
        <f>VLOOKUP(Tableau2[[#This Row],[essence]],Tableau5[],12,FALSE)</f>
        <v>-3.0599999999999999E-2</v>
      </c>
      <c r="AE222" s="12">
        <f>IF(Tableau2[[#This Row],[sdom]]="4EST",1,0)</f>
        <v>0</v>
      </c>
      <c r="AF222" s="12">
        <f>VLOOKUP(Tableau2[[#This Row],[essence]],Tableau5[],13,FALSE)</f>
        <v>0.1583</v>
      </c>
      <c r="AG222" s="12">
        <f>IF(Tableau2[[#This Row],[sdom]]="4OUEST",1,0)</f>
        <v>0</v>
      </c>
      <c r="AH222" s="12">
        <f>VLOOKUP(Tableau2[[#This Row],[essence]],Tableau5[],14,FALSE)</f>
        <v>3.9800000000000002E-2</v>
      </c>
      <c r="AI222" s="12">
        <f>IF(Tableau2[[#This Row],[sdom]]="5EST",1,0)</f>
        <v>0</v>
      </c>
      <c r="AJ222" s="12">
        <f>VLOOKUP(Tableau2[[#This Row],[essence]],Tableau5[],16,FALSE)</f>
        <v>0.13650000000000001</v>
      </c>
      <c r="AK222" s="12">
        <f>IF(Tableau2[[#This Row],[sdom]]="5OUEST",1,0)</f>
        <v>0</v>
      </c>
      <c r="AL222" s="12">
        <f>VLOOKUP(Tableau2[[#This Row],[essence]],Tableau5[],17,FALSE)</f>
        <v>-0.39140000000000003</v>
      </c>
      <c r="AM222" s="12">
        <f>IF(Tableau2[[#This Row],[sdom]]="6EST",1,0)</f>
        <v>1</v>
      </c>
      <c r="AN222" s="12">
        <f>VLOOKUP(Tableau2[[#This Row],[essence]],Tableau5[],19,FALSE)</f>
        <v>5.8000000000000003E-2</v>
      </c>
      <c r="AO222" s="12">
        <f>IF(Tableau2[[#This Row],[priorecol]]="C",1,0)</f>
        <v>0</v>
      </c>
      <c r="AP222" s="12">
        <f>VLOOKUP(Tableau2[[#This Row],[essence]],Tableau5[],20,FALSE)</f>
        <v>4.7500000000000001E-2</v>
      </c>
      <c r="AQ222" s="12">
        <f>IF(Tableau2[[#This Row],[priorecol]]="R",1,0)</f>
        <v>1</v>
      </c>
      <c r="AR222" s="12">
        <f>VLOOKUP(Tableau2[[#This Row],[essence]],Tableau5[],21,FALSE)</f>
        <v>4.87E-2</v>
      </c>
      <c r="AS222" s="12">
        <f>IF(Tableau2[[#This Row],[priorecol]]="S",1,0)</f>
        <v>0</v>
      </c>
      <c r="AT222" s="12">
        <f>VLOOKUP(Tableau2[[#This Row],[essence]],Tableau5[],22,FALSE)</f>
        <v>0</v>
      </c>
      <c r="AU222" s="12">
        <f>VLOOKUP(Tableau2[[#This Row],[essence]],Tableau5[],23,FALSE)</f>
        <v>0</v>
      </c>
      <c r="AV222" s="12">
        <f>VLOOKUP(Tableau2[[#This Row],[essence]],Tableau5[],18,FALSE)</f>
        <v>-0.112</v>
      </c>
      <c r="AW22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2.0203600000000006</v>
      </c>
      <c r="AX222" s="12">
        <f>1/(1+EXP(-Tableau2[[#This Row],[xb_c]]))</f>
        <v>0.88291822876139503</v>
      </c>
      <c r="AY222" s="12" t="str">
        <f t="shared" si="6"/>
        <v>NA</v>
      </c>
      <c r="AZ222" s="12" t="str">
        <f t="shared" si="7"/>
        <v>NA</v>
      </c>
      <c r="BA222" s="12">
        <f>Tableau2[[#This Row],[prob_c]]</f>
        <v>0.88291822876139503</v>
      </c>
      <c r="BB222" s="12">
        <f>1-Tableau2[[#This Row],[prob_c]]</f>
        <v>0.11708177123860497</v>
      </c>
    </row>
    <row r="223" spans="1:54" x14ac:dyDescent="0.25">
      <c r="A223" s="12">
        <v>10</v>
      </c>
      <c r="B223" s="12" t="s">
        <v>18</v>
      </c>
      <c r="C223" s="12">
        <v>2.1</v>
      </c>
      <c r="D223" s="12">
        <v>700</v>
      </c>
      <c r="E223" s="12">
        <v>20</v>
      </c>
      <c r="F223" s="12">
        <v>1</v>
      </c>
      <c r="G223" s="12">
        <v>6</v>
      </c>
      <c r="H223" s="12">
        <v>25</v>
      </c>
      <c r="I223" s="12" t="s">
        <v>20</v>
      </c>
      <c r="J223" s="12" t="s">
        <v>29</v>
      </c>
      <c r="K223" s="12">
        <f>VLOOKUP(Tableau2[[#This Row],[essence]],Tableau5[],2,FALSE)</f>
        <v>0.69510000000000005</v>
      </c>
      <c r="L223" s="12">
        <f>VLOOKUP(Tableau2[[#This Row],[essence]],Tableau5[],3,FALSE)</f>
        <v>-0.51849999999999996</v>
      </c>
      <c r="M223" s="12">
        <f>IF(Tableau2[[#This Row],[priorecol]]="C",1,0)</f>
        <v>0</v>
      </c>
      <c r="N223" s="12">
        <f>VLOOKUP(Tableau2[[#This Row],[essence]],Tableau5[],4,FALSE)</f>
        <v>0.52129999999999999</v>
      </c>
      <c r="O223" s="12">
        <f>IF(Tableau2[[#This Row],[priorecol]]="R",1,0)</f>
        <v>0</v>
      </c>
      <c r="P223" s="12">
        <f>VLOOKUP(Tableau2[[#This Row],[essence]],Tableau5[],5,FALSE)</f>
        <v>-0.37890000000000001</v>
      </c>
      <c r="Q223" s="12">
        <f>IF(Tableau2[[#This Row],[priorecol]]="S",1,0)</f>
        <v>1</v>
      </c>
      <c r="R223" s="12">
        <f>VLOOKUP(Tableau2[[#This Row],[essence]],Tableau5[],6,FALSE)</f>
        <v>-5.5999999999999995E-4</v>
      </c>
      <c r="S223" s="12">
        <f>VLOOKUP(Tableau2[[#This Row],[essence]],Tableau5[],15,FALSE)</f>
        <v>1.52E-2</v>
      </c>
      <c r="T223" s="12">
        <f>VLOOKUP(Tableau2[[#This Row],[essence]],Tableau5[],7,FALSE)</f>
        <v>0</v>
      </c>
      <c r="U223" s="12">
        <f>IF(Tableau2[[#This Row],[sdom]]=1,1,0)</f>
        <v>0</v>
      </c>
      <c r="V223" s="12">
        <f>VLOOKUP(Tableau2[[#This Row],[essence]],Tableau5[],8,FALSE)</f>
        <v>-8.7900000000000006E-2</v>
      </c>
      <c r="W223" s="12">
        <f>IF(Tableau2[[#This Row],[sdom]]="2EST",1,0)</f>
        <v>0</v>
      </c>
      <c r="X223" s="12">
        <f>VLOOKUP(Tableau2[[#This Row],[essence]],Tableau5[],9,FALSE)</f>
        <v>0.42620000000000002</v>
      </c>
      <c r="Y223" s="12">
        <f>IF(Tableau2[[#This Row],[sdom]]="2OUEST",1,0)</f>
        <v>0</v>
      </c>
      <c r="Z223" s="12">
        <f>VLOOKUP(Tableau2[[#This Row],[essence]],Tableau5[],10,FALSE)</f>
        <v>0.54149999999999998</v>
      </c>
      <c r="AA223" s="12">
        <f>IF(Tableau2[[#This Row],[sdom]]="3EST",1,0)</f>
        <v>0</v>
      </c>
      <c r="AB223" s="12">
        <f>VLOOKUP(Tableau2[[#This Row],[essence]],Tableau5[],11,FALSE)</f>
        <v>0.50339999999999996</v>
      </c>
      <c r="AC223" s="12">
        <f>IF(Tableau2[[#This Row],[sdom]]="3OUEST",1,0)</f>
        <v>0</v>
      </c>
      <c r="AD223" s="12">
        <f>VLOOKUP(Tableau2[[#This Row],[essence]],Tableau5[],12,FALSE)</f>
        <v>-3.0599999999999999E-2</v>
      </c>
      <c r="AE223" s="12">
        <f>IF(Tableau2[[#This Row],[sdom]]="4EST",1,0)</f>
        <v>0</v>
      </c>
      <c r="AF223" s="12">
        <f>VLOOKUP(Tableau2[[#This Row],[essence]],Tableau5[],13,FALSE)</f>
        <v>0.1583</v>
      </c>
      <c r="AG223" s="12">
        <f>IF(Tableau2[[#This Row],[sdom]]="4OUEST",1,0)</f>
        <v>0</v>
      </c>
      <c r="AH223" s="12">
        <f>VLOOKUP(Tableau2[[#This Row],[essence]],Tableau5[],14,FALSE)</f>
        <v>3.9800000000000002E-2</v>
      </c>
      <c r="AI223" s="12">
        <f>IF(Tableau2[[#This Row],[sdom]]="5EST",1,0)</f>
        <v>0</v>
      </c>
      <c r="AJ223" s="12">
        <f>VLOOKUP(Tableau2[[#This Row],[essence]],Tableau5[],16,FALSE)</f>
        <v>0.13650000000000001</v>
      </c>
      <c r="AK223" s="12">
        <f>IF(Tableau2[[#This Row],[sdom]]="5OUEST",1,0)</f>
        <v>0</v>
      </c>
      <c r="AL223" s="12">
        <f>VLOOKUP(Tableau2[[#This Row],[essence]],Tableau5[],17,FALSE)</f>
        <v>-0.39140000000000003</v>
      </c>
      <c r="AM223" s="12">
        <f>IF(Tableau2[[#This Row],[sdom]]="6EST",1,0)</f>
        <v>1</v>
      </c>
      <c r="AN223" s="12">
        <f>VLOOKUP(Tableau2[[#This Row],[essence]],Tableau5[],19,FALSE)</f>
        <v>5.8000000000000003E-2</v>
      </c>
      <c r="AO223" s="12">
        <f>IF(Tableau2[[#This Row],[priorecol]]="C",1,0)</f>
        <v>0</v>
      </c>
      <c r="AP223" s="12">
        <f>VLOOKUP(Tableau2[[#This Row],[essence]],Tableau5[],20,FALSE)</f>
        <v>4.7500000000000001E-2</v>
      </c>
      <c r="AQ223" s="12">
        <f>IF(Tableau2[[#This Row],[priorecol]]="R",1,0)</f>
        <v>0</v>
      </c>
      <c r="AR223" s="12">
        <f>VLOOKUP(Tableau2[[#This Row],[essence]],Tableau5[],21,FALSE)</f>
        <v>4.87E-2</v>
      </c>
      <c r="AS223" s="12">
        <f>IF(Tableau2[[#This Row],[priorecol]]="S",1,0)</f>
        <v>1</v>
      </c>
      <c r="AT223" s="12">
        <f>VLOOKUP(Tableau2[[#This Row],[essence]],Tableau5[],22,FALSE)</f>
        <v>0</v>
      </c>
      <c r="AU223" s="12">
        <f>VLOOKUP(Tableau2[[#This Row],[essence]],Tableau5[],23,FALSE)</f>
        <v>0</v>
      </c>
      <c r="AV223" s="12">
        <f>VLOOKUP(Tableau2[[#This Row],[essence]],Tableau5[],18,FALSE)</f>
        <v>-0.112</v>
      </c>
      <c r="AW22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1.1971000000000001</v>
      </c>
      <c r="AX223" s="12">
        <f>1/(1+EXP(-Tableau2[[#This Row],[xb_c]]))</f>
        <v>0.76800848793232868</v>
      </c>
      <c r="AY223" s="12" t="str">
        <f t="shared" si="6"/>
        <v>NA</v>
      </c>
      <c r="AZ223" s="12" t="str">
        <f t="shared" si="7"/>
        <v>NA</v>
      </c>
      <c r="BA223" s="12">
        <f>Tableau2[[#This Row],[prob_c]]</f>
        <v>0.76800848793232868</v>
      </c>
      <c r="BB223" s="12">
        <f>1-Tableau2[[#This Row],[prob_c]]</f>
        <v>0.23199151206767132</v>
      </c>
    </row>
    <row r="224" spans="1:54" x14ac:dyDescent="0.25">
      <c r="A224" s="12">
        <v>10</v>
      </c>
      <c r="B224" s="12" t="s">
        <v>18</v>
      </c>
      <c r="C224" s="12">
        <v>2.1</v>
      </c>
      <c r="D224" s="12">
        <v>700</v>
      </c>
      <c r="E224" s="12">
        <v>20</v>
      </c>
      <c r="F224" s="12">
        <v>1</v>
      </c>
      <c r="G224" s="12">
        <v>7</v>
      </c>
      <c r="H224" s="12">
        <v>26</v>
      </c>
      <c r="I224" s="12" t="s">
        <v>21</v>
      </c>
      <c r="J224" s="12" t="s">
        <v>27</v>
      </c>
      <c r="K224" s="12">
        <f>VLOOKUP(Tableau2[[#This Row],[essence]],Tableau5[],2,FALSE)</f>
        <v>5.0801999999999996</v>
      </c>
      <c r="L224" s="12">
        <f>VLOOKUP(Tableau2[[#This Row],[essence]],Tableau5[],3,FALSE)</f>
        <v>1.7765</v>
      </c>
      <c r="M224" s="12">
        <f>IF(Tableau2[[#This Row],[priorecol]]="C",1,0)</f>
        <v>1</v>
      </c>
      <c r="N224" s="12">
        <f>VLOOKUP(Tableau2[[#This Row],[essence]],Tableau5[],4,FALSE)</f>
        <v>3.3664000000000001</v>
      </c>
      <c r="O224" s="12">
        <f>IF(Tableau2[[#This Row],[priorecol]]="R",1,0)</f>
        <v>0</v>
      </c>
      <c r="P224" s="12">
        <f>VLOOKUP(Tableau2[[#This Row],[essence]],Tableau5[],5,FALSE)</f>
        <v>0.57940000000000003</v>
      </c>
      <c r="Q224" s="12">
        <f>IF(Tableau2[[#This Row],[priorecol]]="S",1,0)</f>
        <v>0</v>
      </c>
      <c r="R224" s="12">
        <f>VLOOKUP(Tableau2[[#This Row],[essence]],Tableau5[],6,FALSE)</f>
        <v>-0.2109</v>
      </c>
      <c r="S224" s="12">
        <f>VLOOKUP(Tableau2[[#This Row],[essence]],Tableau5[],15,FALSE)</f>
        <v>-0.2429</v>
      </c>
      <c r="T224" s="12">
        <f>VLOOKUP(Tableau2[[#This Row],[essence]],Tableau5[],7,FALSE)</f>
        <v>0</v>
      </c>
      <c r="U224" s="12">
        <f>IF(Tableau2[[#This Row],[sdom]]=1,1,0)</f>
        <v>0</v>
      </c>
      <c r="V224" s="12">
        <f>VLOOKUP(Tableau2[[#This Row],[essence]],Tableau5[],8,FALSE)</f>
        <v>0</v>
      </c>
      <c r="W224" s="12">
        <f>IF(Tableau2[[#This Row],[sdom]]="2EST",1,0)</f>
        <v>0</v>
      </c>
      <c r="X224" s="12">
        <f>VLOOKUP(Tableau2[[#This Row],[essence]],Tableau5[],9,FALSE)</f>
        <v>0</v>
      </c>
      <c r="Y224" s="12">
        <f>IF(Tableau2[[#This Row],[sdom]]="2OUEST",1,0)</f>
        <v>0</v>
      </c>
      <c r="Z224" s="12">
        <f>VLOOKUP(Tableau2[[#This Row],[essence]],Tableau5[],10,FALSE)</f>
        <v>0</v>
      </c>
      <c r="AA224" s="12">
        <f>IF(Tableau2[[#This Row],[sdom]]="3EST",1,0)</f>
        <v>0</v>
      </c>
      <c r="AB224" s="12">
        <f>VLOOKUP(Tableau2[[#This Row],[essence]],Tableau5[],11,FALSE)</f>
        <v>0</v>
      </c>
      <c r="AC224" s="12">
        <f>IF(Tableau2[[#This Row],[sdom]]="3OUEST",1,0)</f>
        <v>0</v>
      </c>
      <c r="AD224" s="12">
        <f>VLOOKUP(Tableau2[[#This Row],[essence]],Tableau5[],12,FALSE)</f>
        <v>0</v>
      </c>
      <c r="AE224" s="12">
        <f>IF(Tableau2[[#This Row],[sdom]]="4EST",1,0)</f>
        <v>0</v>
      </c>
      <c r="AF224" s="12">
        <f>VLOOKUP(Tableau2[[#This Row],[essence]],Tableau5[],13,FALSE)</f>
        <v>0</v>
      </c>
      <c r="AG224" s="12">
        <f>IF(Tableau2[[#This Row],[sdom]]="4OUEST",1,0)</f>
        <v>0</v>
      </c>
      <c r="AH224" s="12">
        <f>VLOOKUP(Tableau2[[#This Row],[essence]],Tableau5[],14,FALSE)</f>
        <v>0</v>
      </c>
      <c r="AI224" s="12">
        <f>IF(Tableau2[[#This Row],[sdom]]="5EST",1,0)</f>
        <v>0</v>
      </c>
      <c r="AJ224" s="12">
        <f>VLOOKUP(Tableau2[[#This Row],[essence]],Tableau5[],16,FALSE)</f>
        <v>0</v>
      </c>
      <c r="AK224" s="12">
        <f>IF(Tableau2[[#This Row],[sdom]]="5OUEST",1,0)</f>
        <v>0</v>
      </c>
      <c r="AL224" s="12">
        <f>VLOOKUP(Tableau2[[#This Row],[essence]],Tableau5[],17,FALSE)</f>
        <v>0</v>
      </c>
      <c r="AM224" s="12">
        <f>IF(Tableau2[[#This Row],[sdom]]="6EST",1,0)</f>
        <v>1</v>
      </c>
      <c r="AN224" s="12">
        <f>VLOOKUP(Tableau2[[#This Row],[essence]],Tableau5[],19,FALSE)</f>
        <v>0</v>
      </c>
      <c r="AO224" s="12">
        <f>IF(Tableau2[[#This Row],[priorecol]]="C",1,0)</f>
        <v>1</v>
      </c>
      <c r="AP224" s="12">
        <f>VLOOKUP(Tableau2[[#This Row],[essence]],Tableau5[],20,FALSE)</f>
        <v>0</v>
      </c>
      <c r="AQ224" s="12">
        <f>IF(Tableau2[[#This Row],[priorecol]]="R",1,0)</f>
        <v>0</v>
      </c>
      <c r="AR224" s="12">
        <f>VLOOKUP(Tableau2[[#This Row],[essence]],Tableau5[],21,FALSE)</f>
        <v>0</v>
      </c>
      <c r="AS224" s="12">
        <f>IF(Tableau2[[#This Row],[priorecol]]="S",1,0)</f>
        <v>0</v>
      </c>
      <c r="AT224" s="12">
        <f>VLOOKUP(Tableau2[[#This Row],[essence]],Tableau5[],22,FALSE)</f>
        <v>1.1384000000000001</v>
      </c>
      <c r="AU224" s="12">
        <f>VLOOKUP(Tableau2[[#This Row],[essence]],Tableau5[],23,FALSE)</f>
        <v>1.0699999999999999E-2</v>
      </c>
      <c r="AV224" s="12">
        <f>VLOOKUP(Tableau2[[#This Row],[essence]],Tableau5[],18,FALSE)</f>
        <v>0</v>
      </c>
      <c r="AW22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3.2176999999999989</v>
      </c>
      <c r="AX224" s="12">
        <f>1/(1+EXP(-Tableau2[[#This Row],[xb_c]]))</f>
        <v>0.96149495328455703</v>
      </c>
      <c r="AY224" s="12" t="str">
        <f t="shared" si="6"/>
        <v>NA</v>
      </c>
      <c r="AZ224" s="12" t="str">
        <f t="shared" si="7"/>
        <v>NA</v>
      </c>
      <c r="BA224" s="12">
        <f>Tableau2[[#This Row],[prob_c]]</f>
        <v>0.96149495328455703</v>
      </c>
      <c r="BB224" s="12">
        <f>1-Tableau2[[#This Row],[prob_c]]</f>
        <v>3.850504671544297E-2</v>
      </c>
    </row>
    <row r="225" spans="1:54" x14ac:dyDescent="0.25">
      <c r="A225" s="12">
        <v>10</v>
      </c>
      <c r="B225" s="12" t="s">
        <v>18</v>
      </c>
      <c r="C225" s="12">
        <v>2.1</v>
      </c>
      <c r="D225" s="12">
        <v>700</v>
      </c>
      <c r="E225" s="12">
        <v>20</v>
      </c>
      <c r="F225" s="12">
        <v>1</v>
      </c>
      <c r="G225" s="12">
        <v>8</v>
      </c>
      <c r="H225" s="12">
        <v>27</v>
      </c>
      <c r="I225" s="12" t="s">
        <v>21</v>
      </c>
      <c r="J225" s="12" t="s">
        <v>28</v>
      </c>
      <c r="K225" s="12">
        <f>VLOOKUP(Tableau2[[#This Row],[essence]],Tableau5[],2,FALSE)</f>
        <v>5.0801999999999996</v>
      </c>
      <c r="L225" s="12">
        <f>VLOOKUP(Tableau2[[#This Row],[essence]],Tableau5[],3,FALSE)</f>
        <v>1.7765</v>
      </c>
      <c r="M225" s="12">
        <f>IF(Tableau2[[#This Row],[priorecol]]="C",1,0)</f>
        <v>0</v>
      </c>
      <c r="N225" s="12">
        <f>VLOOKUP(Tableau2[[#This Row],[essence]],Tableau5[],4,FALSE)</f>
        <v>3.3664000000000001</v>
      </c>
      <c r="O225" s="12">
        <f>IF(Tableau2[[#This Row],[priorecol]]="R",1,0)</f>
        <v>1</v>
      </c>
      <c r="P225" s="12">
        <f>VLOOKUP(Tableau2[[#This Row],[essence]],Tableau5[],5,FALSE)</f>
        <v>0.57940000000000003</v>
      </c>
      <c r="Q225" s="12">
        <f>IF(Tableau2[[#This Row],[priorecol]]="S",1,0)</f>
        <v>0</v>
      </c>
      <c r="R225" s="12">
        <f>VLOOKUP(Tableau2[[#This Row],[essence]],Tableau5[],6,FALSE)</f>
        <v>-0.2109</v>
      </c>
      <c r="S225" s="12">
        <f>VLOOKUP(Tableau2[[#This Row],[essence]],Tableau5[],15,FALSE)</f>
        <v>-0.2429</v>
      </c>
      <c r="T225" s="12">
        <f>VLOOKUP(Tableau2[[#This Row],[essence]],Tableau5[],7,FALSE)</f>
        <v>0</v>
      </c>
      <c r="U225" s="12">
        <f>IF(Tableau2[[#This Row],[sdom]]=1,1,0)</f>
        <v>0</v>
      </c>
      <c r="V225" s="12">
        <f>VLOOKUP(Tableau2[[#This Row],[essence]],Tableau5[],8,FALSE)</f>
        <v>0</v>
      </c>
      <c r="W225" s="12">
        <f>IF(Tableau2[[#This Row],[sdom]]="2EST",1,0)</f>
        <v>0</v>
      </c>
      <c r="X225" s="12">
        <f>VLOOKUP(Tableau2[[#This Row],[essence]],Tableau5[],9,FALSE)</f>
        <v>0</v>
      </c>
      <c r="Y225" s="12">
        <f>IF(Tableau2[[#This Row],[sdom]]="2OUEST",1,0)</f>
        <v>0</v>
      </c>
      <c r="Z225" s="12">
        <f>VLOOKUP(Tableau2[[#This Row],[essence]],Tableau5[],10,FALSE)</f>
        <v>0</v>
      </c>
      <c r="AA225" s="12">
        <f>IF(Tableau2[[#This Row],[sdom]]="3EST",1,0)</f>
        <v>0</v>
      </c>
      <c r="AB225" s="12">
        <f>VLOOKUP(Tableau2[[#This Row],[essence]],Tableau5[],11,FALSE)</f>
        <v>0</v>
      </c>
      <c r="AC225" s="12">
        <f>IF(Tableau2[[#This Row],[sdom]]="3OUEST",1,0)</f>
        <v>0</v>
      </c>
      <c r="AD225" s="12">
        <f>VLOOKUP(Tableau2[[#This Row],[essence]],Tableau5[],12,FALSE)</f>
        <v>0</v>
      </c>
      <c r="AE225" s="12">
        <f>IF(Tableau2[[#This Row],[sdom]]="4EST",1,0)</f>
        <v>0</v>
      </c>
      <c r="AF225" s="12">
        <f>VLOOKUP(Tableau2[[#This Row],[essence]],Tableau5[],13,FALSE)</f>
        <v>0</v>
      </c>
      <c r="AG225" s="12">
        <f>IF(Tableau2[[#This Row],[sdom]]="4OUEST",1,0)</f>
        <v>0</v>
      </c>
      <c r="AH225" s="12">
        <f>VLOOKUP(Tableau2[[#This Row],[essence]],Tableau5[],14,FALSE)</f>
        <v>0</v>
      </c>
      <c r="AI225" s="12">
        <f>IF(Tableau2[[#This Row],[sdom]]="5EST",1,0)</f>
        <v>0</v>
      </c>
      <c r="AJ225" s="12">
        <f>VLOOKUP(Tableau2[[#This Row],[essence]],Tableau5[],16,FALSE)</f>
        <v>0</v>
      </c>
      <c r="AK225" s="12">
        <f>IF(Tableau2[[#This Row],[sdom]]="5OUEST",1,0)</f>
        <v>0</v>
      </c>
      <c r="AL225" s="12">
        <f>VLOOKUP(Tableau2[[#This Row],[essence]],Tableau5[],17,FALSE)</f>
        <v>0</v>
      </c>
      <c r="AM225" s="12">
        <f>IF(Tableau2[[#This Row],[sdom]]="6EST",1,0)</f>
        <v>1</v>
      </c>
      <c r="AN225" s="12">
        <f>VLOOKUP(Tableau2[[#This Row],[essence]],Tableau5[],19,FALSE)</f>
        <v>0</v>
      </c>
      <c r="AO225" s="12">
        <f>IF(Tableau2[[#This Row],[priorecol]]="C",1,0)</f>
        <v>0</v>
      </c>
      <c r="AP225" s="12">
        <f>VLOOKUP(Tableau2[[#This Row],[essence]],Tableau5[],20,FALSE)</f>
        <v>0</v>
      </c>
      <c r="AQ225" s="12">
        <f>IF(Tableau2[[#This Row],[priorecol]]="R",1,0)</f>
        <v>1</v>
      </c>
      <c r="AR225" s="12">
        <f>VLOOKUP(Tableau2[[#This Row],[essence]],Tableau5[],21,FALSE)</f>
        <v>0</v>
      </c>
      <c r="AS225" s="12">
        <f>IF(Tableau2[[#This Row],[priorecol]]="S",1,0)</f>
        <v>0</v>
      </c>
      <c r="AT225" s="12">
        <f>VLOOKUP(Tableau2[[#This Row],[essence]],Tableau5[],22,FALSE)</f>
        <v>1.1384000000000001</v>
      </c>
      <c r="AU225" s="12">
        <f>VLOOKUP(Tableau2[[#This Row],[essence]],Tableau5[],23,FALSE)</f>
        <v>1.0699999999999999E-2</v>
      </c>
      <c r="AV225" s="12">
        <f>VLOOKUP(Tableau2[[#This Row],[essence]],Tableau5[],18,FALSE)</f>
        <v>0</v>
      </c>
      <c r="AW22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4.8106999999999989</v>
      </c>
      <c r="AX225" s="12">
        <f>1/(1+EXP(-Tableau2[[#This Row],[xb_c]]))</f>
        <v>0.99192360112560252</v>
      </c>
      <c r="AY225" s="12" t="str">
        <f t="shared" si="6"/>
        <v>NA</v>
      </c>
      <c r="AZ225" s="12" t="str">
        <f t="shared" si="7"/>
        <v>NA</v>
      </c>
      <c r="BA225" s="12">
        <f>Tableau2[[#This Row],[prob_c]]</f>
        <v>0.99192360112560252</v>
      </c>
      <c r="BB225" s="12">
        <f>1-Tableau2[[#This Row],[prob_c]]</f>
        <v>8.0763988743974835E-3</v>
      </c>
    </row>
    <row r="226" spans="1:54" x14ac:dyDescent="0.25">
      <c r="A226" s="12">
        <v>10</v>
      </c>
      <c r="B226" s="12" t="s">
        <v>18</v>
      </c>
      <c r="C226" s="12">
        <v>2.1</v>
      </c>
      <c r="D226" s="12">
        <v>700</v>
      </c>
      <c r="E226" s="12">
        <v>20</v>
      </c>
      <c r="F226" s="12">
        <v>1</v>
      </c>
      <c r="G226" s="12">
        <v>9</v>
      </c>
      <c r="H226" s="12">
        <v>28</v>
      </c>
      <c r="I226" s="12" t="s">
        <v>21</v>
      </c>
      <c r="J226" s="12" t="s">
        <v>29</v>
      </c>
      <c r="K226" s="12">
        <f>VLOOKUP(Tableau2[[#This Row],[essence]],Tableau5[],2,FALSE)</f>
        <v>5.0801999999999996</v>
      </c>
      <c r="L226" s="12">
        <f>VLOOKUP(Tableau2[[#This Row],[essence]],Tableau5[],3,FALSE)</f>
        <v>1.7765</v>
      </c>
      <c r="M226" s="12">
        <f>IF(Tableau2[[#This Row],[priorecol]]="C",1,0)</f>
        <v>0</v>
      </c>
      <c r="N226" s="12">
        <f>VLOOKUP(Tableau2[[#This Row],[essence]],Tableau5[],4,FALSE)</f>
        <v>3.3664000000000001</v>
      </c>
      <c r="O226" s="12">
        <f>IF(Tableau2[[#This Row],[priorecol]]="R",1,0)</f>
        <v>0</v>
      </c>
      <c r="P226" s="12">
        <f>VLOOKUP(Tableau2[[#This Row],[essence]],Tableau5[],5,FALSE)</f>
        <v>0.57940000000000003</v>
      </c>
      <c r="Q226" s="12">
        <f>IF(Tableau2[[#This Row],[priorecol]]="S",1,0)</f>
        <v>1</v>
      </c>
      <c r="R226" s="12">
        <f>VLOOKUP(Tableau2[[#This Row],[essence]],Tableau5[],6,FALSE)</f>
        <v>-0.2109</v>
      </c>
      <c r="S226" s="12">
        <f>VLOOKUP(Tableau2[[#This Row],[essence]],Tableau5[],15,FALSE)</f>
        <v>-0.2429</v>
      </c>
      <c r="T226" s="12">
        <f>VLOOKUP(Tableau2[[#This Row],[essence]],Tableau5[],7,FALSE)</f>
        <v>0</v>
      </c>
      <c r="U226" s="12">
        <f>IF(Tableau2[[#This Row],[sdom]]=1,1,0)</f>
        <v>0</v>
      </c>
      <c r="V226" s="12">
        <f>VLOOKUP(Tableau2[[#This Row],[essence]],Tableau5[],8,FALSE)</f>
        <v>0</v>
      </c>
      <c r="W226" s="12">
        <f>IF(Tableau2[[#This Row],[sdom]]="2EST",1,0)</f>
        <v>0</v>
      </c>
      <c r="X226" s="12">
        <f>VLOOKUP(Tableau2[[#This Row],[essence]],Tableau5[],9,FALSE)</f>
        <v>0</v>
      </c>
      <c r="Y226" s="12">
        <f>IF(Tableau2[[#This Row],[sdom]]="2OUEST",1,0)</f>
        <v>0</v>
      </c>
      <c r="Z226" s="12">
        <f>VLOOKUP(Tableau2[[#This Row],[essence]],Tableau5[],10,FALSE)</f>
        <v>0</v>
      </c>
      <c r="AA226" s="12">
        <f>IF(Tableau2[[#This Row],[sdom]]="3EST",1,0)</f>
        <v>0</v>
      </c>
      <c r="AB226" s="12">
        <f>VLOOKUP(Tableau2[[#This Row],[essence]],Tableau5[],11,FALSE)</f>
        <v>0</v>
      </c>
      <c r="AC226" s="12">
        <f>IF(Tableau2[[#This Row],[sdom]]="3OUEST",1,0)</f>
        <v>0</v>
      </c>
      <c r="AD226" s="12">
        <f>VLOOKUP(Tableau2[[#This Row],[essence]],Tableau5[],12,FALSE)</f>
        <v>0</v>
      </c>
      <c r="AE226" s="12">
        <f>IF(Tableau2[[#This Row],[sdom]]="4EST",1,0)</f>
        <v>0</v>
      </c>
      <c r="AF226" s="12">
        <f>VLOOKUP(Tableau2[[#This Row],[essence]],Tableau5[],13,FALSE)</f>
        <v>0</v>
      </c>
      <c r="AG226" s="12">
        <f>IF(Tableau2[[#This Row],[sdom]]="4OUEST",1,0)</f>
        <v>0</v>
      </c>
      <c r="AH226" s="12">
        <f>VLOOKUP(Tableau2[[#This Row],[essence]],Tableau5[],14,FALSE)</f>
        <v>0</v>
      </c>
      <c r="AI226" s="12">
        <f>IF(Tableau2[[#This Row],[sdom]]="5EST",1,0)</f>
        <v>0</v>
      </c>
      <c r="AJ226" s="12">
        <f>VLOOKUP(Tableau2[[#This Row],[essence]],Tableau5[],16,FALSE)</f>
        <v>0</v>
      </c>
      <c r="AK226" s="12">
        <f>IF(Tableau2[[#This Row],[sdom]]="5OUEST",1,0)</f>
        <v>0</v>
      </c>
      <c r="AL226" s="12">
        <f>VLOOKUP(Tableau2[[#This Row],[essence]],Tableau5[],17,FALSE)</f>
        <v>0</v>
      </c>
      <c r="AM226" s="12">
        <f>IF(Tableau2[[#This Row],[sdom]]="6EST",1,0)</f>
        <v>1</v>
      </c>
      <c r="AN226" s="12">
        <f>VLOOKUP(Tableau2[[#This Row],[essence]],Tableau5[],19,FALSE)</f>
        <v>0</v>
      </c>
      <c r="AO226" s="12">
        <f>IF(Tableau2[[#This Row],[priorecol]]="C",1,0)</f>
        <v>0</v>
      </c>
      <c r="AP226" s="12">
        <f>VLOOKUP(Tableau2[[#This Row],[essence]],Tableau5[],20,FALSE)</f>
        <v>0</v>
      </c>
      <c r="AQ226" s="12">
        <f>IF(Tableau2[[#This Row],[priorecol]]="R",1,0)</f>
        <v>0</v>
      </c>
      <c r="AR226" s="12">
        <f>VLOOKUP(Tableau2[[#This Row],[essence]],Tableau5[],21,FALSE)</f>
        <v>0</v>
      </c>
      <c r="AS226" s="12">
        <f>IF(Tableau2[[#This Row],[priorecol]]="S",1,0)</f>
        <v>1</v>
      </c>
      <c r="AT226" s="12">
        <f>VLOOKUP(Tableau2[[#This Row],[essence]],Tableau5[],22,FALSE)</f>
        <v>1.1384000000000001</v>
      </c>
      <c r="AU226" s="12">
        <f>VLOOKUP(Tableau2[[#This Row],[essence]],Tableau5[],23,FALSE)</f>
        <v>1.0699999999999999E-2</v>
      </c>
      <c r="AV226" s="12">
        <f>VLOOKUP(Tableau2[[#This Row],[essence]],Tableau5[],18,FALSE)</f>
        <v>0</v>
      </c>
      <c r="AW22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2.0267999999999988</v>
      </c>
      <c r="AX226" s="12">
        <f>1/(1+EXP(-Tableau2[[#This Row],[xb_c]]))</f>
        <v>0.88358231501164985</v>
      </c>
      <c r="AY226" s="12" t="str">
        <f t="shared" si="6"/>
        <v>NA</v>
      </c>
      <c r="AZ226" s="12" t="str">
        <f t="shared" si="7"/>
        <v>NA</v>
      </c>
      <c r="BA226" s="12">
        <f>Tableau2[[#This Row],[prob_c]]</f>
        <v>0.88358231501164985</v>
      </c>
      <c r="BB226" s="12">
        <f>1-Tableau2[[#This Row],[prob_c]]</f>
        <v>0.11641768498835015</v>
      </c>
    </row>
    <row r="227" spans="1:54" x14ac:dyDescent="0.25">
      <c r="A227" s="12">
        <v>10</v>
      </c>
      <c r="B227" s="12" t="s">
        <v>18</v>
      </c>
      <c r="C227" s="12">
        <v>2.1</v>
      </c>
      <c r="D227" s="12">
        <v>700</v>
      </c>
      <c r="E227" s="12">
        <v>20</v>
      </c>
      <c r="F227" s="12">
        <v>1</v>
      </c>
      <c r="G227" s="12">
        <v>10</v>
      </c>
      <c r="H227" s="12">
        <v>29</v>
      </c>
      <c r="I227" s="12" t="s">
        <v>22</v>
      </c>
      <c r="J227" s="12" t="s">
        <v>27</v>
      </c>
      <c r="K227" s="12">
        <f>VLOOKUP(Tableau2[[#This Row],[essence]],Tableau5[],2,FALSE)</f>
        <v>-0.54949999999999999</v>
      </c>
      <c r="L227" s="12">
        <f>VLOOKUP(Tableau2[[#This Row],[essence]],Tableau5[],3,FALSE)</f>
        <v>-0.14960000000000001</v>
      </c>
      <c r="M227" s="12">
        <f>IF(Tableau2[[#This Row],[priorecol]]="C",1,0)</f>
        <v>1</v>
      </c>
      <c r="N227" s="12">
        <f>VLOOKUP(Tableau2[[#This Row],[essence]],Tableau5[],4,FALSE)</f>
        <v>1.6746000000000001</v>
      </c>
      <c r="O227" s="12">
        <f>IF(Tableau2[[#This Row],[priorecol]]="R",1,0)</f>
        <v>0</v>
      </c>
      <c r="P227" s="12">
        <f>VLOOKUP(Tableau2[[#This Row],[essence]],Tableau5[],5,FALSE)</f>
        <v>0.65110000000000001</v>
      </c>
      <c r="Q227" s="12">
        <f>IF(Tableau2[[#This Row],[priorecol]]="S",1,0)</f>
        <v>0</v>
      </c>
      <c r="R227" s="12">
        <f>VLOOKUP(Tableau2[[#This Row],[essence]],Tableau5[],6,FALSE)</f>
        <v>-3.0599999999999999E-2</v>
      </c>
      <c r="S227" s="12">
        <f>VLOOKUP(Tableau2[[#This Row],[essence]],Tableau5[],15,FALSE)</f>
        <v>-3.8399999999999997E-2</v>
      </c>
      <c r="T227" s="12">
        <f>VLOOKUP(Tableau2[[#This Row],[essence]],Tableau5[],7,FALSE)</f>
        <v>1.2454000000000001</v>
      </c>
      <c r="U227" s="12">
        <f>IF(Tableau2[[#This Row],[sdom]]=1,1,0)</f>
        <v>0</v>
      </c>
      <c r="V227" s="12">
        <f>VLOOKUP(Tableau2[[#This Row],[essence]],Tableau5[],8,FALSE)</f>
        <v>0.85550000000000004</v>
      </c>
      <c r="W227" s="12">
        <f>IF(Tableau2[[#This Row],[sdom]]="2EST",1,0)</f>
        <v>0</v>
      </c>
      <c r="X227" s="12">
        <f>VLOOKUP(Tableau2[[#This Row],[essence]],Tableau5[],9,FALSE)</f>
        <v>1.2195</v>
      </c>
      <c r="Y227" s="12">
        <f>IF(Tableau2[[#This Row],[sdom]]="2OUEST",1,0)</f>
        <v>0</v>
      </c>
      <c r="Z227" s="12">
        <f>VLOOKUP(Tableau2[[#This Row],[essence]],Tableau5[],10,FALSE)</f>
        <v>0.94630000000000003</v>
      </c>
      <c r="AA227" s="12">
        <f>IF(Tableau2[[#This Row],[sdom]]="3EST",1,0)</f>
        <v>0</v>
      </c>
      <c r="AB227" s="12">
        <f>VLOOKUP(Tableau2[[#This Row],[essence]],Tableau5[],11,FALSE)</f>
        <v>0.64859999999999995</v>
      </c>
      <c r="AC227" s="12">
        <f>IF(Tableau2[[#This Row],[sdom]]="3OUEST",1,0)</f>
        <v>0</v>
      </c>
      <c r="AD227" s="12">
        <f>VLOOKUP(Tableau2[[#This Row],[essence]],Tableau5[],12,FALSE)</f>
        <v>0.91920000000000002</v>
      </c>
      <c r="AE227" s="12">
        <f>IF(Tableau2[[#This Row],[sdom]]="4EST",1,0)</f>
        <v>0</v>
      </c>
      <c r="AF227" s="12">
        <f>VLOOKUP(Tableau2[[#This Row],[essence]],Tableau5[],13,FALSE)</f>
        <v>0.67230000000000001</v>
      </c>
      <c r="AG227" s="12">
        <f>IF(Tableau2[[#This Row],[sdom]]="4OUEST",1,0)</f>
        <v>0</v>
      </c>
      <c r="AH227" s="12">
        <f>VLOOKUP(Tableau2[[#This Row],[essence]],Tableau5[],14,FALSE)</f>
        <v>0.43309999999999998</v>
      </c>
      <c r="AI227" s="12">
        <f>IF(Tableau2[[#This Row],[sdom]]="5EST",1,0)</f>
        <v>0</v>
      </c>
      <c r="AJ227" s="12">
        <f>VLOOKUP(Tableau2[[#This Row],[essence]],Tableau5[],16,FALSE)</f>
        <v>0</v>
      </c>
      <c r="AK227" s="12">
        <f>IF(Tableau2[[#This Row],[sdom]]="5OUEST",1,0)</f>
        <v>0</v>
      </c>
      <c r="AL227" s="12">
        <f>VLOOKUP(Tableau2[[#This Row],[essence]],Tableau5[],17,FALSE)</f>
        <v>0</v>
      </c>
      <c r="AM227" s="12">
        <f>IF(Tableau2[[#This Row],[sdom]]="6EST",1,0)</f>
        <v>1</v>
      </c>
      <c r="AN227" s="12">
        <f>VLOOKUP(Tableau2[[#This Row],[essence]],Tableau5[],19,FALSE)</f>
        <v>6.6900000000000001E-2</v>
      </c>
      <c r="AO227" s="12">
        <f>IF(Tableau2[[#This Row],[priorecol]]="C",1,0)</f>
        <v>1</v>
      </c>
      <c r="AP227" s="12">
        <f>VLOOKUP(Tableau2[[#This Row],[essence]],Tableau5[],20,FALSE)</f>
        <v>4.3799999999999999E-2</v>
      </c>
      <c r="AQ227" s="12">
        <f>IF(Tableau2[[#This Row],[priorecol]]="R",1,0)</f>
        <v>0</v>
      </c>
      <c r="AR227" s="12">
        <f>VLOOKUP(Tableau2[[#This Row],[essence]],Tableau5[],21,FALSE)</f>
        <v>2.7900000000000001E-2</v>
      </c>
      <c r="AS227" s="12">
        <f>IF(Tableau2[[#This Row],[priorecol]]="S",1,0)</f>
        <v>0</v>
      </c>
      <c r="AT227" s="12">
        <f>VLOOKUP(Tableau2[[#This Row],[essence]],Tableau5[],22,FALSE)</f>
        <v>0</v>
      </c>
      <c r="AU227" s="12">
        <f>VLOOKUP(Tableau2[[#This Row],[essence]],Tableau5[],23,FALSE)</f>
        <v>1.73E-3</v>
      </c>
      <c r="AV227" s="12">
        <f>VLOOKUP(Tableau2[[#This Row],[essence]],Tableau5[],18,FALSE)</f>
        <v>0.1295</v>
      </c>
      <c r="AW22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0.86095000000000022</v>
      </c>
      <c r="AX227" s="12">
        <f>1/(1+EXP(-Tableau2[[#This Row],[xb_c]]))</f>
        <v>0.70285909835007609</v>
      </c>
      <c r="AY227" s="12" t="str">
        <f t="shared" si="6"/>
        <v>NA</v>
      </c>
      <c r="AZ227" s="12" t="str">
        <f t="shared" si="7"/>
        <v>NA</v>
      </c>
      <c r="BA227" s="12">
        <f>Tableau2[[#This Row],[prob_c]]</f>
        <v>0.70285909835007609</v>
      </c>
      <c r="BB227" s="12">
        <f>1-Tableau2[[#This Row],[prob_c]]</f>
        <v>0.29714090164992391</v>
      </c>
    </row>
    <row r="228" spans="1:54" x14ac:dyDescent="0.25">
      <c r="A228" s="12">
        <v>10</v>
      </c>
      <c r="B228" s="12" t="s">
        <v>18</v>
      </c>
      <c r="C228" s="12">
        <v>2.1</v>
      </c>
      <c r="D228" s="12">
        <v>700</v>
      </c>
      <c r="E228" s="12">
        <v>20</v>
      </c>
      <c r="F228" s="12">
        <v>1</v>
      </c>
      <c r="G228" s="12">
        <v>11</v>
      </c>
      <c r="H228" s="12">
        <v>30</v>
      </c>
      <c r="I228" s="12" t="s">
        <v>22</v>
      </c>
      <c r="J228" s="12" t="s">
        <v>28</v>
      </c>
      <c r="K228" s="12">
        <f>VLOOKUP(Tableau2[[#This Row],[essence]],Tableau5[],2,FALSE)</f>
        <v>-0.54949999999999999</v>
      </c>
      <c r="L228" s="12">
        <f>VLOOKUP(Tableau2[[#This Row],[essence]],Tableau5[],3,FALSE)</f>
        <v>-0.14960000000000001</v>
      </c>
      <c r="M228" s="12">
        <f>IF(Tableau2[[#This Row],[priorecol]]="C",1,0)</f>
        <v>0</v>
      </c>
      <c r="N228" s="12">
        <f>VLOOKUP(Tableau2[[#This Row],[essence]],Tableau5[],4,FALSE)</f>
        <v>1.6746000000000001</v>
      </c>
      <c r="O228" s="12">
        <f>IF(Tableau2[[#This Row],[priorecol]]="R",1,0)</f>
        <v>1</v>
      </c>
      <c r="P228" s="12">
        <f>VLOOKUP(Tableau2[[#This Row],[essence]],Tableau5[],5,FALSE)</f>
        <v>0.65110000000000001</v>
      </c>
      <c r="Q228" s="12">
        <f>IF(Tableau2[[#This Row],[priorecol]]="S",1,0)</f>
        <v>0</v>
      </c>
      <c r="R228" s="12">
        <f>VLOOKUP(Tableau2[[#This Row],[essence]],Tableau5[],6,FALSE)</f>
        <v>-3.0599999999999999E-2</v>
      </c>
      <c r="S228" s="12">
        <f>VLOOKUP(Tableau2[[#This Row],[essence]],Tableau5[],15,FALSE)</f>
        <v>-3.8399999999999997E-2</v>
      </c>
      <c r="T228" s="12">
        <f>VLOOKUP(Tableau2[[#This Row],[essence]],Tableau5[],7,FALSE)</f>
        <v>1.2454000000000001</v>
      </c>
      <c r="U228" s="12">
        <f>IF(Tableau2[[#This Row],[sdom]]=1,1,0)</f>
        <v>0</v>
      </c>
      <c r="V228" s="12">
        <f>VLOOKUP(Tableau2[[#This Row],[essence]],Tableau5[],8,FALSE)</f>
        <v>0.85550000000000004</v>
      </c>
      <c r="W228" s="12">
        <f>IF(Tableau2[[#This Row],[sdom]]="2EST",1,0)</f>
        <v>0</v>
      </c>
      <c r="X228" s="12">
        <f>VLOOKUP(Tableau2[[#This Row],[essence]],Tableau5[],9,FALSE)</f>
        <v>1.2195</v>
      </c>
      <c r="Y228" s="12">
        <f>IF(Tableau2[[#This Row],[sdom]]="2OUEST",1,0)</f>
        <v>0</v>
      </c>
      <c r="Z228" s="12">
        <f>VLOOKUP(Tableau2[[#This Row],[essence]],Tableau5[],10,FALSE)</f>
        <v>0.94630000000000003</v>
      </c>
      <c r="AA228" s="12">
        <f>IF(Tableau2[[#This Row],[sdom]]="3EST",1,0)</f>
        <v>0</v>
      </c>
      <c r="AB228" s="12">
        <f>VLOOKUP(Tableau2[[#This Row],[essence]],Tableau5[],11,FALSE)</f>
        <v>0.64859999999999995</v>
      </c>
      <c r="AC228" s="12">
        <f>IF(Tableau2[[#This Row],[sdom]]="3OUEST",1,0)</f>
        <v>0</v>
      </c>
      <c r="AD228" s="12">
        <f>VLOOKUP(Tableau2[[#This Row],[essence]],Tableau5[],12,FALSE)</f>
        <v>0.91920000000000002</v>
      </c>
      <c r="AE228" s="12">
        <f>IF(Tableau2[[#This Row],[sdom]]="4EST",1,0)</f>
        <v>0</v>
      </c>
      <c r="AF228" s="12">
        <f>VLOOKUP(Tableau2[[#This Row],[essence]],Tableau5[],13,FALSE)</f>
        <v>0.67230000000000001</v>
      </c>
      <c r="AG228" s="12">
        <f>IF(Tableau2[[#This Row],[sdom]]="4OUEST",1,0)</f>
        <v>0</v>
      </c>
      <c r="AH228" s="12">
        <f>VLOOKUP(Tableau2[[#This Row],[essence]],Tableau5[],14,FALSE)</f>
        <v>0.43309999999999998</v>
      </c>
      <c r="AI228" s="12">
        <f>IF(Tableau2[[#This Row],[sdom]]="5EST",1,0)</f>
        <v>0</v>
      </c>
      <c r="AJ228" s="12">
        <f>VLOOKUP(Tableau2[[#This Row],[essence]],Tableau5[],16,FALSE)</f>
        <v>0</v>
      </c>
      <c r="AK228" s="12">
        <f>IF(Tableau2[[#This Row],[sdom]]="5OUEST",1,0)</f>
        <v>0</v>
      </c>
      <c r="AL228" s="12">
        <f>VLOOKUP(Tableau2[[#This Row],[essence]],Tableau5[],17,FALSE)</f>
        <v>0</v>
      </c>
      <c r="AM228" s="12">
        <f>IF(Tableau2[[#This Row],[sdom]]="6EST",1,0)</f>
        <v>1</v>
      </c>
      <c r="AN228" s="12">
        <f>VLOOKUP(Tableau2[[#This Row],[essence]],Tableau5[],19,FALSE)</f>
        <v>6.6900000000000001E-2</v>
      </c>
      <c r="AO228" s="12">
        <f>IF(Tableau2[[#This Row],[priorecol]]="C",1,0)</f>
        <v>0</v>
      </c>
      <c r="AP228" s="12">
        <f>VLOOKUP(Tableau2[[#This Row],[essence]],Tableau5[],20,FALSE)</f>
        <v>4.3799999999999999E-2</v>
      </c>
      <c r="AQ228" s="12">
        <f>IF(Tableau2[[#This Row],[priorecol]]="R",1,0)</f>
        <v>1</v>
      </c>
      <c r="AR228" s="12">
        <f>VLOOKUP(Tableau2[[#This Row],[essence]],Tableau5[],21,FALSE)</f>
        <v>2.7900000000000001E-2</v>
      </c>
      <c r="AS228" s="12">
        <f>IF(Tableau2[[#This Row],[priorecol]]="S",1,0)</f>
        <v>0</v>
      </c>
      <c r="AT228" s="12">
        <f>VLOOKUP(Tableau2[[#This Row],[essence]],Tableau5[],22,FALSE)</f>
        <v>0</v>
      </c>
      <c r="AU228" s="12">
        <f>VLOOKUP(Tableau2[[#This Row],[essence]],Tableau5[],23,FALSE)</f>
        <v>1.73E-3</v>
      </c>
      <c r="AV228" s="12">
        <f>VLOOKUP(Tableau2[[#This Row],[essence]],Tableau5[],18,FALSE)</f>
        <v>0.1295</v>
      </c>
      <c r="AW22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2.0630500000000005</v>
      </c>
      <c r="AX228" s="12">
        <f>1/(1+EXP(-Tableau2[[#This Row],[xb_c]]))</f>
        <v>0.88725962192820518</v>
      </c>
      <c r="AY228" s="12" t="str">
        <f t="shared" si="6"/>
        <v>NA</v>
      </c>
      <c r="AZ228" s="12" t="str">
        <f t="shared" si="7"/>
        <v>NA</v>
      </c>
      <c r="BA228" s="12">
        <f>Tableau2[[#This Row],[prob_c]]</f>
        <v>0.88725962192820518</v>
      </c>
      <c r="BB228" s="12">
        <f>1-Tableau2[[#This Row],[prob_c]]</f>
        <v>0.11274037807179482</v>
      </c>
    </row>
    <row r="229" spans="1:54" x14ac:dyDescent="0.25">
      <c r="A229" s="12">
        <v>10</v>
      </c>
      <c r="B229" s="12" t="s">
        <v>18</v>
      </c>
      <c r="C229" s="12">
        <v>2.1</v>
      </c>
      <c r="D229" s="12">
        <v>700</v>
      </c>
      <c r="E229" s="12">
        <v>20</v>
      </c>
      <c r="F229" s="12">
        <v>1</v>
      </c>
      <c r="G229" s="12">
        <v>12</v>
      </c>
      <c r="H229" s="12">
        <v>31</v>
      </c>
      <c r="I229" s="12" t="s">
        <v>22</v>
      </c>
      <c r="J229" s="12" t="s">
        <v>29</v>
      </c>
      <c r="K229" s="12">
        <f>VLOOKUP(Tableau2[[#This Row],[essence]],Tableau5[],2,FALSE)</f>
        <v>-0.54949999999999999</v>
      </c>
      <c r="L229" s="12">
        <f>VLOOKUP(Tableau2[[#This Row],[essence]],Tableau5[],3,FALSE)</f>
        <v>-0.14960000000000001</v>
      </c>
      <c r="M229" s="12">
        <f>IF(Tableau2[[#This Row],[priorecol]]="C",1,0)</f>
        <v>0</v>
      </c>
      <c r="N229" s="12">
        <f>VLOOKUP(Tableau2[[#This Row],[essence]],Tableau5[],4,FALSE)</f>
        <v>1.6746000000000001</v>
      </c>
      <c r="O229" s="12">
        <f>IF(Tableau2[[#This Row],[priorecol]]="R",1,0)</f>
        <v>0</v>
      </c>
      <c r="P229" s="12">
        <f>VLOOKUP(Tableau2[[#This Row],[essence]],Tableau5[],5,FALSE)</f>
        <v>0.65110000000000001</v>
      </c>
      <c r="Q229" s="12">
        <f>IF(Tableau2[[#This Row],[priorecol]]="S",1,0)</f>
        <v>1</v>
      </c>
      <c r="R229" s="12">
        <f>VLOOKUP(Tableau2[[#This Row],[essence]],Tableau5[],6,FALSE)</f>
        <v>-3.0599999999999999E-2</v>
      </c>
      <c r="S229" s="12">
        <f>VLOOKUP(Tableau2[[#This Row],[essence]],Tableau5[],15,FALSE)</f>
        <v>-3.8399999999999997E-2</v>
      </c>
      <c r="T229" s="12">
        <f>VLOOKUP(Tableau2[[#This Row],[essence]],Tableau5[],7,FALSE)</f>
        <v>1.2454000000000001</v>
      </c>
      <c r="U229" s="12">
        <f>IF(Tableau2[[#This Row],[sdom]]=1,1,0)</f>
        <v>0</v>
      </c>
      <c r="V229" s="12">
        <f>VLOOKUP(Tableau2[[#This Row],[essence]],Tableau5[],8,FALSE)</f>
        <v>0.85550000000000004</v>
      </c>
      <c r="W229" s="12">
        <f>IF(Tableau2[[#This Row],[sdom]]="2EST",1,0)</f>
        <v>0</v>
      </c>
      <c r="X229" s="12">
        <f>VLOOKUP(Tableau2[[#This Row],[essence]],Tableau5[],9,FALSE)</f>
        <v>1.2195</v>
      </c>
      <c r="Y229" s="12">
        <f>IF(Tableau2[[#This Row],[sdom]]="2OUEST",1,0)</f>
        <v>0</v>
      </c>
      <c r="Z229" s="12">
        <f>VLOOKUP(Tableau2[[#This Row],[essence]],Tableau5[],10,FALSE)</f>
        <v>0.94630000000000003</v>
      </c>
      <c r="AA229" s="12">
        <f>IF(Tableau2[[#This Row],[sdom]]="3EST",1,0)</f>
        <v>0</v>
      </c>
      <c r="AB229" s="12">
        <f>VLOOKUP(Tableau2[[#This Row],[essence]],Tableau5[],11,FALSE)</f>
        <v>0.64859999999999995</v>
      </c>
      <c r="AC229" s="12">
        <f>IF(Tableau2[[#This Row],[sdom]]="3OUEST",1,0)</f>
        <v>0</v>
      </c>
      <c r="AD229" s="12">
        <f>VLOOKUP(Tableau2[[#This Row],[essence]],Tableau5[],12,FALSE)</f>
        <v>0.91920000000000002</v>
      </c>
      <c r="AE229" s="12">
        <f>IF(Tableau2[[#This Row],[sdom]]="4EST",1,0)</f>
        <v>0</v>
      </c>
      <c r="AF229" s="12">
        <f>VLOOKUP(Tableau2[[#This Row],[essence]],Tableau5[],13,FALSE)</f>
        <v>0.67230000000000001</v>
      </c>
      <c r="AG229" s="12">
        <f>IF(Tableau2[[#This Row],[sdom]]="4OUEST",1,0)</f>
        <v>0</v>
      </c>
      <c r="AH229" s="12">
        <f>VLOOKUP(Tableau2[[#This Row],[essence]],Tableau5[],14,FALSE)</f>
        <v>0.43309999999999998</v>
      </c>
      <c r="AI229" s="12">
        <f>IF(Tableau2[[#This Row],[sdom]]="5EST",1,0)</f>
        <v>0</v>
      </c>
      <c r="AJ229" s="12">
        <f>VLOOKUP(Tableau2[[#This Row],[essence]],Tableau5[],16,FALSE)</f>
        <v>0</v>
      </c>
      <c r="AK229" s="12">
        <f>IF(Tableau2[[#This Row],[sdom]]="5OUEST",1,0)</f>
        <v>0</v>
      </c>
      <c r="AL229" s="12">
        <f>VLOOKUP(Tableau2[[#This Row],[essence]],Tableau5[],17,FALSE)</f>
        <v>0</v>
      </c>
      <c r="AM229" s="12">
        <f>IF(Tableau2[[#This Row],[sdom]]="6EST",1,0)</f>
        <v>1</v>
      </c>
      <c r="AN229" s="12">
        <f>VLOOKUP(Tableau2[[#This Row],[essence]],Tableau5[],19,FALSE)</f>
        <v>6.6900000000000001E-2</v>
      </c>
      <c r="AO229" s="12">
        <f>IF(Tableau2[[#This Row],[priorecol]]="C",1,0)</f>
        <v>0</v>
      </c>
      <c r="AP229" s="12">
        <f>VLOOKUP(Tableau2[[#This Row],[essence]],Tableau5[],20,FALSE)</f>
        <v>4.3799999999999999E-2</v>
      </c>
      <c r="AQ229" s="12">
        <f>IF(Tableau2[[#This Row],[priorecol]]="R",1,0)</f>
        <v>0</v>
      </c>
      <c r="AR229" s="12">
        <f>VLOOKUP(Tableau2[[#This Row],[essence]],Tableau5[],21,FALSE)</f>
        <v>2.7900000000000001E-2</v>
      </c>
      <c r="AS229" s="12">
        <f>IF(Tableau2[[#This Row],[priorecol]]="S",1,0)</f>
        <v>1</v>
      </c>
      <c r="AT229" s="12">
        <f>VLOOKUP(Tableau2[[#This Row],[essence]],Tableau5[],22,FALSE)</f>
        <v>0</v>
      </c>
      <c r="AU229" s="12">
        <f>VLOOKUP(Tableau2[[#This Row],[essence]],Tableau5[],23,FALSE)</f>
        <v>1.73E-3</v>
      </c>
      <c r="AV229" s="12">
        <f>VLOOKUP(Tableau2[[#This Row],[essence]],Tableau5[],18,FALSE)</f>
        <v>0.1295</v>
      </c>
      <c r="AW22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0.59445000000000026</v>
      </c>
      <c r="AX229" s="12">
        <f>1/(1+EXP(-Tableau2[[#This Row],[xb_c]]))</f>
        <v>0.64438552966694518</v>
      </c>
      <c r="AY229" s="12" t="str">
        <f t="shared" si="6"/>
        <v>NA</v>
      </c>
      <c r="AZ229" s="12" t="str">
        <f t="shared" si="7"/>
        <v>NA</v>
      </c>
      <c r="BA229" s="12">
        <f>Tableau2[[#This Row],[prob_c]]</f>
        <v>0.64438552966694518</v>
      </c>
      <c r="BB229" s="12">
        <f>1-Tableau2[[#This Row],[prob_c]]</f>
        <v>0.35561447033305482</v>
      </c>
    </row>
    <row r="230" spans="1:54" x14ac:dyDescent="0.25">
      <c r="A230" s="12">
        <v>10</v>
      </c>
      <c r="B230" s="12" t="s">
        <v>18</v>
      </c>
      <c r="C230" s="12">
        <v>2.1</v>
      </c>
      <c r="D230" s="12">
        <v>700</v>
      </c>
      <c r="E230" s="12">
        <v>20</v>
      </c>
      <c r="F230" s="12">
        <v>1</v>
      </c>
      <c r="G230" s="12">
        <v>13</v>
      </c>
      <c r="H230" s="12">
        <v>32</v>
      </c>
      <c r="I230" s="12" t="s">
        <v>23</v>
      </c>
      <c r="J230" s="12" t="s">
        <v>27</v>
      </c>
      <c r="K230" s="12">
        <f>VLOOKUP(Tableau2[[#This Row],[essence]],Tableau5[],2,FALSE)</f>
        <v>-1.5804</v>
      </c>
      <c r="L230" s="12">
        <f>VLOOKUP(Tableau2[[#This Row],[essence]],Tableau5[],3,FALSE)</f>
        <v>0.70079999999999998</v>
      </c>
      <c r="M230" s="12">
        <f>IF(Tableau2[[#This Row],[priorecol]]="C",1,0)</f>
        <v>1</v>
      </c>
      <c r="N230" s="12">
        <f>VLOOKUP(Tableau2[[#This Row],[essence]],Tableau5[],4,FALSE)</f>
        <v>0.1178</v>
      </c>
      <c r="O230" s="12">
        <f>IF(Tableau2[[#This Row],[priorecol]]="R",1,0)</f>
        <v>0</v>
      </c>
      <c r="P230" s="12">
        <f>VLOOKUP(Tableau2[[#This Row],[essence]],Tableau5[],5,FALSE)</f>
        <v>0.88300000000000001</v>
      </c>
      <c r="Q230" s="12">
        <f>IF(Tableau2[[#This Row],[priorecol]]="S",1,0)</f>
        <v>0</v>
      </c>
      <c r="R230" s="12">
        <f>VLOOKUP(Tableau2[[#This Row],[essence]],Tableau5[],6,FALSE)</f>
        <v>4.8599999999999997E-2</v>
      </c>
      <c r="S230" s="12">
        <f>VLOOKUP(Tableau2[[#This Row],[essence]],Tableau5[],15,FALSE)</f>
        <v>0</v>
      </c>
      <c r="T230" s="12">
        <f>VLOOKUP(Tableau2[[#This Row],[essence]],Tableau5[],7,FALSE)</f>
        <v>1.111</v>
      </c>
      <c r="U230" s="12">
        <f>IF(Tableau2[[#This Row],[sdom]]=1,1,0)</f>
        <v>0</v>
      </c>
      <c r="V230" s="12">
        <f>VLOOKUP(Tableau2[[#This Row],[essence]],Tableau5[],8,FALSE)</f>
        <v>0.68489999999999995</v>
      </c>
      <c r="W230" s="12">
        <f>IF(Tableau2[[#This Row],[sdom]]="2EST",1,0)</f>
        <v>0</v>
      </c>
      <c r="X230" s="12">
        <f>VLOOKUP(Tableau2[[#This Row],[essence]],Tableau5[],9,FALSE)</f>
        <v>0.72130000000000005</v>
      </c>
      <c r="Y230" s="12">
        <f>IF(Tableau2[[#This Row],[sdom]]="2OUEST",1,0)</f>
        <v>0</v>
      </c>
      <c r="Z230" s="12">
        <f>VLOOKUP(Tableau2[[#This Row],[essence]],Tableau5[],10,FALSE)</f>
        <v>0.83930000000000005</v>
      </c>
      <c r="AA230" s="12">
        <f>IF(Tableau2[[#This Row],[sdom]]="3EST",1,0)</f>
        <v>0</v>
      </c>
      <c r="AB230" s="12">
        <f>VLOOKUP(Tableau2[[#This Row],[essence]],Tableau5[],11,FALSE)</f>
        <v>0.6865</v>
      </c>
      <c r="AC230" s="12">
        <f>IF(Tableau2[[#This Row],[sdom]]="3OUEST",1,0)</f>
        <v>0</v>
      </c>
      <c r="AD230" s="12">
        <f>VLOOKUP(Tableau2[[#This Row],[essence]],Tableau5[],12,FALSE)</f>
        <v>0.79569999999999996</v>
      </c>
      <c r="AE230" s="12">
        <f>IF(Tableau2[[#This Row],[sdom]]="4EST",1,0)</f>
        <v>0</v>
      </c>
      <c r="AF230" s="12">
        <f>VLOOKUP(Tableau2[[#This Row],[essence]],Tableau5[],13,FALSE)</f>
        <v>0.54700000000000004</v>
      </c>
      <c r="AG230" s="12">
        <f>IF(Tableau2[[#This Row],[sdom]]="4OUEST",1,0)</f>
        <v>0</v>
      </c>
      <c r="AH230" s="12">
        <f>VLOOKUP(Tableau2[[#This Row],[essence]],Tableau5[],14,FALSE)</f>
        <v>0</v>
      </c>
      <c r="AI230" s="12">
        <f>IF(Tableau2[[#This Row],[sdom]]="5EST",1,0)</f>
        <v>0</v>
      </c>
      <c r="AJ230" s="12">
        <f>VLOOKUP(Tableau2[[#This Row],[essence]],Tableau5[],16,FALSE)</f>
        <v>0</v>
      </c>
      <c r="AK230" s="12">
        <f>IF(Tableau2[[#This Row],[sdom]]="5OUEST",1,0)</f>
        <v>0</v>
      </c>
      <c r="AL230" s="12">
        <f>VLOOKUP(Tableau2[[#This Row],[essence]],Tableau5[],17,FALSE)</f>
        <v>0</v>
      </c>
      <c r="AM230" s="12">
        <f>IF(Tableau2[[#This Row],[sdom]]="6EST",1,0)</f>
        <v>1</v>
      </c>
      <c r="AN230" s="12">
        <f>VLOOKUP(Tableau2[[#This Row],[essence]],Tableau5[],19,FALSE)</f>
        <v>4.2000000000000003E-2</v>
      </c>
      <c r="AO230" s="12">
        <f>IF(Tableau2[[#This Row],[priorecol]]="C",1,0)</f>
        <v>1</v>
      </c>
      <c r="AP230" s="12">
        <f>VLOOKUP(Tableau2[[#This Row],[essence]],Tableau5[],20,FALSE)</f>
        <v>0.111</v>
      </c>
      <c r="AQ230" s="12">
        <f>IF(Tableau2[[#This Row],[priorecol]]="R",1,0)</f>
        <v>0</v>
      </c>
      <c r="AR230" s="12">
        <f>VLOOKUP(Tableau2[[#This Row],[essence]],Tableau5[],21,FALSE)</f>
        <v>4.3600000000000002E-3</v>
      </c>
      <c r="AS230" s="12">
        <f>IF(Tableau2[[#This Row],[priorecol]]="S",1,0)</f>
        <v>0</v>
      </c>
      <c r="AT230" s="12">
        <f>VLOOKUP(Tableau2[[#This Row],[essence]],Tableau5[],22,FALSE)</f>
        <v>0</v>
      </c>
      <c r="AU230" s="12">
        <f>VLOOKUP(Tableau2[[#This Row],[essence]],Tableau5[],23,FALSE)</f>
        <v>0</v>
      </c>
      <c r="AV230" s="12">
        <f>VLOOKUP(Tableau2[[#This Row],[essence]],Tableau5[],18,FALSE)</f>
        <v>0</v>
      </c>
      <c r="AW23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2.0196000000000001</v>
      </c>
      <c r="AX230" s="12">
        <f>1/(1+EXP(-Tableau2[[#This Row],[xb_c]]))</f>
        <v>0.88283964193614595</v>
      </c>
      <c r="AY230" s="12" t="str">
        <f t="shared" si="6"/>
        <v>NA</v>
      </c>
      <c r="AZ230" s="12" t="str">
        <f t="shared" si="7"/>
        <v>NA</v>
      </c>
      <c r="BA230" s="12">
        <f>Tableau2[[#This Row],[prob_c]]</f>
        <v>0.88283964193614595</v>
      </c>
      <c r="BB230" s="12">
        <f>1-Tableau2[[#This Row],[prob_c]]</f>
        <v>0.11716035806385405</v>
      </c>
    </row>
    <row r="231" spans="1:54" x14ac:dyDescent="0.25">
      <c r="A231" s="12">
        <v>10</v>
      </c>
      <c r="B231" s="12" t="s">
        <v>18</v>
      </c>
      <c r="C231" s="12">
        <v>2.1</v>
      </c>
      <c r="D231" s="12">
        <v>700</v>
      </c>
      <c r="E231" s="12">
        <v>20</v>
      </c>
      <c r="F231" s="12">
        <v>1</v>
      </c>
      <c r="G231" s="12">
        <v>14</v>
      </c>
      <c r="H231" s="12">
        <v>33</v>
      </c>
      <c r="I231" s="12" t="s">
        <v>23</v>
      </c>
      <c r="J231" s="12" t="s">
        <v>28</v>
      </c>
      <c r="K231" s="12">
        <f>VLOOKUP(Tableau2[[#This Row],[essence]],Tableau5[],2,FALSE)</f>
        <v>-1.5804</v>
      </c>
      <c r="L231" s="12">
        <f>VLOOKUP(Tableau2[[#This Row],[essence]],Tableau5[],3,FALSE)</f>
        <v>0.70079999999999998</v>
      </c>
      <c r="M231" s="12">
        <f>IF(Tableau2[[#This Row],[priorecol]]="C",1,0)</f>
        <v>0</v>
      </c>
      <c r="N231" s="12">
        <f>VLOOKUP(Tableau2[[#This Row],[essence]],Tableau5[],4,FALSE)</f>
        <v>0.1178</v>
      </c>
      <c r="O231" s="12">
        <f>IF(Tableau2[[#This Row],[priorecol]]="R",1,0)</f>
        <v>1</v>
      </c>
      <c r="P231" s="12">
        <f>VLOOKUP(Tableau2[[#This Row],[essence]],Tableau5[],5,FALSE)</f>
        <v>0.88300000000000001</v>
      </c>
      <c r="Q231" s="12">
        <f>IF(Tableau2[[#This Row],[priorecol]]="S",1,0)</f>
        <v>0</v>
      </c>
      <c r="R231" s="12">
        <f>VLOOKUP(Tableau2[[#This Row],[essence]],Tableau5[],6,FALSE)</f>
        <v>4.8599999999999997E-2</v>
      </c>
      <c r="S231" s="12">
        <f>VLOOKUP(Tableau2[[#This Row],[essence]],Tableau5[],15,FALSE)</f>
        <v>0</v>
      </c>
      <c r="T231" s="12">
        <f>VLOOKUP(Tableau2[[#This Row],[essence]],Tableau5[],7,FALSE)</f>
        <v>1.111</v>
      </c>
      <c r="U231" s="12">
        <f>IF(Tableau2[[#This Row],[sdom]]=1,1,0)</f>
        <v>0</v>
      </c>
      <c r="V231" s="12">
        <f>VLOOKUP(Tableau2[[#This Row],[essence]],Tableau5[],8,FALSE)</f>
        <v>0.68489999999999995</v>
      </c>
      <c r="W231" s="12">
        <f>IF(Tableau2[[#This Row],[sdom]]="2EST",1,0)</f>
        <v>0</v>
      </c>
      <c r="X231" s="12">
        <f>VLOOKUP(Tableau2[[#This Row],[essence]],Tableau5[],9,FALSE)</f>
        <v>0.72130000000000005</v>
      </c>
      <c r="Y231" s="12">
        <f>IF(Tableau2[[#This Row],[sdom]]="2OUEST",1,0)</f>
        <v>0</v>
      </c>
      <c r="Z231" s="12">
        <f>VLOOKUP(Tableau2[[#This Row],[essence]],Tableau5[],10,FALSE)</f>
        <v>0.83930000000000005</v>
      </c>
      <c r="AA231" s="12">
        <f>IF(Tableau2[[#This Row],[sdom]]="3EST",1,0)</f>
        <v>0</v>
      </c>
      <c r="AB231" s="12">
        <f>VLOOKUP(Tableau2[[#This Row],[essence]],Tableau5[],11,FALSE)</f>
        <v>0.6865</v>
      </c>
      <c r="AC231" s="12">
        <f>IF(Tableau2[[#This Row],[sdom]]="3OUEST",1,0)</f>
        <v>0</v>
      </c>
      <c r="AD231" s="12">
        <f>VLOOKUP(Tableau2[[#This Row],[essence]],Tableau5[],12,FALSE)</f>
        <v>0.79569999999999996</v>
      </c>
      <c r="AE231" s="12">
        <f>IF(Tableau2[[#This Row],[sdom]]="4EST",1,0)</f>
        <v>0</v>
      </c>
      <c r="AF231" s="12">
        <f>VLOOKUP(Tableau2[[#This Row],[essence]],Tableau5[],13,FALSE)</f>
        <v>0.54700000000000004</v>
      </c>
      <c r="AG231" s="12">
        <f>IF(Tableau2[[#This Row],[sdom]]="4OUEST",1,0)</f>
        <v>0</v>
      </c>
      <c r="AH231" s="12">
        <f>VLOOKUP(Tableau2[[#This Row],[essence]],Tableau5[],14,FALSE)</f>
        <v>0</v>
      </c>
      <c r="AI231" s="12">
        <f>IF(Tableau2[[#This Row],[sdom]]="5EST",1,0)</f>
        <v>0</v>
      </c>
      <c r="AJ231" s="12">
        <f>VLOOKUP(Tableau2[[#This Row],[essence]],Tableau5[],16,FALSE)</f>
        <v>0</v>
      </c>
      <c r="AK231" s="12">
        <f>IF(Tableau2[[#This Row],[sdom]]="5OUEST",1,0)</f>
        <v>0</v>
      </c>
      <c r="AL231" s="12">
        <f>VLOOKUP(Tableau2[[#This Row],[essence]],Tableau5[],17,FALSE)</f>
        <v>0</v>
      </c>
      <c r="AM231" s="12">
        <f>IF(Tableau2[[#This Row],[sdom]]="6EST",1,0)</f>
        <v>1</v>
      </c>
      <c r="AN231" s="12">
        <f>VLOOKUP(Tableau2[[#This Row],[essence]],Tableau5[],19,FALSE)</f>
        <v>4.2000000000000003E-2</v>
      </c>
      <c r="AO231" s="12">
        <f>IF(Tableau2[[#This Row],[priorecol]]="C",1,0)</f>
        <v>0</v>
      </c>
      <c r="AP231" s="12">
        <f>VLOOKUP(Tableau2[[#This Row],[essence]],Tableau5[],20,FALSE)</f>
        <v>0.111</v>
      </c>
      <c r="AQ231" s="12">
        <f>IF(Tableau2[[#This Row],[priorecol]]="R",1,0)</f>
        <v>1</v>
      </c>
      <c r="AR231" s="12">
        <f>VLOOKUP(Tableau2[[#This Row],[essence]],Tableau5[],21,FALSE)</f>
        <v>4.3600000000000002E-3</v>
      </c>
      <c r="AS231" s="12">
        <f>IF(Tableau2[[#This Row],[priorecol]]="S",1,0)</f>
        <v>0</v>
      </c>
      <c r="AT231" s="12">
        <f>VLOOKUP(Tableau2[[#This Row],[essence]],Tableau5[],22,FALSE)</f>
        <v>0</v>
      </c>
      <c r="AU231" s="12">
        <f>VLOOKUP(Tableau2[[#This Row],[essence]],Tableau5[],23,FALSE)</f>
        <v>0</v>
      </c>
      <c r="AV231" s="12">
        <f>VLOOKUP(Tableau2[[#This Row],[essence]],Tableau5[],18,FALSE)</f>
        <v>0</v>
      </c>
      <c r="AW23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3.8041999999999998</v>
      </c>
      <c r="AX231" s="12">
        <f>1/(1+EXP(-Tableau2[[#This Row],[xb_c]]))</f>
        <v>0.97820843920503819</v>
      </c>
      <c r="AY231" s="12" t="str">
        <f t="shared" si="6"/>
        <v>NA</v>
      </c>
      <c r="AZ231" s="12" t="str">
        <f t="shared" si="7"/>
        <v>NA</v>
      </c>
      <c r="BA231" s="12">
        <f>Tableau2[[#This Row],[prob_c]]</f>
        <v>0.97820843920503819</v>
      </c>
      <c r="BB231" s="12">
        <f>1-Tableau2[[#This Row],[prob_c]]</f>
        <v>2.1791560794961806E-2</v>
      </c>
    </row>
    <row r="232" spans="1:54" x14ac:dyDescent="0.25">
      <c r="A232" s="12">
        <v>10</v>
      </c>
      <c r="B232" s="12" t="s">
        <v>18</v>
      </c>
      <c r="C232" s="12">
        <v>2.1</v>
      </c>
      <c r="D232" s="12">
        <v>700</v>
      </c>
      <c r="E232" s="12">
        <v>20</v>
      </c>
      <c r="F232" s="12">
        <v>1</v>
      </c>
      <c r="G232" s="12">
        <v>15</v>
      </c>
      <c r="H232" s="12">
        <v>24</v>
      </c>
      <c r="I232" s="12" t="s">
        <v>23</v>
      </c>
      <c r="J232" s="12" t="s">
        <v>29</v>
      </c>
      <c r="K232" s="12">
        <f>VLOOKUP(Tableau2[[#This Row],[essence]],Tableau5[],2,FALSE)</f>
        <v>-1.5804</v>
      </c>
      <c r="L232" s="12">
        <f>VLOOKUP(Tableau2[[#This Row],[essence]],Tableau5[],3,FALSE)</f>
        <v>0.70079999999999998</v>
      </c>
      <c r="M232" s="12">
        <f>IF(Tableau2[[#This Row],[priorecol]]="C",1,0)</f>
        <v>0</v>
      </c>
      <c r="N232" s="12">
        <f>VLOOKUP(Tableau2[[#This Row],[essence]],Tableau5[],4,FALSE)</f>
        <v>0.1178</v>
      </c>
      <c r="O232" s="12">
        <f>IF(Tableau2[[#This Row],[priorecol]]="R",1,0)</f>
        <v>0</v>
      </c>
      <c r="P232" s="12">
        <f>VLOOKUP(Tableau2[[#This Row],[essence]],Tableau5[],5,FALSE)</f>
        <v>0.88300000000000001</v>
      </c>
      <c r="Q232" s="12">
        <f>IF(Tableau2[[#This Row],[priorecol]]="S",1,0)</f>
        <v>1</v>
      </c>
      <c r="R232" s="12">
        <f>VLOOKUP(Tableau2[[#This Row],[essence]],Tableau5[],6,FALSE)</f>
        <v>4.8599999999999997E-2</v>
      </c>
      <c r="S232" s="12">
        <f>VLOOKUP(Tableau2[[#This Row],[essence]],Tableau5[],15,FALSE)</f>
        <v>0</v>
      </c>
      <c r="T232" s="12">
        <f>VLOOKUP(Tableau2[[#This Row],[essence]],Tableau5[],7,FALSE)</f>
        <v>1.111</v>
      </c>
      <c r="U232" s="12">
        <f>IF(Tableau2[[#This Row],[sdom]]=1,1,0)</f>
        <v>0</v>
      </c>
      <c r="V232" s="12">
        <f>VLOOKUP(Tableau2[[#This Row],[essence]],Tableau5[],8,FALSE)</f>
        <v>0.68489999999999995</v>
      </c>
      <c r="W232" s="12">
        <f>IF(Tableau2[[#This Row],[sdom]]="2EST",1,0)</f>
        <v>0</v>
      </c>
      <c r="X232" s="12">
        <f>VLOOKUP(Tableau2[[#This Row],[essence]],Tableau5[],9,FALSE)</f>
        <v>0.72130000000000005</v>
      </c>
      <c r="Y232" s="12">
        <f>IF(Tableau2[[#This Row],[sdom]]="2OUEST",1,0)</f>
        <v>0</v>
      </c>
      <c r="Z232" s="12">
        <f>VLOOKUP(Tableau2[[#This Row],[essence]],Tableau5[],10,FALSE)</f>
        <v>0.83930000000000005</v>
      </c>
      <c r="AA232" s="12">
        <f>IF(Tableau2[[#This Row],[sdom]]="3EST",1,0)</f>
        <v>0</v>
      </c>
      <c r="AB232" s="12">
        <f>VLOOKUP(Tableau2[[#This Row],[essence]],Tableau5[],11,FALSE)</f>
        <v>0.6865</v>
      </c>
      <c r="AC232" s="12">
        <f>IF(Tableau2[[#This Row],[sdom]]="3OUEST",1,0)</f>
        <v>0</v>
      </c>
      <c r="AD232" s="12">
        <f>VLOOKUP(Tableau2[[#This Row],[essence]],Tableau5[],12,FALSE)</f>
        <v>0.79569999999999996</v>
      </c>
      <c r="AE232" s="12">
        <f>IF(Tableau2[[#This Row],[sdom]]="4EST",1,0)</f>
        <v>0</v>
      </c>
      <c r="AF232" s="12">
        <f>VLOOKUP(Tableau2[[#This Row],[essence]],Tableau5[],13,FALSE)</f>
        <v>0.54700000000000004</v>
      </c>
      <c r="AG232" s="12">
        <f>IF(Tableau2[[#This Row],[sdom]]="4OUEST",1,0)</f>
        <v>0</v>
      </c>
      <c r="AH232" s="12">
        <f>VLOOKUP(Tableau2[[#This Row],[essence]],Tableau5[],14,FALSE)</f>
        <v>0</v>
      </c>
      <c r="AI232" s="12">
        <f>IF(Tableau2[[#This Row],[sdom]]="5EST",1,0)</f>
        <v>0</v>
      </c>
      <c r="AJ232" s="12">
        <f>VLOOKUP(Tableau2[[#This Row],[essence]],Tableau5[],16,FALSE)</f>
        <v>0</v>
      </c>
      <c r="AK232" s="12">
        <f>IF(Tableau2[[#This Row],[sdom]]="5OUEST",1,0)</f>
        <v>0</v>
      </c>
      <c r="AL232" s="12">
        <f>VLOOKUP(Tableau2[[#This Row],[essence]],Tableau5[],17,FALSE)</f>
        <v>0</v>
      </c>
      <c r="AM232" s="12">
        <f>IF(Tableau2[[#This Row],[sdom]]="6EST",1,0)</f>
        <v>1</v>
      </c>
      <c r="AN232" s="12">
        <f>VLOOKUP(Tableau2[[#This Row],[essence]],Tableau5[],19,FALSE)</f>
        <v>4.2000000000000003E-2</v>
      </c>
      <c r="AO232" s="12">
        <f>IF(Tableau2[[#This Row],[priorecol]]="C",1,0)</f>
        <v>0</v>
      </c>
      <c r="AP232" s="12">
        <f>VLOOKUP(Tableau2[[#This Row],[essence]],Tableau5[],20,FALSE)</f>
        <v>0.111</v>
      </c>
      <c r="AQ232" s="12">
        <f>IF(Tableau2[[#This Row],[priorecol]]="R",1,0)</f>
        <v>0</v>
      </c>
      <c r="AR232" s="12">
        <f>VLOOKUP(Tableau2[[#This Row],[essence]],Tableau5[],21,FALSE)</f>
        <v>4.3600000000000002E-3</v>
      </c>
      <c r="AS232" s="12">
        <f>IF(Tableau2[[#This Row],[priorecol]]="S",1,0)</f>
        <v>1</v>
      </c>
      <c r="AT232" s="12">
        <f>VLOOKUP(Tableau2[[#This Row],[essence]],Tableau5[],22,FALSE)</f>
        <v>0</v>
      </c>
      <c r="AU232" s="12">
        <f>VLOOKUP(Tableau2[[#This Row],[essence]],Tableau5[],23,FALSE)</f>
        <v>0</v>
      </c>
      <c r="AV232" s="12">
        <f>VLOOKUP(Tableau2[[#This Row],[essence]],Tableau5[],18,FALSE)</f>
        <v>0</v>
      </c>
      <c r="AW232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0.57363999999999993</v>
      </c>
      <c r="AX232" s="12">
        <f>1/(1+EXP(-Tableau2[[#This Row],[xb_c]]))</f>
        <v>0.63960266120289655</v>
      </c>
      <c r="AY232" s="12" t="str">
        <f t="shared" si="6"/>
        <v>NA</v>
      </c>
      <c r="AZ232" s="12" t="str">
        <f t="shared" si="7"/>
        <v>NA</v>
      </c>
      <c r="BA232" s="12">
        <f>Tableau2[[#This Row],[prob_c]]</f>
        <v>0.63960266120289655</v>
      </c>
      <c r="BB232" s="12">
        <f>1-Tableau2[[#This Row],[prob_c]]</f>
        <v>0.36039733879710345</v>
      </c>
    </row>
    <row r="233" spans="1:54" x14ac:dyDescent="0.25">
      <c r="A233" s="12">
        <v>10</v>
      </c>
      <c r="B233" s="12" t="s">
        <v>18</v>
      </c>
      <c r="C233" s="12">
        <v>2.1</v>
      </c>
      <c r="D233" s="12">
        <v>700</v>
      </c>
      <c r="E233" s="12">
        <v>20</v>
      </c>
      <c r="F233" s="12">
        <v>1</v>
      </c>
      <c r="G233" s="12">
        <v>16</v>
      </c>
      <c r="H233" s="12">
        <v>25</v>
      </c>
      <c r="I233" s="12" t="s">
        <v>24</v>
      </c>
      <c r="J233" s="12" t="s">
        <v>27</v>
      </c>
      <c r="K233" s="12">
        <f>VLOOKUP(Tableau2[[#This Row],[essence]],Tableau5[],2,FALSE)</f>
        <v>1.9585999999999999</v>
      </c>
      <c r="L233" s="12">
        <f>VLOOKUP(Tableau2[[#This Row],[essence]],Tableau5[],3,FALSE)</f>
        <v>6.6000000000000003E-2</v>
      </c>
      <c r="M233" s="12">
        <f>IF(Tableau2[[#This Row],[priorecol]]="C",1,0)</f>
        <v>1</v>
      </c>
      <c r="N233" s="12">
        <f>VLOOKUP(Tableau2[[#This Row],[essence]],Tableau5[],4,FALSE)</f>
        <v>-1.9339999999999999</v>
      </c>
      <c r="O233" s="12">
        <f>IF(Tableau2[[#This Row],[priorecol]]="R",1,0)</f>
        <v>0</v>
      </c>
      <c r="P233" s="12">
        <f>VLOOKUP(Tableau2[[#This Row],[essence]],Tableau5[],5,FALSE)</f>
        <v>-4.4771999999999998</v>
      </c>
      <c r="Q233" s="12">
        <f>IF(Tableau2[[#This Row],[priorecol]]="S",1,0)</f>
        <v>0</v>
      </c>
      <c r="R233" s="12">
        <f>VLOOKUP(Tableau2[[#This Row],[essence]],Tableau5[],6,FALSE)</f>
        <v>-2.5499999999999998E-2</v>
      </c>
      <c r="S233" s="12">
        <f>VLOOKUP(Tableau2[[#This Row],[essence]],Tableau5[],15,FALSE)</f>
        <v>0</v>
      </c>
      <c r="T233" s="12">
        <f>VLOOKUP(Tableau2[[#This Row],[essence]],Tableau5[],7,FALSE)</f>
        <v>0</v>
      </c>
      <c r="U233" s="12">
        <f>IF(Tableau2[[#This Row],[sdom]]=1,1,0)</f>
        <v>0</v>
      </c>
      <c r="V233" s="12">
        <f>VLOOKUP(Tableau2[[#This Row],[essence]],Tableau5[],8,FALSE)</f>
        <v>0</v>
      </c>
      <c r="W233" s="12">
        <f>IF(Tableau2[[#This Row],[sdom]]="2EST",1,0)</f>
        <v>0</v>
      </c>
      <c r="X233" s="12">
        <f>VLOOKUP(Tableau2[[#This Row],[essence]],Tableau5[],9,FALSE)</f>
        <v>0</v>
      </c>
      <c r="Y233" s="12">
        <f>IF(Tableau2[[#This Row],[sdom]]="2OUEST",1,0)</f>
        <v>0</v>
      </c>
      <c r="Z233" s="12">
        <f>VLOOKUP(Tableau2[[#This Row],[essence]],Tableau5[],10,FALSE)</f>
        <v>0</v>
      </c>
      <c r="AA233" s="12">
        <f>IF(Tableau2[[#This Row],[sdom]]="3EST",1,0)</f>
        <v>0</v>
      </c>
      <c r="AB233" s="12">
        <f>VLOOKUP(Tableau2[[#This Row],[essence]],Tableau5[],11,FALSE)</f>
        <v>0</v>
      </c>
      <c r="AC233" s="12">
        <f>IF(Tableau2[[#This Row],[sdom]]="3OUEST",1,0)</f>
        <v>0</v>
      </c>
      <c r="AD233" s="12">
        <f>VLOOKUP(Tableau2[[#This Row],[essence]],Tableau5[],12,FALSE)</f>
        <v>0</v>
      </c>
      <c r="AE233" s="12">
        <f>IF(Tableau2[[#This Row],[sdom]]="4EST",1,0)</f>
        <v>0</v>
      </c>
      <c r="AF233" s="12">
        <f>VLOOKUP(Tableau2[[#This Row],[essence]],Tableau5[],13,FALSE)</f>
        <v>0</v>
      </c>
      <c r="AG233" s="12">
        <f>IF(Tableau2[[#This Row],[sdom]]="4OUEST",1,0)</f>
        <v>0</v>
      </c>
      <c r="AH233" s="12">
        <f>VLOOKUP(Tableau2[[#This Row],[essence]],Tableau5[],14,FALSE)</f>
        <v>0</v>
      </c>
      <c r="AI233" s="12">
        <f>IF(Tableau2[[#This Row],[sdom]]="5EST",1,0)</f>
        <v>0</v>
      </c>
      <c r="AJ233" s="12">
        <f>VLOOKUP(Tableau2[[#This Row],[essence]],Tableau5[],16,FALSE)</f>
        <v>0</v>
      </c>
      <c r="AK233" s="12">
        <f>IF(Tableau2[[#This Row],[sdom]]="5OUEST",1,0)</f>
        <v>0</v>
      </c>
      <c r="AL233" s="12">
        <f>VLOOKUP(Tableau2[[#This Row],[essence]],Tableau5[],17,FALSE)</f>
        <v>0</v>
      </c>
      <c r="AM233" s="12">
        <f>IF(Tableau2[[#This Row],[sdom]]="6EST",1,0)</f>
        <v>1</v>
      </c>
      <c r="AN233" s="12">
        <f>VLOOKUP(Tableau2[[#This Row],[essence]],Tableau5[],19,FALSE)</f>
        <v>4.2599999999999999E-2</v>
      </c>
      <c r="AO233" s="12">
        <f>IF(Tableau2[[#This Row],[priorecol]]="C",1,0)</f>
        <v>1</v>
      </c>
      <c r="AP233" s="12">
        <f>VLOOKUP(Tableau2[[#This Row],[essence]],Tableau5[],20,FALSE)</f>
        <v>0.17699999999999999</v>
      </c>
      <c r="AQ233" s="12">
        <f>IF(Tableau2[[#This Row],[priorecol]]="R",1,0)</f>
        <v>0</v>
      </c>
      <c r="AR233" s="12">
        <f>VLOOKUP(Tableau2[[#This Row],[essence]],Tableau5[],21,FALSE)</f>
        <v>0.19650000000000001</v>
      </c>
      <c r="AS233" s="12">
        <f>IF(Tableau2[[#This Row],[priorecol]]="S",1,0)</f>
        <v>0</v>
      </c>
      <c r="AT233" s="12">
        <f>VLOOKUP(Tableau2[[#This Row],[essence]],Tableau5[],22,FALSE)</f>
        <v>0</v>
      </c>
      <c r="AU233" s="12">
        <f>VLOOKUP(Tableau2[[#This Row],[essence]],Tableau5[],23,FALSE)</f>
        <v>0</v>
      </c>
      <c r="AV233" s="12">
        <f>VLOOKUP(Tableau2[[#This Row],[essence]],Tableau5[],18,FALSE)</f>
        <v>0</v>
      </c>
      <c r="AW233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2.4520999999999997</v>
      </c>
      <c r="AX233" s="12">
        <f>1/(1+EXP(-Tableau2[[#This Row],[xb_c]]))</f>
        <v>0.92071488418927827</v>
      </c>
      <c r="AY233" s="12" t="str">
        <f t="shared" si="6"/>
        <v>NA</v>
      </c>
      <c r="AZ233" s="12" t="str">
        <f t="shared" si="7"/>
        <v>NA</v>
      </c>
      <c r="BA233" s="12">
        <f>Tableau2[[#This Row],[prob_c]]</f>
        <v>0.92071488418927827</v>
      </c>
      <c r="BB233" s="12">
        <f>1-Tableau2[[#This Row],[prob_c]]</f>
        <v>7.9285115810721729E-2</v>
      </c>
    </row>
    <row r="234" spans="1:54" x14ac:dyDescent="0.25">
      <c r="A234" s="12">
        <v>10</v>
      </c>
      <c r="B234" s="12" t="s">
        <v>18</v>
      </c>
      <c r="C234" s="12">
        <v>2.1</v>
      </c>
      <c r="D234" s="12">
        <v>700</v>
      </c>
      <c r="E234" s="12">
        <v>20</v>
      </c>
      <c r="F234" s="12">
        <v>1</v>
      </c>
      <c r="G234" s="12">
        <v>17</v>
      </c>
      <c r="H234" s="12">
        <v>26</v>
      </c>
      <c r="I234" s="12" t="s">
        <v>24</v>
      </c>
      <c r="J234" s="12" t="s">
        <v>28</v>
      </c>
      <c r="K234" s="12">
        <f>VLOOKUP(Tableau2[[#This Row],[essence]],Tableau5[],2,FALSE)</f>
        <v>1.9585999999999999</v>
      </c>
      <c r="L234" s="12">
        <f>VLOOKUP(Tableau2[[#This Row],[essence]],Tableau5[],3,FALSE)</f>
        <v>6.6000000000000003E-2</v>
      </c>
      <c r="M234" s="12">
        <f>IF(Tableau2[[#This Row],[priorecol]]="C",1,0)</f>
        <v>0</v>
      </c>
      <c r="N234" s="12">
        <f>VLOOKUP(Tableau2[[#This Row],[essence]],Tableau5[],4,FALSE)</f>
        <v>-1.9339999999999999</v>
      </c>
      <c r="O234" s="12">
        <f>IF(Tableau2[[#This Row],[priorecol]]="R",1,0)</f>
        <v>1</v>
      </c>
      <c r="P234" s="12">
        <f>VLOOKUP(Tableau2[[#This Row],[essence]],Tableau5[],5,FALSE)</f>
        <v>-4.4771999999999998</v>
      </c>
      <c r="Q234" s="12">
        <f>IF(Tableau2[[#This Row],[priorecol]]="S",1,0)</f>
        <v>0</v>
      </c>
      <c r="R234" s="12">
        <f>VLOOKUP(Tableau2[[#This Row],[essence]],Tableau5[],6,FALSE)</f>
        <v>-2.5499999999999998E-2</v>
      </c>
      <c r="S234" s="12">
        <f>VLOOKUP(Tableau2[[#This Row],[essence]],Tableau5[],15,FALSE)</f>
        <v>0</v>
      </c>
      <c r="T234" s="12">
        <f>VLOOKUP(Tableau2[[#This Row],[essence]],Tableau5[],7,FALSE)</f>
        <v>0</v>
      </c>
      <c r="U234" s="12">
        <f>IF(Tableau2[[#This Row],[sdom]]=1,1,0)</f>
        <v>0</v>
      </c>
      <c r="V234" s="12">
        <f>VLOOKUP(Tableau2[[#This Row],[essence]],Tableau5[],8,FALSE)</f>
        <v>0</v>
      </c>
      <c r="W234" s="12">
        <f>IF(Tableau2[[#This Row],[sdom]]="2EST",1,0)</f>
        <v>0</v>
      </c>
      <c r="X234" s="12">
        <f>VLOOKUP(Tableau2[[#This Row],[essence]],Tableau5[],9,FALSE)</f>
        <v>0</v>
      </c>
      <c r="Y234" s="12">
        <f>IF(Tableau2[[#This Row],[sdom]]="2OUEST",1,0)</f>
        <v>0</v>
      </c>
      <c r="Z234" s="12">
        <f>VLOOKUP(Tableau2[[#This Row],[essence]],Tableau5[],10,FALSE)</f>
        <v>0</v>
      </c>
      <c r="AA234" s="12">
        <f>IF(Tableau2[[#This Row],[sdom]]="3EST",1,0)</f>
        <v>0</v>
      </c>
      <c r="AB234" s="12">
        <f>VLOOKUP(Tableau2[[#This Row],[essence]],Tableau5[],11,FALSE)</f>
        <v>0</v>
      </c>
      <c r="AC234" s="12">
        <f>IF(Tableau2[[#This Row],[sdom]]="3OUEST",1,0)</f>
        <v>0</v>
      </c>
      <c r="AD234" s="12">
        <f>VLOOKUP(Tableau2[[#This Row],[essence]],Tableau5[],12,FALSE)</f>
        <v>0</v>
      </c>
      <c r="AE234" s="12">
        <f>IF(Tableau2[[#This Row],[sdom]]="4EST",1,0)</f>
        <v>0</v>
      </c>
      <c r="AF234" s="12">
        <f>VLOOKUP(Tableau2[[#This Row],[essence]],Tableau5[],13,FALSE)</f>
        <v>0</v>
      </c>
      <c r="AG234" s="12">
        <f>IF(Tableau2[[#This Row],[sdom]]="4OUEST",1,0)</f>
        <v>0</v>
      </c>
      <c r="AH234" s="12">
        <f>VLOOKUP(Tableau2[[#This Row],[essence]],Tableau5[],14,FALSE)</f>
        <v>0</v>
      </c>
      <c r="AI234" s="12">
        <f>IF(Tableau2[[#This Row],[sdom]]="5EST",1,0)</f>
        <v>0</v>
      </c>
      <c r="AJ234" s="12">
        <f>VLOOKUP(Tableau2[[#This Row],[essence]],Tableau5[],16,FALSE)</f>
        <v>0</v>
      </c>
      <c r="AK234" s="12">
        <f>IF(Tableau2[[#This Row],[sdom]]="5OUEST",1,0)</f>
        <v>0</v>
      </c>
      <c r="AL234" s="12">
        <f>VLOOKUP(Tableau2[[#This Row],[essence]],Tableau5[],17,FALSE)</f>
        <v>0</v>
      </c>
      <c r="AM234" s="12">
        <f>IF(Tableau2[[#This Row],[sdom]]="6EST",1,0)</f>
        <v>1</v>
      </c>
      <c r="AN234" s="12">
        <f>VLOOKUP(Tableau2[[#This Row],[essence]],Tableau5[],19,FALSE)</f>
        <v>4.2599999999999999E-2</v>
      </c>
      <c r="AO234" s="12">
        <f>IF(Tableau2[[#This Row],[priorecol]]="C",1,0)</f>
        <v>0</v>
      </c>
      <c r="AP234" s="12">
        <f>VLOOKUP(Tableau2[[#This Row],[essence]],Tableau5[],20,FALSE)</f>
        <v>0.17699999999999999</v>
      </c>
      <c r="AQ234" s="12">
        <f>IF(Tableau2[[#This Row],[priorecol]]="R",1,0)</f>
        <v>1</v>
      </c>
      <c r="AR234" s="12">
        <f>VLOOKUP(Tableau2[[#This Row],[essence]],Tableau5[],21,FALSE)</f>
        <v>0.19650000000000001</v>
      </c>
      <c r="AS234" s="12">
        <f>IF(Tableau2[[#This Row],[priorecol]]="S",1,0)</f>
        <v>0</v>
      </c>
      <c r="AT234" s="12">
        <f>VLOOKUP(Tableau2[[#This Row],[essence]],Tableau5[],22,FALSE)</f>
        <v>0</v>
      </c>
      <c r="AU234" s="12">
        <f>VLOOKUP(Tableau2[[#This Row],[essence]],Tableau5[],23,FALSE)</f>
        <v>0</v>
      </c>
      <c r="AV234" s="12">
        <f>VLOOKUP(Tableau2[[#This Row],[essence]],Tableau5[],18,FALSE)</f>
        <v>0</v>
      </c>
      <c r="AW234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3.9635999999999996</v>
      </c>
      <c r="AX234" s="12">
        <f>1/(1+EXP(-Tableau2[[#This Row],[xb_c]]))</f>
        <v>0.98135945934743762</v>
      </c>
      <c r="AY234" s="12" t="str">
        <f t="shared" si="6"/>
        <v>NA</v>
      </c>
      <c r="AZ234" s="12" t="str">
        <f t="shared" si="7"/>
        <v>NA</v>
      </c>
      <c r="BA234" s="12">
        <f>Tableau2[[#This Row],[prob_c]]</f>
        <v>0.98135945934743762</v>
      </c>
      <c r="BB234" s="12">
        <f>1-Tableau2[[#This Row],[prob_c]]</f>
        <v>1.8640540652562376E-2</v>
      </c>
    </row>
    <row r="235" spans="1:54" x14ac:dyDescent="0.25">
      <c r="A235" s="12">
        <v>10</v>
      </c>
      <c r="B235" s="12" t="s">
        <v>18</v>
      </c>
      <c r="C235" s="12">
        <v>2.1</v>
      </c>
      <c r="D235" s="12">
        <v>700</v>
      </c>
      <c r="E235" s="12">
        <v>20</v>
      </c>
      <c r="F235" s="12">
        <v>1</v>
      </c>
      <c r="G235" s="12">
        <v>18</v>
      </c>
      <c r="H235" s="12">
        <v>27</v>
      </c>
      <c r="I235" s="12" t="s">
        <v>24</v>
      </c>
      <c r="J235" s="12" t="s">
        <v>29</v>
      </c>
      <c r="K235" s="12">
        <f>VLOOKUP(Tableau2[[#This Row],[essence]],Tableau5[],2,FALSE)</f>
        <v>1.9585999999999999</v>
      </c>
      <c r="L235" s="12">
        <f>VLOOKUP(Tableau2[[#This Row],[essence]],Tableau5[],3,FALSE)</f>
        <v>6.6000000000000003E-2</v>
      </c>
      <c r="M235" s="12">
        <f>IF(Tableau2[[#This Row],[priorecol]]="C",1,0)</f>
        <v>0</v>
      </c>
      <c r="N235" s="12">
        <f>VLOOKUP(Tableau2[[#This Row],[essence]],Tableau5[],4,FALSE)</f>
        <v>-1.9339999999999999</v>
      </c>
      <c r="O235" s="12">
        <f>IF(Tableau2[[#This Row],[priorecol]]="R",1,0)</f>
        <v>0</v>
      </c>
      <c r="P235" s="12">
        <f>VLOOKUP(Tableau2[[#This Row],[essence]],Tableau5[],5,FALSE)</f>
        <v>-4.4771999999999998</v>
      </c>
      <c r="Q235" s="12">
        <f>IF(Tableau2[[#This Row],[priorecol]]="S",1,0)</f>
        <v>1</v>
      </c>
      <c r="R235" s="12">
        <f>VLOOKUP(Tableau2[[#This Row],[essence]],Tableau5[],6,FALSE)</f>
        <v>-2.5499999999999998E-2</v>
      </c>
      <c r="S235" s="12">
        <f>VLOOKUP(Tableau2[[#This Row],[essence]],Tableau5[],15,FALSE)</f>
        <v>0</v>
      </c>
      <c r="T235" s="12">
        <f>VLOOKUP(Tableau2[[#This Row],[essence]],Tableau5[],7,FALSE)</f>
        <v>0</v>
      </c>
      <c r="U235" s="12">
        <f>IF(Tableau2[[#This Row],[sdom]]=1,1,0)</f>
        <v>0</v>
      </c>
      <c r="V235" s="12">
        <f>VLOOKUP(Tableau2[[#This Row],[essence]],Tableau5[],8,FALSE)</f>
        <v>0</v>
      </c>
      <c r="W235" s="12">
        <f>IF(Tableau2[[#This Row],[sdom]]="2EST",1,0)</f>
        <v>0</v>
      </c>
      <c r="X235" s="12">
        <f>VLOOKUP(Tableau2[[#This Row],[essence]],Tableau5[],9,FALSE)</f>
        <v>0</v>
      </c>
      <c r="Y235" s="12">
        <f>IF(Tableau2[[#This Row],[sdom]]="2OUEST",1,0)</f>
        <v>0</v>
      </c>
      <c r="Z235" s="12">
        <f>VLOOKUP(Tableau2[[#This Row],[essence]],Tableau5[],10,FALSE)</f>
        <v>0</v>
      </c>
      <c r="AA235" s="12">
        <f>IF(Tableau2[[#This Row],[sdom]]="3EST",1,0)</f>
        <v>0</v>
      </c>
      <c r="AB235" s="12">
        <f>VLOOKUP(Tableau2[[#This Row],[essence]],Tableau5[],11,FALSE)</f>
        <v>0</v>
      </c>
      <c r="AC235" s="12">
        <f>IF(Tableau2[[#This Row],[sdom]]="3OUEST",1,0)</f>
        <v>0</v>
      </c>
      <c r="AD235" s="12">
        <f>VLOOKUP(Tableau2[[#This Row],[essence]],Tableau5[],12,FALSE)</f>
        <v>0</v>
      </c>
      <c r="AE235" s="12">
        <f>IF(Tableau2[[#This Row],[sdom]]="4EST",1,0)</f>
        <v>0</v>
      </c>
      <c r="AF235" s="12">
        <f>VLOOKUP(Tableau2[[#This Row],[essence]],Tableau5[],13,FALSE)</f>
        <v>0</v>
      </c>
      <c r="AG235" s="12">
        <f>IF(Tableau2[[#This Row],[sdom]]="4OUEST",1,0)</f>
        <v>0</v>
      </c>
      <c r="AH235" s="12">
        <f>VLOOKUP(Tableau2[[#This Row],[essence]],Tableau5[],14,FALSE)</f>
        <v>0</v>
      </c>
      <c r="AI235" s="12">
        <f>IF(Tableau2[[#This Row],[sdom]]="5EST",1,0)</f>
        <v>0</v>
      </c>
      <c r="AJ235" s="12">
        <f>VLOOKUP(Tableau2[[#This Row],[essence]],Tableau5[],16,FALSE)</f>
        <v>0</v>
      </c>
      <c r="AK235" s="12">
        <f>IF(Tableau2[[#This Row],[sdom]]="5OUEST",1,0)</f>
        <v>0</v>
      </c>
      <c r="AL235" s="12">
        <f>VLOOKUP(Tableau2[[#This Row],[essence]],Tableau5[],17,FALSE)</f>
        <v>0</v>
      </c>
      <c r="AM235" s="12">
        <f>IF(Tableau2[[#This Row],[sdom]]="6EST",1,0)</f>
        <v>1</v>
      </c>
      <c r="AN235" s="12">
        <f>VLOOKUP(Tableau2[[#This Row],[essence]],Tableau5[],19,FALSE)</f>
        <v>4.2599999999999999E-2</v>
      </c>
      <c r="AO235" s="12">
        <f>IF(Tableau2[[#This Row],[priorecol]]="C",1,0)</f>
        <v>0</v>
      </c>
      <c r="AP235" s="12">
        <f>VLOOKUP(Tableau2[[#This Row],[essence]],Tableau5[],20,FALSE)</f>
        <v>0.17699999999999999</v>
      </c>
      <c r="AQ235" s="12">
        <f>IF(Tableau2[[#This Row],[priorecol]]="R",1,0)</f>
        <v>0</v>
      </c>
      <c r="AR235" s="12">
        <f>VLOOKUP(Tableau2[[#This Row],[essence]],Tableau5[],21,FALSE)</f>
        <v>0.19650000000000001</v>
      </c>
      <c r="AS235" s="12">
        <f>IF(Tableau2[[#This Row],[priorecol]]="S",1,0)</f>
        <v>1</v>
      </c>
      <c r="AT235" s="12">
        <f>VLOOKUP(Tableau2[[#This Row],[essence]],Tableau5[],22,FALSE)</f>
        <v>0</v>
      </c>
      <c r="AU235" s="12">
        <f>VLOOKUP(Tableau2[[#This Row],[essence]],Tableau5[],23,FALSE)</f>
        <v>0</v>
      </c>
      <c r="AV235" s="12">
        <f>VLOOKUP(Tableau2[[#This Row],[essence]],Tableau5[],18,FALSE)</f>
        <v>0</v>
      </c>
      <c r="AW235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2.0984000000000003</v>
      </c>
      <c r="AX235" s="12">
        <f>1/(1+EXP(-Tableau2[[#This Row],[xb_c]]))</f>
        <v>0.89074756998513127</v>
      </c>
      <c r="AY235" s="12" t="str">
        <f t="shared" si="6"/>
        <v>NA</v>
      </c>
      <c r="AZ235" s="12" t="str">
        <f t="shared" si="7"/>
        <v>NA</v>
      </c>
      <c r="BA235" s="12">
        <f>Tableau2[[#This Row],[prob_c]]</f>
        <v>0.89074756998513127</v>
      </c>
      <c r="BB235" s="12">
        <f>1-Tableau2[[#This Row],[prob_c]]</f>
        <v>0.10925243001486873</v>
      </c>
    </row>
    <row r="236" spans="1:54" x14ac:dyDescent="0.25">
      <c r="A236" s="12">
        <v>10</v>
      </c>
      <c r="B236" s="12" t="s">
        <v>18</v>
      </c>
      <c r="C236" s="12">
        <v>2.1</v>
      </c>
      <c r="D236" s="12">
        <v>700</v>
      </c>
      <c r="E236" s="12">
        <v>20</v>
      </c>
      <c r="F236" s="12">
        <v>1</v>
      </c>
      <c r="G236" s="12">
        <v>19</v>
      </c>
      <c r="H236" s="12">
        <v>28</v>
      </c>
      <c r="I236" s="12" t="s">
        <v>25</v>
      </c>
      <c r="J236" s="12" t="s">
        <v>27</v>
      </c>
      <c r="K236" s="12">
        <f>VLOOKUP(Tableau2[[#This Row],[essence]],Tableau5[],2,FALSE)</f>
        <v>-2.4066000000000001</v>
      </c>
      <c r="L236" s="12">
        <f>VLOOKUP(Tableau2[[#This Row],[essence]],Tableau5[],3,FALSE)</f>
        <v>1.0301</v>
      </c>
      <c r="M236" s="12">
        <f>IF(Tableau2[[#This Row],[priorecol]]="C",1,0)</f>
        <v>1</v>
      </c>
      <c r="N236" s="12">
        <f>VLOOKUP(Tableau2[[#This Row],[essence]],Tableau5[],4,FALSE)</f>
        <v>1.9907999999999999</v>
      </c>
      <c r="O236" s="12">
        <f>IF(Tableau2[[#This Row],[priorecol]]="R",1,0)</f>
        <v>0</v>
      </c>
      <c r="P236" s="12">
        <f>VLOOKUP(Tableau2[[#This Row],[essence]],Tableau5[],5,FALSE)</f>
        <v>1.1955</v>
      </c>
      <c r="Q236" s="12">
        <f>IF(Tableau2[[#This Row],[priorecol]]="S",1,0)</f>
        <v>0</v>
      </c>
      <c r="R236" s="12">
        <f>VLOOKUP(Tableau2[[#This Row],[essence]],Tableau5[],6,FALSE)</f>
        <v>4.2599999999999999E-2</v>
      </c>
      <c r="S236" s="12">
        <f>VLOOKUP(Tableau2[[#This Row],[essence]],Tableau5[],15,FALSE)</f>
        <v>1.3299999999999999E-2</v>
      </c>
      <c r="T236" s="12">
        <f>VLOOKUP(Tableau2[[#This Row],[essence]],Tableau5[],7,FALSE)</f>
        <v>0</v>
      </c>
      <c r="U236" s="12">
        <f>IF(Tableau2[[#This Row],[sdom]]=1,1,0)</f>
        <v>0</v>
      </c>
      <c r="V236" s="12">
        <f>VLOOKUP(Tableau2[[#This Row],[essence]],Tableau5[],8,FALSE)</f>
        <v>0.72299999999999998</v>
      </c>
      <c r="W236" s="12">
        <f>IF(Tableau2[[#This Row],[sdom]]="2EST",1,0)</f>
        <v>0</v>
      </c>
      <c r="X236" s="12">
        <f>VLOOKUP(Tableau2[[#This Row],[essence]],Tableau5[],9,FALSE)</f>
        <v>0.28749999999999998</v>
      </c>
      <c r="Y236" s="12">
        <f>IF(Tableau2[[#This Row],[sdom]]="2OUEST",1,0)</f>
        <v>0</v>
      </c>
      <c r="Z236" s="12">
        <f>VLOOKUP(Tableau2[[#This Row],[essence]],Tableau5[],10,FALSE)</f>
        <v>0.5746</v>
      </c>
      <c r="AA236" s="12">
        <f>IF(Tableau2[[#This Row],[sdom]]="3EST",1,0)</f>
        <v>0</v>
      </c>
      <c r="AB236" s="12">
        <f>VLOOKUP(Tableau2[[#This Row],[essence]],Tableau5[],11,FALSE)</f>
        <v>0.40360000000000001</v>
      </c>
      <c r="AC236" s="12">
        <f>IF(Tableau2[[#This Row],[sdom]]="3OUEST",1,0)</f>
        <v>0</v>
      </c>
      <c r="AD236" s="12">
        <f>VLOOKUP(Tableau2[[#This Row],[essence]],Tableau5[],12,FALSE)</f>
        <v>0</v>
      </c>
      <c r="AE236" s="12">
        <f>IF(Tableau2[[#This Row],[sdom]]="4EST",1,0)</f>
        <v>0</v>
      </c>
      <c r="AF236" s="12">
        <f>VLOOKUP(Tableau2[[#This Row],[essence]],Tableau5[],13,FALSE)</f>
        <v>0</v>
      </c>
      <c r="AG236" s="12">
        <f>IF(Tableau2[[#This Row],[sdom]]="4OUEST",1,0)</f>
        <v>0</v>
      </c>
      <c r="AH236" s="12">
        <f>VLOOKUP(Tableau2[[#This Row],[essence]],Tableau5[],14,FALSE)</f>
        <v>0</v>
      </c>
      <c r="AI236" s="12">
        <f>IF(Tableau2[[#This Row],[sdom]]="5EST",1,0)</f>
        <v>0</v>
      </c>
      <c r="AJ236" s="12">
        <f>VLOOKUP(Tableau2[[#This Row],[essence]],Tableau5[],16,FALSE)</f>
        <v>0</v>
      </c>
      <c r="AK236" s="12">
        <f>IF(Tableau2[[#This Row],[sdom]]="5OUEST",1,0)</f>
        <v>0</v>
      </c>
      <c r="AL236" s="12">
        <f>VLOOKUP(Tableau2[[#This Row],[essence]],Tableau5[],17,FALSE)</f>
        <v>0</v>
      </c>
      <c r="AM236" s="12">
        <f>IF(Tableau2[[#This Row],[sdom]]="6EST",1,0)</f>
        <v>1</v>
      </c>
      <c r="AN236" s="12">
        <f>VLOOKUP(Tableau2[[#This Row],[essence]],Tableau5[],19,FALSE)</f>
        <v>0</v>
      </c>
      <c r="AO236" s="12">
        <f>IF(Tableau2[[#This Row],[priorecol]]="C",1,0)</f>
        <v>1</v>
      </c>
      <c r="AP236" s="12">
        <f>VLOOKUP(Tableau2[[#This Row],[essence]],Tableau5[],20,FALSE)</f>
        <v>0</v>
      </c>
      <c r="AQ236" s="12">
        <f>IF(Tableau2[[#This Row],[priorecol]]="R",1,0)</f>
        <v>0</v>
      </c>
      <c r="AR236" s="12">
        <f>VLOOKUP(Tableau2[[#This Row],[essence]],Tableau5[],21,FALSE)</f>
        <v>0</v>
      </c>
      <c r="AS236" s="12">
        <f>IF(Tableau2[[#This Row],[priorecol]]="S",1,0)</f>
        <v>0</v>
      </c>
      <c r="AT236" s="12">
        <f>VLOOKUP(Tableau2[[#This Row],[essence]],Tableau5[],22,FALSE)</f>
        <v>0.36130000000000001</v>
      </c>
      <c r="AU236" s="12">
        <f>VLOOKUP(Tableau2[[#This Row],[essence]],Tableau5[],23,FALSE)</f>
        <v>0</v>
      </c>
      <c r="AV236" s="12">
        <f>VLOOKUP(Tableau2[[#This Row],[essence]],Tableau5[],18,FALSE)</f>
        <v>0</v>
      </c>
      <c r="AW236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0.44360000000000005</v>
      </c>
      <c r="AX236" s="12">
        <f>1/(1+EXP(-Tableau2[[#This Row],[xb_c]]))</f>
        <v>0.60911650357154956</v>
      </c>
      <c r="AY236" s="12" t="str">
        <f t="shared" si="6"/>
        <v>NA</v>
      </c>
      <c r="AZ236" s="12" t="str">
        <f t="shared" si="7"/>
        <v>NA</v>
      </c>
      <c r="BA236" s="12">
        <f>Tableau2[[#This Row],[prob_c]]</f>
        <v>0.60911650357154956</v>
      </c>
      <c r="BB236" s="12">
        <f>1-Tableau2[[#This Row],[prob_c]]</f>
        <v>0.39088349642845044</v>
      </c>
    </row>
    <row r="237" spans="1:54" x14ac:dyDescent="0.25">
      <c r="A237" s="12">
        <v>10</v>
      </c>
      <c r="B237" s="12" t="s">
        <v>18</v>
      </c>
      <c r="C237" s="12">
        <v>2.1</v>
      </c>
      <c r="D237" s="12">
        <v>700</v>
      </c>
      <c r="E237" s="12">
        <v>20</v>
      </c>
      <c r="F237" s="12">
        <v>1</v>
      </c>
      <c r="G237" s="12">
        <v>20</v>
      </c>
      <c r="H237" s="12">
        <v>29</v>
      </c>
      <c r="I237" s="12" t="s">
        <v>25</v>
      </c>
      <c r="J237" s="12" t="s">
        <v>28</v>
      </c>
      <c r="K237" s="12">
        <f>VLOOKUP(Tableau2[[#This Row],[essence]],Tableau5[],2,FALSE)</f>
        <v>-2.4066000000000001</v>
      </c>
      <c r="L237" s="12">
        <f>VLOOKUP(Tableau2[[#This Row],[essence]],Tableau5[],3,FALSE)</f>
        <v>1.0301</v>
      </c>
      <c r="M237" s="12">
        <f>IF(Tableau2[[#This Row],[priorecol]]="C",1,0)</f>
        <v>0</v>
      </c>
      <c r="N237" s="12">
        <f>VLOOKUP(Tableau2[[#This Row],[essence]],Tableau5[],4,FALSE)</f>
        <v>1.9907999999999999</v>
      </c>
      <c r="O237" s="12">
        <f>IF(Tableau2[[#This Row],[priorecol]]="R",1,0)</f>
        <v>1</v>
      </c>
      <c r="P237" s="12">
        <f>VLOOKUP(Tableau2[[#This Row],[essence]],Tableau5[],5,FALSE)</f>
        <v>1.1955</v>
      </c>
      <c r="Q237" s="12">
        <f>IF(Tableau2[[#This Row],[priorecol]]="S",1,0)</f>
        <v>0</v>
      </c>
      <c r="R237" s="12">
        <f>VLOOKUP(Tableau2[[#This Row],[essence]],Tableau5[],6,FALSE)</f>
        <v>4.2599999999999999E-2</v>
      </c>
      <c r="S237" s="12">
        <f>VLOOKUP(Tableau2[[#This Row],[essence]],Tableau5[],15,FALSE)</f>
        <v>1.3299999999999999E-2</v>
      </c>
      <c r="T237" s="12">
        <f>VLOOKUP(Tableau2[[#This Row],[essence]],Tableau5[],7,FALSE)</f>
        <v>0</v>
      </c>
      <c r="U237" s="12">
        <f>IF(Tableau2[[#This Row],[sdom]]=1,1,0)</f>
        <v>0</v>
      </c>
      <c r="V237" s="12">
        <f>VLOOKUP(Tableau2[[#This Row],[essence]],Tableau5[],8,FALSE)</f>
        <v>0.72299999999999998</v>
      </c>
      <c r="W237" s="12">
        <f>IF(Tableau2[[#This Row],[sdom]]="2EST",1,0)</f>
        <v>0</v>
      </c>
      <c r="X237" s="12">
        <f>VLOOKUP(Tableau2[[#This Row],[essence]],Tableau5[],9,FALSE)</f>
        <v>0.28749999999999998</v>
      </c>
      <c r="Y237" s="12">
        <f>IF(Tableau2[[#This Row],[sdom]]="2OUEST",1,0)</f>
        <v>0</v>
      </c>
      <c r="Z237" s="12">
        <f>VLOOKUP(Tableau2[[#This Row],[essence]],Tableau5[],10,FALSE)</f>
        <v>0.5746</v>
      </c>
      <c r="AA237" s="12">
        <f>IF(Tableau2[[#This Row],[sdom]]="3EST",1,0)</f>
        <v>0</v>
      </c>
      <c r="AB237" s="12">
        <f>VLOOKUP(Tableau2[[#This Row],[essence]],Tableau5[],11,FALSE)</f>
        <v>0.40360000000000001</v>
      </c>
      <c r="AC237" s="12">
        <f>IF(Tableau2[[#This Row],[sdom]]="3OUEST",1,0)</f>
        <v>0</v>
      </c>
      <c r="AD237" s="12">
        <f>VLOOKUP(Tableau2[[#This Row],[essence]],Tableau5[],12,FALSE)</f>
        <v>0</v>
      </c>
      <c r="AE237" s="12">
        <f>IF(Tableau2[[#This Row],[sdom]]="4EST",1,0)</f>
        <v>0</v>
      </c>
      <c r="AF237" s="12">
        <f>VLOOKUP(Tableau2[[#This Row],[essence]],Tableau5[],13,FALSE)</f>
        <v>0</v>
      </c>
      <c r="AG237" s="12">
        <f>IF(Tableau2[[#This Row],[sdom]]="4OUEST",1,0)</f>
        <v>0</v>
      </c>
      <c r="AH237" s="12">
        <f>VLOOKUP(Tableau2[[#This Row],[essence]],Tableau5[],14,FALSE)</f>
        <v>0</v>
      </c>
      <c r="AI237" s="12">
        <f>IF(Tableau2[[#This Row],[sdom]]="5EST",1,0)</f>
        <v>0</v>
      </c>
      <c r="AJ237" s="12">
        <f>VLOOKUP(Tableau2[[#This Row],[essence]],Tableau5[],16,FALSE)</f>
        <v>0</v>
      </c>
      <c r="AK237" s="12">
        <f>IF(Tableau2[[#This Row],[sdom]]="5OUEST",1,0)</f>
        <v>0</v>
      </c>
      <c r="AL237" s="12">
        <f>VLOOKUP(Tableau2[[#This Row],[essence]],Tableau5[],17,FALSE)</f>
        <v>0</v>
      </c>
      <c r="AM237" s="12">
        <f>IF(Tableau2[[#This Row],[sdom]]="6EST",1,0)</f>
        <v>1</v>
      </c>
      <c r="AN237" s="12">
        <f>VLOOKUP(Tableau2[[#This Row],[essence]],Tableau5[],19,FALSE)</f>
        <v>0</v>
      </c>
      <c r="AO237" s="12">
        <f>IF(Tableau2[[#This Row],[priorecol]]="C",1,0)</f>
        <v>0</v>
      </c>
      <c r="AP237" s="12">
        <f>VLOOKUP(Tableau2[[#This Row],[essence]],Tableau5[],20,FALSE)</f>
        <v>0</v>
      </c>
      <c r="AQ237" s="12">
        <f>IF(Tableau2[[#This Row],[priorecol]]="R",1,0)</f>
        <v>1</v>
      </c>
      <c r="AR237" s="12">
        <f>VLOOKUP(Tableau2[[#This Row],[essence]],Tableau5[],21,FALSE)</f>
        <v>0</v>
      </c>
      <c r="AS237" s="12">
        <f>IF(Tableau2[[#This Row],[priorecol]]="S",1,0)</f>
        <v>0</v>
      </c>
      <c r="AT237" s="12">
        <f>VLOOKUP(Tableau2[[#This Row],[essence]],Tableau5[],22,FALSE)</f>
        <v>0.36130000000000001</v>
      </c>
      <c r="AU237" s="12">
        <f>VLOOKUP(Tableau2[[#This Row],[essence]],Tableau5[],23,FALSE)</f>
        <v>0</v>
      </c>
      <c r="AV237" s="12">
        <f>VLOOKUP(Tableau2[[#This Row],[essence]],Tableau5[],18,FALSE)</f>
        <v>0</v>
      </c>
      <c r="AW237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1.4468999999999999</v>
      </c>
      <c r="AX237" s="12">
        <f>1/(1+EXP(-Tableau2[[#This Row],[xb_c]]))</f>
        <v>0.80952088243252907</v>
      </c>
      <c r="AY237" s="12" t="str">
        <f t="shared" si="6"/>
        <v>NA</v>
      </c>
      <c r="AZ237" s="12" t="str">
        <f t="shared" si="7"/>
        <v>NA</v>
      </c>
      <c r="BA237" s="12">
        <f>Tableau2[[#This Row],[prob_c]]</f>
        <v>0.80952088243252907</v>
      </c>
      <c r="BB237" s="12">
        <f>1-Tableau2[[#This Row],[prob_c]]</f>
        <v>0.19047911756747093</v>
      </c>
    </row>
    <row r="238" spans="1:54" x14ac:dyDescent="0.25">
      <c r="A238" s="12">
        <v>10</v>
      </c>
      <c r="B238" s="12" t="s">
        <v>18</v>
      </c>
      <c r="C238" s="12">
        <v>2.1</v>
      </c>
      <c r="D238" s="12">
        <v>700</v>
      </c>
      <c r="E238" s="12">
        <v>20</v>
      </c>
      <c r="F238" s="12">
        <v>1</v>
      </c>
      <c r="G238" s="12">
        <v>21</v>
      </c>
      <c r="H238" s="12">
        <v>30</v>
      </c>
      <c r="I238" s="12" t="s">
        <v>25</v>
      </c>
      <c r="J238" s="12" t="s">
        <v>29</v>
      </c>
      <c r="K238" s="12">
        <f>VLOOKUP(Tableau2[[#This Row],[essence]],Tableau5[],2,FALSE)</f>
        <v>-2.4066000000000001</v>
      </c>
      <c r="L238" s="12">
        <f>VLOOKUP(Tableau2[[#This Row],[essence]],Tableau5[],3,FALSE)</f>
        <v>1.0301</v>
      </c>
      <c r="M238" s="12">
        <f>IF(Tableau2[[#This Row],[priorecol]]="C",1,0)</f>
        <v>0</v>
      </c>
      <c r="N238" s="12">
        <f>VLOOKUP(Tableau2[[#This Row],[essence]],Tableau5[],4,FALSE)</f>
        <v>1.9907999999999999</v>
      </c>
      <c r="O238" s="12">
        <f>IF(Tableau2[[#This Row],[priorecol]]="R",1,0)</f>
        <v>0</v>
      </c>
      <c r="P238" s="12">
        <f>VLOOKUP(Tableau2[[#This Row],[essence]],Tableau5[],5,FALSE)</f>
        <v>1.1955</v>
      </c>
      <c r="Q238" s="12">
        <f>IF(Tableau2[[#This Row],[priorecol]]="S",1,0)</f>
        <v>1</v>
      </c>
      <c r="R238" s="12">
        <f>VLOOKUP(Tableau2[[#This Row],[essence]],Tableau5[],6,FALSE)</f>
        <v>4.2599999999999999E-2</v>
      </c>
      <c r="S238" s="12">
        <f>VLOOKUP(Tableau2[[#This Row],[essence]],Tableau5[],15,FALSE)</f>
        <v>1.3299999999999999E-2</v>
      </c>
      <c r="T238" s="12">
        <f>VLOOKUP(Tableau2[[#This Row],[essence]],Tableau5[],7,FALSE)</f>
        <v>0</v>
      </c>
      <c r="U238" s="12">
        <f>IF(Tableau2[[#This Row],[sdom]]=1,1,0)</f>
        <v>0</v>
      </c>
      <c r="V238" s="12">
        <f>VLOOKUP(Tableau2[[#This Row],[essence]],Tableau5[],8,FALSE)</f>
        <v>0.72299999999999998</v>
      </c>
      <c r="W238" s="12">
        <f>IF(Tableau2[[#This Row],[sdom]]="2EST",1,0)</f>
        <v>0</v>
      </c>
      <c r="X238" s="12">
        <f>VLOOKUP(Tableau2[[#This Row],[essence]],Tableau5[],9,FALSE)</f>
        <v>0.28749999999999998</v>
      </c>
      <c r="Y238" s="12">
        <f>IF(Tableau2[[#This Row],[sdom]]="2OUEST",1,0)</f>
        <v>0</v>
      </c>
      <c r="Z238" s="12">
        <f>VLOOKUP(Tableau2[[#This Row],[essence]],Tableau5[],10,FALSE)</f>
        <v>0.5746</v>
      </c>
      <c r="AA238" s="12">
        <f>IF(Tableau2[[#This Row],[sdom]]="3EST",1,0)</f>
        <v>0</v>
      </c>
      <c r="AB238" s="12">
        <f>VLOOKUP(Tableau2[[#This Row],[essence]],Tableau5[],11,FALSE)</f>
        <v>0.40360000000000001</v>
      </c>
      <c r="AC238" s="12">
        <f>IF(Tableau2[[#This Row],[sdom]]="3OUEST",1,0)</f>
        <v>0</v>
      </c>
      <c r="AD238" s="12">
        <f>VLOOKUP(Tableau2[[#This Row],[essence]],Tableau5[],12,FALSE)</f>
        <v>0</v>
      </c>
      <c r="AE238" s="12">
        <f>IF(Tableau2[[#This Row],[sdom]]="4EST",1,0)</f>
        <v>0</v>
      </c>
      <c r="AF238" s="12">
        <f>VLOOKUP(Tableau2[[#This Row],[essence]],Tableau5[],13,FALSE)</f>
        <v>0</v>
      </c>
      <c r="AG238" s="12">
        <f>IF(Tableau2[[#This Row],[sdom]]="4OUEST",1,0)</f>
        <v>0</v>
      </c>
      <c r="AH238" s="12">
        <f>VLOOKUP(Tableau2[[#This Row],[essence]],Tableau5[],14,FALSE)</f>
        <v>0</v>
      </c>
      <c r="AI238" s="12">
        <f>IF(Tableau2[[#This Row],[sdom]]="5EST",1,0)</f>
        <v>0</v>
      </c>
      <c r="AJ238" s="12">
        <f>VLOOKUP(Tableau2[[#This Row],[essence]],Tableau5[],16,FALSE)</f>
        <v>0</v>
      </c>
      <c r="AK238" s="12">
        <f>IF(Tableau2[[#This Row],[sdom]]="5OUEST",1,0)</f>
        <v>0</v>
      </c>
      <c r="AL238" s="12">
        <f>VLOOKUP(Tableau2[[#This Row],[essence]],Tableau5[],17,FALSE)</f>
        <v>0</v>
      </c>
      <c r="AM238" s="12">
        <f>IF(Tableau2[[#This Row],[sdom]]="6EST",1,0)</f>
        <v>1</v>
      </c>
      <c r="AN238" s="12">
        <f>VLOOKUP(Tableau2[[#This Row],[essence]],Tableau5[],19,FALSE)</f>
        <v>0</v>
      </c>
      <c r="AO238" s="12">
        <f>IF(Tableau2[[#This Row],[priorecol]]="C",1,0)</f>
        <v>0</v>
      </c>
      <c r="AP238" s="12">
        <f>VLOOKUP(Tableau2[[#This Row],[essence]],Tableau5[],20,FALSE)</f>
        <v>0</v>
      </c>
      <c r="AQ238" s="12">
        <f>IF(Tableau2[[#This Row],[priorecol]]="R",1,0)</f>
        <v>0</v>
      </c>
      <c r="AR238" s="12">
        <f>VLOOKUP(Tableau2[[#This Row],[essence]],Tableau5[],21,FALSE)</f>
        <v>0</v>
      </c>
      <c r="AS238" s="12">
        <f>IF(Tableau2[[#This Row],[priorecol]]="S",1,0)</f>
        <v>1</v>
      </c>
      <c r="AT238" s="12">
        <f>VLOOKUP(Tableau2[[#This Row],[essence]],Tableau5[],22,FALSE)</f>
        <v>0.36130000000000001</v>
      </c>
      <c r="AU238" s="12">
        <f>VLOOKUP(Tableau2[[#This Row],[essence]],Tableau5[],23,FALSE)</f>
        <v>0</v>
      </c>
      <c r="AV238" s="12">
        <f>VLOOKUP(Tableau2[[#This Row],[essence]],Tableau5[],18,FALSE)</f>
        <v>0</v>
      </c>
      <c r="AW238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0.69419999999999993</v>
      </c>
      <c r="AX238" s="12">
        <f>1/(1+EXP(-Tableau2[[#This Row],[xb_c]]))</f>
        <v>0.66690058547491604</v>
      </c>
      <c r="AY238" s="12" t="str">
        <f t="shared" si="6"/>
        <v>NA</v>
      </c>
      <c r="AZ238" s="12" t="str">
        <f t="shared" si="7"/>
        <v>NA</v>
      </c>
      <c r="BA238" s="12">
        <f>Tableau2[[#This Row],[prob_c]]</f>
        <v>0.66690058547491604</v>
      </c>
      <c r="BB238" s="12">
        <f>1-Tableau2[[#This Row],[prob_c]]</f>
        <v>0.33309941452508396</v>
      </c>
    </row>
    <row r="239" spans="1:54" x14ac:dyDescent="0.25">
      <c r="A239" s="12">
        <v>10</v>
      </c>
      <c r="B239" s="12" t="s">
        <v>18</v>
      </c>
      <c r="C239" s="12">
        <v>2.1</v>
      </c>
      <c r="D239" s="12">
        <v>700</v>
      </c>
      <c r="E239" s="12">
        <v>20</v>
      </c>
      <c r="F239" s="12">
        <v>1</v>
      </c>
      <c r="G239" s="12">
        <v>22</v>
      </c>
      <c r="H239" s="12">
        <v>31</v>
      </c>
      <c r="I239" s="12" t="s">
        <v>26</v>
      </c>
      <c r="J239" s="12" t="s">
        <v>27</v>
      </c>
      <c r="K239" s="12">
        <f>VLOOKUP(Tableau2[[#This Row],[essence]],Tableau5[],2,FALSE)</f>
        <v>-9.0399999999999994E-2</v>
      </c>
      <c r="L239" s="12">
        <f>VLOOKUP(Tableau2[[#This Row],[essence]],Tableau5[],3,FALSE)</f>
        <v>1.0844</v>
      </c>
      <c r="M239" s="12">
        <f>IF(Tableau2[[#This Row],[priorecol]]="C",1,0)</f>
        <v>1</v>
      </c>
      <c r="N239" s="12">
        <f>VLOOKUP(Tableau2[[#This Row],[essence]],Tableau5[],4,FALSE)</f>
        <v>-1.3041</v>
      </c>
      <c r="O239" s="12">
        <f>IF(Tableau2[[#This Row],[priorecol]]="R",1,0)</f>
        <v>0</v>
      </c>
      <c r="P239" s="12">
        <f>VLOOKUP(Tableau2[[#This Row],[essence]],Tableau5[],5,FALSE)</f>
        <v>-0.79790000000000005</v>
      </c>
      <c r="Q239" s="12">
        <f>IF(Tableau2[[#This Row],[priorecol]]="S",1,0)</f>
        <v>0</v>
      </c>
      <c r="R239" s="12">
        <f>VLOOKUP(Tableau2[[#This Row],[essence]],Tableau5[],6,FALSE)</f>
        <v>-5.3E-3</v>
      </c>
      <c r="S239" s="12">
        <f>VLOOKUP(Tableau2[[#This Row],[essence]],Tableau5[],15,FALSE)</f>
        <v>1.2500000000000001E-2</v>
      </c>
      <c r="T239" s="12">
        <f>VLOOKUP(Tableau2[[#This Row],[essence]],Tableau5[],7,FALSE)</f>
        <v>0</v>
      </c>
      <c r="U239" s="12">
        <f>IF(Tableau2[[#This Row],[sdom]]=1,1,0)</f>
        <v>0</v>
      </c>
      <c r="V239" s="12">
        <f>VLOOKUP(Tableau2[[#This Row],[essence]],Tableau5[],8,FALSE)</f>
        <v>0.1497</v>
      </c>
      <c r="W239" s="12">
        <f>IF(Tableau2[[#This Row],[sdom]]="2EST",1,0)</f>
        <v>0</v>
      </c>
      <c r="X239" s="12">
        <f>VLOOKUP(Tableau2[[#This Row],[essence]],Tableau5[],9,FALSE)</f>
        <v>0.4839</v>
      </c>
      <c r="Y239" s="12">
        <f>IF(Tableau2[[#This Row],[sdom]]="2OUEST",1,0)</f>
        <v>0</v>
      </c>
      <c r="Z239" s="12">
        <f>VLOOKUP(Tableau2[[#This Row],[essence]],Tableau5[],10,FALSE)</f>
        <v>-0.14019999999999999</v>
      </c>
      <c r="AA239" s="12">
        <f>IF(Tableau2[[#This Row],[sdom]]="3EST",1,0)</f>
        <v>0</v>
      </c>
      <c r="AB239" s="12">
        <f>VLOOKUP(Tableau2[[#This Row],[essence]],Tableau5[],11,FALSE)</f>
        <v>0.65649999999999997</v>
      </c>
      <c r="AC239" s="12">
        <f>IF(Tableau2[[#This Row],[sdom]]="3OUEST",1,0)</f>
        <v>0</v>
      </c>
      <c r="AD239" s="12">
        <f>VLOOKUP(Tableau2[[#This Row],[essence]],Tableau5[],12,FALSE)</f>
        <v>-1.21E-2</v>
      </c>
      <c r="AE239" s="12">
        <f>IF(Tableau2[[#This Row],[sdom]]="4EST",1,0)</f>
        <v>0</v>
      </c>
      <c r="AF239" s="12">
        <f>VLOOKUP(Tableau2[[#This Row],[essence]],Tableau5[],13,FALSE)</f>
        <v>0.52600000000000002</v>
      </c>
      <c r="AG239" s="12">
        <f>IF(Tableau2[[#This Row],[sdom]]="4OUEST",1,0)</f>
        <v>0</v>
      </c>
      <c r="AH239" s="12">
        <f>VLOOKUP(Tableau2[[#This Row],[essence]],Tableau5[],14,FALSE)</f>
        <v>-0.753</v>
      </c>
      <c r="AI239" s="12">
        <f>IF(Tableau2[[#This Row],[sdom]]="5EST",1,0)</f>
        <v>0</v>
      </c>
      <c r="AJ239" s="12">
        <f>VLOOKUP(Tableau2[[#This Row],[essence]],Tableau5[],16,FALSE)</f>
        <v>0</v>
      </c>
      <c r="AK239" s="12">
        <f>IF(Tableau2[[#This Row],[sdom]]="5OUEST",1,0)</f>
        <v>0</v>
      </c>
      <c r="AL239" s="12">
        <f>VLOOKUP(Tableau2[[#This Row],[essence]],Tableau5[],17,FALSE)</f>
        <v>0</v>
      </c>
      <c r="AM239" s="12">
        <f>IF(Tableau2[[#This Row],[sdom]]="6EST",1,0)</f>
        <v>1</v>
      </c>
      <c r="AN239" s="12">
        <f>VLOOKUP(Tableau2[[#This Row],[essence]],Tableau5[],19,FALSE)</f>
        <v>3.04E-2</v>
      </c>
      <c r="AO239" s="12">
        <f>IF(Tableau2[[#This Row],[priorecol]]="C",1,0)</f>
        <v>1</v>
      </c>
      <c r="AP239" s="12">
        <f>VLOOKUP(Tableau2[[#This Row],[essence]],Tableau5[],20,FALSE)</f>
        <v>0.14549999999999999</v>
      </c>
      <c r="AQ239" s="12">
        <f>IF(Tableau2[[#This Row],[priorecol]]="R",1,0)</f>
        <v>0</v>
      </c>
      <c r="AR239" s="12">
        <f>VLOOKUP(Tableau2[[#This Row],[essence]],Tableau5[],21,FALSE)</f>
        <v>7.8700000000000006E-2</v>
      </c>
      <c r="AS239" s="12">
        <f>IF(Tableau2[[#This Row],[priorecol]]="S",1,0)</f>
        <v>0</v>
      </c>
      <c r="AT239" s="12">
        <f>VLOOKUP(Tableau2[[#This Row],[essence]],Tableau5[],22,FALSE)</f>
        <v>0</v>
      </c>
      <c r="AU239" s="12">
        <f>VLOOKUP(Tableau2[[#This Row],[essence]],Tableau5[],23,FALSE)</f>
        <v>0</v>
      </c>
      <c r="AV239" s="12">
        <f>VLOOKUP(Tableau2[[#This Row],[essence]],Tableau5[],18,FALSE)</f>
        <v>0</v>
      </c>
      <c r="AW239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2.0221</v>
      </c>
      <c r="AX239" s="12">
        <f>1/(1+EXP(-Tableau2[[#This Row],[xb_c]]))</f>
        <v>0.88309797906876253</v>
      </c>
      <c r="AY239" s="12" t="str">
        <f t="shared" si="6"/>
        <v>NA</v>
      </c>
      <c r="AZ239" s="12" t="str">
        <f t="shared" si="7"/>
        <v>NA</v>
      </c>
      <c r="BA239" s="12">
        <f>Tableau2[[#This Row],[prob_c]]</f>
        <v>0.88309797906876253</v>
      </c>
      <c r="BB239" s="12">
        <f>1-Tableau2[[#This Row],[prob_c]]</f>
        <v>0.11690202093123747</v>
      </c>
    </row>
    <row r="240" spans="1:54" x14ac:dyDescent="0.25">
      <c r="A240" s="12">
        <v>10</v>
      </c>
      <c r="B240" s="12" t="s">
        <v>18</v>
      </c>
      <c r="C240" s="12">
        <v>2.1</v>
      </c>
      <c r="D240" s="12">
        <v>700</v>
      </c>
      <c r="E240" s="12">
        <v>20</v>
      </c>
      <c r="F240" s="12">
        <v>1</v>
      </c>
      <c r="G240" s="12">
        <v>23</v>
      </c>
      <c r="H240" s="12">
        <v>32</v>
      </c>
      <c r="I240" s="12" t="s">
        <v>26</v>
      </c>
      <c r="J240" s="12" t="s">
        <v>28</v>
      </c>
      <c r="K240" s="12">
        <f>VLOOKUP(Tableau2[[#This Row],[essence]],Tableau5[],2,FALSE)</f>
        <v>-9.0399999999999994E-2</v>
      </c>
      <c r="L240" s="12">
        <f>VLOOKUP(Tableau2[[#This Row],[essence]],Tableau5[],3,FALSE)</f>
        <v>1.0844</v>
      </c>
      <c r="M240" s="12">
        <f>IF(Tableau2[[#This Row],[priorecol]]="C",1,0)</f>
        <v>0</v>
      </c>
      <c r="N240" s="12">
        <f>VLOOKUP(Tableau2[[#This Row],[essence]],Tableau5[],4,FALSE)</f>
        <v>-1.3041</v>
      </c>
      <c r="O240" s="12">
        <f>IF(Tableau2[[#This Row],[priorecol]]="R",1,0)</f>
        <v>1</v>
      </c>
      <c r="P240" s="12">
        <f>VLOOKUP(Tableau2[[#This Row],[essence]],Tableau5[],5,FALSE)</f>
        <v>-0.79790000000000005</v>
      </c>
      <c r="Q240" s="12">
        <f>IF(Tableau2[[#This Row],[priorecol]]="S",1,0)</f>
        <v>0</v>
      </c>
      <c r="R240" s="12">
        <f>VLOOKUP(Tableau2[[#This Row],[essence]],Tableau5[],6,FALSE)</f>
        <v>-5.3E-3</v>
      </c>
      <c r="S240" s="12">
        <f>VLOOKUP(Tableau2[[#This Row],[essence]],Tableau5[],15,FALSE)</f>
        <v>1.2500000000000001E-2</v>
      </c>
      <c r="T240" s="12">
        <f>VLOOKUP(Tableau2[[#This Row],[essence]],Tableau5[],7,FALSE)</f>
        <v>0</v>
      </c>
      <c r="U240" s="12">
        <f>IF(Tableau2[[#This Row],[sdom]]=1,1,0)</f>
        <v>0</v>
      </c>
      <c r="V240" s="12">
        <f>VLOOKUP(Tableau2[[#This Row],[essence]],Tableau5[],8,FALSE)</f>
        <v>0.1497</v>
      </c>
      <c r="W240" s="12">
        <f>IF(Tableau2[[#This Row],[sdom]]="2EST",1,0)</f>
        <v>0</v>
      </c>
      <c r="X240" s="12">
        <f>VLOOKUP(Tableau2[[#This Row],[essence]],Tableau5[],9,FALSE)</f>
        <v>0.4839</v>
      </c>
      <c r="Y240" s="12">
        <f>IF(Tableau2[[#This Row],[sdom]]="2OUEST",1,0)</f>
        <v>0</v>
      </c>
      <c r="Z240" s="12">
        <f>VLOOKUP(Tableau2[[#This Row],[essence]],Tableau5[],10,FALSE)</f>
        <v>-0.14019999999999999</v>
      </c>
      <c r="AA240" s="12">
        <f>IF(Tableau2[[#This Row],[sdom]]="3EST",1,0)</f>
        <v>0</v>
      </c>
      <c r="AB240" s="12">
        <f>VLOOKUP(Tableau2[[#This Row],[essence]],Tableau5[],11,FALSE)</f>
        <v>0.65649999999999997</v>
      </c>
      <c r="AC240" s="12">
        <f>IF(Tableau2[[#This Row],[sdom]]="3OUEST",1,0)</f>
        <v>0</v>
      </c>
      <c r="AD240" s="12">
        <f>VLOOKUP(Tableau2[[#This Row],[essence]],Tableau5[],12,FALSE)</f>
        <v>-1.21E-2</v>
      </c>
      <c r="AE240" s="12">
        <f>IF(Tableau2[[#This Row],[sdom]]="4EST",1,0)</f>
        <v>0</v>
      </c>
      <c r="AF240" s="12">
        <f>VLOOKUP(Tableau2[[#This Row],[essence]],Tableau5[],13,FALSE)</f>
        <v>0.52600000000000002</v>
      </c>
      <c r="AG240" s="12">
        <f>IF(Tableau2[[#This Row],[sdom]]="4OUEST",1,0)</f>
        <v>0</v>
      </c>
      <c r="AH240" s="12">
        <f>VLOOKUP(Tableau2[[#This Row],[essence]],Tableau5[],14,FALSE)</f>
        <v>-0.753</v>
      </c>
      <c r="AI240" s="12">
        <f>IF(Tableau2[[#This Row],[sdom]]="5EST",1,0)</f>
        <v>0</v>
      </c>
      <c r="AJ240" s="12">
        <f>VLOOKUP(Tableau2[[#This Row],[essence]],Tableau5[],16,FALSE)</f>
        <v>0</v>
      </c>
      <c r="AK240" s="12">
        <f>IF(Tableau2[[#This Row],[sdom]]="5OUEST",1,0)</f>
        <v>0</v>
      </c>
      <c r="AL240" s="12">
        <f>VLOOKUP(Tableau2[[#This Row],[essence]],Tableau5[],17,FALSE)</f>
        <v>0</v>
      </c>
      <c r="AM240" s="12">
        <f>IF(Tableau2[[#This Row],[sdom]]="6EST",1,0)</f>
        <v>1</v>
      </c>
      <c r="AN240" s="12">
        <f>VLOOKUP(Tableau2[[#This Row],[essence]],Tableau5[],19,FALSE)</f>
        <v>3.04E-2</v>
      </c>
      <c r="AO240" s="12">
        <f>IF(Tableau2[[#This Row],[priorecol]]="C",1,0)</f>
        <v>0</v>
      </c>
      <c r="AP240" s="12">
        <f>VLOOKUP(Tableau2[[#This Row],[essence]],Tableau5[],20,FALSE)</f>
        <v>0.14549999999999999</v>
      </c>
      <c r="AQ240" s="12">
        <f>IF(Tableau2[[#This Row],[priorecol]]="R",1,0)</f>
        <v>1</v>
      </c>
      <c r="AR240" s="12">
        <f>VLOOKUP(Tableau2[[#This Row],[essence]],Tableau5[],21,FALSE)</f>
        <v>7.8700000000000006E-2</v>
      </c>
      <c r="AS240" s="12">
        <f>IF(Tableau2[[#This Row],[priorecol]]="S",1,0)</f>
        <v>0</v>
      </c>
      <c r="AT240" s="12">
        <f>VLOOKUP(Tableau2[[#This Row],[essence]],Tableau5[],22,FALSE)</f>
        <v>0</v>
      </c>
      <c r="AU240" s="12">
        <f>VLOOKUP(Tableau2[[#This Row],[essence]],Tableau5[],23,FALSE)</f>
        <v>0</v>
      </c>
      <c r="AV240" s="12">
        <f>VLOOKUP(Tableau2[[#This Row],[essence]],Tableau5[],18,FALSE)</f>
        <v>0</v>
      </c>
      <c r="AW240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3.3418999999999999</v>
      </c>
      <c r="AX240" s="12">
        <f>1/(1+EXP(-Tableau2[[#This Row],[xb_c]]))</f>
        <v>0.9658385872040931</v>
      </c>
      <c r="AY240" s="12" t="str">
        <f t="shared" si="6"/>
        <v>NA</v>
      </c>
      <c r="AZ240" s="12" t="str">
        <f t="shared" si="7"/>
        <v>NA</v>
      </c>
      <c r="BA240" s="12">
        <f>Tableau2[[#This Row],[prob_c]]</f>
        <v>0.9658385872040931</v>
      </c>
      <c r="BB240" s="12">
        <f>1-Tableau2[[#This Row],[prob_c]]</f>
        <v>3.4161412795906898E-2</v>
      </c>
    </row>
    <row r="241" spans="1:54" x14ac:dyDescent="0.25">
      <c r="A241" s="12">
        <v>10</v>
      </c>
      <c r="B241" s="12" t="s">
        <v>18</v>
      </c>
      <c r="C241" s="12">
        <v>2.1</v>
      </c>
      <c r="D241" s="12">
        <v>700</v>
      </c>
      <c r="E241" s="12">
        <v>20</v>
      </c>
      <c r="F241" s="12">
        <v>1</v>
      </c>
      <c r="G241" s="12">
        <v>24</v>
      </c>
      <c r="H241" s="12">
        <v>33</v>
      </c>
      <c r="I241" s="12" t="s">
        <v>26</v>
      </c>
      <c r="J241" s="12" t="s">
        <v>29</v>
      </c>
      <c r="K241" s="12">
        <f>VLOOKUP(Tableau2[[#This Row],[essence]],Tableau5[],2,FALSE)</f>
        <v>-9.0399999999999994E-2</v>
      </c>
      <c r="L241" s="12">
        <f>VLOOKUP(Tableau2[[#This Row],[essence]],Tableau5[],3,FALSE)</f>
        <v>1.0844</v>
      </c>
      <c r="M241" s="12">
        <f>IF(Tableau2[[#This Row],[priorecol]]="C",1,0)</f>
        <v>0</v>
      </c>
      <c r="N241" s="12">
        <f>VLOOKUP(Tableau2[[#This Row],[essence]],Tableau5[],4,FALSE)</f>
        <v>-1.3041</v>
      </c>
      <c r="O241" s="12">
        <f>IF(Tableau2[[#This Row],[priorecol]]="R",1,0)</f>
        <v>0</v>
      </c>
      <c r="P241" s="12">
        <f>VLOOKUP(Tableau2[[#This Row],[essence]],Tableau5[],5,FALSE)</f>
        <v>-0.79790000000000005</v>
      </c>
      <c r="Q241" s="12">
        <f>IF(Tableau2[[#This Row],[priorecol]]="S",1,0)</f>
        <v>1</v>
      </c>
      <c r="R241" s="12">
        <f>VLOOKUP(Tableau2[[#This Row],[essence]],Tableau5[],6,FALSE)</f>
        <v>-5.3E-3</v>
      </c>
      <c r="S241" s="12">
        <f>VLOOKUP(Tableau2[[#This Row],[essence]],Tableau5[],15,FALSE)</f>
        <v>1.2500000000000001E-2</v>
      </c>
      <c r="T241" s="12">
        <f>VLOOKUP(Tableau2[[#This Row],[essence]],Tableau5[],7,FALSE)</f>
        <v>0</v>
      </c>
      <c r="U241" s="12">
        <f>IF(Tableau2[[#This Row],[sdom]]=1,1,0)</f>
        <v>0</v>
      </c>
      <c r="V241" s="12">
        <f>VLOOKUP(Tableau2[[#This Row],[essence]],Tableau5[],8,FALSE)</f>
        <v>0.1497</v>
      </c>
      <c r="W241" s="12">
        <f>IF(Tableau2[[#This Row],[sdom]]="2EST",1,0)</f>
        <v>0</v>
      </c>
      <c r="X241" s="12">
        <f>VLOOKUP(Tableau2[[#This Row],[essence]],Tableau5[],9,FALSE)</f>
        <v>0.4839</v>
      </c>
      <c r="Y241" s="12">
        <f>IF(Tableau2[[#This Row],[sdom]]="2OUEST",1,0)</f>
        <v>0</v>
      </c>
      <c r="Z241" s="12">
        <f>VLOOKUP(Tableau2[[#This Row],[essence]],Tableau5[],10,FALSE)</f>
        <v>-0.14019999999999999</v>
      </c>
      <c r="AA241" s="12">
        <f>IF(Tableau2[[#This Row],[sdom]]="3EST",1,0)</f>
        <v>0</v>
      </c>
      <c r="AB241" s="12">
        <f>VLOOKUP(Tableau2[[#This Row],[essence]],Tableau5[],11,FALSE)</f>
        <v>0.65649999999999997</v>
      </c>
      <c r="AC241" s="12">
        <f>IF(Tableau2[[#This Row],[sdom]]="3OUEST",1,0)</f>
        <v>0</v>
      </c>
      <c r="AD241" s="12">
        <f>VLOOKUP(Tableau2[[#This Row],[essence]],Tableau5[],12,FALSE)</f>
        <v>-1.21E-2</v>
      </c>
      <c r="AE241" s="12">
        <f>IF(Tableau2[[#This Row],[sdom]]="4EST",1,0)</f>
        <v>0</v>
      </c>
      <c r="AF241" s="12">
        <f>VLOOKUP(Tableau2[[#This Row],[essence]],Tableau5[],13,FALSE)</f>
        <v>0.52600000000000002</v>
      </c>
      <c r="AG241" s="12">
        <f>IF(Tableau2[[#This Row],[sdom]]="4OUEST",1,0)</f>
        <v>0</v>
      </c>
      <c r="AH241" s="12">
        <f>VLOOKUP(Tableau2[[#This Row],[essence]],Tableau5[],14,FALSE)</f>
        <v>-0.753</v>
      </c>
      <c r="AI241" s="12">
        <f>IF(Tableau2[[#This Row],[sdom]]="5EST",1,0)</f>
        <v>0</v>
      </c>
      <c r="AJ241" s="12">
        <f>VLOOKUP(Tableau2[[#This Row],[essence]],Tableau5[],16,FALSE)</f>
        <v>0</v>
      </c>
      <c r="AK241" s="12">
        <f>IF(Tableau2[[#This Row],[sdom]]="5OUEST",1,0)</f>
        <v>0</v>
      </c>
      <c r="AL241" s="12">
        <f>VLOOKUP(Tableau2[[#This Row],[essence]],Tableau5[],17,FALSE)</f>
        <v>0</v>
      </c>
      <c r="AM241" s="12">
        <f>IF(Tableau2[[#This Row],[sdom]]="6EST",1,0)</f>
        <v>1</v>
      </c>
      <c r="AN241" s="12">
        <f>VLOOKUP(Tableau2[[#This Row],[essence]],Tableau5[],19,FALSE)</f>
        <v>3.04E-2</v>
      </c>
      <c r="AO241" s="12">
        <f>IF(Tableau2[[#This Row],[priorecol]]="C",1,0)</f>
        <v>0</v>
      </c>
      <c r="AP241" s="12">
        <f>VLOOKUP(Tableau2[[#This Row],[essence]],Tableau5[],20,FALSE)</f>
        <v>0.14549999999999999</v>
      </c>
      <c r="AQ241" s="12">
        <f>IF(Tableau2[[#This Row],[priorecol]]="R",1,0)</f>
        <v>0</v>
      </c>
      <c r="AR241" s="12">
        <f>VLOOKUP(Tableau2[[#This Row],[essence]],Tableau5[],21,FALSE)</f>
        <v>7.8700000000000006E-2</v>
      </c>
      <c r="AS241" s="12">
        <f>IF(Tableau2[[#This Row],[priorecol]]="S",1,0)</f>
        <v>1</v>
      </c>
      <c r="AT241" s="12">
        <f>VLOOKUP(Tableau2[[#This Row],[essence]],Tableau5[],22,FALSE)</f>
        <v>0</v>
      </c>
      <c r="AU241" s="12">
        <f>VLOOKUP(Tableau2[[#This Row],[essence]],Tableau5[],23,FALSE)</f>
        <v>0</v>
      </c>
      <c r="AV241" s="12">
        <f>VLOOKUP(Tableau2[[#This Row],[essence]],Tableau5[],18,FALSE)</f>
        <v>0</v>
      </c>
      <c r="AW241" s="12">
        <f>Tableau2[[#This Row],[b_intercept_C]]+Tableau2[[#This Row],[b_priorecol_C]]*Tableau2[[#This Row],[uPC]]+Tableau2[[#This Row],[b_priorecol_R]]*Tableau2[[#This Row],[uPR]]+Tableau2[[#This Row],[b_priorecol_S]]*Tableau2[[#This Row],[uPS]]+Tableau2[[#This Row],[b_dhpcm]]*Tableau2[[#This Row],[dhpcm]]+Tableau2[[#This Row],[b_sum_st_ha]]*Tableau2[[#This Row],[sum_st_ha]]+Tableau2[[#This Row],[b_sdom_1]]*Tableau2[[#This Row],[u1]]+Tableau2[[#This Row],[b_sdom_2EST]]*Tableau2[[#This Row],[u2e]]+Tableau2[[#This Row],[b_sdom_2OUEST]]*Tableau2[[#This Row],[u2o]]+Tableau2[[#This Row],[b_sdom_3EST]]*Tableau2[[#This Row],[u3e]]+Tableau2[[#This Row],[b_sdom_3OUEST]]*Tableau2[[#This Row],[u3o]]+Tableau2[[#This Row],[b_sdom_4EST]]*Tableau2[[#This Row],[u4e]]+Tableau2[[#This Row],[b_sdom_4OUEST]]*Tableau2[[#This Row],[u4o]]+Tableau2[[#This Row],[b_sdom_5EST]]*Tableau2[[#This Row],[u5e]]+Tableau2[[#This Row],[b_sdom_5OUEST]]*Tableau2[[#This Row],[u5o]]+Tableau2[[#This Row],[b_sdom_6EST]]*Tableau2[[#This Row],[u6e]]+Tableau2[[#This Row],[b_dhpcm*priorecol_C]]*Tableau2[[#This Row],[udpc]]*Tableau2[[#This Row],[dhpcm]]+Tableau2[[#This Row],[b_dhpcm*priorecol_R]]*Tableau2[[#This Row],[udpr]]*Tableau2[[#This Row],[dhpcm]]+Tableau2[[#This Row],[b_dhpcm*priorecol_S]]*Tableau2[[#This Row],[udps]]*Tableau2[[#This Row],[dhpcm]]+Tableau2[[#This Row],[b_coupe]]*Tableau2[[#This Row],[coupe]]+Tableau2[[#This Row],[b_dhpcm*sum_st_ha]]*Tableau2[[#This Row],[sum_st_ha]]*Tableau2[[#This Row],[dhpcm]]+Tableau2[[#This Row],[b_tmoy]]*Tableau2[[#This Row],[tmoy]]</f>
        <v>1.7839</v>
      </c>
      <c r="AX241" s="12">
        <f>1/(1+EXP(-Tableau2[[#This Row],[xb_c]]))</f>
        <v>0.85617776916675936</v>
      </c>
      <c r="AY241" s="12" t="str">
        <f t="shared" si="6"/>
        <v>NA</v>
      </c>
      <c r="AZ241" s="12" t="str">
        <f t="shared" si="7"/>
        <v>NA</v>
      </c>
      <c r="BA241" s="12">
        <f>Tableau2[[#This Row],[prob_c]]</f>
        <v>0.85617776916675936</v>
      </c>
      <c r="BB241" s="12">
        <f>1-Tableau2[[#This Row],[prob_c]]</f>
        <v>0.14382223083324064</v>
      </c>
    </row>
    <row r="244" spans="1:54" x14ac:dyDescent="0.25">
      <c r="A244" s="11">
        <v>1</v>
      </c>
      <c r="B244" s="11">
        <v>2</v>
      </c>
      <c r="C244" s="11">
        <v>3</v>
      </c>
      <c r="D244" s="11">
        <v>4</v>
      </c>
      <c r="E244" s="11">
        <v>5</v>
      </c>
      <c r="F244" s="11">
        <v>6</v>
      </c>
      <c r="G244" s="11">
        <v>7</v>
      </c>
      <c r="H244" s="11">
        <v>8</v>
      </c>
      <c r="I244" s="11">
        <v>9</v>
      </c>
      <c r="J244" s="11">
        <v>10</v>
      </c>
      <c r="K244" s="11">
        <v>11</v>
      </c>
      <c r="L244" s="11">
        <v>12</v>
      </c>
      <c r="M244" s="11">
        <v>13</v>
      </c>
      <c r="N244" s="11">
        <v>14</v>
      </c>
      <c r="O244" s="11">
        <v>15</v>
      </c>
      <c r="P244" s="11">
        <v>16</v>
      </c>
      <c r="Q244" s="11">
        <v>17</v>
      </c>
      <c r="R244" s="11">
        <v>18</v>
      </c>
      <c r="S244" s="11">
        <v>19</v>
      </c>
      <c r="T244" s="11">
        <v>20</v>
      </c>
      <c r="U244" s="11">
        <v>21</v>
      </c>
      <c r="V244" s="11">
        <v>22</v>
      </c>
      <c r="W244" s="11">
        <v>23</v>
      </c>
    </row>
    <row r="245" spans="1:54" x14ac:dyDescent="0.25">
      <c r="A245" s="6" t="s">
        <v>8</v>
      </c>
      <c r="B245" s="6" t="s">
        <v>30</v>
      </c>
      <c r="C245" s="6" t="s">
        <v>31</v>
      </c>
      <c r="D245" s="6" t="s">
        <v>32</v>
      </c>
      <c r="E245" s="6" t="s">
        <v>33</v>
      </c>
      <c r="F245" s="6" t="s">
        <v>34</v>
      </c>
      <c r="G245" s="6" t="s">
        <v>36</v>
      </c>
      <c r="H245" s="6" t="s">
        <v>37</v>
      </c>
      <c r="I245" s="6" t="s">
        <v>38</v>
      </c>
      <c r="J245" s="6" t="s">
        <v>39</v>
      </c>
      <c r="K245" s="6" t="s">
        <v>40</v>
      </c>
      <c r="L245" s="6" t="s">
        <v>41</v>
      </c>
      <c r="M245" s="6" t="s">
        <v>42</v>
      </c>
      <c r="N245" s="6" t="s">
        <v>43</v>
      </c>
      <c r="O245" s="6" t="s">
        <v>35</v>
      </c>
      <c r="P245" s="6" t="s">
        <v>44</v>
      </c>
      <c r="Q245" s="6" t="s">
        <v>45</v>
      </c>
      <c r="R245" s="6" t="s">
        <v>66</v>
      </c>
      <c r="S245" s="6" t="s">
        <v>67</v>
      </c>
      <c r="T245" s="6" t="s">
        <v>68</v>
      </c>
      <c r="U245" s="6" t="s">
        <v>69</v>
      </c>
      <c r="V245" s="6" t="s">
        <v>64</v>
      </c>
      <c r="W245" s="6" t="s">
        <v>70</v>
      </c>
    </row>
    <row r="246" spans="1:54" x14ac:dyDescent="0.25">
      <c r="A246" s="7" t="s">
        <v>19</v>
      </c>
      <c r="B246" s="8">
        <v>-1.806</v>
      </c>
      <c r="C246" s="8">
        <v>1.2398</v>
      </c>
      <c r="D246" s="8">
        <v>2.6488</v>
      </c>
      <c r="E246" s="8">
        <v>0.61070000000000002</v>
      </c>
      <c r="F246" s="8">
        <v>5.67E-2</v>
      </c>
      <c r="G246" s="8">
        <v>0.95779999999999998</v>
      </c>
      <c r="H246" s="8">
        <v>0.66500000000000004</v>
      </c>
      <c r="I246" s="8">
        <v>0.32479999999999998</v>
      </c>
      <c r="J246" s="8">
        <v>0.62949999999999995</v>
      </c>
      <c r="K246" s="8">
        <v>0.56679999999999997</v>
      </c>
      <c r="L246" s="8">
        <v>0.21729999999999999</v>
      </c>
      <c r="M246" s="8">
        <v>0.39939999999999998</v>
      </c>
      <c r="N246" s="8">
        <v>6.5299999999999997E-2</v>
      </c>
      <c r="O246" s="8">
        <v>1.35E-2</v>
      </c>
      <c r="P246" s="9"/>
      <c r="Q246" s="9"/>
      <c r="R246" s="10"/>
      <c r="S246" s="10"/>
      <c r="T246" s="10"/>
      <c r="U246" s="10"/>
      <c r="V246" s="10"/>
      <c r="W246" s="10"/>
    </row>
    <row r="247" spans="1:54" x14ac:dyDescent="0.25">
      <c r="A247" s="7" t="s">
        <v>20</v>
      </c>
      <c r="B247" s="8">
        <v>0.69510000000000005</v>
      </c>
      <c r="C247" s="8">
        <v>-0.51849999999999996</v>
      </c>
      <c r="D247" s="8">
        <v>0.52129999999999999</v>
      </c>
      <c r="E247" s="8">
        <v>-0.37890000000000001</v>
      </c>
      <c r="F247" s="8">
        <v>-5.5999999999999995E-4</v>
      </c>
      <c r="G247" s="10"/>
      <c r="H247" s="8">
        <v>-8.7900000000000006E-2</v>
      </c>
      <c r="I247" s="8">
        <v>0.42620000000000002</v>
      </c>
      <c r="J247" s="8">
        <v>0.54149999999999998</v>
      </c>
      <c r="K247" s="8">
        <v>0.50339999999999996</v>
      </c>
      <c r="L247" s="8">
        <v>-3.0599999999999999E-2</v>
      </c>
      <c r="M247" s="8">
        <v>0.1583</v>
      </c>
      <c r="N247" s="8">
        <v>3.9800000000000002E-2</v>
      </c>
      <c r="O247" s="8">
        <v>1.52E-2</v>
      </c>
      <c r="P247" s="7">
        <v>0.13650000000000001</v>
      </c>
      <c r="Q247" s="7">
        <v>-0.39140000000000003</v>
      </c>
      <c r="R247" s="8">
        <v>-0.112</v>
      </c>
      <c r="S247" s="8">
        <v>5.8000000000000003E-2</v>
      </c>
      <c r="T247" s="8">
        <v>4.7500000000000001E-2</v>
      </c>
      <c r="U247" s="8">
        <v>4.87E-2</v>
      </c>
      <c r="V247" s="10"/>
      <c r="W247" s="10"/>
    </row>
    <row r="248" spans="1:54" x14ac:dyDescent="0.25">
      <c r="A248" s="7" t="s">
        <v>21</v>
      </c>
      <c r="B248" s="8">
        <v>5.0801999999999996</v>
      </c>
      <c r="C248" s="8">
        <v>1.7765</v>
      </c>
      <c r="D248" s="8">
        <v>3.3664000000000001</v>
      </c>
      <c r="E248" s="8">
        <v>0.57940000000000003</v>
      </c>
      <c r="F248" s="8">
        <v>-0.2109</v>
      </c>
      <c r="G248" s="10"/>
      <c r="H248" s="10"/>
      <c r="I248" s="10"/>
      <c r="J248" s="10"/>
      <c r="K248" s="10"/>
      <c r="L248" s="10"/>
      <c r="M248" s="10"/>
      <c r="N248" s="10"/>
      <c r="O248" s="8">
        <v>-0.2429</v>
      </c>
      <c r="P248" s="9"/>
      <c r="Q248" s="9"/>
      <c r="R248" s="10"/>
      <c r="S248" s="10"/>
      <c r="T248" s="10"/>
      <c r="U248" s="10"/>
      <c r="V248" s="8">
        <v>1.1384000000000001</v>
      </c>
      <c r="W248" s="8">
        <v>1.0699999999999999E-2</v>
      </c>
    </row>
    <row r="249" spans="1:54" x14ac:dyDescent="0.25">
      <c r="A249" s="7" t="s">
        <v>22</v>
      </c>
      <c r="B249" s="8">
        <v>-0.54949999999999999</v>
      </c>
      <c r="C249" s="8">
        <v>-0.14960000000000001</v>
      </c>
      <c r="D249" s="8">
        <v>1.6746000000000001</v>
      </c>
      <c r="E249" s="8">
        <v>0.65110000000000001</v>
      </c>
      <c r="F249" s="8">
        <v>-3.0599999999999999E-2</v>
      </c>
      <c r="G249" s="8">
        <v>1.2454000000000001</v>
      </c>
      <c r="H249" s="8">
        <v>0.85550000000000004</v>
      </c>
      <c r="I249" s="8">
        <v>1.2195</v>
      </c>
      <c r="J249" s="8">
        <v>0.94630000000000003</v>
      </c>
      <c r="K249" s="8">
        <v>0.64859999999999995</v>
      </c>
      <c r="L249" s="8">
        <v>0.91920000000000002</v>
      </c>
      <c r="M249" s="8">
        <v>0.67230000000000001</v>
      </c>
      <c r="N249" s="8">
        <v>0.43309999999999998</v>
      </c>
      <c r="O249" s="8">
        <v>-3.8399999999999997E-2</v>
      </c>
      <c r="P249" s="9"/>
      <c r="Q249" s="9"/>
      <c r="R249" s="8">
        <v>0.1295</v>
      </c>
      <c r="S249" s="8">
        <v>6.6900000000000001E-2</v>
      </c>
      <c r="T249" s="8">
        <v>4.3799999999999999E-2</v>
      </c>
      <c r="U249" s="8">
        <v>2.7900000000000001E-2</v>
      </c>
      <c r="V249" s="10"/>
      <c r="W249" s="8">
        <v>1.73E-3</v>
      </c>
    </row>
    <row r="250" spans="1:54" x14ac:dyDescent="0.25">
      <c r="A250" s="7" t="s">
        <v>23</v>
      </c>
      <c r="B250" s="8">
        <v>-1.5804</v>
      </c>
      <c r="C250" s="8">
        <v>0.70079999999999998</v>
      </c>
      <c r="D250" s="8">
        <v>0.1178</v>
      </c>
      <c r="E250" s="8">
        <v>0.88300000000000001</v>
      </c>
      <c r="F250" s="8">
        <v>4.8599999999999997E-2</v>
      </c>
      <c r="G250" s="8">
        <v>1.111</v>
      </c>
      <c r="H250" s="8">
        <v>0.68489999999999995</v>
      </c>
      <c r="I250" s="8">
        <v>0.72130000000000005</v>
      </c>
      <c r="J250" s="8">
        <v>0.83930000000000005</v>
      </c>
      <c r="K250" s="8">
        <v>0.6865</v>
      </c>
      <c r="L250" s="8">
        <v>0.79569999999999996</v>
      </c>
      <c r="M250" s="8">
        <v>0.54700000000000004</v>
      </c>
      <c r="N250" s="10"/>
      <c r="O250" s="10"/>
      <c r="P250" s="9"/>
      <c r="Q250" s="9"/>
      <c r="R250" s="10"/>
      <c r="S250" s="8">
        <v>4.2000000000000003E-2</v>
      </c>
      <c r="T250" s="8">
        <v>0.111</v>
      </c>
      <c r="U250" s="8">
        <v>4.3600000000000002E-3</v>
      </c>
      <c r="V250" s="10"/>
      <c r="W250" s="10"/>
    </row>
    <row r="251" spans="1:54" x14ac:dyDescent="0.25">
      <c r="A251" s="7" t="s">
        <v>24</v>
      </c>
      <c r="B251" s="8">
        <v>1.9585999999999999</v>
      </c>
      <c r="C251" s="8">
        <v>6.6000000000000003E-2</v>
      </c>
      <c r="D251" s="8">
        <v>-1.9339999999999999</v>
      </c>
      <c r="E251" s="8">
        <v>-4.4771999999999998</v>
      </c>
      <c r="F251" s="8">
        <v>-2.5499999999999998E-2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9"/>
      <c r="Q251" s="9"/>
      <c r="R251" s="10"/>
      <c r="S251" s="8">
        <v>4.2599999999999999E-2</v>
      </c>
      <c r="T251" s="8">
        <v>0.17699999999999999</v>
      </c>
      <c r="U251" s="8">
        <v>0.19650000000000001</v>
      </c>
      <c r="V251" s="10"/>
      <c r="W251" s="10"/>
    </row>
    <row r="252" spans="1:54" x14ac:dyDescent="0.25">
      <c r="A252" s="7" t="s">
        <v>25</v>
      </c>
      <c r="B252" s="8">
        <v>-2.4066000000000001</v>
      </c>
      <c r="C252" s="8">
        <v>1.0301</v>
      </c>
      <c r="D252" s="8">
        <v>1.9907999999999999</v>
      </c>
      <c r="E252" s="8">
        <v>1.1955</v>
      </c>
      <c r="F252" s="8">
        <v>4.2599999999999999E-2</v>
      </c>
      <c r="G252" s="10"/>
      <c r="H252" s="8">
        <v>0.72299999999999998</v>
      </c>
      <c r="I252" s="8">
        <v>0.28749999999999998</v>
      </c>
      <c r="J252" s="8">
        <v>0.5746</v>
      </c>
      <c r="K252" s="8">
        <v>0.40360000000000001</v>
      </c>
      <c r="L252" s="10"/>
      <c r="M252" s="10"/>
      <c r="N252" s="10"/>
      <c r="O252" s="8">
        <v>1.3299999999999999E-2</v>
      </c>
      <c r="P252" s="9"/>
      <c r="Q252" s="9"/>
      <c r="R252" s="10"/>
      <c r="S252" s="10"/>
      <c r="T252" s="10"/>
      <c r="U252" s="10"/>
      <c r="V252" s="8">
        <v>0.36130000000000001</v>
      </c>
      <c r="W252" s="10"/>
    </row>
    <row r="253" spans="1:54" x14ac:dyDescent="0.25">
      <c r="A253" s="7" t="s">
        <v>26</v>
      </c>
      <c r="B253" s="8">
        <v>-9.0399999999999994E-2</v>
      </c>
      <c r="C253" s="8">
        <v>1.0844</v>
      </c>
      <c r="D253" s="8">
        <v>-1.3041</v>
      </c>
      <c r="E253" s="8">
        <v>-0.79790000000000005</v>
      </c>
      <c r="F253" s="8">
        <v>-5.3E-3</v>
      </c>
      <c r="G253" s="10"/>
      <c r="H253" s="8">
        <v>0.1497</v>
      </c>
      <c r="I253" s="8">
        <v>0.4839</v>
      </c>
      <c r="J253" s="8">
        <v>-0.14019999999999999</v>
      </c>
      <c r="K253" s="8">
        <v>0.65649999999999997</v>
      </c>
      <c r="L253" s="8">
        <v>-1.21E-2</v>
      </c>
      <c r="M253" s="8">
        <v>0.52600000000000002</v>
      </c>
      <c r="N253" s="8">
        <v>-0.753</v>
      </c>
      <c r="O253" s="8">
        <v>1.2500000000000001E-2</v>
      </c>
      <c r="P253" s="9"/>
      <c r="Q253" s="9"/>
      <c r="R253" s="10"/>
      <c r="S253" s="8">
        <v>3.04E-2</v>
      </c>
      <c r="T253" s="8">
        <v>0.14549999999999999</v>
      </c>
      <c r="U253" s="8">
        <v>7.8700000000000006E-2</v>
      </c>
      <c r="V253" s="10"/>
      <c r="W253" s="10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0A96-EF2D-4EF9-8CDF-6FAE84361A23}">
  <dimension ref="A1:BA204"/>
  <sheetViews>
    <sheetView topLeftCell="AG160" zoomScaleNormal="100" workbookViewId="0">
      <selection activeCell="AX2" sqref="AX2:BA193"/>
    </sheetView>
  </sheetViews>
  <sheetFormatPr baseColWidth="10" defaultRowHeight="15" x14ac:dyDescent="0.25"/>
  <cols>
    <col min="1" max="1" width="9" bestFit="1" customWidth="1"/>
    <col min="2" max="5" width="13.28515625" bestFit="1" customWidth="1"/>
    <col min="6" max="6" width="13.140625" bestFit="1" customWidth="1"/>
    <col min="7" max="7" width="11.140625" bestFit="1" customWidth="1"/>
    <col min="8" max="8" width="13.28515625" bestFit="1" customWidth="1"/>
    <col min="9" max="9" width="15.5703125" bestFit="1" customWidth="1"/>
    <col min="10" max="10" width="13.28515625" bestFit="1" customWidth="1"/>
    <col min="11" max="11" width="15.5703125" bestFit="1" customWidth="1"/>
    <col min="12" max="12" width="15.85546875" bestFit="1" customWidth="1"/>
    <col min="13" max="13" width="15.7109375" bestFit="1" customWidth="1"/>
    <col min="14" max="14" width="13.28515625" bestFit="1" customWidth="1"/>
    <col min="15" max="15" width="15.5703125" bestFit="1" customWidth="1"/>
    <col min="16" max="16" width="8.85546875" bestFit="1" customWidth="1"/>
    <col min="17" max="18" width="23.5703125" bestFit="1" customWidth="1"/>
    <col min="19" max="19" width="23.28515625" bestFit="1" customWidth="1"/>
    <col min="20" max="20" width="14.7109375" bestFit="1" customWidth="1"/>
    <col min="21" max="21" width="12.140625" bestFit="1" customWidth="1"/>
    <col min="22" max="22" width="5.42578125" bestFit="1" customWidth="1"/>
    <col min="23" max="23" width="15.42578125" bestFit="1" customWidth="1"/>
    <col min="24" max="24" width="6.5703125" bestFit="1" customWidth="1"/>
    <col min="25" max="25" width="18.140625" bestFit="1" customWidth="1"/>
    <col min="26" max="26" width="6.5703125" bestFit="1" customWidth="1"/>
    <col min="27" max="27" width="15.42578125" bestFit="1" customWidth="1"/>
    <col min="28" max="28" width="6.5703125" bestFit="1" customWidth="1"/>
    <col min="29" max="29" width="18.140625" bestFit="1" customWidth="1"/>
    <col min="30" max="30" width="6.5703125" bestFit="1" customWidth="1"/>
    <col min="31" max="31" width="15.42578125" bestFit="1" customWidth="1"/>
    <col min="32" max="32" width="6.5703125" bestFit="1" customWidth="1"/>
    <col min="33" max="33" width="18.140625" bestFit="1" customWidth="1"/>
    <col min="34" max="34" width="6.5703125" bestFit="1" customWidth="1"/>
    <col min="35" max="35" width="15.42578125" bestFit="1" customWidth="1"/>
    <col min="36" max="36" width="6.5703125" bestFit="1" customWidth="1"/>
    <col min="37" max="37" width="26.42578125" bestFit="1" customWidth="1"/>
    <col min="38" max="38" width="7.7109375" bestFit="1" customWidth="1"/>
    <col min="39" max="39" width="26.28515625" bestFit="1" customWidth="1"/>
    <col min="40" max="40" width="7.42578125" bestFit="1" customWidth="1"/>
    <col min="41" max="41" width="26.140625" bestFit="1" customWidth="1"/>
    <col min="42" max="42" width="7.7109375" bestFit="1" customWidth="1"/>
    <col min="43" max="43" width="10.85546875" bestFit="1" customWidth="1"/>
    <col min="44" max="44" width="9.85546875" bestFit="1" customWidth="1"/>
    <col min="45" max="45" width="9.85546875" customWidth="1"/>
    <col min="46" max="46" width="8" bestFit="1" customWidth="1"/>
    <col min="47" max="47" width="8.7109375" bestFit="1" customWidth="1"/>
    <col min="48" max="52" width="12" bestFit="1" customWidth="1"/>
    <col min="53" max="53" width="9.28515625" bestFit="1" customWidth="1"/>
  </cols>
  <sheetData>
    <row r="1" spans="1:5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77</v>
      </c>
      <c r="L1" s="5" t="s">
        <v>30</v>
      </c>
      <c r="M1" s="5" t="s">
        <v>31</v>
      </c>
      <c r="N1" s="5" t="s">
        <v>48</v>
      </c>
      <c r="O1" s="5" t="s">
        <v>32</v>
      </c>
      <c r="P1" s="5" t="s">
        <v>49</v>
      </c>
      <c r="Q1" s="5" t="s">
        <v>33</v>
      </c>
      <c r="R1" s="5" t="s">
        <v>50</v>
      </c>
      <c r="S1" s="5" t="s">
        <v>34</v>
      </c>
      <c r="T1" s="5" t="s">
        <v>35</v>
      </c>
      <c r="U1" s="5" t="s">
        <v>36</v>
      </c>
      <c r="V1" s="5" t="s">
        <v>47</v>
      </c>
      <c r="W1" s="5" t="s">
        <v>37</v>
      </c>
      <c r="X1" s="5" t="s">
        <v>86</v>
      </c>
      <c r="Y1" s="5" t="s">
        <v>38</v>
      </c>
      <c r="Z1" s="5" t="s">
        <v>46</v>
      </c>
      <c r="AA1" s="5" t="s">
        <v>39</v>
      </c>
      <c r="AB1" s="5" t="s">
        <v>51</v>
      </c>
      <c r="AC1" s="5" t="s">
        <v>40</v>
      </c>
      <c r="AD1" s="5" t="s">
        <v>52</v>
      </c>
      <c r="AE1" s="5" t="s">
        <v>41</v>
      </c>
      <c r="AF1" s="5" t="s">
        <v>53</v>
      </c>
      <c r="AG1" s="5" t="s">
        <v>42</v>
      </c>
      <c r="AH1" s="5" t="s">
        <v>54</v>
      </c>
      <c r="AI1" s="5" t="s">
        <v>43</v>
      </c>
      <c r="AJ1" s="5" t="s">
        <v>55</v>
      </c>
      <c r="AK1" s="5" t="s">
        <v>81</v>
      </c>
      <c r="AL1" s="5" t="s">
        <v>59</v>
      </c>
      <c r="AM1" s="5" t="s">
        <v>82</v>
      </c>
      <c r="AN1" s="5" t="s">
        <v>61</v>
      </c>
      <c r="AO1" s="5" t="s">
        <v>83</v>
      </c>
      <c r="AP1" s="5" t="s">
        <v>63</v>
      </c>
      <c r="AQ1" s="5" t="s">
        <v>64</v>
      </c>
      <c r="AR1" s="5" t="s">
        <v>66</v>
      </c>
      <c r="AS1" s="5" t="s">
        <v>97</v>
      </c>
      <c r="AT1" s="5" t="s">
        <v>72</v>
      </c>
      <c r="AU1" s="5" t="s">
        <v>84</v>
      </c>
      <c r="AV1" s="5" t="s">
        <v>71</v>
      </c>
      <c r="AW1" s="5" t="s">
        <v>85</v>
      </c>
      <c r="AX1" s="15" t="s">
        <v>76</v>
      </c>
      <c r="AY1" s="15" t="s">
        <v>75</v>
      </c>
      <c r="AZ1" s="15" t="s">
        <v>74</v>
      </c>
      <c r="BA1" s="15" t="s">
        <v>73</v>
      </c>
    </row>
    <row r="2" spans="1:53" x14ac:dyDescent="0.25">
      <c r="A2" s="2">
        <v>1</v>
      </c>
      <c r="B2" s="2">
        <v>1</v>
      </c>
      <c r="C2" s="4">
        <v>2.1</v>
      </c>
      <c r="D2" s="4">
        <v>700</v>
      </c>
      <c r="E2" s="4">
        <v>20</v>
      </c>
      <c r="F2" s="4">
        <v>1</v>
      </c>
      <c r="G2" s="2">
        <v>25</v>
      </c>
      <c r="H2" s="2">
        <v>34</v>
      </c>
      <c r="I2" s="2" t="s">
        <v>19</v>
      </c>
      <c r="J2" s="2" t="s">
        <v>27</v>
      </c>
      <c r="K2" s="2">
        <f>VLOOKUP(Tableau3[[#This Row],[essence]],Tableau7[],2,FALSE)</f>
        <v>-3.7313999999999998</v>
      </c>
      <c r="L2" s="3">
        <f>VLOOKUP(Tableau3[[#This Row],[essence]],Tableau7[],3,FALSE)</f>
        <v>-1.7194</v>
      </c>
      <c r="M2" s="3">
        <f>VLOOKUP(Tableau3[[#This Row],[essence]],Tableau7[],4,FALSE)</f>
        <v>1.5371999999999999</v>
      </c>
      <c r="N2" s="3">
        <f>IF(Tableau3[[#This Row],[priorecol]]="C",1,0)</f>
        <v>1</v>
      </c>
      <c r="O2" s="3">
        <f>VLOOKUP(Tableau3[[#This Row],[essence]],Tableau7[],5,FALSE)</f>
        <v>2.5815000000000001</v>
      </c>
      <c r="P2" s="3">
        <f>IF(Tableau3[[#This Row],[priorecol]]="R",1,0)</f>
        <v>0</v>
      </c>
      <c r="Q2" s="3">
        <f>VLOOKUP(Tableau3[[#This Row],[essence]],Tableau7[],6,FALSE)</f>
        <v>0.96079999999999999</v>
      </c>
      <c r="R2" s="3">
        <f>IF(Tableau3[[#This Row],[priorecol]]="S",1,0)</f>
        <v>0</v>
      </c>
      <c r="S2" s="3">
        <f>VLOOKUP(Tableau3[[#This Row],[essence]],Tableau7[],7,FALSE)</f>
        <v>4.2799999999999998E-2</v>
      </c>
      <c r="T2" s="3">
        <f>VLOOKUP(Tableau3[[#This Row],[essence]],Tableau7[],15,FALSE)</f>
        <v>1.54E-2</v>
      </c>
      <c r="U2" s="3">
        <f>VLOOKUP(Tableau3[[#This Row],[essence]],Tableau7[],20,FALSE)</f>
        <v>0</v>
      </c>
      <c r="V2" s="3">
        <f>IF(Tableau3[[#This Row],[sdom]]=1,1,0)</f>
        <v>1</v>
      </c>
      <c r="W2" s="3">
        <f>VLOOKUP(Tableau3[[#This Row],[essence]],Tableau7[],8,FALSE)</f>
        <v>2.3900000000000001E-2</v>
      </c>
      <c r="X2" s="3">
        <f>IF(Tableau3[[#This Row],[sdom]]="2EST",1,0)</f>
        <v>0</v>
      </c>
      <c r="Y2" s="3">
        <f>VLOOKUP(Tableau3[[#This Row],[essence]],Tableau7[],9,FALSE)</f>
        <v>-0.4793</v>
      </c>
      <c r="Z2" s="3">
        <f>IF(Tableau3[[#This Row],[sdom]]="2OUEST",1,0)</f>
        <v>0</v>
      </c>
      <c r="AA2" s="3">
        <f>VLOOKUP(Tableau3[[#This Row],[essence]],Tableau7[],10,FALSE)</f>
        <v>0.13880000000000001</v>
      </c>
      <c r="AB2" s="3">
        <f>IF(Tableau3[[#This Row],[sdom]]="3EST",1,0)</f>
        <v>0</v>
      </c>
      <c r="AC2" s="3">
        <f>VLOOKUP(Tableau3[[#This Row],[essence]],Tableau7[],11,FALSE)</f>
        <v>0.27039999999999997</v>
      </c>
      <c r="AD2" s="3">
        <f>IF(Tableau3[[#This Row],[sdom]]="3OUEST",1,0)</f>
        <v>0</v>
      </c>
      <c r="AE2" s="3">
        <f>VLOOKUP(Tableau3[[#This Row],[essence]],Tableau7[],12,FALSE)</f>
        <v>4.6600000000000001E-3</v>
      </c>
      <c r="AF2" s="3">
        <f>IF(Tableau3[[#This Row],[sdom]]="4EST",1,0)</f>
        <v>0</v>
      </c>
      <c r="AG2" s="3">
        <f>VLOOKUP(Tableau3[[#This Row],[essence]],Tableau7[],13,FALSE)</f>
        <v>0.1986</v>
      </c>
      <c r="AH2" s="3">
        <f>IF(Tableau3[[#This Row],[sdom]]="4OUEST",1,0)</f>
        <v>0</v>
      </c>
      <c r="AI2" s="3">
        <f>VLOOKUP(Tableau3[[#This Row],[essence]],Tableau7[],14,FALSE)</f>
        <v>-0.2535</v>
      </c>
      <c r="AJ2" s="3">
        <f>IF(Tableau3[[#This Row],[sdom]]="5EST",1,0)</f>
        <v>0</v>
      </c>
      <c r="AK2" s="3">
        <f>VLOOKUP(Tableau3[[#This Row],[essence]],Tableau7[],17,FALSE)</f>
        <v>0</v>
      </c>
      <c r="AL2" s="3">
        <f>IF(Tableau3[[#This Row],[priorecol]]="C",1,0)</f>
        <v>1</v>
      </c>
      <c r="AM2" s="3">
        <f>VLOOKUP(Tableau3[[#This Row],[essence]],Tableau7[],18,FALSE)</f>
        <v>0</v>
      </c>
      <c r="AN2" s="3">
        <f>IF(Tableau3[[#This Row],[priorecol]]="R",1,0)</f>
        <v>0</v>
      </c>
      <c r="AO2" s="3">
        <f>VLOOKUP(Tableau3[[#This Row],[essence]],Tableau7[],19,FALSE)</f>
        <v>0</v>
      </c>
      <c r="AP2" s="3">
        <f>IF(Tableau3[[#This Row],[priorecol]]="S",1,0)</f>
        <v>0</v>
      </c>
      <c r="AQ2" s="3">
        <f>VLOOKUP(Tableau3[[#This Row],[essence]],Tableau7[],21,FALSE)</f>
        <v>0</v>
      </c>
      <c r="AR2" s="3">
        <f>VLOOKUP(Tableau3[[#This Row],[essence]],Tableau7[],16,FALSE)</f>
        <v>0.123</v>
      </c>
      <c r="AS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3.5587</v>
      </c>
      <c r="AT2" s="3">
        <f>Tableau3[[#This Row],[xb_]]+Tableau3[[#This Row],[b_intercept_C]]</f>
        <v>1.8392999999999999</v>
      </c>
      <c r="AU2" s="3">
        <f>Tableau3[[#This Row],[xb_]]+Tableau3[[#This Row],[b_intercept_B]]</f>
        <v>-0.17269999999999985</v>
      </c>
      <c r="AV2" s="3">
        <f>1/(1+EXP(-Tableau3[[#This Row],[xb_c]]))</f>
        <v>0.86286589862413354</v>
      </c>
      <c r="AW2" s="3">
        <f>1/(1+EXP(-Tableau3[[#This Row],[xb_b]]))</f>
        <v>0.45693198981906741</v>
      </c>
      <c r="AX2" s="3" t="str">
        <f t="shared" ref="AX2:AX33" si="0">"NA"</f>
        <v>NA</v>
      </c>
      <c r="AY2" s="3">
        <f>Tableau3[[#This Row],[prob_b]]</f>
        <v>0.45693198981906741</v>
      </c>
      <c r="AZ2" s="3">
        <f>Tableau3[[#This Row],[prob_c]]-Tableau3[[#This Row],[prob_b]]</f>
        <v>0.40593390880506613</v>
      </c>
      <c r="BA2" s="3">
        <f>1-Tableau3[[#This Row],[prob_c]]</f>
        <v>0.13713410137586646</v>
      </c>
    </row>
    <row r="3" spans="1:53" x14ac:dyDescent="0.25">
      <c r="A3" s="3">
        <v>1</v>
      </c>
      <c r="B3" s="3">
        <v>1</v>
      </c>
      <c r="C3" s="1">
        <v>2.1</v>
      </c>
      <c r="D3" s="1">
        <v>700</v>
      </c>
      <c r="E3" s="1">
        <v>20</v>
      </c>
      <c r="F3" s="1">
        <v>1</v>
      </c>
      <c r="G3" s="3">
        <v>31</v>
      </c>
      <c r="H3" s="3">
        <v>34</v>
      </c>
      <c r="I3" s="3" t="s">
        <v>21</v>
      </c>
      <c r="J3" s="3" t="s">
        <v>27</v>
      </c>
      <c r="K3" s="3">
        <f>VLOOKUP(Tableau3[[#This Row],[essence]],Tableau7[],2,FALSE)</f>
        <v>-0.68799999999999994</v>
      </c>
      <c r="L3" s="3">
        <f>VLOOKUP(Tableau3[[#This Row],[essence]],Tableau7[],3,FALSE)</f>
        <v>1.3924000000000001</v>
      </c>
      <c r="M3" s="3">
        <f>VLOOKUP(Tableau3[[#This Row],[essence]],Tableau7[],4,FALSE)</f>
        <v>0.41599999999999998</v>
      </c>
      <c r="N3" s="3">
        <f>IF(Tableau3[[#This Row],[priorecol]]="C",1,0)</f>
        <v>1</v>
      </c>
      <c r="O3" s="3">
        <f>VLOOKUP(Tableau3[[#This Row],[essence]],Tableau7[],5,FALSE)</f>
        <v>1.5604</v>
      </c>
      <c r="P3" s="3">
        <f>IF(Tableau3[[#This Row],[priorecol]]="R",1,0)</f>
        <v>0</v>
      </c>
      <c r="Q3" s="3">
        <f>VLOOKUP(Tableau3[[#This Row],[essence]],Tableau7[],6,FALSE)</f>
        <v>-0.64770000000000005</v>
      </c>
      <c r="R3" s="3">
        <f>IF(Tableau3[[#This Row],[priorecol]]="S",1,0)</f>
        <v>0</v>
      </c>
      <c r="S3" s="3">
        <f>VLOOKUP(Tableau3[[#This Row],[essence]],Tableau7[],7,FALSE)</f>
        <v>0</v>
      </c>
      <c r="T3" s="3">
        <f>VLOOKUP(Tableau3[[#This Row],[essence]],Tableau7[],15,FALSE)</f>
        <v>-2.4500000000000001E-2</v>
      </c>
      <c r="U3" s="3">
        <f>VLOOKUP(Tableau3[[#This Row],[essence]],Tableau7[],20,FALSE)</f>
        <v>0.15179999999999999</v>
      </c>
      <c r="V3" s="3">
        <f>IF(Tableau3[[#This Row],[sdom]]=1,1,0)</f>
        <v>1</v>
      </c>
      <c r="W3" s="3">
        <f>VLOOKUP(Tableau3[[#This Row],[essence]],Tableau7[],8,FALSE)</f>
        <v>0</v>
      </c>
      <c r="X3" s="3">
        <f>IF(Tableau3[[#This Row],[sdom]]="2EST",1,0)</f>
        <v>0</v>
      </c>
      <c r="Y3" s="3">
        <f>VLOOKUP(Tableau3[[#This Row],[essence]],Tableau7[],9,FALSE)</f>
        <v>-0.27589999999999998</v>
      </c>
      <c r="Z3" s="3">
        <f>IF(Tableau3[[#This Row],[sdom]]="2OUEST",1,0)</f>
        <v>0</v>
      </c>
      <c r="AA3" s="3">
        <f>VLOOKUP(Tableau3[[#This Row],[essence]],Tableau7[],10,FALSE)</f>
        <v>0</v>
      </c>
      <c r="AB3" s="3">
        <f>IF(Tableau3[[#This Row],[sdom]]="3EST",1,0)</f>
        <v>0</v>
      </c>
      <c r="AC3" s="3">
        <f>VLOOKUP(Tableau3[[#This Row],[essence]],Tableau7[],11,FALSE)</f>
        <v>0</v>
      </c>
      <c r="AD3" s="3">
        <f>IF(Tableau3[[#This Row],[sdom]]="3OUEST",1,0)</f>
        <v>0</v>
      </c>
      <c r="AE3" s="3">
        <f>VLOOKUP(Tableau3[[#This Row],[essence]],Tableau7[],12,FALSE)</f>
        <v>0</v>
      </c>
      <c r="AF3" s="3">
        <f>IF(Tableau3[[#This Row],[sdom]]="4EST",1,0)</f>
        <v>0</v>
      </c>
      <c r="AG3" s="3">
        <f>VLOOKUP(Tableau3[[#This Row],[essence]],Tableau7[],13,FALSE)</f>
        <v>0</v>
      </c>
      <c r="AH3" s="3">
        <f>IF(Tableau3[[#This Row],[sdom]]="4OUEST",1,0)</f>
        <v>0</v>
      </c>
      <c r="AI3" s="3">
        <f>VLOOKUP(Tableau3[[#This Row],[essence]],Tableau7[],14,FALSE)</f>
        <v>0</v>
      </c>
      <c r="AJ3" s="3">
        <f>IF(Tableau3[[#This Row],[sdom]]="5EST",1,0)</f>
        <v>0</v>
      </c>
      <c r="AK3" s="3">
        <f>VLOOKUP(Tableau3[[#This Row],[essence]],Tableau7[],17,FALSE)</f>
        <v>6.4199999999999993E-2</v>
      </c>
      <c r="AL3" s="3">
        <f>IF(Tableau3[[#This Row],[priorecol]]="C",1,0)</f>
        <v>1</v>
      </c>
      <c r="AM3" s="3">
        <f>VLOOKUP(Tableau3[[#This Row],[essence]],Tableau7[],18,FALSE)</f>
        <v>6.3399999999999998E-2</v>
      </c>
      <c r="AN3" s="3">
        <f>IF(Tableau3[[#This Row],[priorecol]]="R",1,0)</f>
        <v>0</v>
      </c>
      <c r="AO3" s="3">
        <f>VLOOKUP(Tableau3[[#This Row],[essence]],Tableau7[],19,FALSE)</f>
        <v>8.2400000000000001E-2</v>
      </c>
      <c r="AP3" s="3">
        <f>IF(Tableau3[[#This Row],[priorecol]]="S",1,0)</f>
        <v>0</v>
      </c>
      <c r="AQ3" s="3">
        <f>VLOOKUP(Tableau3[[#This Row],[essence]],Tableau7[],21,FALSE)</f>
        <v>0</v>
      </c>
      <c r="AR3" s="3">
        <f>VLOOKUP(Tableau3[[#This Row],[essence]],Tableau7[],16,FALSE)</f>
        <v>0</v>
      </c>
      <c r="AS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1.3617999999999997</v>
      </c>
      <c r="AT3" s="3">
        <f>Tableau3[[#This Row],[xb_]]+Tableau3[[#This Row],[b_intercept_C]]</f>
        <v>2.7542</v>
      </c>
      <c r="AU3" s="3">
        <f>Tableau3[[#This Row],[xb_]]+Tableau3[[#This Row],[b_intercept_B]]</f>
        <v>0.67379999999999973</v>
      </c>
      <c r="AV3" s="3">
        <f>1/(1+EXP(-Tableau3[[#This Row],[xb_c]]))</f>
        <v>0.94015011225465717</v>
      </c>
      <c r="AW3" s="3">
        <f>1/(1+EXP(-Tableau3[[#This Row],[xb_b]]))</f>
        <v>0.66235351987548841</v>
      </c>
      <c r="AX3" s="3" t="str">
        <f t="shared" si="0"/>
        <v>NA</v>
      </c>
      <c r="AY3" s="3">
        <f>Tableau3[[#This Row],[prob_b]]</f>
        <v>0.66235351987548841</v>
      </c>
      <c r="AZ3" s="3">
        <f>Tableau3[[#This Row],[prob_c]]-Tableau3[[#This Row],[prob_b]]</f>
        <v>0.27779659237916876</v>
      </c>
      <c r="BA3" s="3">
        <f>1-Tableau3[[#This Row],[prob_c]]</f>
        <v>5.9849887745342834E-2</v>
      </c>
    </row>
    <row r="4" spans="1:53" x14ac:dyDescent="0.25">
      <c r="A4" s="2">
        <v>1</v>
      </c>
      <c r="B4" s="2">
        <v>1</v>
      </c>
      <c r="C4" s="4">
        <v>2.1</v>
      </c>
      <c r="D4" s="4">
        <v>700</v>
      </c>
      <c r="E4" s="4">
        <v>20</v>
      </c>
      <c r="F4" s="4">
        <v>1</v>
      </c>
      <c r="G4" s="2">
        <v>37</v>
      </c>
      <c r="H4" s="2">
        <v>34</v>
      </c>
      <c r="I4" s="2" t="s">
        <v>23</v>
      </c>
      <c r="J4" s="2" t="s">
        <v>27</v>
      </c>
      <c r="K4" s="2">
        <f>VLOOKUP(Tableau3[[#This Row],[essence]],Tableau7[],2,FALSE)</f>
        <v>-3.9003999999999999</v>
      </c>
      <c r="L4" s="3">
        <f>VLOOKUP(Tableau3[[#This Row],[essence]],Tableau7[],3,FALSE)</f>
        <v>-1.7661</v>
      </c>
      <c r="M4" s="3">
        <f>VLOOKUP(Tableau3[[#This Row],[essence]],Tableau7[],4,FALSE)</f>
        <v>1.9438</v>
      </c>
      <c r="N4" s="3">
        <f>IF(Tableau3[[#This Row],[priorecol]]="C",1,0)</f>
        <v>1</v>
      </c>
      <c r="O4" s="3">
        <f>VLOOKUP(Tableau3[[#This Row],[essence]],Tableau7[],5,FALSE)</f>
        <v>2.9834000000000001</v>
      </c>
      <c r="P4" s="3">
        <f>IF(Tableau3[[#This Row],[priorecol]]="R",1,0)</f>
        <v>0</v>
      </c>
      <c r="Q4" s="3">
        <f>VLOOKUP(Tableau3[[#This Row],[essence]],Tableau7[],6,FALSE)</f>
        <v>1.0873999999999999</v>
      </c>
      <c r="R4" s="3">
        <f>IF(Tableau3[[#This Row],[priorecol]]="S",1,0)</f>
        <v>0</v>
      </c>
      <c r="S4" s="3">
        <f>VLOOKUP(Tableau3[[#This Row],[essence]],Tableau7[],7,FALSE)</f>
        <v>6.4000000000000001E-2</v>
      </c>
      <c r="T4" s="3">
        <f>VLOOKUP(Tableau3[[#This Row],[essence]],Tableau7[],15,FALSE)</f>
        <v>7.5199999999999998E-3</v>
      </c>
      <c r="U4" s="3">
        <f>VLOOKUP(Tableau3[[#This Row],[essence]],Tableau7[],20,FALSE)</f>
        <v>0.17810000000000001</v>
      </c>
      <c r="V4" s="3">
        <f>IF(Tableau3[[#This Row],[sdom]]=1,1,0)</f>
        <v>1</v>
      </c>
      <c r="W4" s="3">
        <f>VLOOKUP(Tableau3[[#This Row],[essence]],Tableau7[],8,FALSE)</f>
        <v>0.29430000000000001</v>
      </c>
      <c r="X4" s="3">
        <f>IF(Tableau3[[#This Row],[sdom]]="2EST",1,0)</f>
        <v>0</v>
      </c>
      <c r="Y4" s="3">
        <f>VLOOKUP(Tableau3[[#This Row],[essence]],Tableau7[],9,FALSE)</f>
        <v>0.11260000000000001</v>
      </c>
      <c r="Z4" s="3">
        <f>IF(Tableau3[[#This Row],[sdom]]="2OUEST",1,0)</f>
        <v>0</v>
      </c>
      <c r="AA4" s="3">
        <f>VLOOKUP(Tableau3[[#This Row],[essence]],Tableau7[],10,FALSE)</f>
        <v>1.2999999999999999E-2</v>
      </c>
      <c r="AB4" s="3">
        <f>IF(Tableau3[[#This Row],[sdom]]="3EST",1,0)</f>
        <v>0</v>
      </c>
      <c r="AC4" s="3">
        <f>VLOOKUP(Tableau3[[#This Row],[essence]],Tableau7[],11,FALSE)</f>
        <v>0.17150000000000001</v>
      </c>
      <c r="AD4" s="3">
        <f>IF(Tableau3[[#This Row],[sdom]]="3OUEST",1,0)</f>
        <v>0</v>
      </c>
      <c r="AE4" s="3">
        <f>VLOOKUP(Tableau3[[#This Row],[essence]],Tableau7[],12,FALSE)</f>
        <v>-0.1308</v>
      </c>
      <c r="AF4" s="3">
        <f>IF(Tableau3[[#This Row],[sdom]]="4EST",1,0)</f>
        <v>0</v>
      </c>
      <c r="AG4" s="3">
        <f>VLOOKUP(Tableau3[[#This Row],[essence]],Tableau7[],13,FALSE)</f>
        <v>-0.2858</v>
      </c>
      <c r="AH4" s="3">
        <f>IF(Tableau3[[#This Row],[sdom]]="4OUEST",1,0)</f>
        <v>0</v>
      </c>
      <c r="AI4" s="3">
        <f>VLOOKUP(Tableau3[[#This Row],[essence]],Tableau7[],14,FALSE)</f>
        <v>0</v>
      </c>
      <c r="AJ4" s="3">
        <f>IF(Tableau3[[#This Row],[sdom]]="5EST",1,0)</f>
        <v>0</v>
      </c>
      <c r="AK4" s="3">
        <f>VLOOKUP(Tableau3[[#This Row],[essence]],Tableau7[],17,FALSE)</f>
        <v>0</v>
      </c>
      <c r="AL4" s="3">
        <f>IF(Tableau3[[#This Row],[priorecol]]="C",1,0)</f>
        <v>1</v>
      </c>
      <c r="AM4" s="3">
        <f>VLOOKUP(Tableau3[[#This Row],[essence]],Tableau7[],18,FALSE)</f>
        <v>0</v>
      </c>
      <c r="AN4" s="3">
        <f>IF(Tableau3[[#This Row],[priorecol]]="R",1,0)</f>
        <v>0</v>
      </c>
      <c r="AO4" s="3">
        <f>VLOOKUP(Tableau3[[#This Row],[essence]],Tableau7[],19,FALSE)</f>
        <v>0</v>
      </c>
      <c r="AP4" s="3">
        <f>IF(Tableau3[[#This Row],[priorecol]]="S",1,0)</f>
        <v>0</v>
      </c>
      <c r="AQ4" s="3">
        <f>VLOOKUP(Tableau3[[#This Row],[essence]],Tableau7[],21,FALSE)</f>
        <v>0</v>
      </c>
      <c r="AR4" s="3">
        <f>VLOOKUP(Tableau3[[#This Row],[essence]],Tableau7[],16,FALSE)</f>
        <v>0</v>
      </c>
      <c r="AS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4.4482999999999997</v>
      </c>
      <c r="AT4" s="3">
        <f>Tableau3[[#This Row],[xb_]]+Tableau3[[#This Row],[b_intercept_C]]</f>
        <v>2.6821999999999999</v>
      </c>
      <c r="AU4" s="3">
        <f>Tableau3[[#This Row],[xb_]]+Tableau3[[#This Row],[b_intercept_B]]</f>
        <v>0.54789999999999983</v>
      </c>
      <c r="AV4" s="3">
        <f>1/(1+EXP(-Tableau3[[#This Row],[xb_c]]))</f>
        <v>0.93596810011870868</v>
      </c>
      <c r="AW4" s="3">
        <f>1/(1+EXP(-Tableau3[[#This Row],[xb_b]]))</f>
        <v>0.63364823785918578</v>
      </c>
      <c r="AX4" s="3" t="str">
        <f t="shared" si="0"/>
        <v>NA</v>
      </c>
      <c r="AY4" s="3">
        <f>Tableau3[[#This Row],[prob_b]]</f>
        <v>0.63364823785918578</v>
      </c>
      <c r="AZ4" s="3">
        <f>Tableau3[[#This Row],[prob_c]]-Tableau3[[#This Row],[prob_b]]</f>
        <v>0.3023198622595229</v>
      </c>
      <c r="BA4" s="3">
        <f>1-Tableau3[[#This Row],[prob_c]]</f>
        <v>6.4031899881291321E-2</v>
      </c>
    </row>
    <row r="5" spans="1:53" x14ac:dyDescent="0.25">
      <c r="A5" s="3">
        <v>1</v>
      </c>
      <c r="B5" s="3">
        <v>1</v>
      </c>
      <c r="C5" s="1">
        <v>2.1</v>
      </c>
      <c r="D5" s="1">
        <v>700</v>
      </c>
      <c r="E5" s="1">
        <v>20</v>
      </c>
      <c r="F5" s="1">
        <v>1</v>
      </c>
      <c r="G5" s="3">
        <v>43</v>
      </c>
      <c r="H5" s="3">
        <v>34</v>
      </c>
      <c r="I5" s="3" t="s">
        <v>25</v>
      </c>
      <c r="J5" s="3" t="s">
        <v>27</v>
      </c>
      <c r="K5" s="3">
        <f>VLOOKUP(Tableau3[[#This Row],[essence]],Tableau7[],2,FALSE)</f>
        <v>-2.9584999999999999</v>
      </c>
      <c r="L5" s="3">
        <f>VLOOKUP(Tableau3[[#This Row],[essence]],Tableau7[],3,FALSE)</f>
        <v>-1.1581999999999999</v>
      </c>
      <c r="M5" s="3">
        <f>VLOOKUP(Tableau3[[#This Row],[essence]],Tableau7[],4,FALSE)</f>
        <v>1.3563000000000001</v>
      </c>
      <c r="N5" s="3">
        <f>IF(Tableau3[[#This Row],[priorecol]]="C",1,0)</f>
        <v>1</v>
      </c>
      <c r="O5" s="3">
        <f>VLOOKUP(Tableau3[[#This Row],[essence]],Tableau7[],5,FALSE)</f>
        <v>2.0564</v>
      </c>
      <c r="P5" s="3">
        <f>IF(Tableau3[[#This Row],[priorecol]]="R",1,0)</f>
        <v>0</v>
      </c>
      <c r="Q5" s="3">
        <f>VLOOKUP(Tableau3[[#This Row],[essence]],Tableau7[],6,FALSE)</f>
        <v>1.3911</v>
      </c>
      <c r="R5" s="3">
        <f>IF(Tableau3[[#This Row],[priorecol]]="S",1,0)</f>
        <v>0</v>
      </c>
      <c r="S5" s="3">
        <f>VLOOKUP(Tableau3[[#This Row],[essence]],Tableau7[],7,FALSE)</f>
        <v>0</v>
      </c>
      <c r="T5" s="3">
        <f>VLOOKUP(Tableau3[[#This Row],[essence]],Tableau7[],15,FALSE)</f>
        <v>0</v>
      </c>
      <c r="U5" s="3">
        <f>VLOOKUP(Tableau3[[#This Row],[essence]],Tableau7[],20,FALSE)</f>
        <v>0</v>
      </c>
      <c r="V5" s="3">
        <f>IF(Tableau3[[#This Row],[sdom]]=1,1,0)</f>
        <v>1</v>
      </c>
      <c r="W5" s="3">
        <f>VLOOKUP(Tableau3[[#This Row],[essence]],Tableau7[],8,FALSE)</f>
        <v>0.19420000000000001</v>
      </c>
      <c r="X5" s="3">
        <f>IF(Tableau3[[#This Row],[sdom]]="2EST",1,0)</f>
        <v>0</v>
      </c>
      <c r="Y5" s="3">
        <f>VLOOKUP(Tableau3[[#This Row],[essence]],Tableau7[],9,FALSE)</f>
        <v>-0.1956</v>
      </c>
      <c r="Z5" s="3">
        <f>IF(Tableau3[[#This Row],[sdom]]="2OUEST",1,0)</f>
        <v>0</v>
      </c>
      <c r="AA5" s="3">
        <f>VLOOKUP(Tableau3[[#This Row],[essence]],Tableau7[],10,FALSE)</f>
        <v>-0.1221</v>
      </c>
      <c r="AB5" s="3">
        <f>IF(Tableau3[[#This Row],[sdom]]="3EST",1,0)</f>
        <v>0</v>
      </c>
      <c r="AC5" s="3">
        <f>VLOOKUP(Tableau3[[#This Row],[essence]],Tableau7[],11,FALSE)</f>
        <v>0.16789999999999999</v>
      </c>
      <c r="AD5" s="3">
        <f>IF(Tableau3[[#This Row],[sdom]]="3OUEST",1,0)</f>
        <v>0</v>
      </c>
      <c r="AE5" s="3">
        <f>VLOOKUP(Tableau3[[#This Row],[essence]],Tableau7[],12,FALSE)</f>
        <v>0</v>
      </c>
      <c r="AF5" s="3">
        <f>IF(Tableau3[[#This Row],[sdom]]="4EST",1,0)</f>
        <v>0</v>
      </c>
      <c r="AG5" s="3">
        <f>VLOOKUP(Tableau3[[#This Row],[essence]],Tableau7[],13,FALSE)</f>
        <v>0</v>
      </c>
      <c r="AH5" s="3">
        <f>IF(Tableau3[[#This Row],[sdom]]="4OUEST",1,0)</f>
        <v>0</v>
      </c>
      <c r="AI5" s="3">
        <f>VLOOKUP(Tableau3[[#This Row],[essence]],Tableau7[],14,FALSE)</f>
        <v>0</v>
      </c>
      <c r="AJ5" s="3">
        <f>IF(Tableau3[[#This Row],[sdom]]="5EST",1,0)</f>
        <v>0</v>
      </c>
      <c r="AK5" s="3">
        <f>VLOOKUP(Tableau3[[#This Row],[essence]],Tableau7[],17,FALSE)</f>
        <v>0</v>
      </c>
      <c r="AL5" s="3">
        <f>IF(Tableau3[[#This Row],[priorecol]]="C",1,0)</f>
        <v>1</v>
      </c>
      <c r="AM5" s="3">
        <f>VLOOKUP(Tableau3[[#This Row],[essence]],Tableau7[],18,FALSE)</f>
        <v>0</v>
      </c>
      <c r="AN5" s="3">
        <f>IF(Tableau3[[#This Row],[priorecol]]="R",1,0)</f>
        <v>0</v>
      </c>
      <c r="AO5" s="3">
        <f>VLOOKUP(Tableau3[[#This Row],[essence]],Tableau7[],19,FALSE)</f>
        <v>0</v>
      </c>
      <c r="AP5" s="3">
        <f>IF(Tableau3[[#This Row],[priorecol]]="S",1,0)</f>
        <v>0</v>
      </c>
      <c r="AQ5" s="3">
        <f>VLOOKUP(Tableau3[[#This Row],[essence]],Tableau7[],21,FALSE)</f>
        <v>0.2979</v>
      </c>
      <c r="AR5" s="3">
        <f>VLOOKUP(Tableau3[[#This Row],[essence]],Tableau7[],16,FALSE)</f>
        <v>0.154</v>
      </c>
      <c r="AS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1.9776000000000002</v>
      </c>
      <c r="AT5" s="3">
        <f>Tableau3[[#This Row],[xb_]]+Tableau3[[#This Row],[b_intercept_C]]</f>
        <v>0.81940000000000035</v>
      </c>
      <c r="AU5" s="3">
        <f>Tableau3[[#This Row],[xb_]]+Tableau3[[#This Row],[b_intercept_B]]</f>
        <v>-0.98089999999999966</v>
      </c>
      <c r="AV5" s="3">
        <f>1/(1+EXP(-Tableau3[[#This Row],[xb_c]]))</f>
        <v>0.69410896192045923</v>
      </c>
      <c r="AW5" s="3">
        <f>1/(1+EXP(-Tableau3[[#This Row],[xb_b]]))</f>
        <v>0.27271324049241696</v>
      </c>
      <c r="AX5" s="3" t="str">
        <f t="shared" si="0"/>
        <v>NA</v>
      </c>
      <c r="AY5" s="3">
        <f>Tableau3[[#This Row],[prob_b]]</f>
        <v>0.27271324049241696</v>
      </c>
      <c r="AZ5" s="3">
        <f>Tableau3[[#This Row],[prob_c]]-Tableau3[[#This Row],[prob_b]]</f>
        <v>0.42139572142804227</v>
      </c>
      <c r="BA5" s="3">
        <f>1-Tableau3[[#This Row],[prob_c]]</f>
        <v>0.30589103807954077</v>
      </c>
    </row>
    <row r="6" spans="1:53" x14ac:dyDescent="0.25">
      <c r="A6" s="2">
        <v>2</v>
      </c>
      <c r="B6" s="2" t="s">
        <v>10</v>
      </c>
      <c r="C6" s="4">
        <v>2.1</v>
      </c>
      <c r="D6" s="4">
        <v>828</v>
      </c>
      <c r="E6" s="4">
        <v>29</v>
      </c>
      <c r="F6" s="4">
        <v>0</v>
      </c>
      <c r="G6" s="2">
        <v>25</v>
      </c>
      <c r="H6" s="2">
        <v>34</v>
      </c>
      <c r="I6" s="2" t="s">
        <v>19</v>
      </c>
      <c r="J6" s="2" t="s">
        <v>27</v>
      </c>
      <c r="K6" s="2">
        <f>VLOOKUP(Tableau3[[#This Row],[essence]],Tableau7[],2,FALSE)</f>
        <v>-3.7313999999999998</v>
      </c>
      <c r="L6" s="3">
        <f>VLOOKUP(Tableau3[[#This Row],[essence]],Tableau7[],3,FALSE)</f>
        <v>-1.7194</v>
      </c>
      <c r="M6" s="3">
        <f>VLOOKUP(Tableau3[[#This Row],[essence]],Tableau7[],4,FALSE)</f>
        <v>1.5371999999999999</v>
      </c>
      <c r="N6" s="3">
        <f>IF(Tableau3[[#This Row],[priorecol]]="C",1,0)</f>
        <v>1</v>
      </c>
      <c r="O6" s="3">
        <f>VLOOKUP(Tableau3[[#This Row],[essence]],Tableau7[],5,FALSE)</f>
        <v>2.5815000000000001</v>
      </c>
      <c r="P6" s="3">
        <f>IF(Tableau3[[#This Row],[priorecol]]="R",1,0)</f>
        <v>0</v>
      </c>
      <c r="Q6" s="3">
        <f>VLOOKUP(Tableau3[[#This Row],[essence]],Tableau7[],6,FALSE)</f>
        <v>0.96079999999999999</v>
      </c>
      <c r="R6" s="3">
        <f>IF(Tableau3[[#This Row],[priorecol]]="S",1,0)</f>
        <v>0</v>
      </c>
      <c r="S6" s="3">
        <f>VLOOKUP(Tableau3[[#This Row],[essence]],Tableau7[],7,FALSE)</f>
        <v>4.2799999999999998E-2</v>
      </c>
      <c r="T6" s="3">
        <f>VLOOKUP(Tableau3[[#This Row],[essence]],Tableau7[],15,FALSE)</f>
        <v>1.54E-2</v>
      </c>
      <c r="U6" s="3">
        <f>VLOOKUP(Tableau3[[#This Row],[essence]],Tableau7[],20,FALSE)</f>
        <v>0</v>
      </c>
      <c r="V6" s="3">
        <f>IF(Tableau3[[#This Row],[sdom]]=1,1,0)</f>
        <v>0</v>
      </c>
      <c r="W6" s="3">
        <f>VLOOKUP(Tableau3[[#This Row],[essence]],Tableau7[],8,FALSE)</f>
        <v>2.3900000000000001E-2</v>
      </c>
      <c r="X6" s="3">
        <f>IF(Tableau3[[#This Row],[sdom]]="2EST",1,0)</f>
        <v>1</v>
      </c>
      <c r="Y6" s="3">
        <f>VLOOKUP(Tableau3[[#This Row],[essence]],Tableau7[],9,FALSE)</f>
        <v>-0.4793</v>
      </c>
      <c r="Z6" s="3">
        <f>IF(Tableau3[[#This Row],[sdom]]="2OUEST",1,0)</f>
        <v>0</v>
      </c>
      <c r="AA6" s="3">
        <f>VLOOKUP(Tableau3[[#This Row],[essence]],Tableau7[],10,FALSE)</f>
        <v>0.13880000000000001</v>
      </c>
      <c r="AB6" s="3">
        <f>IF(Tableau3[[#This Row],[sdom]]="3EST",1,0)</f>
        <v>0</v>
      </c>
      <c r="AC6" s="3">
        <f>VLOOKUP(Tableau3[[#This Row],[essence]],Tableau7[],11,FALSE)</f>
        <v>0.27039999999999997</v>
      </c>
      <c r="AD6" s="3">
        <f>IF(Tableau3[[#This Row],[sdom]]="3OUEST",1,0)</f>
        <v>0</v>
      </c>
      <c r="AE6" s="3">
        <f>VLOOKUP(Tableau3[[#This Row],[essence]],Tableau7[],12,FALSE)</f>
        <v>4.6600000000000001E-3</v>
      </c>
      <c r="AF6" s="3">
        <f>IF(Tableau3[[#This Row],[sdom]]="4EST",1,0)</f>
        <v>0</v>
      </c>
      <c r="AG6" s="3">
        <f>VLOOKUP(Tableau3[[#This Row],[essence]],Tableau7[],13,FALSE)</f>
        <v>0.1986</v>
      </c>
      <c r="AH6" s="3">
        <f>IF(Tableau3[[#This Row],[sdom]]="4OUEST",1,0)</f>
        <v>0</v>
      </c>
      <c r="AI6" s="3">
        <f>VLOOKUP(Tableau3[[#This Row],[essence]],Tableau7[],14,FALSE)</f>
        <v>-0.2535</v>
      </c>
      <c r="AJ6" s="3">
        <f>IF(Tableau3[[#This Row],[sdom]]="5EST",1,0)</f>
        <v>0</v>
      </c>
      <c r="AK6" s="3">
        <f>VLOOKUP(Tableau3[[#This Row],[essence]],Tableau7[],17,FALSE)</f>
        <v>0</v>
      </c>
      <c r="AL6" s="3">
        <f>IF(Tableau3[[#This Row],[priorecol]]="C",1,0)</f>
        <v>1</v>
      </c>
      <c r="AM6" s="3">
        <f>VLOOKUP(Tableau3[[#This Row],[essence]],Tableau7[],18,FALSE)</f>
        <v>0</v>
      </c>
      <c r="AN6" s="3">
        <f>IF(Tableau3[[#This Row],[priorecol]]="R",1,0)</f>
        <v>0</v>
      </c>
      <c r="AO6" s="3">
        <f>VLOOKUP(Tableau3[[#This Row],[essence]],Tableau7[],19,FALSE)</f>
        <v>0</v>
      </c>
      <c r="AP6" s="3">
        <f>IF(Tableau3[[#This Row],[priorecol]]="S",1,0)</f>
        <v>0</v>
      </c>
      <c r="AQ6" s="3">
        <f>VLOOKUP(Tableau3[[#This Row],[essence]],Tableau7[],21,FALSE)</f>
        <v>0</v>
      </c>
      <c r="AR6" s="3">
        <f>VLOOKUP(Tableau3[[#This Row],[essence]],Tableau7[],16,FALSE)</f>
        <v>0.123</v>
      </c>
      <c r="AS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3.7212000000000001</v>
      </c>
      <c r="AT6" s="3">
        <f>Tableau3[[#This Row],[xb_]]+Tableau3[[#This Row],[b_intercept_C]]</f>
        <v>2.0018000000000002</v>
      </c>
      <c r="AU6" s="3">
        <f>Tableau3[[#This Row],[xb_]]+Tableau3[[#This Row],[b_intercept_B]]</f>
        <v>-1.0199999999999765E-2</v>
      </c>
      <c r="AV6" s="3">
        <f>1/(1+EXP(-Tableau3[[#This Row],[xb_c]]))</f>
        <v>0.88098593693012994</v>
      </c>
      <c r="AW6" s="3">
        <f>1/(1+EXP(-Tableau3[[#This Row],[xb_b]]))</f>
        <v>0.49745002210827</v>
      </c>
      <c r="AX6" s="3" t="str">
        <f t="shared" si="0"/>
        <v>NA</v>
      </c>
      <c r="AY6" s="3">
        <f>Tableau3[[#This Row],[prob_b]]</f>
        <v>0.49745002210827</v>
      </c>
      <c r="AZ6" s="3">
        <f>Tableau3[[#This Row],[prob_c]]-Tableau3[[#This Row],[prob_b]]</f>
        <v>0.38353591482185995</v>
      </c>
      <c r="BA6" s="3">
        <f>1-Tableau3[[#This Row],[prob_c]]</f>
        <v>0.11901406306987006</v>
      </c>
    </row>
    <row r="7" spans="1:53" x14ac:dyDescent="0.25">
      <c r="A7" s="3">
        <v>2</v>
      </c>
      <c r="B7" s="3" t="s">
        <v>10</v>
      </c>
      <c r="C7" s="1">
        <v>2.1</v>
      </c>
      <c r="D7" s="1">
        <v>828</v>
      </c>
      <c r="E7" s="1">
        <v>29</v>
      </c>
      <c r="F7" s="1">
        <v>0</v>
      </c>
      <c r="G7" s="3">
        <v>31</v>
      </c>
      <c r="H7" s="3">
        <v>34</v>
      </c>
      <c r="I7" s="3" t="s">
        <v>21</v>
      </c>
      <c r="J7" s="3" t="s">
        <v>27</v>
      </c>
      <c r="K7" s="3">
        <f>VLOOKUP(Tableau3[[#This Row],[essence]],Tableau7[],2,FALSE)</f>
        <v>-0.68799999999999994</v>
      </c>
      <c r="L7" s="3">
        <f>VLOOKUP(Tableau3[[#This Row],[essence]],Tableau7[],3,FALSE)</f>
        <v>1.3924000000000001</v>
      </c>
      <c r="M7" s="3">
        <f>VLOOKUP(Tableau3[[#This Row],[essence]],Tableau7[],4,FALSE)</f>
        <v>0.41599999999999998</v>
      </c>
      <c r="N7" s="3">
        <f>IF(Tableau3[[#This Row],[priorecol]]="C",1,0)</f>
        <v>1</v>
      </c>
      <c r="O7" s="3">
        <f>VLOOKUP(Tableau3[[#This Row],[essence]],Tableau7[],5,FALSE)</f>
        <v>1.5604</v>
      </c>
      <c r="P7" s="3">
        <f>IF(Tableau3[[#This Row],[priorecol]]="R",1,0)</f>
        <v>0</v>
      </c>
      <c r="Q7" s="3">
        <f>VLOOKUP(Tableau3[[#This Row],[essence]],Tableau7[],6,FALSE)</f>
        <v>-0.64770000000000005</v>
      </c>
      <c r="R7" s="3">
        <f>IF(Tableau3[[#This Row],[priorecol]]="S",1,0)</f>
        <v>0</v>
      </c>
      <c r="S7" s="3">
        <f>VLOOKUP(Tableau3[[#This Row],[essence]],Tableau7[],7,FALSE)</f>
        <v>0</v>
      </c>
      <c r="T7" s="3">
        <f>VLOOKUP(Tableau3[[#This Row],[essence]],Tableau7[],15,FALSE)</f>
        <v>-2.4500000000000001E-2</v>
      </c>
      <c r="U7" s="3">
        <f>VLOOKUP(Tableau3[[#This Row],[essence]],Tableau7[],20,FALSE)</f>
        <v>0.15179999999999999</v>
      </c>
      <c r="V7" s="3">
        <f>IF(Tableau3[[#This Row],[sdom]]=1,1,0)</f>
        <v>0</v>
      </c>
      <c r="W7" s="3">
        <f>VLOOKUP(Tableau3[[#This Row],[essence]],Tableau7[],8,FALSE)</f>
        <v>0</v>
      </c>
      <c r="X7" s="3">
        <f>IF(Tableau3[[#This Row],[sdom]]="2EST",1,0)</f>
        <v>1</v>
      </c>
      <c r="Y7" s="3">
        <f>VLOOKUP(Tableau3[[#This Row],[essence]],Tableau7[],9,FALSE)</f>
        <v>-0.27589999999999998</v>
      </c>
      <c r="Z7" s="3">
        <f>IF(Tableau3[[#This Row],[sdom]]="2OUEST",1,0)</f>
        <v>0</v>
      </c>
      <c r="AA7" s="3">
        <f>VLOOKUP(Tableau3[[#This Row],[essence]],Tableau7[],10,FALSE)</f>
        <v>0</v>
      </c>
      <c r="AB7" s="3">
        <f>IF(Tableau3[[#This Row],[sdom]]="3EST",1,0)</f>
        <v>0</v>
      </c>
      <c r="AC7" s="3">
        <f>VLOOKUP(Tableau3[[#This Row],[essence]],Tableau7[],11,FALSE)</f>
        <v>0</v>
      </c>
      <c r="AD7" s="3">
        <f>IF(Tableau3[[#This Row],[sdom]]="3OUEST",1,0)</f>
        <v>0</v>
      </c>
      <c r="AE7" s="3">
        <f>VLOOKUP(Tableau3[[#This Row],[essence]],Tableau7[],12,FALSE)</f>
        <v>0</v>
      </c>
      <c r="AF7" s="3">
        <f>IF(Tableau3[[#This Row],[sdom]]="4EST",1,0)</f>
        <v>0</v>
      </c>
      <c r="AG7" s="3">
        <f>VLOOKUP(Tableau3[[#This Row],[essence]],Tableau7[],13,FALSE)</f>
        <v>0</v>
      </c>
      <c r="AH7" s="3">
        <f>IF(Tableau3[[#This Row],[sdom]]="4OUEST",1,0)</f>
        <v>0</v>
      </c>
      <c r="AI7" s="3">
        <f>VLOOKUP(Tableau3[[#This Row],[essence]],Tableau7[],14,FALSE)</f>
        <v>0</v>
      </c>
      <c r="AJ7" s="3">
        <f>IF(Tableau3[[#This Row],[sdom]]="5EST",1,0)</f>
        <v>0</v>
      </c>
      <c r="AK7" s="3">
        <f>VLOOKUP(Tableau3[[#This Row],[essence]],Tableau7[],17,FALSE)</f>
        <v>6.4199999999999993E-2</v>
      </c>
      <c r="AL7" s="3">
        <f>IF(Tableau3[[#This Row],[priorecol]]="C",1,0)</f>
        <v>1</v>
      </c>
      <c r="AM7" s="3">
        <f>VLOOKUP(Tableau3[[#This Row],[essence]],Tableau7[],18,FALSE)</f>
        <v>6.3399999999999998E-2</v>
      </c>
      <c r="AN7" s="3">
        <f>IF(Tableau3[[#This Row],[priorecol]]="R",1,0)</f>
        <v>0</v>
      </c>
      <c r="AO7" s="3">
        <f>VLOOKUP(Tableau3[[#This Row],[essence]],Tableau7[],19,FALSE)</f>
        <v>8.2400000000000001E-2</v>
      </c>
      <c r="AP7" s="3">
        <f>IF(Tableau3[[#This Row],[priorecol]]="S",1,0)</f>
        <v>0</v>
      </c>
      <c r="AQ7" s="3">
        <f>VLOOKUP(Tableau3[[#This Row],[essence]],Tableau7[],21,FALSE)</f>
        <v>0</v>
      </c>
      <c r="AR7" s="3">
        <f>VLOOKUP(Tableau3[[#This Row],[essence]],Tableau7[],16,FALSE)</f>
        <v>0</v>
      </c>
      <c r="AS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1.5672999999999999</v>
      </c>
      <c r="AT7" s="3">
        <f>Tableau3[[#This Row],[xb_]]+Tableau3[[#This Row],[b_intercept_C]]</f>
        <v>2.9596999999999998</v>
      </c>
      <c r="AU7" s="3">
        <f>Tableau3[[#This Row],[xb_]]+Tableau3[[#This Row],[b_intercept_B]]</f>
        <v>0.87929999999999997</v>
      </c>
      <c r="AV7" s="3">
        <f>1/(1+EXP(-Tableau3[[#This Row],[xb_c]]))</f>
        <v>0.95071994035573504</v>
      </c>
      <c r="AW7" s="3">
        <f>1/(1+EXP(-Tableau3[[#This Row],[xb_b]]))</f>
        <v>0.70667714289751193</v>
      </c>
      <c r="AX7" s="3" t="str">
        <f t="shared" si="0"/>
        <v>NA</v>
      </c>
      <c r="AY7" s="3">
        <f>Tableau3[[#This Row],[prob_b]]</f>
        <v>0.70667714289751193</v>
      </c>
      <c r="AZ7" s="3">
        <f>Tableau3[[#This Row],[prob_c]]-Tableau3[[#This Row],[prob_b]]</f>
        <v>0.2440427974582231</v>
      </c>
      <c r="BA7" s="3">
        <f>1-Tableau3[[#This Row],[prob_c]]</f>
        <v>4.9280059644264962E-2</v>
      </c>
    </row>
    <row r="8" spans="1:53" x14ac:dyDescent="0.25">
      <c r="A8" s="2">
        <v>2</v>
      </c>
      <c r="B8" s="2" t="s">
        <v>10</v>
      </c>
      <c r="C8" s="4">
        <v>2.1</v>
      </c>
      <c r="D8" s="4">
        <v>828</v>
      </c>
      <c r="E8" s="4">
        <v>29</v>
      </c>
      <c r="F8" s="4">
        <v>0</v>
      </c>
      <c r="G8" s="2">
        <v>37</v>
      </c>
      <c r="H8" s="2">
        <v>34</v>
      </c>
      <c r="I8" s="2" t="s">
        <v>23</v>
      </c>
      <c r="J8" s="2" t="s">
        <v>27</v>
      </c>
      <c r="K8" s="2">
        <f>VLOOKUP(Tableau3[[#This Row],[essence]],Tableau7[],2,FALSE)</f>
        <v>-3.9003999999999999</v>
      </c>
      <c r="L8" s="3">
        <f>VLOOKUP(Tableau3[[#This Row],[essence]],Tableau7[],3,FALSE)</f>
        <v>-1.7661</v>
      </c>
      <c r="M8" s="3">
        <f>VLOOKUP(Tableau3[[#This Row],[essence]],Tableau7[],4,FALSE)</f>
        <v>1.9438</v>
      </c>
      <c r="N8" s="3">
        <f>IF(Tableau3[[#This Row],[priorecol]]="C",1,0)</f>
        <v>1</v>
      </c>
      <c r="O8" s="3">
        <f>VLOOKUP(Tableau3[[#This Row],[essence]],Tableau7[],5,FALSE)</f>
        <v>2.9834000000000001</v>
      </c>
      <c r="P8" s="3">
        <f>IF(Tableau3[[#This Row],[priorecol]]="R",1,0)</f>
        <v>0</v>
      </c>
      <c r="Q8" s="3">
        <f>VLOOKUP(Tableau3[[#This Row],[essence]],Tableau7[],6,FALSE)</f>
        <v>1.0873999999999999</v>
      </c>
      <c r="R8" s="3">
        <f>IF(Tableau3[[#This Row],[priorecol]]="S",1,0)</f>
        <v>0</v>
      </c>
      <c r="S8" s="3">
        <f>VLOOKUP(Tableau3[[#This Row],[essence]],Tableau7[],7,FALSE)</f>
        <v>6.4000000000000001E-2</v>
      </c>
      <c r="T8" s="3">
        <f>VLOOKUP(Tableau3[[#This Row],[essence]],Tableau7[],15,FALSE)</f>
        <v>7.5199999999999998E-3</v>
      </c>
      <c r="U8" s="3">
        <f>VLOOKUP(Tableau3[[#This Row],[essence]],Tableau7[],20,FALSE)</f>
        <v>0.17810000000000001</v>
      </c>
      <c r="V8" s="3">
        <f>IF(Tableau3[[#This Row],[sdom]]=1,1,0)</f>
        <v>0</v>
      </c>
      <c r="W8" s="3">
        <f>VLOOKUP(Tableau3[[#This Row],[essence]],Tableau7[],8,FALSE)</f>
        <v>0.29430000000000001</v>
      </c>
      <c r="X8" s="3">
        <f>IF(Tableau3[[#This Row],[sdom]]="2EST",1,0)</f>
        <v>1</v>
      </c>
      <c r="Y8" s="3">
        <f>VLOOKUP(Tableau3[[#This Row],[essence]],Tableau7[],9,FALSE)</f>
        <v>0.11260000000000001</v>
      </c>
      <c r="Z8" s="3">
        <f>IF(Tableau3[[#This Row],[sdom]]="2OUEST",1,0)</f>
        <v>0</v>
      </c>
      <c r="AA8" s="3">
        <f>VLOOKUP(Tableau3[[#This Row],[essence]],Tableau7[],10,FALSE)</f>
        <v>1.2999999999999999E-2</v>
      </c>
      <c r="AB8" s="3">
        <f>IF(Tableau3[[#This Row],[sdom]]="3EST",1,0)</f>
        <v>0</v>
      </c>
      <c r="AC8" s="3">
        <f>VLOOKUP(Tableau3[[#This Row],[essence]],Tableau7[],11,FALSE)</f>
        <v>0.17150000000000001</v>
      </c>
      <c r="AD8" s="3">
        <f>IF(Tableau3[[#This Row],[sdom]]="3OUEST",1,0)</f>
        <v>0</v>
      </c>
      <c r="AE8" s="3">
        <f>VLOOKUP(Tableau3[[#This Row],[essence]],Tableau7[],12,FALSE)</f>
        <v>-0.1308</v>
      </c>
      <c r="AF8" s="3">
        <f>IF(Tableau3[[#This Row],[sdom]]="4EST",1,0)</f>
        <v>0</v>
      </c>
      <c r="AG8" s="3">
        <f>VLOOKUP(Tableau3[[#This Row],[essence]],Tableau7[],13,FALSE)</f>
        <v>-0.2858</v>
      </c>
      <c r="AH8" s="3">
        <f>IF(Tableau3[[#This Row],[sdom]]="4OUEST",1,0)</f>
        <v>0</v>
      </c>
      <c r="AI8" s="3">
        <f>VLOOKUP(Tableau3[[#This Row],[essence]],Tableau7[],14,FALSE)</f>
        <v>0</v>
      </c>
      <c r="AJ8" s="3">
        <f>IF(Tableau3[[#This Row],[sdom]]="5EST",1,0)</f>
        <v>0</v>
      </c>
      <c r="AK8" s="3">
        <f>VLOOKUP(Tableau3[[#This Row],[essence]],Tableau7[],17,FALSE)</f>
        <v>0</v>
      </c>
      <c r="AL8" s="3">
        <f>IF(Tableau3[[#This Row],[priorecol]]="C",1,0)</f>
        <v>1</v>
      </c>
      <c r="AM8" s="3">
        <f>VLOOKUP(Tableau3[[#This Row],[essence]],Tableau7[],18,FALSE)</f>
        <v>0</v>
      </c>
      <c r="AN8" s="3">
        <f>IF(Tableau3[[#This Row],[priorecol]]="R",1,0)</f>
        <v>0</v>
      </c>
      <c r="AO8" s="3">
        <f>VLOOKUP(Tableau3[[#This Row],[essence]],Tableau7[],19,FALSE)</f>
        <v>0</v>
      </c>
      <c r="AP8" s="3">
        <f>IF(Tableau3[[#This Row],[priorecol]]="S",1,0)</f>
        <v>0</v>
      </c>
      <c r="AQ8" s="3">
        <f>VLOOKUP(Tableau3[[#This Row],[essence]],Tableau7[],21,FALSE)</f>
        <v>0</v>
      </c>
      <c r="AR8" s="3">
        <f>VLOOKUP(Tableau3[[#This Row],[essence]],Tableau7[],16,FALSE)</f>
        <v>0</v>
      </c>
      <c r="AS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4.6321799999999991</v>
      </c>
      <c r="AT8" s="3">
        <f>Tableau3[[#This Row],[xb_]]+Tableau3[[#This Row],[b_intercept_C]]</f>
        <v>2.8660799999999993</v>
      </c>
      <c r="AU8" s="3">
        <f>Tableau3[[#This Row],[xb_]]+Tableau3[[#This Row],[b_intercept_B]]</f>
        <v>0.73177999999999921</v>
      </c>
      <c r="AV8" s="3">
        <f>1/(1+EXP(-Tableau3[[#This Row],[xb_c]]))</f>
        <v>0.94614395111668892</v>
      </c>
      <c r="AW8" s="3">
        <f>1/(1+EXP(-Tableau3[[#This Row],[xb_b]]))</f>
        <v>0.67519575972550117</v>
      </c>
      <c r="AX8" s="3" t="str">
        <f t="shared" si="0"/>
        <v>NA</v>
      </c>
      <c r="AY8" s="3">
        <f>Tableau3[[#This Row],[prob_b]]</f>
        <v>0.67519575972550117</v>
      </c>
      <c r="AZ8" s="3">
        <f>Tableau3[[#This Row],[prob_c]]-Tableau3[[#This Row],[prob_b]]</f>
        <v>0.27094819139118775</v>
      </c>
      <c r="BA8" s="3">
        <f>1-Tableau3[[#This Row],[prob_c]]</f>
        <v>5.3856048883311081E-2</v>
      </c>
    </row>
    <row r="9" spans="1:53" x14ac:dyDescent="0.25">
      <c r="A9" s="3">
        <v>2</v>
      </c>
      <c r="B9" s="3" t="s">
        <v>10</v>
      </c>
      <c r="C9" s="1">
        <v>2.1</v>
      </c>
      <c r="D9" s="1">
        <v>828</v>
      </c>
      <c r="E9" s="1">
        <v>29</v>
      </c>
      <c r="F9" s="1">
        <v>0</v>
      </c>
      <c r="G9" s="3">
        <v>43</v>
      </c>
      <c r="H9" s="3">
        <v>34</v>
      </c>
      <c r="I9" s="3" t="s">
        <v>25</v>
      </c>
      <c r="J9" s="3" t="s">
        <v>27</v>
      </c>
      <c r="K9" s="3">
        <f>VLOOKUP(Tableau3[[#This Row],[essence]],Tableau7[],2,FALSE)</f>
        <v>-2.9584999999999999</v>
      </c>
      <c r="L9" s="3">
        <f>VLOOKUP(Tableau3[[#This Row],[essence]],Tableau7[],3,FALSE)</f>
        <v>-1.1581999999999999</v>
      </c>
      <c r="M9" s="3">
        <f>VLOOKUP(Tableau3[[#This Row],[essence]],Tableau7[],4,FALSE)</f>
        <v>1.3563000000000001</v>
      </c>
      <c r="N9" s="3">
        <f>IF(Tableau3[[#This Row],[priorecol]]="C",1,0)</f>
        <v>1</v>
      </c>
      <c r="O9" s="3">
        <f>VLOOKUP(Tableau3[[#This Row],[essence]],Tableau7[],5,FALSE)</f>
        <v>2.0564</v>
      </c>
      <c r="P9" s="3">
        <f>IF(Tableau3[[#This Row],[priorecol]]="R",1,0)</f>
        <v>0</v>
      </c>
      <c r="Q9" s="3">
        <f>VLOOKUP(Tableau3[[#This Row],[essence]],Tableau7[],6,FALSE)</f>
        <v>1.3911</v>
      </c>
      <c r="R9" s="3">
        <f>IF(Tableau3[[#This Row],[priorecol]]="S",1,0)</f>
        <v>0</v>
      </c>
      <c r="S9" s="3">
        <f>VLOOKUP(Tableau3[[#This Row],[essence]],Tableau7[],7,FALSE)</f>
        <v>0</v>
      </c>
      <c r="T9" s="3">
        <f>VLOOKUP(Tableau3[[#This Row],[essence]],Tableau7[],15,FALSE)</f>
        <v>0</v>
      </c>
      <c r="U9" s="3">
        <f>VLOOKUP(Tableau3[[#This Row],[essence]],Tableau7[],20,FALSE)</f>
        <v>0</v>
      </c>
      <c r="V9" s="3">
        <f>IF(Tableau3[[#This Row],[sdom]]=1,1,0)</f>
        <v>0</v>
      </c>
      <c r="W9" s="3">
        <f>VLOOKUP(Tableau3[[#This Row],[essence]],Tableau7[],8,FALSE)</f>
        <v>0.19420000000000001</v>
      </c>
      <c r="X9" s="3">
        <f>IF(Tableau3[[#This Row],[sdom]]="2EST",1,0)</f>
        <v>1</v>
      </c>
      <c r="Y9" s="3">
        <f>VLOOKUP(Tableau3[[#This Row],[essence]],Tableau7[],9,FALSE)</f>
        <v>-0.1956</v>
      </c>
      <c r="Z9" s="3">
        <f>IF(Tableau3[[#This Row],[sdom]]="2OUEST",1,0)</f>
        <v>0</v>
      </c>
      <c r="AA9" s="3">
        <f>VLOOKUP(Tableau3[[#This Row],[essence]],Tableau7[],10,FALSE)</f>
        <v>-0.1221</v>
      </c>
      <c r="AB9" s="3">
        <f>IF(Tableau3[[#This Row],[sdom]]="3EST",1,0)</f>
        <v>0</v>
      </c>
      <c r="AC9" s="3">
        <f>VLOOKUP(Tableau3[[#This Row],[essence]],Tableau7[],11,FALSE)</f>
        <v>0.16789999999999999</v>
      </c>
      <c r="AD9" s="3">
        <f>IF(Tableau3[[#This Row],[sdom]]="3OUEST",1,0)</f>
        <v>0</v>
      </c>
      <c r="AE9" s="3">
        <f>VLOOKUP(Tableau3[[#This Row],[essence]],Tableau7[],12,FALSE)</f>
        <v>0</v>
      </c>
      <c r="AF9" s="3">
        <f>IF(Tableau3[[#This Row],[sdom]]="4EST",1,0)</f>
        <v>0</v>
      </c>
      <c r="AG9" s="3">
        <f>VLOOKUP(Tableau3[[#This Row],[essence]],Tableau7[],13,FALSE)</f>
        <v>0</v>
      </c>
      <c r="AH9" s="3">
        <f>IF(Tableau3[[#This Row],[sdom]]="4OUEST",1,0)</f>
        <v>0</v>
      </c>
      <c r="AI9" s="3">
        <f>VLOOKUP(Tableau3[[#This Row],[essence]],Tableau7[],14,FALSE)</f>
        <v>0</v>
      </c>
      <c r="AJ9" s="3">
        <f>IF(Tableau3[[#This Row],[sdom]]="5EST",1,0)</f>
        <v>0</v>
      </c>
      <c r="AK9" s="3">
        <f>VLOOKUP(Tableau3[[#This Row],[essence]],Tableau7[],17,FALSE)</f>
        <v>0</v>
      </c>
      <c r="AL9" s="3">
        <f>IF(Tableau3[[#This Row],[priorecol]]="C",1,0)</f>
        <v>1</v>
      </c>
      <c r="AM9" s="3">
        <f>VLOOKUP(Tableau3[[#This Row],[essence]],Tableau7[],18,FALSE)</f>
        <v>0</v>
      </c>
      <c r="AN9" s="3">
        <f>IF(Tableau3[[#This Row],[priorecol]]="R",1,0)</f>
        <v>0</v>
      </c>
      <c r="AO9" s="3">
        <f>VLOOKUP(Tableau3[[#This Row],[essence]],Tableau7[],19,FALSE)</f>
        <v>0</v>
      </c>
      <c r="AP9" s="3">
        <f>IF(Tableau3[[#This Row],[priorecol]]="S",1,0)</f>
        <v>0</v>
      </c>
      <c r="AQ9" s="3">
        <f>VLOOKUP(Tableau3[[#This Row],[essence]],Tableau7[],21,FALSE)</f>
        <v>0.2979</v>
      </c>
      <c r="AR9" s="3">
        <f>VLOOKUP(Tableau3[[#This Row],[essence]],Tableau7[],16,FALSE)</f>
        <v>0.154</v>
      </c>
      <c r="AS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1.8738999999999999</v>
      </c>
      <c r="AT9" s="3">
        <f>Tableau3[[#This Row],[xb_]]+Tableau3[[#This Row],[b_intercept_C]]</f>
        <v>0.7157</v>
      </c>
      <c r="AU9" s="3">
        <f>Tableau3[[#This Row],[xb_]]+Tableau3[[#This Row],[b_intercept_B]]</f>
        <v>-1.0846</v>
      </c>
      <c r="AV9" s="3">
        <f>1/(1+EXP(-Tableau3[[#This Row],[xb_c]]))</f>
        <v>0.67165942590010164</v>
      </c>
      <c r="AW9" s="3">
        <f>1/(1+EXP(-Tableau3[[#This Row],[xb_b]]))</f>
        <v>0.25263649682564771</v>
      </c>
      <c r="AX9" s="3" t="str">
        <f t="shared" si="0"/>
        <v>NA</v>
      </c>
      <c r="AY9" s="3">
        <f>Tableau3[[#This Row],[prob_b]]</f>
        <v>0.25263649682564771</v>
      </c>
      <c r="AZ9" s="3">
        <f>Tableau3[[#This Row],[prob_c]]-Tableau3[[#This Row],[prob_b]]</f>
        <v>0.41902292907445393</v>
      </c>
      <c r="BA9" s="3">
        <f>1-Tableau3[[#This Row],[prob_c]]</f>
        <v>0.32834057409989836</v>
      </c>
    </row>
    <row r="10" spans="1:53" x14ac:dyDescent="0.25">
      <c r="A10" s="2">
        <v>3</v>
      </c>
      <c r="B10" s="2" t="s">
        <v>11</v>
      </c>
      <c r="C10" s="4">
        <v>2.1</v>
      </c>
      <c r="D10" s="4">
        <v>700</v>
      </c>
      <c r="E10" s="4">
        <v>20</v>
      </c>
      <c r="F10" s="4">
        <v>1</v>
      </c>
      <c r="G10" s="2">
        <v>25</v>
      </c>
      <c r="H10" s="2">
        <v>34</v>
      </c>
      <c r="I10" s="2" t="s">
        <v>19</v>
      </c>
      <c r="J10" s="2" t="s">
        <v>27</v>
      </c>
      <c r="K10" s="2">
        <f>VLOOKUP(Tableau3[[#This Row],[essence]],Tableau7[],2,FALSE)</f>
        <v>-3.7313999999999998</v>
      </c>
      <c r="L10" s="3">
        <f>VLOOKUP(Tableau3[[#This Row],[essence]],Tableau7[],3,FALSE)</f>
        <v>-1.7194</v>
      </c>
      <c r="M10" s="3">
        <f>VLOOKUP(Tableau3[[#This Row],[essence]],Tableau7[],4,FALSE)</f>
        <v>1.5371999999999999</v>
      </c>
      <c r="N10" s="3">
        <f>IF(Tableau3[[#This Row],[priorecol]]="C",1,0)</f>
        <v>1</v>
      </c>
      <c r="O10" s="3">
        <f>VLOOKUP(Tableau3[[#This Row],[essence]],Tableau7[],5,FALSE)</f>
        <v>2.5815000000000001</v>
      </c>
      <c r="P10" s="3">
        <f>IF(Tableau3[[#This Row],[priorecol]]="R",1,0)</f>
        <v>0</v>
      </c>
      <c r="Q10" s="3">
        <f>VLOOKUP(Tableau3[[#This Row],[essence]],Tableau7[],6,FALSE)</f>
        <v>0.96079999999999999</v>
      </c>
      <c r="R10" s="3">
        <f>IF(Tableau3[[#This Row],[priorecol]]="S",1,0)</f>
        <v>0</v>
      </c>
      <c r="S10" s="3">
        <f>VLOOKUP(Tableau3[[#This Row],[essence]],Tableau7[],7,FALSE)</f>
        <v>4.2799999999999998E-2</v>
      </c>
      <c r="T10" s="3">
        <f>VLOOKUP(Tableau3[[#This Row],[essence]],Tableau7[],15,FALSE)</f>
        <v>1.54E-2</v>
      </c>
      <c r="U10" s="3">
        <f>VLOOKUP(Tableau3[[#This Row],[essence]],Tableau7[],20,FALSE)</f>
        <v>0</v>
      </c>
      <c r="V10" s="3">
        <f>IF(Tableau3[[#This Row],[sdom]]=1,1,0)</f>
        <v>0</v>
      </c>
      <c r="W10" s="3">
        <f>VLOOKUP(Tableau3[[#This Row],[essence]],Tableau7[],8,FALSE)</f>
        <v>2.3900000000000001E-2</v>
      </c>
      <c r="X10" s="3">
        <f>IF(Tableau3[[#This Row],[sdom]]="2EST",1,0)</f>
        <v>0</v>
      </c>
      <c r="Y10" s="3">
        <f>VLOOKUP(Tableau3[[#This Row],[essence]],Tableau7[],9,FALSE)</f>
        <v>-0.4793</v>
      </c>
      <c r="Z10" s="3">
        <f>IF(Tableau3[[#This Row],[sdom]]="2OUEST",1,0)</f>
        <v>1</v>
      </c>
      <c r="AA10" s="3">
        <f>VLOOKUP(Tableau3[[#This Row],[essence]],Tableau7[],10,FALSE)</f>
        <v>0.13880000000000001</v>
      </c>
      <c r="AB10" s="3">
        <f>IF(Tableau3[[#This Row],[sdom]]="3EST",1,0)</f>
        <v>0</v>
      </c>
      <c r="AC10" s="3">
        <f>VLOOKUP(Tableau3[[#This Row],[essence]],Tableau7[],11,FALSE)</f>
        <v>0.27039999999999997</v>
      </c>
      <c r="AD10" s="3">
        <f>IF(Tableau3[[#This Row],[sdom]]="3OUEST",1,0)</f>
        <v>0</v>
      </c>
      <c r="AE10" s="3">
        <f>VLOOKUP(Tableau3[[#This Row],[essence]],Tableau7[],12,FALSE)</f>
        <v>4.6600000000000001E-3</v>
      </c>
      <c r="AF10" s="3">
        <f>IF(Tableau3[[#This Row],[sdom]]="4EST",1,0)</f>
        <v>0</v>
      </c>
      <c r="AG10" s="3">
        <f>VLOOKUP(Tableau3[[#This Row],[essence]],Tableau7[],13,FALSE)</f>
        <v>0.1986</v>
      </c>
      <c r="AH10" s="3">
        <f>IF(Tableau3[[#This Row],[sdom]]="4OUEST",1,0)</f>
        <v>0</v>
      </c>
      <c r="AI10" s="3">
        <f>VLOOKUP(Tableau3[[#This Row],[essence]],Tableau7[],14,FALSE)</f>
        <v>-0.2535</v>
      </c>
      <c r="AJ10" s="3">
        <f>IF(Tableau3[[#This Row],[sdom]]="5EST",1,0)</f>
        <v>0</v>
      </c>
      <c r="AK10" s="3">
        <f>VLOOKUP(Tableau3[[#This Row],[essence]],Tableau7[],17,FALSE)</f>
        <v>0</v>
      </c>
      <c r="AL10" s="3">
        <f>IF(Tableau3[[#This Row],[priorecol]]="C",1,0)</f>
        <v>1</v>
      </c>
      <c r="AM10" s="3">
        <f>VLOOKUP(Tableau3[[#This Row],[essence]],Tableau7[],18,FALSE)</f>
        <v>0</v>
      </c>
      <c r="AN10" s="3">
        <f>IF(Tableau3[[#This Row],[priorecol]]="R",1,0)</f>
        <v>0</v>
      </c>
      <c r="AO10" s="3">
        <f>VLOOKUP(Tableau3[[#This Row],[essence]],Tableau7[],19,FALSE)</f>
        <v>0</v>
      </c>
      <c r="AP10" s="3">
        <f>IF(Tableau3[[#This Row],[priorecol]]="S",1,0)</f>
        <v>0</v>
      </c>
      <c r="AQ10" s="3">
        <f>VLOOKUP(Tableau3[[#This Row],[essence]],Tableau7[],21,FALSE)</f>
        <v>0</v>
      </c>
      <c r="AR10" s="3">
        <f>VLOOKUP(Tableau3[[#This Row],[essence]],Tableau7[],16,FALSE)</f>
        <v>0.123</v>
      </c>
      <c r="AS1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3.0794000000000001</v>
      </c>
      <c r="AT10" s="3">
        <f>Tableau3[[#This Row],[xb_]]+Tableau3[[#This Row],[b_intercept_C]]</f>
        <v>1.36</v>
      </c>
      <c r="AU10" s="3">
        <f>Tableau3[[#This Row],[xb_]]+Tableau3[[#This Row],[b_intercept_B]]</f>
        <v>-0.65199999999999969</v>
      </c>
      <c r="AV10" s="3">
        <f>1/(1+EXP(-Tableau3[[#This Row],[xb_c]]))</f>
        <v>0.79575969771590827</v>
      </c>
      <c r="AW10" s="3">
        <f>1/(1+EXP(-Tableau3[[#This Row],[xb_b]]))</f>
        <v>0.3425389835307836</v>
      </c>
      <c r="AX10" s="3" t="str">
        <f t="shared" si="0"/>
        <v>NA</v>
      </c>
      <c r="AY10" s="3">
        <f>Tableau3[[#This Row],[prob_b]]</f>
        <v>0.3425389835307836</v>
      </c>
      <c r="AZ10" s="3">
        <f>Tableau3[[#This Row],[prob_c]]-Tableau3[[#This Row],[prob_b]]</f>
        <v>0.45322071418512466</v>
      </c>
      <c r="BA10" s="3">
        <f>1-Tableau3[[#This Row],[prob_c]]</f>
        <v>0.20424030228409173</v>
      </c>
    </row>
    <row r="11" spans="1:53" x14ac:dyDescent="0.25">
      <c r="A11" s="3">
        <v>3</v>
      </c>
      <c r="B11" s="3" t="s">
        <v>11</v>
      </c>
      <c r="C11" s="1">
        <v>2.1</v>
      </c>
      <c r="D11" s="1">
        <v>700</v>
      </c>
      <c r="E11" s="1">
        <v>20</v>
      </c>
      <c r="F11" s="1">
        <v>1</v>
      </c>
      <c r="G11" s="3">
        <v>31</v>
      </c>
      <c r="H11" s="3">
        <v>34</v>
      </c>
      <c r="I11" s="3" t="s">
        <v>21</v>
      </c>
      <c r="J11" s="3" t="s">
        <v>27</v>
      </c>
      <c r="K11" s="3">
        <f>VLOOKUP(Tableau3[[#This Row],[essence]],Tableau7[],2,FALSE)</f>
        <v>-0.68799999999999994</v>
      </c>
      <c r="L11" s="3">
        <f>VLOOKUP(Tableau3[[#This Row],[essence]],Tableau7[],3,FALSE)</f>
        <v>1.3924000000000001</v>
      </c>
      <c r="M11" s="3">
        <f>VLOOKUP(Tableau3[[#This Row],[essence]],Tableau7[],4,FALSE)</f>
        <v>0.41599999999999998</v>
      </c>
      <c r="N11" s="3">
        <f>IF(Tableau3[[#This Row],[priorecol]]="C",1,0)</f>
        <v>1</v>
      </c>
      <c r="O11" s="3">
        <f>VLOOKUP(Tableau3[[#This Row],[essence]],Tableau7[],5,FALSE)</f>
        <v>1.5604</v>
      </c>
      <c r="P11" s="3">
        <f>IF(Tableau3[[#This Row],[priorecol]]="R",1,0)</f>
        <v>0</v>
      </c>
      <c r="Q11" s="3">
        <f>VLOOKUP(Tableau3[[#This Row],[essence]],Tableau7[],6,FALSE)</f>
        <v>-0.64770000000000005</v>
      </c>
      <c r="R11" s="3">
        <f>IF(Tableau3[[#This Row],[priorecol]]="S",1,0)</f>
        <v>0</v>
      </c>
      <c r="S11" s="3">
        <f>VLOOKUP(Tableau3[[#This Row],[essence]],Tableau7[],7,FALSE)</f>
        <v>0</v>
      </c>
      <c r="T11" s="3">
        <f>VLOOKUP(Tableau3[[#This Row],[essence]],Tableau7[],15,FALSE)</f>
        <v>-2.4500000000000001E-2</v>
      </c>
      <c r="U11" s="3">
        <f>VLOOKUP(Tableau3[[#This Row],[essence]],Tableau7[],20,FALSE)</f>
        <v>0.15179999999999999</v>
      </c>
      <c r="V11" s="3">
        <f>IF(Tableau3[[#This Row],[sdom]]=1,1,0)</f>
        <v>0</v>
      </c>
      <c r="W11" s="3">
        <f>VLOOKUP(Tableau3[[#This Row],[essence]],Tableau7[],8,FALSE)</f>
        <v>0</v>
      </c>
      <c r="X11" s="3">
        <f>IF(Tableau3[[#This Row],[sdom]]="2EST",1,0)</f>
        <v>0</v>
      </c>
      <c r="Y11" s="3">
        <f>VLOOKUP(Tableau3[[#This Row],[essence]],Tableau7[],9,FALSE)</f>
        <v>-0.27589999999999998</v>
      </c>
      <c r="Z11" s="3">
        <f>IF(Tableau3[[#This Row],[sdom]]="2OUEST",1,0)</f>
        <v>1</v>
      </c>
      <c r="AA11" s="3">
        <f>VLOOKUP(Tableau3[[#This Row],[essence]],Tableau7[],10,FALSE)</f>
        <v>0</v>
      </c>
      <c r="AB11" s="3">
        <f>IF(Tableau3[[#This Row],[sdom]]="3EST",1,0)</f>
        <v>0</v>
      </c>
      <c r="AC11" s="3">
        <f>VLOOKUP(Tableau3[[#This Row],[essence]],Tableau7[],11,FALSE)</f>
        <v>0</v>
      </c>
      <c r="AD11" s="3">
        <f>IF(Tableau3[[#This Row],[sdom]]="3OUEST",1,0)</f>
        <v>0</v>
      </c>
      <c r="AE11" s="3">
        <f>VLOOKUP(Tableau3[[#This Row],[essence]],Tableau7[],12,FALSE)</f>
        <v>0</v>
      </c>
      <c r="AF11" s="3">
        <f>IF(Tableau3[[#This Row],[sdom]]="4EST",1,0)</f>
        <v>0</v>
      </c>
      <c r="AG11" s="3">
        <f>VLOOKUP(Tableau3[[#This Row],[essence]],Tableau7[],13,FALSE)</f>
        <v>0</v>
      </c>
      <c r="AH11" s="3">
        <f>IF(Tableau3[[#This Row],[sdom]]="4OUEST",1,0)</f>
        <v>0</v>
      </c>
      <c r="AI11" s="3">
        <f>VLOOKUP(Tableau3[[#This Row],[essence]],Tableau7[],14,FALSE)</f>
        <v>0</v>
      </c>
      <c r="AJ11" s="3">
        <f>IF(Tableau3[[#This Row],[sdom]]="5EST",1,0)</f>
        <v>0</v>
      </c>
      <c r="AK11" s="3">
        <f>VLOOKUP(Tableau3[[#This Row],[essence]],Tableau7[],17,FALSE)</f>
        <v>6.4199999999999993E-2</v>
      </c>
      <c r="AL11" s="3">
        <f>IF(Tableau3[[#This Row],[priorecol]]="C",1,0)</f>
        <v>1</v>
      </c>
      <c r="AM11" s="3">
        <f>VLOOKUP(Tableau3[[#This Row],[essence]],Tableau7[],18,FALSE)</f>
        <v>6.3399999999999998E-2</v>
      </c>
      <c r="AN11" s="3">
        <f>IF(Tableau3[[#This Row],[priorecol]]="R",1,0)</f>
        <v>0</v>
      </c>
      <c r="AO11" s="3">
        <f>VLOOKUP(Tableau3[[#This Row],[essence]],Tableau7[],19,FALSE)</f>
        <v>8.2400000000000001E-2</v>
      </c>
      <c r="AP11" s="3">
        <f>IF(Tableau3[[#This Row],[priorecol]]="S",1,0)</f>
        <v>0</v>
      </c>
      <c r="AQ11" s="3">
        <f>VLOOKUP(Tableau3[[#This Row],[essence]],Tableau7[],21,FALSE)</f>
        <v>0</v>
      </c>
      <c r="AR11" s="3">
        <f>VLOOKUP(Tableau3[[#This Row],[essence]],Tableau7[],16,FALSE)</f>
        <v>0</v>
      </c>
      <c r="AS1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0.93409999999999982</v>
      </c>
      <c r="AT11" s="3">
        <f>Tableau3[[#This Row],[xb_]]+Tableau3[[#This Row],[b_intercept_C]]</f>
        <v>2.3264999999999998</v>
      </c>
      <c r="AU11" s="3">
        <f>Tableau3[[#This Row],[xb_]]+Tableau3[[#This Row],[b_intercept_B]]</f>
        <v>0.24609999999999987</v>
      </c>
      <c r="AV11" s="3">
        <f>1/(1+EXP(-Tableau3[[#This Row],[xb_c]]))</f>
        <v>0.91104810641917766</v>
      </c>
      <c r="AW11" s="3">
        <f>1/(1+EXP(-Tableau3[[#This Row],[xb_b]]))</f>
        <v>0.56121634635382556</v>
      </c>
      <c r="AX11" s="3" t="str">
        <f t="shared" si="0"/>
        <v>NA</v>
      </c>
      <c r="AY11" s="3">
        <f>Tableau3[[#This Row],[prob_b]]</f>
        <v>0.56121634635382556</v>
      </c>
      <c r="AZ11" s="3">
        <f>Tableau3[[#This Row],[prob_c]]-Tableau3[[#This Row],[prob_b]]</f>
        <v>0.3498317600653521</v>
      </c>
      <c r="BA11" s="3">
        <f>1-Tableau3[[#This Row],[prob_c]]</f>
        <v>8.8951893580822339E-2</v>
      </c>
    </row>
    <row r="12" spans="1:53" x14ac:dyDescent="0.25">
      <c r="A12" s="2">
        <v>3</v>
      </c>
      <c r="B12" s="2" t="s">
        <v>11</v>
      </c>
      <c r="C12" s="4">
        <v>2.1</v>
      </c>
      <c r="D12" s="4">
        <v>700</v>
      </c>
      <c r="E12" s="4">
        <v>20</v>
      </c>
      <c r="F12" s="4">
        <v>1</v>
      </c>
      <c r="G12" s="2">
        <v>37</v>
      </c>
      <c r="H12" s="2">
        <v>34</v>
      </c>
      <c r="I12" s="2" t="s">
        <v>23</v>
      </c>
      <c r="J12" s="2" t="s">
        <v>27</v>
      </c>
      <c r="K12" s="2">
        <f>VLOOKUP(Tableau3[[#This Row],[essence]],Tableau7[],2,FALSE)</f>
        <v>-3.9003999999999999</v>
      </c>
      <c r="L12" s="3">
        <f>VLOOKUP(Tableau3[[#This Row],[essence]],Tableau7[],3,FALSE)</f>
        <v>-1.7661</v>
      </c>
      <c r="M12" s="3">
        <f>VLOOKUP(Tableau3[[#This Row],[essence]],Tableau7[],4,FALSE)</f>
        <v>1.9438</v>
      </c>
      <c r="N12" s="3">
        <f>IF(Tableau3[[#This Row],[priorecol]]="C",1,0)</f>
        <v>1</v>
      </c>
      <c r="O12" s="3">
        <f>VLOOKUP(Tableau3[[#This Row],[essence]],Tableau7[],5,FALSE)</f>
        <v>2.9834000000000001</v>
      </c>
      <c r="P12" s="3">
        <f>IF(Tableau3[[#This Row],[priorecol]]="R",1,0)</f>
        <v>0</v>
      </c>
      <c r="Q12" s="3">
        <f>VLOOKUP(Tableau3[[#This Row],[essence]],Tableau7[],6,FALSE)</f>
        <v>1.0873999999999999</v>
      </c>
      <c r="R12" s="3">
        <f>IF(Tableau3[[#This Row],[priorecol]]="S",1,0)</f>
        <v>0</v>
      </c>
      <c r="S12" s="3">
        <f>VLOOKUP(Tableau3[[#This Row],[essence]],Tableau7[],7,FALSE)</f>
        <v>6.4000000000000001E-2</v>
      </c>
      <c r="T12" s="3">
        <f>VLOOKUP(Tableau3[[#This Row],[essence]],Tableau7[],15,FALSE)</f>
        <v>7.5199999999999998E-3</v>
      </c>
      <c r="U12" s="3">
        <f>VLOOKUP(Tableau3[[#This Row],[essence]],Tableau7[],20,FALSE)</f>
        <v>0.17810000000000001</v>
      </c>
      <c r="V12" s="3">
        <f>IF(Tableau3[[#This Row],[sdom]]=1,1,0)</f>
        <v>0</v>
      </c>
      <c r="W12" s="3">
        <f>VLOOKUP(Tableau3[[#This Row],[essence]],Tableau7[],8,FALSE)</f>
        <v>0.29430000000000001</v>
      </c>
      <c r="X12" s="3">
        <f>IF(Tableau3[[#This Row],[sdom]]="2EST",1,0)</f>
        <v>0</v>
      </c>
      <c r="Y12" s="3">
        <f>VLOOKUP(Tableau3[[#This Row],[essence]],Tableau7[],9,FALSE)</f>
        <v>0.11260000000000001</v>
      </c>
      <c r="Z12" s="3">
        <f>IF(Tableau3[[#This Row],[sdom]]="2OUEST",1,0)</f>
        <v>1</v>
      </c>
      <c r="AA12" s="3">
        <f>VLOOKUP(Tableau3[[#This Row],[essence]],Tableau7[],10,FALSE)</f>
        <v>1.2999999999999999E-2</v>
      </c>
      <c r="AB12" s="3">
        <f>IF(Tableau3[[#This Row],[sdom]]="3EST",1,0)</f>
        <v>0</v>
      </c>
      <c r="AC12" s="3">
        <f>VLOOKUP(Tableau3[[#This Row],[essence]],Tableau7[],11,FALSE)</f>
        <v>0.17150000000000001</v>
      </c>
      <c r="AD12" s="3">
        <f>IF(Tableau3[[#This Row],[sdom]]="3OUEST",1,0)</f>
        <v>0</v>
      </c>
      <c r="AE12" s="3">
        <f>VLOOKUP(Tableau3[[#This Row],[essence]],Tableau7[],12,FALSE)</f>
        <v>-0.1308</v>
      </c>
      <c r="AF12" s="3">
        <f>IF(Tableau3[[#This Row],[sdom]]="4EST",1,0)</f>
        <v>0</v>
      </c>
      <c r="AG12" s="3">
        <f>VLOOKUP(Tableau3[[#This Row],[essence]],Tableau7[],13,FALSE)</f>
        <v>-0.2858</v>
      </c>
      <c r="AH12" s="3">
        <f>IF(Tableau3[[#This Row],[sdom]]="4OUEST",1,0)</f>
        <v>0</v>
      </c>
      <c r="AI12" s="3">
        <f>VLOOKUP(Tableau3[[#This Row],[essence]],Tableau7[],14,FALSE)</f>
        <v>0</v>
      </c>
      <c r="AJ12" s="3">
        <f>IF(Tableau3[[#This Row],[sdom]]="5EST",1,0)</f>
        <v>0</v>
      </c>
      <c r="AK12" s="3">
        <f>VLOOKUP(Tableau3[[#This Row],[essence]],Tableau7[],17,FALSE)</f>
        <v>0</v>
      </c>
      <c r="AL12" s="3">
        <f>IF(Tableau3[[#This Row],[priorecol]]="C",1,0)</f>
        <v>1</v>
      </c>
      <c r="AM12" s="3">
        <f>VLOOKUP(Tableau3[[#This Row],[essence]],Tableau7[],18,FALSE)</f>
        <v>0</v>
      </c>
      <c r="AN12" s="3">
        <f>IF(Tableau3[[#This Row],[priorecol]]="R",1,0)</f>
        <v>0</v>
      </c>
      <c r="AO12" s="3">
        <f>VLOOKUP(Tableau3[[#This Row],[essence]],Tableau7[],19,FALSE)</f>
        <v>0</v>
      </c>
      <c r="AP12" s="3">
        <f>IF(Tableau3[[#This Row],[priorecol]]="S",1,0)</f>
        <v>0</v>
      </c>
      <c r="AQ12" s="3">
        <f>VLOOKUP(Tableau3[[#This Row],[essence]],Tableau7[],21,FALSE)</f>
        <v>0</v>
      </c>
      <c r="AR12" s="3">
        <f>VLOOKUP(Tableau3[[#This Row],[essence]],Tableau7[],16,FALSE)</f>
        <v>0</v>
      </c>
      <c r="AS1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4.3827999999999996</v>
      </c>
      <c r="AT12" s="3">
        <f>Tableau3[[#This Row],[xb_]]+Tableau3[[#This Row],[b_intercept_C]]</f>
        <v>2.6166999999999998</v>
      </c>
      <c r="AU12" s="3">
        <f>Tableau3[[#This Row],[xb_]]+Tableau3[[#This Row],[b_intercept_B]]</f>
        <v>0.48239999999999972</v>
      </c>
      <c r="AV12" s="3">
        <f>1/(1+EXP(-Tableau3[[#This Row],[xb_c]]))</f>
        <v>0.9319286603928284</v>
      </c>
      <c r="AW12" s="3">
        <f>1/(1+EXP(-Tableau3[[#This Row],[xb_b]]))</f>
        <v>0.61831443944018127</v>
      </c>
      <c r="AX12" s="3" t="str">
        <f t="shared" si="0"/>
        <v>NA</v>
      </c>
      <c r="AY12" s="3">
        <f>Tableau3[[#This Row],[prob_b]]</f>
        <v>0.61831443944018127</v>
      </c>
      <c r="AZ12" s="3">
        <f>Tableau3[[#This Row],[prob_c]]-Tableau3[[#This Row],[prob_b]]</f>
        <v>0.31361422095264713</v>
      </c>
      <c r="BA12" s="3">
        <f>1-Tableau3[[#This Row],[prob_c]]</f>
        <v>6.8071339607171599E-2</v>
      </c>
    </row>
    <row r="13" spans="1:53" x14ac:dyDescent="0.25">
      <c r="A13" s="3">
        <v>3</v>
      </c>
      <c r="B13" s="3" t="s">
        <v>11</v>
      </c>
      <c r="C13" s="1">
        <v>2.1</v>
      </c>
      <c r="D13" s="1">
        <v>700</v>
      </c>
      <c r="E13" s="1">
        <v>20</v>
      </c>
      <c r="F13" s="1">
        <v>1</v>
      </c>
      <c r="G13" s="3">
        <v>43</v>
      </c>
      <c r="H13" s="3">
        <v>34</v>
      </c>
      <c r="I13" s="3" t="s">
        <v>25</v>
      </c>
      <c r="J13" s="3" t="s">
        <v>27</v>
      </c>
      <c r="K13" s="3">
        <f>VLOOKUP(Tableau3[[#This Row],[essence]],Tableau7[],2,FALSE)</f>
        <v>-2.9584999999999999</v>
      </c>
      <c r="L13" s="3">
        <f>VLOOKUP(Tableau3[[#This Row],[essence]],Tableau7[],3,FALSE)</f>
        <v>-1.1581999999999999</v>
      </c>
      <c r="M13" s="3">
        <f>VLOOKUP(Tableau3[[#This Row],[essence]],Tableau7[],4,FALSE)</f>
        <v>1.3563000000000001</v>
      </c>
      <c r="N13" s="3">
        <f>IF(Tableau3[[#This Row],[priorecol]]="C",1,0)</f>
        <v>1</v>
      </c>
      <c r="O13" s="3">
        <f>VLOOKUP(Tableau3[[#This Row],[essence]],Tableau7[],5,FALSE)</f>
        <v>2.0564</v>
      </c>
      <c r="P13" s="3">
        <f>IF(Tableau3[[#This Row],[priorecol]]="R",1,0)</f>
        <v>0</v>
      </c>
      <c r="Q13" s="3">
        <f>VLOOKUP(Tableau3[[#This Row],[essence]],Tableau7[],6,FALSE)</f>
        <v>1.3911</v>
      </c>
      <c r="R13" s="3">
        <f>IF(Tableau3[[#This Row],[priorecol]]="S",1,0)</f>
        <v>0</v>
      </c>
      <c r="S13" s="3">
        <f>VLOOKUP(Tableau3[[#This Row],[essence]],Tableau7[],7,FALSE)</f>
        <v>0</v>
      </c>
      <c r="T13" s="3">
        <f>VLOOKUP(Tableau3[[#This Row],[essence]],Tableau7[],15,FALSE)</f>
        <v>0</v>
      </c>
      <c r="U13" s="3">
        <f>VLOOKUP(Tableau3[[#This Row],[essence]],Tableau7[],20,FALSE)</f>
        <v>0</v>
      </c>
      <c r="V13" s="3">
        <f>IF(Tableau3[[#This Row],[sdom]]=1,1,0)</f>
        <v>0</v>
      </c>
      <c r="W13" s="3">
        <f>VLOOKUP(Tableau3[[#This Row],[essence]],Tableau7[],8,FALSE)</f>
        <v>0.19420000000000001</v>
      </c>
      <c r="X13" s="3">
        <f>IF(Tableau3[[#This Row],[sdom]]="2EST",1,0)</f>
        <v>0</v>
      </c>
      <c r="Y13" s="3">
        <f>VLOOKUP(Tableau3[[#This Row],[essence]],Tableau7[],9,FALSE)</f>
        <v>-0.1956</v>
      </c>
      <c r="Z13" s="3">
        <f>IF(Tableau3[[#This Row],[sdom]]="2OUEST",1,0)</f>
        <v>1</v>
      </c>
      <c r="AA13" s="3">
        <f>VLOOKUP(Tableau3[[#This Row],[essence]],Tableau7[],10,FALSE)</f>
        <v>-0.1221</v>
      </c>
      <c r="AB13" s="3">
        <f>IF(Tableau3[[#This Row],[sdom]]="3EST",1,0)</f>
        <v>0</v>
      </c>
      <c r="AC13" s="3">
        <f>VLOOKUP(Tableau3[[#This Row],[essence]],Tableau7[],11,FALSE)</f>
        <v>0.16789999999999999</v>
      </c>
      <c r="AD13" s="3">
        <f>IF(Tableau3[[#This Row],[sdom]]="3OUEST",1,0)</f>
        <v>0</v>
      </c>
      <c r="AE13" s="3">
        <f>VLOOKUP(Tableau3[[#This Row],[essence]],Tableau7[],12,FALSE)</f>
        <v>0</v>
      </c>
      <c r="AF13" s="3">
        <f>IF(Tableau3[[#This Row],[sdom]]="4EST",1,0)</f>
        <v>0</v>
      </c>
      <c r="AG13" s="3">
        <f>VLOOKUP(Tableau3[[#This Row],[essence]],Tableau7[],13,FALSE)</f>
        <v>0</v>
      </c>
      <c r="AH13" s="3">
        <f>IF(Tableau3[[#This Row],[sdom]]="4OUEST",1,0)</f>
        <v>0</v>
      </c>
      <c r="AI13" s="3">
        <f>VLOOKUP(Tableau3[[#This Row],[essence]],Tableau7[],14,FALSE)</f>
        <v>0</v>
      </c>
      <c r="AJ13" s="3">
        <f>IF(Tableau3[[#This Row],[sdom]]="5EST",1,0)</f>
        <v>0</v>
      </c>
      <c r="AK13" s="3">
        <f>VLOOKUP(Tableau3[[#This Row],[essence]],Tableau7[],17,FALSE)</f>
        <v>0</v>
      </c>
      <c r="AL13" s="3">
        <f>IF(Tableau3[[#This Row],[priorecol]]="C",1,0)</f>
        <v>1</v>
      </c>
      <c r="AM13" s="3">
        <f>VLOOKUP(Tableau3[[#This Row],[essence]],Tableau7[],18,FALSE)</f>
        <v>0</v>
      </c>
      <c r="AN13" s="3">
        <f>IF(Tableau3[[#This Row],[priorecol]]="R",1,0)</f>
        <v>0</v>
      </c>
      <c r="AO13" s="3">
        <f>VLOOKUP(Tableau3[[#This Row],[essence]],Tableau7[],19,FALSE)</f>
        <v>0</v>
      </c>
      <c r="AP13" s="3">
        <f>IF(Tableau3[[#This Row],[priorecol]]="S",1,0)</f>
        <v>0</v>
      </c>
      <c r="AQ13" s="3">
        <f>VLOOKUP(Tableau3[[#This Row],[essence]],Tableau7[],21,FALSE)</f>
        <v>0.2979</v>
      </c>
      <c r="AR13" s="3">
        <f>VLOOKUP(Tableau3[[#This Row],[essence]],Tableau7[],16,FALSE)</f>
        <v>0.154</v>
      </c>
      <c r="AS1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1.782</v>
      </c>
      <c r="AT13" s="3">
        <f>Tableau3[[#This Row],[xb_]]+Tableau3[[#This Row],[b_intercept_C]]</f>
        <v>0.62380000000000013</v>
      </c>
      <c r="AU13" s="3">
        <f>Tableau3[[#This Row],[xb_]]+Tableau3[[#This Row],[b_intercept_B]]</f>
        <v>-1.1764999999999999</v>
      </c>
      <c r="AV13" s="3">
        <f>1/(1+EXP(-Tableau3[[#This Row],[xb_c]]))</f>
        <v>0.65108230514898058</v>
      </c>
      <c r="AW13" s="3">
        <f>1/(1+EXP(-Tableau3[[#This Row],[xb_b]]))</f>
        <v>0.23568208901818472</v>
      </c>
      <c r="AX13" s="3" t="str">
        <f t="shared" si="0"/>
        <v>NA</v>
      </c>
      <c r="AY13" s="3">
        <f>Tableau3[[#This Row],[prob_b]]</f>
        <v>0.23568208901818472</v>
      </c>
      <c r="AZ13" s="3">
        <f>Tableau3[[#This Row],[prob_c]]-Tableau3[[#This Row],[prob_b]]</f>
        <v>0.41540021613079586</v>
      </c>
      <c r="BA13" s="3">
        <f>1-Tableau3[[#This Row],[prob_c]]</f>
        <v>0.34891769485101942</v>
      </c>
    </row>
    <row r="14" spans="1:53" x14ac:dyDescent="0.25">
      <c r="A14" s="2">
        <v>4</v>
      </c>
      <c r="B14" s="2" t="s">
        <v>12</v>
      </c>
      <c r="C14" s="4">
        <v>2.1</v>
      </c>
      <c r="D14" s="4">
        <v>700</v>
      </c>
      <c r="E14" s="4">
        <v>20</v>
      </c>
      <c r="F14" s="4">
        <v>1</v>
      </c>
      <c r="G14" s="2">
        <v>25</v>
      </c>
      <c r="H14" s="2">
        <v>34</v>
      </c>
      <c r="I14" s="2" t="s">
        <v>19</v>
      </c>
      <c r="J14" s="2" t="s">
        <v>27</v>
      </c>
      <c r="K14" s="2">
        <f>VLOOKUP(Tableau3[[#This Row],[essence]],Tableau7[],2,FALSE)</f>
        <v>-3.7313999999999998</v>
      </c>
      <c r="L14" s="3">
        <f>VLOOKUP(Tableau3[[#This Row],[essence]],Tableau7[],3,FALSE)</f>
        <v>-1.7194</v>
      </c>
      <c r="M14" s="3">
        <f>VLOOKUP(Tableau3[[#This Row],[essence]],Tableau7[],4,FALSE)</f>
        <v>1.5371999999999999</v>
      </c>
      <c r="N14" s="3">
        <f>IF(Tableau3[[#This Row],[priorecol]]="C",1,0)</f>
        <v>1</v>
      </c>
      <c r="O14" s="3">
        <f>VLOOKUP(Tableau3[[#This Row],[essence]],Tableau7[],5,FALSE)</f>
        <v>2.5815000000000001</v>
      </c>
      <c r="P14" s="3">
        <f>IF(Tableau3[[#This Row],[priorecol]]="R",1,0)</f>
        <v>0</v>
      </c>
      <c r="Q14" s="3">
        <f>VLOOKUP(Tableau3[[#This Row],[essence]],Tableau7[],6,FALSE)</f>
        <v>0.96079999999999999</v>
      </c>
      <c r="R14" s="3">
        <f>IF(Tableau3[[#This Row],[priorecol]]="S",1,0)</f>
        <v>0</v>
      </c>
      <c r="S14" s="3">
        <f>VLOOKUP(Tableau3[[#This Row],[essence]],Tableau7[],7,FALSE)</f>
        <v>4.2799999999999998E-2</v>
      </c>
      <c r="T14" s="3">
        <f>VLOOKUP(Tableau3[[#This Row],[essence]],Tableau7[],15,FALSE)</f>
        <v>1.54E-2</v>
      </c>
      <c r="U14" s="3">
        <f>VLOOKUP(Tableau3[[#This Row],[essence]],Tableau7[],20,FALSE)</f>
        <v>0</v>
      </c>
      <c r="V14" s="3">
        <f>IF(Tableau3[[#This Row],[sdom]]=1,1,0)</f>
        <v>0</v>
      </c>
      <c r="W14" s="3">
        <f>VLOOKUP(Tableau3[[#This Row],[essence]],Tableau7[],8,FALSE)</f>
        <v>2.3900000000000001E-2</v>
      </c>
      <c r="X14" s="3">
        <f>IF(Tableau3[[#This Row],[sdom]]="2EST",1,0)</f>
        <v>0</v>
      </c>
      <c r="Y14" s="3">
        <f>VLOOKUP(Tableau3[[#This Row],[essence]],Tableau7[],9,FALSE)</f>
        <v>-0.4793</v>
      </c>
      <c r="Z14" s="3">
        <f>IF(Tableau3[[#This Row],[sdom]]="2OUEST",1,0)</f>
        <v>0</v>
      </c>
      <c r="AA14" s="3">
        <f>VLOOKUP(Tableau3[[#This Row],[essence]],Tableau7[],10,FALSE)</f>
        <v>0.13880000000000001</v>
      </c>
      <c r="AB14" s="3">
        <f>IF(Tableau3[[#This Row],[sdom]]="3EST",1,0)</f>
        <v>1</v>
      </c>
      <c r="AC14" s="3">
        <f>VLOOKUP(Tableau3[[#This Row],[essence]],Tableau7[],11,FALSE)</f>
        <v>0.27039999999999997</v>
      </c>
      <c r="AD14" s="3">
        <f>IF(Tableau3[[#This Row],[sdom]]="3OUEST",1,0)</f>
        <v>0</v>
      </c>
      <c r="AE14" s="3">
        <f>VLOOKUP(Tableau3[[#This Row],[essence]],Tableau7[],12,FALSE)</f>
        <v>4.6600000000000001E-3</v>
      </c>
      <c r="AF14" s="3">
        <f>IF(Tableau3[[#This Row],[sdom]]="4EST",1,0)</f>
        <v>0</v>
      </c>
      <c r="AG14" s="3">
        <f>VLOOKUP(Tableau3[[#This Row],[essence]],Tableau7[],13,FALSE)</f>
        <v>0.1986</v>
      </c>
      <c r="AH14" s="3">
        <f>IF(Tableau3[[#This Row],[sdom]]="4OUEST",1,0)</f>
        <v>0</v>
      </c>
      <c r="AI14" s="3">
        <f>VLOOKUP(Tableau3[[#This Row],[essence]],Tableau7[],14,FALSE)</f>
        <v>-0.2535</v>
      </c>
      <c r="AJ14" s="3">
        <f>IF(Tableau3[[#This Row],[sdom]]="5EST",1,0)</f>
        <v>0</v>
      </c>
      <c r="AK14" s="3">
        <f>VLOOKUP(Tableau3[[#This Row],[essence]],Tableau7[],17,FALSE)</f>
        <v>0</v>
      </c>
      <c r="AL14" s="3">
        <f>IF(Tableau3[[#This Row],[priorecol]]="C",1,0)</f>
        <v>1</v>
      </c>
      <c r="AM14" s="3">
        <f>VLOOKUP(Tableau3[[#This Row],[essence]],Tableau7[],18,FALSE)</f>
        <v>0</v>
      </c>
      <c r="AN14" s="3">
        <f>IF(Tableau3[[#This Row],[priorecol]]="R",1,0)</f>
        <v>0</v>
      </c>
      <c r="AO14" s="3">
        <f>VLOOKUP(Tableau3[[#This Row],[essence]],Tableau7[],19,FALSE)</f>
        <v>0</v>
      </c>
      <c r="AP14" s="3">
        <f>IF(Tableau3[[#This Row],[priorecol]]="S",1,0)</f>
        <v>0</v>
      </c>
      <c r="AQ14" s="3">
        <f>VLOOKUP(Tableau3[[#This Row],[essence]],Tableau7[],21,FALSE)</f>
        <v>0</v>
      </c>
      <c r="AR14" s="3">
        <f>VLOOKUP(Tableau3[[#This Row],[essence]],Tableau7[],16,FALSE)</f>
        <v>0.123</v>
      </c>
      <c r="AS1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3.6974999999999998</v>
      </c>
      <c r="AT14" s="3">
        <f>Tableau3[[#This Row],[xb_]]+Tableau3[[#This Row],[b_intercept_C]]</f>
        <v>1.9780999999999997</v>
      </c>
      <c r="AU14" s="3">
        <f>Tableau3[[#This Row],[xb_]]+Tableau3[[#This Row],[b_intercept_B]]</f>
        <v>-3.3900000000000041E-2</v>
      </c>
      <c r="AV14" s="3">
        <f>1/(1+EXP(-Tableau3[[#This Row],[xb_c]]))</f>
        <v>0.87847847524002809</v>
      </c>
      <c r="AW14" s="3">
        <f>1/(1+EXP(-Tableau3[[#This Row],[xb_b]]))</f>
        <v>0.49152581153630009</v>
      </c>
      <c r="AX14" s="3" t="str">
        <f t="shared" si="0"/>
        <v>NA</v>
      </c>
      <c r="AY14" s="3">
        <f>Tableau3[[#This Row],[prob_b]]</f>
        <v>0.49152581153630009</v>
      </c>
      <c r="AZ14" s="3">
        <f>Tableau3[[#This Row],[prob_c]]-Tableau3[[#This Row],[prob_b]]</f>
        <v>0.38695266370372799</v>
      </c>
      <c r="BA14" s="3">
        <f>1-Tableau3[[#This Row],[prob_c]]</f>
        <v>0.12152152475997191</v>
      </c>
    </row>
    <row r="15" spans="1:53" x14ac:dyDescent="0.25">
      <c r="A15" s="3">
        <v>4</v>
      </c>
      <c r="B15" s="3" t="s">
        <v>12</v>
      </c>
      <c r="C15" s="1">
        <v>2.1</v>
      </c>
      <c r="D15" s="1">
        <v>700</v>
      </c>
      <c r="E15" s="1">
        <v>20</v>
      </c>
      <c r="F15" s="1">
        <v>1</v>
      </c>
      <c r="G15" s="3">
        <v>31</v>
      </c>
      <c r="H15" s="3">
        <v>34</v>
      </c>
      <c r="I15" s="3" t="s">
        <v>21</v>
      </c>
      <c r="J15" s="3" t="s">
        <v>27</v>
      </c>
      <c r="K15" s="3">
        <f>VLOOKUP(Tableau3[[#This Row],[essence]],Tableau7[],2,FALSE)</f>
        <v>-0.68799999999999994</v>
      </c>
      <c r="L15" s="3">
        <f>VLOOKUP(Tableau3[[#This Row],[essence]],Tableau7[],3,FALSE)</f>
        <v>1.3924000000000001</v>
      </c>
      <c r="M15" s="3">
        <f>VLOOKUP(Tableau3[[#This Row],[essence]],Tableau7[],4,FALSE)</f>
        <v>0.41599999999999998</v>
      </c>
      <c r="N15" s="3">
        <f>IF(Tableau3[[#This Row],[priorecol]]="C",1,0)</f>
        <v>1</v>
      </c>
      <c r="O15" s="3">
        <f>VLOOKUP(Tableau3[[#This Row],[essence]],Tableau7[],5,FALSE)</f>
        <v>1.5604</v>
      </c>
      <c r="P15" s="3">
        <f>IF(Tableau3[[#This Row],[priorecol]]="R",1,0)</f>
        <v>0</v>
      </c>
      <c r="Q15" s="3">
        <f>VLOOKUP(Tableau3[[#This Row],[essence]],Tableau7[],6,FALSE)</f>
        <v>-0.64770000000000005</v>
      </c>
      <c r="R15" s="3">
        <f>IF(Tableau3[[#This Row],[priorecol]]="S",1,0)</f>
        <v>0</v>
      </c>
      <c r="S15" s="3">
        <f>VLOOKUP(Tableau3[[#This Row],[essence]],Tableau7[],7,FALSE)</f>
        <v>0</v>
      </c>
      <c r="T15" s="3">
        <f>VLOOKUP(Tableau3[[#This Row],[essence]],Tableau7[],15,FALSE)</f>
        <v>-2.4500000000000001E-2</v>
      </c>
      <c r="U15" s="3">
        <f>VLOOKUP(Tableau3[[#This Row],[essence]],Tableau7[],20,FALSE)</f>
        <v>0.15179999999999999</v>
      </c>
      <c r="V15" s="3">
        <f>IF(Tableau3[[#This Row],[sdom]]=1,1,0)</f>
        <v>0</v>
      </c>
      <c r="W15" s="3">
        <f>VLOOKUP(Tableau3[[#This Row],[essence]],Tableau7[],8,FALSE)</f>
        <v>0</v>
      </c>
      <c r="X15" s="3">
        <f>IF(Tableau3[[#This Row],[sdom]]="2EST",1,0)</f>
        <v>0</v>
      </c>
      <c r="Y15" s="3">
        <f>VLOOKUP(Tableau3[[#This Row],[essence]],Tableau7[],9,FALSE)</f>
        <v>-0.27589999999999998</v>
      </c>
      <c r="Z15" s="3">
        <f>IF(Tableau3[[#This Row],[sdom]]="2OUEST",1,0)</f>
        <v>0</v>
      </c>
      <c r="AA15" s="3">
        <f>VLOOKUP(Tableau3[[#This Row],[essence]],Tableau7[],10,FALSE)</f>
        <v>0</v>
      </c>
      <c r="AB15" s="3">
        <f>IF(Tableau3[[#This Row],[sdom]]="3EST",1,0)</f>
        <v>1</v>
      </c>
      <c r="AC15" s="3">
        <f>VLOOKUP(Tableau3[[#This Row],[essence]],Tableau7[],11,FALSE)</f>
        <v>0</v>
      </c>
      <c r="AD15" s="3">
        <f>IF(Tableau3[[#This Row],[sdom]]="3OUEST",1,0)</f>
        <v>0</v>
      </c>
      <c r="AE15" s="3">
        <f>VLOOKUP(Tableau3[[#This Row],[essence]],Tableau7[],12,FALSE)</f>
        <v>0</v>
      </c>
      <c r="AF15" s="3">
        <f>IF(Tableau3[[#This Row],[sdom]]="4EST",1,0)</f>
        <v>0</v>
      </c>
      <c r="AG15" s="3">
        <f>VLOOKUP(Tableau3[[#This Row],[essence]],Tableau7[],13,FALSE)</f>
        <v>0</v>
      </c>
      <c r="AH15" s="3">
        <f>IF(Tableau3[[#This Row],[sdom]]="4OUEST",1,0)</f>
        <v>0</v>
      </c>
      <c r="AI15" s="3">
        <f>VLOOKUP(Tableau3[[#This Row],[essence]],Tableau7[],14,FALSE)</f>
        <v>0</v>
      </c>
      <c r="AJ15" s="3">
        <f>IF(Tableau3[[#This Row],[sdom]]="5EST",1,0)</f>
        <v>0</v>
      </c>
      <c r="AK15" s="3">
        <f>VLOOKUP(Tableau3[[#This Row],[essence]],Tableau7[],17,FALSE)</f>
        <v>6.4199999999999993E-2</v>
      </c>
      <c r="AL15" s="3">
        <f>IF(Tableau3[[#This Row],[priorecol]]="C",1,0)</f>
        <v>1</v>
      </c>
      <c r="AM15" s="3">
        <f>VLOOKUP(Tableau3[[#This Row],[essence]],Tableau7[],18,FALSE)</f>
        <v>6.3399999999999998E-2</v>
      </c>
      <c r="AN15" s="3">
        <f>IF(Tableau3[[#This Row],[priorecol]]="R",1,0)</f>
        <v>0</v>
      </c>
      <c r="AO15" s="3">
        <f>VLOOKUP(Tableau3[[#This Row],[essence]],Tableau7[],19,FALSE)</f>
        <v>8.2400000000000001E-2</v>
      </c>
      <c r="AP15" s="3">
        <f>IF(Tableau3[[#This Row],[priorecol]]="S",1,0)</f>
        <v>0</v>
      </c>
      <c r="AQ15" s="3">
        <f>VLOOKUP(Tableau3[[#This Row],[essence]],Tableau7[],21,FALSE)</f>
        <v>0</v>
      </c>
      <c r="AR15" s="3">
        <f>VLOOKUP(Tableau3[[#This Row],[essence]],Tableau7[],16,FALSE)</f>
        <v>0</v>
      </c>
      <c r="AS1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15" s="3">
        <f>Tableau3[[#This Row],[xb_]]+Tableau3[[#This Row],[b_intercept_C]]</f>
        <v>2.6023999999999998</v>
      </c>
      <c r="AU15" s="3">
        <f>Tableau3[[#This Row],[xb_]]+Tableau3[[#This Row],[b_intercept_B]]</f>
        <v>0.5219999999999998</v>
      </c>
      <c r="AV15" s="3">
        <f>1/(1+EXP(-Tableau3[[#This Row],[xb_c]]))</f>
        <v>0.93101587994365387</v>
      </c>
      <c r="AW15" s="3">
        <f>1/(1+EXP(-Tableau3[[#This Row],[xb_b]]))</f>
        <v>0.62761531415306238</v>
      </c>
      <c r="AX15" s="3" t="str">
        <f t="shared" si="0"/>
        <v>NA</v>
      </c>
      <c r="AY15" s="3">
        <f>Tableau3[[#This Row],[prob_b]]</f>
        <v>0.62761531415306238</v>
      </c>
      <c r="AZ15" s="3">
        <f>Tableau3[[#This Row],[prob_c]]-Tableau3[[#This Row],[prob_b]]</f>
        <v>0.30340056579059149</v>
      </c>
      <c r="BA15" s="3">
        <f>1-Tableau3[[#This Row],[prob_c]]</f>
        <v>6.8984120056346132E-2</v>
      </c>
    </row>
    <row r="16" spans="1:53" x14ac:dyDescent="0.25">
      <c r="A16" s="2">
        <v>4</v>
      </c>
      <c r="B16" s="2" t="s">
        <v>12</v>
      </c>
      <c r="C16" s="4">
        <v>2.1</v>
      </c>
      <c r="D16" s="4">
        <v>700</v>
      </c>
      <c r="E16" s="4">
        <v>20</v>
      </c>
      <c r="F16" s="4">
        <v>1</v>
      </c>
      <c r="G16" s="2">
        <v>37</v>
      </c>
      <c r="H16" s="2">
        <v>34</v>
      </c>
      <c r="I16" s="2" t="s">
        <v>23</v>
      </c>
      <c r="J16" s="2" t="s">
        <v>27</v>
      </c>
      <c r="K16" s="2">
        <f>VLOOKUP(Tableau3[[#This Row],[essence]],Tableau7[],2,FALSE)</f>
        <v>-3.9003999999999999</v>
      </c>
      <c r="L16" s="3">
        <f>VLOOKUP(Tableau3[[#This Row],[essence]],Tableau7[],3,FALSE)</f>
        <v>-1.7661</v>
      </c>
      <c r="M16" s="3">
        <f>VLOOKUP(Tableau3[[#This Row],[essence]],Tableau7[],4,FALSE)</f>
        <v>1.9438</v>
      </c>
      <c r="N16" s="3">
        <f>IF(Tableau3[[#This Row],[priorecol]]="C",1,0)</f>
        <v>1</v>
      </c>
      <c r="O16" s="3">
        <f>VLOOKUP(Tableau3[[#This Row],[essence]],Tableau7[],5,FALSE)</f>
        <v>2.9834000000000001</v>
      </c>
      <c r="P16" s="3">
        <f>IF(Tableau3[[#This Row],[priorecol]]="R",1,0)</f>
        <v>0</v>
      </c>
      <c r="Q16" s="3">
        <f>VLOOKUP(Tableau3[[#This Row],[essence]],Tableau7[],6,FALSE)</f>
        <v>1.0873999999999999</v>
      </c>
      <c r="R16" s="3">
        <f>IF(Tableau3[[#This Row],[priorecol]]="S",1,0)</f>
        <v>0</v>
      </c>
      <c r="S16" s="3">
        <f>VLOOKUP(Tableau3[[#This Row],[essence]],Tableau7[],7,FALSE)</f>
        <v>6.4000000000000001E-2</v>
      </c>
      <c r="T16" s="3">
        <f>VLOOKUP(Tableau3[[#This Row],[essence]],Tableau7[],15,FALSE)</f>
        <v>7.5199999999999998E-3</v>
      </c>
      <c r="U16" s="3">
        <f>VLOOKUP(Tableau3[[#This Row],[essence]],Tableau7[],20,FALSE)</f>
        <v>0.17810000000000001</v>
      </c>
      <c r="V16" s="3">
        <f>IF(Tableau3[[#This Row],[sdom]]=1,1,0)</f>
        <v>0</v>
      </c>
      <c r="W16" s="3">
        <f>VLOOKUP(Tableau3[[#This Row],[essence]],Tableau7[],8,FALSE)</f>
        <v>0.29430000000000001</v>
      </c>
      <c r="X16" s="3">
        <f>IF(Tableau3[[#This Row],[sdom]]="2EST",1,0)</f>
        <v>0</v>
      </c>
      <c r="Y16" s="3">
        <f>VLOOKUP(Tableau3[[#This Row],[essence]],Tableau7[],9,FALSE)</f>
        <v>0.11260000000000001</v>
      </c>
      <c r="Z16" s="3">
        <f>IF(Tableau3[[#This Row],[sdom]]="2OUEST",1,0)</f>
        <v>0</v>
      </c>
      <c r="AA16" s="3">
        <f>VLOOKUP(Tableau3[[#This Row],[essence]],Tableau7[],10,FALSE)</f>
        <v>1.2999999999999999E-2</v>
      </c>
      <c r="AB16" s="3">
        <f>IF(Tableau3[[#This Row],[sdom]]="3EST",1,0)</f>
        <v>1</v>
      </c>
      <c r="AC16" s="3">
        <f>VLOOKUP(Tableau3[[#This Row],[essence]],Tableau7[],11,FALSE)</f>
        <v>0.17150000000000001</v>
      </c>
      <c r="AD16" s="3">
        <f>IF(Tableau3[[#This Row],[sdom]]="3OUEST",1,0)</f>
        <v>0</v>
      </c>
      <c r="AE16" s="3">
        <f>VLOOKUP(Tableau3[[#This Row],[essence]],Tableau7[],12,FALSE)</f>
        <v>-0.1308</v>
      </c>
      <c r="AF16" s="3">
        <f>IF(Tableau3[[#This Row],[sdom]]="4EST",1,0)</f>
        <v>0</v>
      </c>
      <c r="AG16" s="3">
        <f>VLOOKUP(Tableau3[[#This Row],[essence]],Tableau7[],13,FALSE)</f>
        <v>-0.2858</v>
      </c>
      <c r="AH16" s="3">
        <f>IF(Tableau3[[#This Row],[sdom]]="4OUEST",1,0)</f>
        <v>0</v>
      </c>
      <c r="AI16" s="3">
        <f>VLOOKUP(Tableau3[[#This Row],[essence]],Tableau7[],14,FALSE)</f>
        <v>0</v>
      </c>
      <c r="AJ16" s="3">
        <f>IF(Tableau3[[#This Row],[sdom]]="5EST",1,0)</f>
        <v>0</v>
      </c>
      <c r="AK16" s="3">
        <f>VLOOKUP(Tableau3[[#This Row],[essence]],Tableau7[],17,FALSE)</f>
        <v>0</v>
      </c>
      <c r="AL16" s="3">
        <f>IF(Tableau3[[#This Row],[priorecol]]="C",1,0)</f>
        <v>1</v>
      </c>
      <c r="AM16" s="3">
        <f>VLOOKUP(Tableau3[[#This Row],[essence]],Tableau7[],18,FALSE)</f>
        <v>0</v>
      </c>
      <c r="AN16" s="3">
        <f>IF(Tableau3[[#This Row],[priorecol]]="R",1,0)</f>
        <v>0</v>
      </c>
      <c r="AO16" s="3">
        <f>VLOOKUP(Tableau3[[#This Row],[essence]],Tableau7[],19,FALSE)</f>
        <v>0</v>
      </c>
      <c r="AP16" s="3">
        <f>IF(Tableau3[[#This Row],[priorecol]]="S",1,0)</f>
        <v>0</v>
      </c>
      <c r="AQ16" s="3">
        <f>VLOOKUP(Tableau3[[#This Row],[essence]],Tableau7[],21,FALSE)</f>
        <v>0</v>
      </c>
      <c r="AR16" s="3">
        <f>VLOOKUP(Tableau3[[#This Row],[essence]],Tableau7[],16,FALSE)</f>
        <v>0</v>
      </c>
      <c r="AS1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4.2831999999999999</v>
      </c>
      <c r="AT16" s="3">
        <f>Tableau3[[#This Row],[xb_]]+Tableau3[[#This Row],[b_intercept_C]]</f>
        <v>2.5171000000000001</v>
      </c>
      <c r="AU16" s="3">
        <f>Tableau3[[#This Row],[xb_]]+Tableau3[[#This Row],[b_intercept_B]]</f>
        <v>0.38280000000000003</v>
      </c>
      <c r="AV16" s="3">
        <f>1/(1+EXP(-Tableau3[[#This Row],[xb_c]]))</f>
        <v>0.92533193285120485</v>
      </c>
      <c r="AW16" s="3">
        <f>1/(1+EXP(-Tableau3[[#This Row],[xb_b]]))</f>
        <v>0.59454825098749386</v>
      </c>
      <c r="AX16" s="3" t="str">
        <f t="shared" si="0"/>
        <v>NA</v>
      </c>
      <c r="AY16" s="3">
        <f>Tableau3[[#This Row],[prob_b]]</f>
        <v>0.59454825098749386</v>
      </c>
      <c r="AZ16" s="3">
        <f>Tableau3[[#This Row],[prob_c]]-Tableau3[[#This Row],[prob_b]]</f>
        <v>0.33078368186371099</v>
      </c>
      <c r="BA16" s="3">
        <f>1-Tableau3[[#This Row],[prob_c]]</f>
        <v>7.4668067148795148E-2</v>
      </c>
    </row>
    <row r="17" spans="1:53" x14ac:dyDescent="0.25">
      <c r="A17" s="3">
        <v>4</v>
      </c>
      <c r="B17" s="3" t="s">
        <v>12</v>
      </c>
      <c r="C17" s="1">
        <v>2.1</v>
      </c>
      <c r="D17" s="1">
        <v>700</v>
      </c>
      <c r="E17" s="1">
        <v>20</v>
      </c>
      <c r="F17" s="1">
        <v>1</v>
      </c>
      <c r="G17" s="3">
        <v>43</v>
      </c>
      <c r="H17" s="3">
        <v>34</v>
      </c>
      <c r="I17" s="3" t="s">
        <v>25</v>
      </c>
      <c r="J17" s="3" t="s">
        <v>27</v>
      </c>
      <c r="K17" s="3">
        <f>VLOOKUP(Tableau3[[#This Row],[essence]],Tableau7[],2,FALSE)</f>
        <v>-2.9584999999999999</v>
      </c>
      <c r="L17" s="3">
        <f>VLOOKUP(Tableau3[[#This Row],[essence]],Tableau7[],3,FALSE)</f>
        <v>-1.1581999999999999</v>
      </c>
      <c r="M17" s="3">
        <f>VLOOKUP(Tableau3[[#This Row],[essence]],Tableau7[],4,FALSE)</f>
        <v>1.3563000000000001</v>
      </c>
      <c r="N17" s="3">
        <f>IF(Tableau3[[#This Row],[priorecol]]="C",1,0)</f>
        <v>1</v>
      </c>
      <c r="O17" s="3">
        <f>VLOOKUP(Tableau3[[#This Row],[essence]],Tableau7[],5,FALSE)</f>
        <v>2.0564</v>
      </c>
      <c r="P17" s="3">
        <f>IF(Tableau3[[#This Row],[priorecol]]="R",1,0)</f>
        <v>0</v>
      </c>
      <c r="Q17" s="3">
        <f>VLOOKUP(Tableau3[[#This Row],[essence]],Tableau7[],6,FALSE)</f>
        <v>1.3911</v>
      </c>
      <c r="R17" s="3">
        <f>IF(Tableau3[[#This Row],[priorecol]]="S",1,0)</f>
        <v>0</v>
      </c>
      <c r="S17" s="3">
        <f>VLOOKUP(Tableau3[[#This Row],[essence]],Tableau7[],7,FALSE)</f>
        <v>0</v>
      </c>
      <c r="T17" s="3">
        <f>VLOOKUP(Tableau3[[#This Row],[essence]],Tableau7[],15,FALSE)</f>
        <v>0</v>
      </c>
      <c r="U17" s="3">
        <f>VLOOKUP(Tableau3[[#This Row],[essence]],Tableau7[],20,FALSE)</f>
        <v>0</v>
      </c>
      <c r="V17" s="3">
        <f>IF(Tableau3[[#This Row],[sdom]]=1,1,0)</f>
        <v>0</v>
      </c>
      <c r="W17" s="3">
        <f>VLOOKUP(Tableau3[[#This Row],[essence]],Tableau7[],8,FALSE)</f>
        <v>0.19420000000000001</v>
      </c>
      <c r="X17" s="3">
        <f>IF(Tableau3[[#This Row],[sdom]]="2EST",1,0)</f>
        <v>0</v>
      </c>
      <c r="Y17" s="3">
        <f>VLOOKUP(Tableau3[[#This Row],[essence]],Tableau7[],9,FALSE)</f>
        <v>-0.1956</v>
      </c>
      <c r="Z17" s="3">
        <f>IF(Tableau3[[#This Row],[sdom]]="2OUEST",1,0)</f>
        <v>0</v>
      </c>
      <c r="AA17" s="3">
        <f>VLOOKUP(Tableau3[[#This Row],[essence]],Tableau7[],10,FALSE)</f>
        <v>-0.1221</v>
      </c>
      <c r="AB17" s="3">
        <f>IF(Tableau3[[#This Row],[sdom]]="3EST",1,0)</f>
        <v>1</v>
      </c>
      <c r="AC17" s="3">
        <f>VLOOKUP(Tableau3[[#This Row],[essence]],Tableau7[],11,FALSE)</f>
        <v>0.16789999999999999</v>
      </c>
      <c r="AD17" s="3">
        <f>IF(Tableau3[[#This Row],[sdom]]="3OUEST",1,0)</f>
        <v>0</v>
      </c>
      <c r="AE17" s="3">
        <f>VLOOKUP(Tableau3[[#This Row],[essence]],Tableau7[],12,FALSE)</f>
        <v>0</v>
      </c>
      <c r="AF17" s="3">
        <f>IF(Tableau3[[#This Row],[sdom]]="4EST",1,0)</f>
        <v>0</v>
      </c>
      <c r="AG17" s="3">
        <f>VLOOKUP(Tableau3[[#This Row],[essence]],Tableau7[],13,FALSE)</f>
        <v>0</v>
      </c>
      <c r="AH17" s="3">
        <f>IF(Tableau3[[#This Row],[sdom]]="4OUEST",1,0)</f>
        <v>0</v>
      </c>
      <c r="AI17" s="3">
        <f>VLOOKUP(Tableau3[[#This Row],[essence]],Tableau7[],14,FALSE)</f>
        <v>0</v>
      </c>
      <c r="AJ17" s="3">
        <f>IF(Tableau3[[#This Row],[sdom]]="5EST",1,0)</f>
        <v>0</v>
      </c>
      <c r="AK17" s="3">
        <f>VLOOKUP(Tableau3[[#This Row],[essence]],Tableau7[],17,FALSE)</f>
        <v>0</v>
      </c>
      <c r="AL17" s="3">
        <f>IF(Tableau3[[#This Row],[priorecol]]="C",1,0)</f>
        <v>1</v>
      </c>
      <c r="AM17" s="3">
        <f>VLOOKUP(Tableau3[[#This Row],[essence]],Tableau7[],18,FALSE)</f>
        <v>0</v>
      </c>
      <c r="AN17" s="3">
        <f>IF(Tableau3[[#This Row],[priorecol]]="R",1,0)</f>
        <v>0</v>
      </c>
      <c r="AO17" s="3">
        <f>VLOOKUP(Tableau3[[#This Row],[essence]],Tableau7[],19,FALSE)</f>
        <v>0</v>
      </c>
      <c r="AP17" s="3">
        <f>IF(Tableau3[[#This Row],[priorecol]]="S",1,0)</f>
        <v>0</v>
      </c>
      <c r="AQ17" s="3">
        <f>VLOOKUP(Tableau3[[#This Row],[essence]],Tableau7[],21,FALSE)</f>
        <v>0.2979</v>
      </c>
      <c r="AR17" s="3">
        <f>VLOOKUP(Tableau3[[#This Row],[essence]],Tableau7[],16,FALSE)</f>
        <v>0.154</v>
      </c>
      <c r="AS1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1.8555000000000001</v>
      </c>
      <c r="AT17" s="3">
        <f>Tableau3[[#This Row],[xb_]]+Tableau3[[#This Row],[b_intercept_C]]</f>
        <v>0.69730000000000025</v>
      </c>
      <c r="AU17" s="3">
        <f>Tableau3[[#This Row],[xb_]]+Tableau3[[#This Row],[b_intercept_B]]</f>
        <v>-1.1029999999999998</v>
      </c>
      <c r="AV17" s="3">
        <f>1/(1+EXP(-Tableau3[[#This Row],[xb_c]]))</f>
        <v>0.66758887581108539</v>
      </c>
      <c r="AW17" s="3">
        <f>1/(1+EXP(-Tableau3[[#This Row],[xb_b]]))</f>
        <v>0.24917820689143469</v>
      </c>
      <c r="AX17" s="3" t="str">
        <f t="shared" si="0"/>
        <v>NA</v>
      </c>
      <c r="AY17" s="3">
        <f>Tableau3[[#This Row],[prob_b]]</f>
        <v>0.24917820689143469</v>
      </c>
      <c r="AZ17" s="3">
        <f>Tableau3[[#This Row],[prob_c]]-Tableau3[[#This Row],[prob_b]]</f>
        <v>0.41841066891965073</v>
      </c>
      <c r="BA17" s="3">
        <f>1-Tableau3[[#This Row],[prob_c]]</f>
        <v>0.33241112418891461</v>
      </c>
    </row>
    <row r="18" spans="1:53" x14ac:dyDescent="0.25">
      <c r="A18" s="2">
        <v>5</v>
      </c>
      <c r="B18" s="2" t="s">
        <v>13</v>
      </c>
      <c r="C18" s="4">
        <v>2.1</v>
      </c>
      <c r="D18" s="4">
        <v>700</v>
      </c>
      <c r="E18" s="4">
        <v>20</v>
      </c>
      <c r="F18" s="4">
        <v>1</v>
      </c>
      <c r="G18" s="2">
        <v>25</v>
      </c>
      <c r="H18" s="2">
        <v>34</v>
      </c>
      <c r="I18" s="2" t="s">
        <v>19</v>
      </c>
      <c r="J18" s="2" t="s">
        <v>27</v>
      </c>
      <c r="K18" s="2">
        <f>VLOOKUP(Tableau3[[#This Row],[essence]],Tableau7[],2,FALSE)</f>
        <v>-3.7313999999999998</v>
      </c>
      <c r="L18" s="3">
        <f>VLOOKUP(Tableau3[[#This Row],[essence]],Tableau7[],3,FALSE)</f>
        <v>-1.7194</v>
      </c>
      <c r="M18" s="3">
        <f>VLOOKUP(Tableau3[[#This Row],[essence]],Tableau7[],4,FALSE)</f>
        <v>1.5371999999999999</v>
      </c>
      <c r="N18" s="3">
        <f>IF(Tableau3[[#This Row],[priorecol]]="C",1,0)</f>
        <v>1</v>
      </c>
      <c r="O18" s="3">
        <f>VLOOKUP(Tableau3[[#This Row],[essence]],Tableau7[],5,FALSE)</f>
        <v>2.5815000000000001</v>
      </c>
      <c r="P18" s="3">
        <f>IF(Tableau3[[#This Row],[priorecol]]="R",1,0)</f>
        <v>0</v>
      </c>
      <c r="Q18" s="3">
        <f>VLOOKUP(Tableau3[[#This Row],[essence]],Tableau7[],6,FALSE)</f>
        <v>0.96079999999999999</v>
      </c>
      <c r="R18" s="3">
        <f>IF(Tableau3[[#This Row],[priorecol]]="S",1,0)</f>
        <v>0</v>
      </c>
      <c r="S18" s="3">
        <f>VLOOKUP(Tableau3[[#This Row],[essence]],Tableau7[],7,FALSE)</f>
        <v>4.2799999999999998E-2</v>
      </c>
      <c r="T18" s="3">
        <f>VLOOKUP(Tableau3[[#This Row],[essence]],Tableau7[],15,FALSE)</f>
        <v>1.54E-2</v>
      </c>
      <c r="U18" s="3">
        <f>VLOOKUP(Tableau3[[#This Row],[essence]],Tableau7[],20,FALSE)</f>
        <v>0</v>
      </c>
      <c r="V18" s="3">
        <f>IF(Tableau3[[#This Row],[sdom]]=1,1,0)</f>
        <v>0</v>
      </c>
      <c r="W18" s="3">
        <f>VLOOKUP(Tableau3[[#This Row],[essence]],Tableau7[],8,FALSE)</f>
        <v>2.3900000000000001E-2</v>
      </c>
      <c r="X18" s="3">
        <f>IF(Tableau3[[#This Row],[sdom]]="2EST",1,0)</f>
        <v>0</v>
      </c>
      <c r="Y18" s="3">
        <f>VLOOKUP(Tableau3[[#This Row],[essence]],Tableau7[],9,FALSE)</f>
        <v>-0.4793</v>
      </c>
      <c r="Z18" s="3">
        <f>IF(Tableau3[[#This Row],[sdom]]="2OUEST",1,0)</f>
        <v>0</v>
      </c>
      <c r="AA18" s="3">
        <f>VLOOKUP(Tableau3[[#This Row],[essence]],Tableau7[],10,FALSE)</f>
        <v>0.13880000000000001</v>
      </c>
      <c r="AB18" s="3">
        <f>IF(Tableau3[[#This Row],[sdom]]="3EST",1,0)</f>
        <v>0</v>
      </c>
      <c r="AC18" s="3">
        <f>VLOOKUP(Tableau3[[#This Row],[essence]],Tableau7[],11,FALSE)</f>
        <v>0.27039999999999997</v>
      </c>
      <c r="AD18" s="3">
        <f>IF(Tableau3[[#This Row],[sdom]]="3OUEST",1,0)</f>
        <v>1</v>
      </c>
      <c r="AE18" s="3">
        <f>VLOOKUP(Tableau3[[#This Row],[essence]],Tableau7[],12,FALSE)</f>
        <v>4.6600000000000001E-3</v>
      </c>
      <c r="AF18" s="3">
        <f>IF(Tableau3[[#This Row],[sdom]]="4EST",1,0)</f>
        <v>0</v>
      </c>
      <c r="AG18" s="3">
        <f>VLOOKUP(Tableau3[[#This Row],[essence]],Tableau7[],13,FALSE)</f>
        <v>0.1986</v>
      </c>
      <c r="AH18" s="3">
        <f>IF(Tableau3[[#This Row],[sdom]]="4OUEST",1,0)</f>
        <v>0</v>
      </c>
      <c r="AI18" s="3">
        <f>VLOOKUP(Tableau3[[#This Row],[essence]],Tableau7[],14,FALSE)</f>
        <v>-0.2535</v>
      </c>
      <c r="AJ18" s="3">
        <f>IF(Tableau3[[#This Row],[sdom]]="5EST",1,0)</f>
        <v>0</v>
      </c>
      <c r="AK18" s="3">
        <f>VLOOKUP(Tableau3[[#This Row],[essence]],Tableau7[],17,FALSE)</f>
        <v>0</v>
      </c>
      <c r="AL18" s="3">
        <f>IF(Tableau3[[#This Row],[priorecol]]="C",1,0)</f>
        <v>1</v>
      </c>
      <c r="AM18" s="3">
        <f>VLOOKUP(Tableau3[[#This Row],[essence]],Tableau7[],18,FALSE)</f>
        <v>0</v>
      </c>
      <c r="AN18" s="3">
        <f>IF(Tableau3[[#This Row],[priorecol]]="R",1,0)</f>
        <v>0</v>
      </c>
      <c r="AO18" s="3">
        <f>VLOOKUP(Tableau3[[#This Row],[essence]],Tableau7[],19,FALSE)</f>
        <v>0</v>
      </c>
      <c r="AP18" s="3">
        <f>IF(Tableau3[[#This Row],[priorecol]]="S",1,0)</f>
        <v>0</v>
      </c>
      <c r="AQ18" s="3">
        <f>VLOOKUP(Tableau3[[#This Row],[essence]],Tableau7[],21,FALSE)</f>
        <v>0</v>
      </c>
      <c r="AR18" s="3">
        <f>VLOOKUP(Tableau3[[#This Row],[essence]],Tableau7[],16,FALSE)</f>
        <v>0.123</v>
      </c>
      <c r="AS1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3.8290999999999999</v>
      </c>
      <c r="AT18" s="3">
        <f>Tableau3[[#This Row],[xb_]]+Tableau3[[#This Row],[b_intercept_C]]</f>
        <v>2.1097000000000001</v>
      </c>
      <c r="AU18" s="3">
        <f>Tableau3[[#This Row],[xb_]]+Tableau3[[#This Row],[b_intercept_B]]</f>
        <v>9.770000000000012E-2</v>
      </c>
      <c r="AV18" s="3">
        <f>1/(1+EXP(-Tableau3[[#This Row],[xb_c]]))</f>
        <v>0.89184239877918203</v>
      </c>
      <c r="AW18" s="3">
        <f>1/(1+EXP(-Tableau3[[#This Row],[xb_b]]))</f>
        <v>0.52440558988495301</v>
      </c>
      <c r="AX18" s="3" t="str">
        <f t="shared" si="0"/>
        <v>NA</v>
      </c>
      <c r="AY18" s="3">
        <f>Tableau3[[#This Row],[prob_b]]</f>
        <v>0.52440558988495301</v>
      </c>
      <c r="AZ18" s="3">
        <f>Tableau3[[#This Row],[prob_c]]-Tableau3[[#This Row],[prob_b]]</f>
        <v>0.36743680889422903</v>
      </c>
      <c r="BA18" s="3">
        <f>1-Tableau3[[#This Row],[prob_c]]</f>
        <v>0.10815760122081797</v>
      </c>
    </row>
    <row r="19" spans="1:53" x14ac:dyDescent="0.25">
      <c r="A19" s="3">
        <v>5</v>
      </c>
      <c r="B19" s="3" t="s">
        <v>13</v>
      </c>
      <c r="C19" s="1">
        <v>2.1</v>
      </c>
      <c r="D19" s="1">
        <v>700</v>
      </c>
      <c r="E19" s="1">
        <v>20</v>
      </c>
      <c r="F19" s="1">
        <v>1</v>
      </c>
      <c r="G19" s="3">
        <v>31</v>
      </c>
      <c r="H19" s="3">
        <v>34</v>
      </c>
      <c r="I19" s="3" t="s">
        <v>21</v>
      </c>
      <c r="J19" s="3" t="s">
        <v>27</v>
      </c>
      <c r="K19" s="3">
        <f>VLOOKUP(Tableau3[[#This Row],[essence]],Tableau7[],2,FALSE)</f>
        <v>-0.68799999999999994</v>
      </c>
      <c r="L19" s="3">
        <f>VLOOKUP(Tableau3[[#This Row],[essence]],Tableau7[],3,FALSE)</f>
        <v>1.3924000000000001</v>
      </c>
      <c r="M19" s="3">
        <f>VLOOKUP(Tableau3[[#This Row],[essence]],Tableau7[],4,FALSE)</f>
        <v>0.41599999999999998</v>
      </c>
      <c r="N19" s="3">
        <f>IF(Tableau3[[#This Row],[priorecol]]="C",1,0)</f>
        <v>1</v>
      </c>
      <c r="O19" s="3">
        <f>VLOOKUP(Tableau3[[#This Row],[essence]],Tableau7[],5,FALSE)</f>
        <v>1.5604</v>
      </c>
      <c r="P19" s="3">
        <f>IF(Tableau3[[#This Row],[priorecol]]="R",1,0)</f>
        <v>0</v>
      </c>
      <c r="Q19" s="3">
        <f>VLOOKUP(Tableau3[[#This Row],[essence]],Tableau7[],6,FALSE)</f>
        <v>-0.64770000000000005</v>
      </c>
      <c r="R19" s="3">
        <f>IF(Tableau3[[#This Row],[priorecol]]="S",1,0)</f>
        <v>0</v>
      </c>
      <c r="S19" s="3">
        <f>VLOOKUP(Tableau3[[#This Row],[essence]],Tableau7[],7,FALSE)</f>
        <v>0</v>
      </c>
      <c r="T19" s="3">
        <f>VLOOKUP(Tableau3[[#This Row],[essence]],Tableau7[],15,FALSE)</f>
        <v>-2.4500000000000001E-2</v>
      </c>
      <c r="U19" s="3">
        <f>VLOOKUP(Tableau3[[#This Row],[essence]],Tableau7[],20,FALSE)</f>
        <v>0.15179999999999999</v>
      </c>
      <c r="V19" s="3">
        <f>IF(Tableau3[[#This Row],[sdom]]=1,1,0)</f>
        <v>0</v>
      </c>
      <c r="W19" s="3">
        <f>VLOOKUP(Tableau3[[#This Row],[essence]],Tableau7[],8,FALSE)</f>
        <v>0</v>
      </c>
      <c r="X19" s="3">
        <f>IF(Tableau3[[#This Row],[sdom]]="2EST",1,0)</f>
        <v>0</v>
      </c>
      <c r="Y19" s="3">
        <f>VLOOKUP(Tableau3[[#This Row],[essence]],Tableau7[],9,FALSE)</f>
        <v>-0.27589999999999998</v>
      </c>
      <c r="Z19" s="3">
        <f>IF(Tableau3[[#This Row],[sdom]]="2OUEST",1,0)</f>
        <v>0</v>
      </c>
      <c r="AA19" s="3">
        <f>VLOOKUP(Tableau3[[#This Row],[essence]],Tableau7[],10,FALSE)</f>
        <v>0</v>
      </c>
      <c r="AB19" s="3">
        <f>IF(Tableau3[[#This Row],[sdom]]="3EST",1,0)</f>
        <v>0</v>
      </c>
      <c r="AC19" s="3">
        <f>VLOOKUP(Tableau3[[#This Row],[essence]],Tableau7[],11,FALSE)</f>
        <v>0</v>
      </c>
      <c r="AD19" s="3">
        <f>IF(Tableau3[[#This Row],[sdom]]="3OUEST",1,0)</f>
        <v>1</v>
      </c>
      <c r="AE19" s="3">
        <f>VLOOKUP(Tableau3[[#This Row],[essence]],Tableau7[],12,FALSE)</f>
        <v>0</v>
      </c>
      <c r="AF19" s="3">
        <f>IF(Tableau3[[#This Row],[sdom]]="4EST",1,0)</f>
        <v>0</v>
      </c>
      <c r="AG19" s="3">
        <f>VLOOKUP(Tableau3[[#This Row],[essence]],Tableau7[],13,FALSE)</f>
        <v>0</v>
      </c>
      <c r="AH19" s="3">
        <f>IF(Tableau3[[#This Row],[sdom]]="4OUEST",1,0)</f>
        <v>0</v>
      </c>
      <c r="AI19" s="3">
        <f>VLOOKUP(Tableau3[[#This Row],[essence]],Tableau7[],14,FALSE)</f>
        <v>0</v>
      </c>
      <c r="AJ19" s="3">
        <f>IF(Tableau3[[#This Row],[sdom]]="5EST",1,0)</f>
        <v>0</v>
      </c>
      <c r="AK19" s="3">
        <f>VLOOKUP(Tableau3[[#This Row],[essence]],Tableau7[],17,FALSE)</f>
        <v>6.4199999999999993E-2</v>
      </c>
      <c r="AL19" s="3">
        <f>IF(Tableau3[[#This Row],[priorecol]]="C",1,0)</f>
        <v>1</v>
      </c>
      <c r="AM19" s="3">
        <f>VLOOKUP(Tableau3[[#This Row],[essence]],Tableau7[],18,FALSE)</f>
        <v>6.3399999999999998E-2</v>
      </c>
      <c r="AN19" s="3">
        <f>IF(Tableau3[[#This Row],[priorecol]]="R",1,0)</f>
        <v>0</v>
      </c>
      <c r="AO19" s="3">
        <f>VLOOKUP(Tableau3[[#This Row],[essence]],Tableau7[],19,FALSE)</f>
        <v>8.2400000000000001E-2</v>
      </c>
      <c r="AP19" s="3">
        <f>IF(Tableau3[[#This Row],[priorecol]]="S",1,0)</f>
        <v>0</v>
      </c>
      <c r="AQ19" s="3">
        <f>VLOOKUP(Tableau3[[#This Row],[essence]],Tableau7[],21,FALSE)</f>
        <v>0</v>
      </c>
      <c r="AR19" s="3">
        <f>VLOOKUP(Tableau3[[#This Row],[essence]],Tableau7[],16,FALSE)</f>
        <v>0</v>
      </c>
      <c r="AS1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19" s="3">
        <f>Tableau3[[#This Row],[xb_]]+Tableau3[[#This Row],[b_intercept_C]]</f>
        <v>2.6023999999999998</v>
      </c>
      <c r="AU19" s="3">
        <f>Tableau3[[#This Row],[xb_]]+Tableau3[[#This Row],[b_intercept_B]]</f>
        <v>0.5219999999999998</v>
      </c>
      <c r="AV19" s="3">
        <f>1/(1+EXP(-Tableau3[[#This Row],[xb_c]]))</f>
        <v>0.93101587994365387</v>
      </c>
      <c r="AW19" s="3">
        <f>1/(1+EXP(-Tableau3[[#This Row],[xb_b]]))</f>
        <v>0.62761531415306238</v>
      </c>
      <c r="AX19" s="3" t="str">
        <f t="shared" si="0"/>
        <v>NA</v>
      </c>
      <c r="AY19" s="3">
        <f>Tableau3[[#This Row],[prob_b]]</f>
        <v>0.62761531415306238</v>
      </c>
      <c r="AZ19" s="3">
        <f>Tableau3[[#This Row],[prob_c]]-Tableau3[[#This Row],[prob_b]]</f>
        <v>0.30340056579059149</v>
      </c>
      <c r="BA19" s="3">
        <f>1-Tableau3[[#This Row],[prob_c]]</f>
        <v>6.8984120056346132E-2</v>
      </c>
    </row>
    <row r="20" spans="1:53" x14ac:dyDescent="0.25">
      <c r="A20" s="2">
        <v>5</v>
      </c>
      <c r="B20" s="2" t="s">
        <v>13</v>
      </c>
      <c r="C20" s="4">
        <v>2.1</v>
      </c>
      <c r="D20" s="4">
        <v>700</v>
      </c>
      <c r="E20" s="4">
        <v>20</v>
      </c>
      <c r="F20" s="4">
        <v>1</v>
      </c>
      <c r="G20" s="2">
        <v>37</v>
      </c>
      <c r="H20" s="2">
        <v>34</v>
      </c>
      <c r="I20" s="2" t="s">
        <v>23</v>
      </c>
      <c r="J20" s="2" t="s">
        <v>27</v>
      </c>
      <c r="K20" s="2">
        <f>VLOOKUP(Tableau3[[#This Row],[essence]],Tableau7[],2,FALSE)</f>
        <v>-3.9003999999999999</v>
      </c>
      <c r="L20" s="3">
        <f>VLOOKUP(Tableau3[[#This Row],[essence]],Tableau7[],3,FALSE)</f>
        <v>-1.7661</v>
      </c>
      <c r="M20" s="3">
        <f>VLOOKUP(Tableau3[[#This Row],[essence]],Tableau7[],4,FALSE)</f>
        <v>1.9438</v>
      </c>
      <c r="N20" s="3">
        <f>IF(Tableau3[[#This Row],[priorecol]]="C",1,0)</f>
        <v>1</v>
      </c>
      <c r="O20" s="3">
        <f>VLOOKUP(Tableau3[[#This Row],[essence]],Tableau7[],5,FALSE)</f>
        <v>2.9834000000000001</v>
      </c>
      <c r="P20" s="3">
        <f>IF(Tableau3[[#This Row],[priorecol]]="R",1,0)</f>
        <v>0</v>
      </c>
      <c r="Q20" s="3">
        <f>VLOOKUP(Tableau3[[#This Row],[essence]],Tableau7[],6,FALSE)</f>
        <v>1.0873999999999999</v>
      </c>
      <c r="R20" s="3">
        <f>IF(Tableau3[[#This Row],[priorecol]]="S",1,0)</f>
        <v>0</v>
      </c>
      <c r="S20" s="3">
        <f>VLOOKUP(Tableau3[[#This Row],[essence]],Tableau7[],7,FALSE)</f>
        <v>6.4000000000000001E-2</v>
      </c>
      <c r="T20" s="3">
        <f>VLOOKUP(Tableau3[[#This Row],[essence]],Tableau7[],15,FALSE)</f>
        <v>7.5199999999999998E-3</v>
      </c>
      <c r="U20" s="3">
        <f>VLOOKUP(Tableau3[[#This Row],[essence]],Tableau7[],20,FALSE)</f>
        <v>0.17810000000000001</v>
      </c>
      <c r="V20" s="3">
        <f>IF(Tableau3[[#This Row],[sdom]]=1,1,0)</f>
        <v>0</v>
      </c>
      <c r="W20" s="3">
        <f>VLOOKUP(Tableau3[[#This Row],[essence]],Tableau7[],8,FALSE)</f>
        <v>0.29430000000000001</v>
      </c>
      <c r="X20" s="3">
        <f>IF(Tableau3[[#This Row],[sdom]]="2EST",1,0)</f>
        <v>0</v>
      </c>
      <c r="Y20" s="3">
        <f>VLOOKUP(Tableau3[[#This Row],[essence]],Tableau7[],9,FALSE)</f>
        <v>0.11260000000000001</v>
      </c>
      <c r="Z20" s="3">
        <f>IF(Tableau3[[#This Row],[sdom]]="2OUEST",1,0)</f>
        <v>0</v>
      </c>
      <c r="AA20" s="3">
        <f>VLOOKUP(Tableau3[[#This Row],[essence]],Tableau7[],10,FALSE)</f>
        <v>1.2999999999999999E-2</v>
      </c>
      <c r="AB20" s="3">
        <f>IF(Tableau3[[#This Row],[sdom]]="3EST",1,0)</f>
        <v>0</v>
      </c>
      <c r="AC20" s="3">
        <f>VLOOKUP(Tableau3[[#This Row],[essence]],Tableau7[],11,FALSE)</f>
        <v>0.17150000000000001</v>
      </c>
      <c r="AD20" s="3">
        <f>IF(Tableau3[[#This Row],[sdom]]="3OUEST",1,0)</f>
        <v>1</v>
      </c>
      <c r="AE20" s="3">
        <f>VLOOKUP(Tableau3[[#This Row],[essence]],Tableau7[],12,FALSE)</f>
        <v>-0.1308</v>
      </c>
      <c r="AF20" s="3">
        <f>IF(Tableau3[[#This Row],[sdom]]="4EST",1,0)</f>
        <v>0</v>
      </c>
      <c r="AG20" s="3">
        <f>VLOOKUP(Tableau3[[#This Row],[essence]],Tableau7[],13,FALSE)</f>
        <v>-0.2858</v>
      </c>
      <c r="AH20" s="3">
        <f>IF(Tableau3[[#This Row],[sdom]]="4OUEST",1,0)</f>
        <v>0</v>
      </c>
      <c r="AI20" s="3">
        <f>VLOOKUP(Tableau3[[#This Row],[essence]],Tableau7[],14,FALSE)</f>
        <v>0</v>
      </c>
      <c r="AJ20" s="3">
        <f>IF(Tableau3[[#This Row],[sdom]]="5EST",1,0)</f>
        <v>0</v>
      </c>
      <c r="AK20" s="3">
        <f>VLOOKUP(Tableau3[[#This Row],[essence]],Tableau7[],17,FALSE)</f>
        <v>0</v>
      </c>
      <c r="AL20" s="3">
        <f>IF(Tableau3[[#This Row],[priorecol]]="C",1,0)</f>
        <v>1</v>
      </c>
      <c r="AM20" s="3">
        <f>VLOOKUP(Tableau3[[#This Row],[essence]],Tableau7[],18,FALSE)</f>
        <v>0</v>
      </c>
      <c r="AN20" s="3">
        <f>IF(Tableau3[[#This Row],[priorecol]]="R",1,0)</f>
        <v>0</v>
      </c>
      <c r="AO20" s="3">
        <f>VLOOKUP(Tableau3[[#This Row],[essence]],Tableau7[],19,FALSE)</f>
        <v>0</v>
      </c>
      <c r="AP20" s="3">
        <f>IF(Tableau3[[#This Row],[priorecol]]="S",1,0)</f>
        <v>0</v>
      </c>
      <c r="AQ20" s="3">
        <f>VLOOKUP(Tableau3[[#This Row],[essence]],Tableau7[],21,FALSE)</f>
        <v>0</v>
      </c>
      <c r="AR20" s="3">
        <f>VLOOKUP(Tableau3[[#This Row],[essence]],Tableau7[],16,FALSE)</f>
        <v>0</v>
      </c>
      <c r="AS2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4.4417</v>
      </c>
      <c r="AT20" s="3">
        <f>Tableau3[[#This Row],[xb_]]+Tableau3[[#This Row],[b_intercept_C]]</f>
        <v>2.6756000000000002</v>
      </c>
      <c r="AU20" s="3">
        <f>Tableau3[[#This Row],[xb_]]+Tableau3[[#This Row],[b_intercept_B]]</f>
        <v>0.54130000000000011</v>
      </c>
      <c r="AV20" s="3">
        <f>1/(1+EXP(-Tableau3[[#This Row],[xb_c]]))</f>
        <v>0.93557141014365819</v>
      </c>
      <c r="AW20" s="3">
        <f>1/(1+EXP(-Tableau3[[#This Row],[xb_b]]))</f>
        <v>0.63211477901454638</v>
      </c>
      <c r="AX20" s="3" t="str">
        <f t="shared" si="0"/>
        <v>NA</v>
      </c>
      <c r="AY20" s="3">
        <f>Tableau3[[#This Row],[prob_b]]</f>
        <v>0.63211477901454638</v>
      </c>
      <c r="AZ20" s="3">
        <f>Tableau3[[#This Row],[prob_c]]-Tableau3[[#This Row],[prob_b]]</f>
        <v>0.30345663112911181</v>
      </c>
      <c r="BA20" s="3">
        <f>1-Tableau3[[#This Row],[prob_c]]</f>
        <v>6.4428589856341811E-2</v>
      </c>
    </row>
    <row r="21" spans="1:53" x14ac:dyDescent="0.25">
      <c r="A21" s="3">
        <v>5</v>
      </c>
      <c r="B21" s="3" t="s">
        <v>13</v>
      </c>
      <c r="C21" s="1">
        <v>2.1</v>
      </c>
      <c r="D21" s="1">
        <v>700</v>
      </c>
      <c r="E21" s="1">
        <v>20</v>
      </c>
      <c r="F21" s="1">
        <v>1</v>
      </c>
      <c r="G21" s="3">
        <v>43</v>
      </c>
      <c r="H21" s="3">
        <v>34</v>
      </c>
      <c r="I21" s="3" t="s">
        <v>25</v>
      </c>
      <c r="J21" s="3" t="s">
        <v>27</v>
      </c>
      <c r="K21" s="3">
        <f>VLOOKUP(Tableau3[[#This Row],[essence]],Tableau7[],2,FALSE)</f>
        <v>-2.9584999999999999</v>
      </c>
      <c r="L21" s="3">
        <f>VLOOKUP(Tableau3[[#This Row],[essence]],Tableau7[],3,FALSE)</f>
        <v>-1.1581999999999999</v>
      </c>
      <c r="M21" s="3">
        <f>VLOOKUP(Tableau3[[#This Row],[essence]],Tableau7[],4,FALSE)</f>
        <v>1.3563000000000001</v>
      </c>
      <c r="N21" s="3">
        <f>IF(Tableau3[[#This Row],[priorecol]]="C",1,0)</f>
        <v>1</v>
      </c>
      <c r="O21" s="3">
        <f>VLOOKUP(Tableau3[[#This Row],[essence]],Tableau7[],5,FALSE)</f>
        <v>2.0564</v>
      </c>
      <c r="P21" s="3">
        <f>IF(Tableau3[[#This Row],[priorecol]]="R",1,0)</f>
        <v>0</v>
      </c>
      <c r="Q21" s="3">
        <f>VLOOKUP(Tableau3[[#This Row],[essence]],Tableau7[],6,FALSE)</f>
        <v>1.3911</v>
      </c>
      <c r="R21" s="3">
        <f>IF(Tableau3[[#This Row],[priorecol]]="S",1,0)</f>
        <v>0</v>
      </c>
      <c r="S21" s="3">
        <f>VLOOKUP(Tableau3[[#This Row],[essence]],Tableau7[],7,FALSE)</f>
        <v>0</v>
      </c>
      <c r="T21" s="3">
        <f>VLOOKUP(Tableau3[[#This Row],[essence]],Tableau7[],15,FALSE)</f>
        <v>0</v>
      </c>
      <c r="U21" s="3">
        <f>VLOOKUP(Tableau3[[#This Row],[essence]],Tableau7[],20,FALSE)</f>
        <v>0</v>
      </c>
      <c r="V21" s="3">
        <f>IF(Tableau3[[#This Row],[sdom]]=1,1,0)</f>
        <v>0</v>
      </c>
      <c r="W21" s="3">
        <f>VLOOKUP(Tableau3[[#This Row],[essence]],Tableau7[],8,FALSE)</f>
        <v>0.19420000000000001</v>
      </c>
      <c r="X21" s="3">
        <f>IF(Tableau3[[#This Row],[sdom]]="2EST",1,0)</f>
        <v>0</v>
      </c>
      <c r="Y21" s="3">
        <f>VLOOKUP(Tableau3[[#This Row],[essence]],Tableau7[],9,FALSE)</f>
        <v>-0.1956</v>
      </c>
      <c r="Z21" s="3">
        <f>IF(Tableau3[[#This Row],[sdom]]="2OUEST",1,0)</f>
        <v>0</v>
      </c>
      <c r="AA21" s="3">
        <f>VLOOKUP(Tableau3[[#This Row],[essence]],Tableau7[],10,FALSE)</f>
        <v>-0.1221</v>
      </c>
      <c r="AB21" s="3">
        <f>IF(Tableau3[[#This Row],[sdom]]="3EST",1,0)</f>
        <v>0</v>
      </c>
      <c r="AC21" s="3">
        <f>VLOOKUP(Tableau3[[#This Row],[essence]],Tableau7[],11,FALSE)</f>
        <v>0.16789999999999999</v>
      </c>
      <c r="AD21" s="3">
        <f>IF(Tableau3[[#This Row],[sdom]]="3OUEST",1,0)</f>
        <v>1</v>
      </c>
      <c r="AE21" s="3">
        <f>VLOOKUP(Tableau3[[#This Row],[essence]],Tableau7[],12,FALSE)</f>
        <v>0</v>
      </c>
      <c r="AF21" s="3">
        <f>IF(Tableau3[[#This Row],[sdom]]="4EST",1,0)</f>
        <v>0</v>
      </c>
      <c r="AG21" s="3">
        <f>VLOOKUP(Tableau3[[#This Row],[essence]],Tableau7[],13,FALSE)</f>
        <v>0</v>
      </c>
      <c r="AH21" s="3">
        <f>IF(Tableau3[[#This Row],[sdom]]="4OUEST",1,0)</f>
        <v>0</v>
      </c>
      <c r="AI21" s="3">
        <f>VLOOKUP(Tableau3[[#This Row],[essence]],Tableau7[],14,FALSE)</f>
        <v>0</v>
      </c>
      <c r="AJ21" s="3">
        <f>IF(Tableau3[[#This Row],[sdom]]="5EST",1,0)</f>
        <v>0</v>
      </c>
      <c r="AK21" s="3">
        <f>VLOOKUP(Tableau3[[#This Row],[essence]],Tableau7[],17,FALSE)</f>
        <v>0</v>
      </c>
      <c r="AL21" s="3">
        <f>IF(Tableau3[[#This Row],[priorecol]]="C",1,0)</f>
        <v>1</v>
      </c>
      <c r="AM21" s="3">
        <f>VLOOKUP(Tableau3[[#This Row],[essence]],Tableau7[],18,FALSE)</f>
        <v>0</v>
      </c>
      <c r="AN21" s="3">
        <f>IF(Tableau3[[#This Row],[priorecol]]="R",1,0)</f>
        <v>0</v>
      </c>
      <c r="AO21" s="3">
        <f>VLOOKUP(Tableau3[[#This Row],[essence]],Tableau7[],19,FALSE)</f>
        <v>0</v>
      </c>
      <c r="AP21" s="3">
        <f>IF(Tableau3[[#This Row],[priorecol]]="S",1,0)</f>
        <v>0</v>
      </c>
      <c r="AQ21" s="3">
        <f>VLOOKUP(Tableau3[[#This Row],[essence]],Tableau7[],21,FALSE)</f>
        <v>0.2979</v>
      </c>
      <c r="AR21" s="3">
        <f>VLOOKUP(Tableau3[[#This Row],[essence]],Tableau7[],16,FALSE)</f>
        <v>0.154</v>
      </c>
      <c r="AS2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2.1455000000000002</v>
      </c>
      <c r="AT21" s="3">
        <f>Tableau3[[#This Row],[xb_]]+Tableau3[[#This Row],[b_intercept_C]]</f>
        <v>0.98730000000000029</v>
      </c>
      <c r="AU21" s="3">
        <f>Tableau3[[#This Row],[xb_]]+Tableau3[[#This Row],[b_intercept_B]]</f>
        <v>-0.81299999999999972</v>
      </c>
      <c r="AV21" s="3">
        <f>1/(1+EXP(-Tableau3[[#This Row],[xb_c]]))</f>
        <v>0.72855429204884259</v>
      </c>
      <c r="AW21" s="3">
        <f>1/(1+EXP(-Tableau3[[#This Row],[xb_b]]))</f>
        <v>0.30725158258616964</v>
      </c>
      <c r="AX21" s="3" t="str">
        <f t="shared" si="0"/>
        <v>NA</v>
      </c>
      <c r="AY21" s="3">
        <f>Tableau3[[#This Row],[prob_b]]</f>
        <v>0.30725158258616964</v>
      </c>
      <c r="AZ21" s="3">
        <f>Tableau3[[#This Row],[prob_c]]-Tableau3[[#This Row],[prob_b]]</f>
        <v>0.42130270946267295</v>
      </c>
      <c r="BA21" s="3">
        <f>1-Tableau3[[#This Row],[prob_c]]</f>
        <v>0.27144570795115741</v>
      </c>
    </row>
    <row r="22" spans="1:53" x14ac:dyDescent="0.25">
      <c r="A22" s="2">
        <v>6</v>
      </c>
      <c r="B22" s="2" t="s">
        <v>14</v>
      </c>
      <c r="C22" s="4">
        <v>1.2</v>
      </c>
      <c r="D22" s="4">
        <v>1022</v>
      </c>
      <c r="E22" s="4">
        <v>25</v>
      </c>
      <c r="F22" s="4">
        <v>1</v>
      </c>
      <c r="G22" s="2">
        <v>25</v>
      </c>
      <c r="H22" s="2">
        <v>34</v>
      </c>
      <c r="I22" s="2" t="s">
        <v>19</v>
      </c>
      <c r="J22" s="2" t="s">
        <v>27</v>
      </c>
      <c r="K22" s="2">
        <f>VLOOKUP(Tableau3[[#This Row],[essence]],Tableau7[],2,FALSE)</f>
        <v>-3.7313999999999998</v>
      </c>
      <c r="L22" s="3">
        <f>VLOOKUP(Tableau3[[#This Row],[essence]],Tableau7[],3,FALSE)</f>
        <v>-1.7194</v>
      </c>
      <c r="M22" s="3">
        <f>VLOOKUP(Tableau3[[#This Row],[essence]],Tableau7[],4,FALSE)</f>
        <v>1.5371999999999999</v>
      </c>
      <c r="N22" s="3">
        <f>IF(Tableau3[[#This Row],[priorecol]]="C",1,0)</f>
        <v>1</v>
      </c>
      <c r="O22" s="3">
        <f>VLOOKUP(Tableau3[[#This Row],[essence]],Tableau7[],5,FALSE)</f>
        <v>2.5815000000000001</v>
      </c>
      <c r="P22" s="3">
        <f>IF(Tableau3[[#This Row],[priorecol]]="R",1,0)</f>
        <v>0</v>
      </c>
      <c r="Q22" s="3">
        <f>VLOOKUP(Tableau3[[#This Row],[essence]],Tableau7[],6,FALSE)</f>
        <v>0.96079999999999999</v>
      </c>
      <c r="R22" s="3">
        <f>IF(Tableau3[[#This Row],[priorecol]]="S",1,0)</f>
        <v>0</v>
      </c>
      <c r="S22" s="3">
        <f>VLOOKUP(Tableau3[[#This Row],[essence]],Tableau7[],7,FALSE)</f>
        <v>4.2799999999999998E-2</v>
      </c>
      <c r="T22" s="3">
        <f>VLOOKUP(Tableau3[[#This Row],[essence]],Tableau7[],15,FALSE)</f>
        <v>1.54E-2</v>
      </c>
      <c r="U22" s="3">
        <f>VLOOKUP(Tableau3[[#This Row],[essence]],Tableau7[],20,FALSE)</f>
        <v>0</v>
      </c>
      <c r="V22" s="3">
        <f>IF(Tableau3[[#This Row],[sdom]]=1,1,0)</f>
        <v>0</v>
      </c>
      <c r="W22" s="3">
        <f>VLOOKUP(Tableau3[[#This Row],[essence]],Tableau7[],8,FALSE)</f>
        <v>2.3900000000000001E-2</v>
      </c>
      <c r="X22" s="3">
        <f>IF(Tableau3[[#This Row],[sdom]]="2EST",1,0)</f>
        <v>0</v>
      </c>
      <c r="Y22" s="3">
        <f>VLOOKUP(Tableau3[[#This Row],[essence]],Tableau7[],9,FALSE)</f>
        <v>-0.4793</v>
      </c>
      <c r="Z22" s="3">
        <f>IF(Tableau3[[#This Row],[sdom]]="2OUEST",1,0)</f>
        <v>0</v>
      </c>
      <c r="AA22" s="3">
        <f>VLOOKUP(Tableau3[[#This Row],[essence]],Tableau7[],10,FALSE)</f>
        <v>0.13880000000000001</v>
      </c>
      <c r="AB22" s="3">
        <f>IF(Tableau3[[#This Row],[sdom]]="3EST",1,0)</f>
        <v>0</v>
      </c>
      <c r="AC22" s="3">
        <f>VLOOKUP(Tableau3[[#This Row],[essence]],Tableau7[],11,FALSE)</f>
        <v>0.27039999999999997</v>
      </c>
      <c r="AD22" s="3">
        <f>IF(Tableau3[[#This Row],[sdom]]="3OUEST",1,0)</f>
        <v>0</v>
      </c>
      <c r="AE22" s="3">
        <f>VLOOKUP(Tableau3[[#This Row],[essence]],Tableau7[],12,FALSE)</f>
        <v>4.6600000000000001E-3</v>
      </c>
      <c r="AF22" s="3">
        <f>IF(Tableau3[[#This Row],[sdom]]="4EST",1,0)</f>
        <v>1</v>
      </c>
      <c r="AG22" s="3">
        <f>VLOOKUP(Tableau3[[#This Row],[essence]],Tableau7[],13,FALSE)</f>
        <v>0.1986</v>
      </c>
      <c r="AH22" s="3">
        <f>IF(Tableau3[[#This Row],[sdom]]="4OUEST",1,0)</f>
        <v>0</v>
      </c>
      <c r="AI22" s="3">
        <f>VLOOKUP(Tableau3[[#This Row],[essence]],Tableau7[],14,FALSE)</f>
        <v>-0.2535</v>
      </c>
      <c r="AJ22" s="3">
        <f>IF(Tableau3[[#This Row],[sdom]]="5EST",1,0)</f>
        <v>0</v>
      </c>
      <c r="AK22" s="3">
        <f>VLOOKUP(Tableau3[[#This Row],[essence]],Tableau7[],17,FALSE)</f>
        <v>0</v>
      </c>
      <c r="AL22" s="3">
        <f>IF(Tableau3[[#This Row],[priorecol]]="C",1,0)</f>
        <v>1</v>
      </c>
      <c r="AM22" s="3">
        <f>VLOOKUP(Tableau3[[#This Row],[essence]],Tableau7[],18,FALSE)</f>
        <v>0</v>
      </c>
      <c r="AN22" s="3">
        <f>IF(Tableau3[[#This Row],[priorecol]]="R",1,0)</f>
        <v>0</v>
      </c>
      <c r="AO22" s="3">
        <f>VLOOKUP(Tableau3[[#This Row],[essence]],Tableau7[],19,FALSE)</f>
        <v>0</v>
      </c>
      <c r="AP22" s="3">
        <f>IF(Tableau3[[#This Row],[priorecol]]="S",1,0)</f>
        <v>0</v>
      </c>
      <c r="AQ22" s="3">
        <f>VLOOKUP(Tableau3[[#This Row],[essence]],Tableau7[],21,FALSE)</f>
        <v>0</v>
      </c>
      <c r="AR22" s="3">
        <f>VLOOKUP(Tableau3[[#This Row],[essence]],Tableau7[],16,FALSE)</f>
        <v>0.123</v>
      </c>
      <c r="AS2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3.5296599999999998</v>
      </c>
      <c r="AT22" s="3">
        <f>Tableau3[[#This Row],[xb_]]+Tableau3[[#This Row],[b_intercept_C]]</f>
        <v>1.8102599999999998</v>
      </c>
      <c r="AU22" s="3">
        <f>Tableau3[[#This Row],[xb_]]+Tableau3[[#This Row],[b_intercept_B]]</f>
        <v>-0.20174000000000003</v>
      </c>
      <c r="AV22" s="3">
        <f>1/(1+EXP(-Tableau3[[#This Row],[xb_c]]))</f>
        <v>0.85939329468121528</v>
      </c>
      <c r="AW22" s="3">
        <f>1/(1+EXP(-Tableau3[[#This Row],[xb_b]]))</f>
        <v>0.44973536130106645</v>
      </c>
      <c r="AX22" s="3" t="str">
        <f t="shared" si="0"/>
        <v>NA</v>
      </c>
      <c r="AY22" s="3">
        <f>Tableau3[[#This Row],[prob_b]]</f>
        <v>0.44973536130106645</v>
      </c>
      <c r="AZ22" s="3">
        <f>Tableau3[[#This Row],[prob_c]]-Tableau3[[#This Row],[prob_b]]</f>
        <v>0.40965793338014883</v>
      </c>
      <c r="BA22" s="3">
        <f>1-Tableau3[[#This Row],[prob_c]]</f>
        <v>0.14060670531878472</v>
      </c>
    </row>
    <row r="23" spans="1:53" x14ac:dyDescent="0.25">
      <c r="A23" s="3">
        <v>6</v>
      </c>
      <c r="B23" s="3" t="s">
        <v>14</v>
      </c>
      <c r="C23" s="1">
        <v>1.2</v>
      </c>
      <c r="D23" s="1">
        <v>1022</v>
      </c>
      <c r="E23" s="1">
        <v>25</v>
      </c>
      <c r="F23" s="1">
        <v>1</v>
      </c>
      <c r="G23" s="3">
        <v>31</v>
      </c>
      <c r="H23" s="3">
        <v>34</v>
      </c>
      <c r="I23" s="3" t="s">
        <v>21</v>
      </c>
      <c r="J23" s="3" t="s">
        <v>27</v>
      </c>
      <c r="K23" s="3">
        <f>VLOOKUP(Tableau3[[#This Row],[essence]],Tableau7[],2,FALSE)</f>
        <v>-0.68799999999999994</v>
      </c>
      <c r="L23" s="3">
        <f>VLOOKUP(Tableau3[[#This Row],[essence]],Tableau7[],3,FALSE)</f>
        <v>1.3924000000000001</v>
      </c>
      <c r="M23" s="3">
        <f>VLOOKUP(Tableau3[[#This Row],[essence]],Tableau7[],4,FALSE)</f>
        <v>0.41599999999999998</v>
      </c>
      <c r="N23" s="3">
        <f>IF(Tableau3[[#This Row],[priorecol]]="C",1,0)</f>
        <v>1</v>
      </c>
      <c r="O23" s="3">
        <f>VLOOKUP(Tableau3[[#This Row],[essence]],Tableau7[],5,FALSE)</f>
        <v>1.5604</v>
      </c>
      <c r="P23" s="3">
        <f>IF(Tableau3[[#This Row],[priorecol]]="R",1,0)</f>
        <v>0</v>
      </c>
      <c r="Q23" s="3">
        <f>VLOOKUP(Tableau3[[#This Row],[essence]],Tableau7[],6,FALSE)</f>
        <v>-0.64770000000000005</v>
      </c>
      <c r="R23" s="3">
        <f>IF(Tableau3[[#This Row],[priorecol]]="S",1,0)</f>
        <v>0</v>
      </c>
      <c r="S23" s="3">
        <f>VLOOKUP(Tableau3[[#This Row],[essence]],Tableau7[],7,FALSE)</f>
        <v>0</v>
      </c>
      <c r="T23" s="3">
        <f>VLOOKUP(Tableau3[[#This Row],[essence]],Tableau7[],15,FALSE)</f>
        <v>-2.4500000000000001E-2</v>
      </c>
      <c r="U23" s="3">
        <f>VLOOKUP(Tableau3[[#This Row],[essence]],Tableau7[],20,FALSE)</f>
        <v>0.15179999999999999</v>
      </c>
      <c r="V23" s="3">
        <f>IF(Tableau3[[#This Row],[sdom]]=1,1,0)</f>
        <v>0</v>
      </c>
      <c r="W23" s="3">
        <f>VLOOKUP(Tableau3[[#This Row],[essence]],Tableau7[],8,FALSE)</f>
        <v>0</v>
      </c>
      <c r="X23" s="3">
        <f>IF(Tableau3[[#This Row],[sdom]]="2EST",1,0)</f>
        <v>0</v>
      </c>
      <c r="Y23" s="3">
        <f>VLOOKUP(Tableau3[[#This Row],[essence]],Tableau7[],9,FALSE)</f>
        <v>-0.27589999999999998</v>
      </c>
      <c r="Z23" s="3">
        <f>IF(Tableau3[[#This Row],[sdom]]="2OUEST",1,0)</f>
        <v>0</v>
      </c>
      <c r="AA23" s="3">
        <f>VLOOKUP(Tableau3[[#This Row],[essence]],Tableau7[],10,FALSE)</f>
        <v>0</v>
      </c>
      <c r="AB23" s="3">
        <f>IF(Tableau3[[#This Row],[sdom]]="3EST",1,0)</f>
        <v>0</v>
      </c>
      <c r="AC23" s="3">
        <f>VLOOKUP(Tableau3[[#This Row],[essence]],Tableau7[],11,FALSE)</f>
        <v>0</v>
      </c>
      <c r="AD23" s="3">
        <f>IF(Tableau3[[#This Row],[sdom]]="3OUEST",1,0)</f>
        <v>0</v>
      </c>
      <c r="AE23" s="3">
        <f>VLOOKUP(Tableau3[[#This Row],[essence]],Tableau7[],12,FALSE)</f>
        <v>0</v>
      </c>
      <c r="AF23" s="3">
        <f>IF(Tableau3[[#This Row],[sdom]]="4EST",1,0)</f>
        <v>1</v>
      </c>
      <c r="AG23" s="3">
        <f>VLOOKUP(Tableau3[[#This Row],[essence]],Tableau7[],13,FALSE)</f>
        <v>0</v>
      </c>
      <c r="AH23" s="3">
        <f>IF(Tableau3[[#This Row],[sdom]]="4OUEST",1,0)</f>
        <v>0</v>
      </c>
      <c r="AI23" s="3">
        <f>VLOOKUP(Tableau3[[#This Row],[essence]],Tableau7[],14,FALSE)</f>
        <v>0</v>
      </c>
      <c r="AJ23" s="3">
        <f>IF(Tableau3[[#This Row],[sdom]]="5EST",1,0)</f>
        <v>0</v>
      </c>
      <c r="AK23" s="3">
        <f>VLOOKUP(Tableau3[[#This Row],[essence]],Tableau7[],17,FALSE)</f>
        <v>6.4199999999999993E-2</v>
      </c>
      <c r="AL23" s="3">
        <f>IF(Tableau3[[#This Row],[priorecol]]="C",1,0)</f>
        <v>1</v>
      </c>
      <c r="AM23" s="3">
        <f>VLOOKUP(Tableau3[[#This Row],[essence]],Tableau7[],18,FALSE)</f>
        <v>6.3399999999999998E-2</v>
      </c>
      <c r="AN23" s="3">
        <f>IF(Tableau3[[#This Row],[priorecol]]="R",1,0)</f>
        <v>0</v>
      </c>
      <c r="AO23" s="3">
        <f>VLOOKUP(Tableau3[[#This Row],[essence]],Tableau7[],19,FALSE)</f>
        <v>8.2400000000000001E-2</v>
      </c>
      <c r="AP23" s="3">
        <f>IF(Tableau3[[#This Row],[priorecol]]="S",1,0)</f>
        <v>0</v>
      </c>
      <c r="AQ23" s="3">
        <f>VLOOKUP(Tableau3[[#This Row],[essence]],Tableau7[],21,FALSE)</f>
        <v>0</v>
      </c>
      <c r="AR23" s="3">
        <f>VLOOKUP(Tableau3[[#This Row],[essence]],Tableau7[],16,FALSE)</f>
        <v>0</v>
      </c>
      <c r="AS2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1.4084999999999996</v>
      </c>
      <c r="AT23" s="3">
        <f>Tableau3[[#This Row],[xb_]]+Tableau3[[#This Row],[b_intercept_C]]</f>
        <v>2.8008999999999995</v>
      </c>
      <c r="AU23" s="3">
        <f>Tableau3[[#This Row],[xb_]]+Tableau3[[#This Row],[b_intercept_B]]</f>
        <v>0.7204999999999997</v>
      </c>
      <c r="AV23" s="3">
        <f>1/(1+EXP(-Tableau3[[#This Row],[xb_c]]))</f>
        <v>0.94272443903254111</v>
      </c>
      <c r="AW23" s="3">
        <f>1/(1+EXP(-Tableau3[[#This Row],[xb_b]]))</f>
        <v>0.67271711097280595</v>
      </c>
      <c r="AX23" s="3" t="str">
        <f t="shared" si="0"/>
        <v>NA</v>
      </c>
      <c r="AY23" s="3">
        <f>Tableau3[[#This Row],[prob_b]]</f>
        <v>0.67271711097280595</v>
      </c>
      <c r="AZ23" s="3">
        <f>Tableau3[[#This Row],[prob_c]]-Tableau3[[#This Row],[prob_b]]</f>
        <v>0.27000732805973515</v>
      </c>
      <c r="BA23" s="3">
        <f>1-Tableau3[[#This Row],[prob_c]]</f>
        <v>5.7275560967458894E-2</v>
      </c>
    </row>
    <row r="24" spans="1:53" x14ac:dyDescent="0.25">
      <c r="A24" s="2">
        <v>6</v>
      </c>
      <c r="B24" s="2" t="s">
        <v>14</v>
      </c>
      <c r="C24" s="4">
        <v>1.2</v>
      </c>
      <c r="D24" s="4">
        <v>1022</v>
      </c>
      <c r="E24" s="4">
        <v>25</v>
      </c>
      <c r="F24" s="4">
        <v>1</v>
      </c>
      <c r="G24" s="2">
        <v>37</v>
      </c>
      <c r="H24" s="2">
        <v>34</v>
      </c>
      <c r="I24" s="2" t="s">
        <v>23</v>
      </c>
      <c r="J24" s="2" t="s">
        <v>27</v>
      </c>
      <c r="K24" s="2">
        <f>VLOOKUP(Tableau3[[#This Row],[essence]],Tableau7[],2,FALSE)</f>
        <v>-3.9003999999999999</v>
      </c>
      <c r="L24" s="3">
        <f>VLOOKUP(Tableau3[[#This Row],[essence]],Tableau7[],3,FALSE)</f>
        <v>-1.7661</v>
      </c>
      <c r="M24" s="3">
        <f>VLOOKUP(Tableau3[[#This Row],[essence]],Tableau7[],4,FALSE)</f>
        <v>1.9438</v>
      </c>
      <c r="N24" s="3">
        <f>IF(Tableau3[[#This Row],[priorecol]]="C",1,0)</f>
        <v>1</v>
      </c>
      <c r="O24" s="3">
        <f>VLOOKUP(Tableau3[[#This Row],[essence]],Tableau7[],5,FALSE)</f>
        <v>2.9834000000000001</v>
      </c>
      <c r="P24" s="3">
        <f>IF(Tableau3[[#This Row],[priorecol]]="R",1,0)</f>
        <v>0</v>
      </c>
      <c r="Q24" s="3">
        <f>VLOOKUP(Tableau3[[#This Row],[essence]],Tableau7[],6,FALSE)</f>
        <v>1.0873999999999999</v>
      </c>
      <c r="R24" s="3">
        <f>IF(Tableau3[[#This Row],[priorecol]]="S",1,0)</f>
        <v>0</v>
      </c>
      <c r="S24" s="3">
        <f>VLOOKUP(Tableau3[[#This Row],[essence]],Tableau7[],7,FALSE)</f>
        <v>6.4000000000000001E-2</v>
      </c>
      <c r="T24" s="3">
        <f>VLOOKUP(Tableau3[[#This Row],[essence]],Tableau7[],15,FALSE)</f>
        <v>7.5199999999999998E-3</v>
      </c>
      <c r="U24" s="3">
        <f>VLOOKUP(Tableau3[[#This Row],[essence]],Tableau7[],20,FALSE)</f>
        <v>0.17810000000000001</v>
      </c>
      <c r="V24" s="3">
        <f>IF(Tableau3[[#This Row],[sdom]]=1,1,0)</f>
        <v>0</v>
      </c>
      <c r="W24" s="3">
        <f>VLOOKUP(Tableau3[[#This Row],[essence]],Tableau7[],8,FALSE)</f>
        <v>0.29430000000000001</v>
      </c>
      <c r="X24" s="3">
        <f>IF(Tableau3[[#This Row],[sdom]]="2EST",1,0)</f>
        <v>0</v>
      </c>
      <c r="Y24" s="3">
        <f>VLOOKUP(Tableau3[[#This Row],[essence]],Tableau7[],9,FALSE)</f>
        <v>0.11260000000000001</v>
      </c>
      <c r="Z24" s="3">
        <f>IF(Tableau3[[#This Row],[sdom]]="2OUEST",1,0)</f>
        <v>0</v>
      </c>
      <c r="AA24" s="3">
        <f>VLOOKUP(Tableau3[[#This Row],[essence]],Tableau7[],10,FALSE)</f>
        <v>1.2999999999999999E-2</v>
      </c>
      <c r="AB24" s="3">
        <f>IF(Tableau3[[#This Row],[sdom]]="3EST",1,0)</f>
        <v>0</v>
      </c>
      <c r="AC24" s="3">
        <f>VLOOKUP(Tableau3[[#This Row],[essence]],Tableau7[],11,FALSE)</f>
        <v>0.17150000000000001</v>
      </c>
      <c r="AD24" s="3">
        <f>IF(Tableau3[[#This Row],[sdom]]="3OUEST",1,0)</f>
        <v>0</v>
      </c>
      <c r="AE24" s="3">
        <f>VLOOKUP(Tableau3[[#This Row],[essence]],Tableau7[],12,FALSE)</f>
        <v>-0.1308</v>
      </c>
      <c r="AF24" s="3">
        <f>IF(Tableau3[[#This Row],[sdom]]="4EST",1,0)</f>
        <v>1</v>
      </c>
      <c r="AG24" s="3">
        <f>VLOOKUP(Tableau3[[#This Row],[essence]],Tableau7[],13,FALSE)</f>
        <v>-0.2858</v>
      </c>
      <c r="AH24" s="3">
        <f>IF(Tableau3[[#This Row],[sdom]]="4OUEST",1,0)</f>
        <v>0</v>
      </c>
      <c r="AI24" s="3">
        <f>VLOOKUP(Tableau3[[#This Row],[essence]],Tableau7[],14,FALSE)</f>
        <v>0</v>
      </c>
      <c r="AJ24" s="3">
        <f>IF(Tableau3[[#This Row],[sdom]]="5EST",1,0)</f>
        <v>0</v>
      </c>
      <c r="AK24" s="3">
        <f>VLOOKUP(Tableau3[[#This Row],[essence]],Tableau7[],17,FALSE)</f>
        <v>0</v>
      </c>
      <c r="AL24" s="3">
        <f>IF(Tableau3[[#This Row],[priorecol]]="C",1,0)</f>
        <v>1</v>
      </c>
      <c r="AM24" s="3">
        <f>VLOOKUP(Tableau3[[#This Row],[essence]],Tableau7[],18,FALSE)</f>
        <v>0</v>
      </c>
      <c r="AN24" s="3">
        <f>IF(Tableau3[[#This Row],[priorecol]]="R",1,0)</f>
        <v>0</v>
      </c>
      <c r="AO24" s="3">
        <f>VLOOKUP(Tableau3[[#This Row],[essence]],Tableau7[],19,FALSE)</f>
        <v>0</v>
      </c>
      <c r="AP24" s="3">
        <f>IF(Tableau3[[#This Row],[priorecol]]="S",1,0)</f>
        <v>0</v>
      </c>
      <c r="AQ24" s="3">
        <f>VLOOKUP(Tableau3[[#This Row],[essence]],Tableau7[],21,FALSE)</f>
        <v>0</v>
      </c>
      <c r="AR24" s="3">
        <f>VLOOKUP(Tableau3[[#This Row],[essence]],Tableau7[],16,FALSE)</f>
        <v>0</v>
      </c>
      <c r="AS2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4.1769999999999996</v>
      </c>
      <c r="AT24" s="3">
        <f>Tableau3[[#This Row],[xb_]]+Tableau3[[#This Row],[b_intercept_C]]</f>
        <v>2.4108999999999998</v>
      </c>
      <c r="AU24" s="3">
        <f>Tableau3[[#This Row],[xb_]]+Tableau3[[#This Row],[b_intercept_B]]</f>
        <v>0.27659999999999973</v>
      </c>
      <c r="AV24" s="3">
        <f>1/(1+EXP(-Tableau3[[#This Row],[xb_c]]))</f>
        <v>0.91765471552535283</v>
      </c>
      <c r="AW24" s="3">
        <f>1/(1+EXP(-Tableau3[[#This Row],[xb_b]]))</f>
        <v>0.56871247229856159</v>
      </c>
      <c r="AX24" s="3" t="str">
        <f t="shared" si="0"/>
        <v>NA</v>
      </c>
      <c r="AY24" s="3">
        <f>Tableau3[[#This Row],[prob_b]]</f>
        <v>0.56871247229856159</v>
      </c>
      <c r="AZ24" s="3">
        <f>Tableau3[[#This Row],[prob_c]]-Tableau3[[#This Row],[prob_b]]</f>
        <v>0.34894224322679124</v>
      </c>
      <c r="BA24" s="3">
        <f>1-Tableau3[[#This Row],[prob_c]]</f>
        <v>8.2345284474647173E-2</v>
      </c>
    </row>
    <row r="25" spans="1:53" x14ac:dyDescent="0.25">
      <c r="A25" s="3">
        <v>6</v>
      </c>
      <c r="B25" s="3" t="s">
        <v>14</v>
      </c>
      <c r="C25" s="1">
        <v>1.2</v>
      </c>
      <c r="D25" s="1">
        <v>1022</v>
      </c>
      <c r="E25" s="1">
        <v>25</v>
      </c>
      <c r="F25" s="1">
        <v>1</v>
      </c>
      <c r="G25" s="3">
        <v>43</v>
      </c>
      <c r="H25" s="3">
        <v>34</v>
      </c>
      <c r="I25" s="3" t="s">
        <v>25</v>
      </c>
      <c r="J25" s="3" t="s">
        <v>27</v>
      </c>
      <c r="K25" s="3">
        <f>VLOOKUP(Tableau3[[#This Row],[essence]],Tableau7[],2,FALSE)</f>
        <v>-2.9584999999999999</v>
      </c>
      <c r="L25" s="3">
        <f>VLOOKUP(Tableau3[[#This Row],[essence]],Tableau7[],3,FALSE)</f>
        <v>-1.1581999999999999</v>
      </c>
      <c r="M25" s="3">
        <f>VLOOKUP(Tableau3[[#This Row],[essence]],Tableau7[],4,FALSE)</f>
        <v>1.3563000000000001</v>
      </c>
      <c r="N25" s="3">
        <f>IF(Tableau3[[#This Row],[priorecol]]="C",1,0)</f>
        <v>1</v>
      </c>
      <c r="O25" s="3">
        <f>VLOOKUP(Tableau3[[#This Row],[essence]],Tableau7[],5,FALSE)</f>
        <v>2.0564</v>
      </c>
      <c r="P25" s="3">
        <f>IF(Tableau3[[#This Row],[priorecol]]="R",1,0)</f>
        <v>0</v>
      </c>
      <c r="Q25" s="3">
        <f>VLOOKUP(Tableau3[[#This Row],[essence]],Tableau7[],6,FALSE)</f>
        <v>1.3911</v>
      </c>
      <c r="R25" s="3">
        <f>IF(Tableau3[[#This Row],[priorecol]]="S",1,0)</f>
        <v>0</v>
      </c>
      <c r="S25" s="3">
        <f>VLOOKUP(Tableau3[[#This Row],[essence]],Tableau7[],7,FALSE)</f>
        <v>0</v>
      </c>
      <c r="T25" s="3">
        <f>VLOOKUP(Tableau3[[#This Row],[essence]],Tableau7[],15,FALSE)</f>
        <v>0</v>
      </c>
      <c r="U25" s="3">
        <f>VLOOKUP(Tableau3[[#This Row],[essence]],Tableau7[],20,FALSE)</f>
        <v>0</v>
      </c>
      <c r="V25" s="3">
        <f>IF(Tableau3[[#This Row],[sdom]]=1,1,0)</f>
        <v>0</v>
      </c>
      <c r="W25" s="3">
        <f>VLOOKUP(Tableau3[[#This Row],[essence]],Tableau7[],8,FALSE)</f>
        <v>0.19420000000000001</v>
      </c>
      <c r="X25" s="3">
        <f>IF(Tableau3[[#This Row],[sdom]]="2EST",1,0)</f>
        <v>0</v>
      </c>
      <c r="Y25" s="3">
        <f>VLOOKUP(Tableau3[[#This Row],[essence]],Tableau7[],9,FALSE)</f>
        <v>-0.1956</v>
      </c>
      <c r="Z25" s="3">
        <f>IF(Tableau3[[#This Row],[sdom]]="2OUEST",1,0)</f>
        <v>0</v>
      </c>
      <c r="AA25" s="3">
        <f>VLOOKUP(Tableau3[[#This Row],[essence]],Tableau7[],10,FALSE)</f>
        <v>-0.1221</v>
      </c>
      <c r="AB25" s="3">
        <f>IF(Tableau3[[#This Row],[sdom]]="3EST",1,0)</f>
        <v>0</v>
      </c>
      <c r="AC25" s="3">
        <f>VLOOKUP(Tableau3[[#This Row],[essence]],Tableau7[],11,FALSE)</f>
        <v>0.16789999999999999</v>
      </c>
      <c r="AD25" s="3">
        <f>IF(Tableau3[[#This Row],[sdom]]="3OUEST",1,0)</f>
        <v>0</v>
      </c>
      <c r="AE25" s="3">
        <f>VLOOKUP(Tableau3[[#This Row],[essence]],Tableau7[],12,FALSE)</f>
        <v>0</v>
      </c>
      <c r="AF25" s="3">
        <f>IF(Tableau3[[#This Row],[sdom]]="4EST",1,0)</f>
        <v>1</v>
      </c>
      <c r="AG25" s="3">
        <f>VLOOKUP(Tableau3[[#This Row],[essence]],Tableau7[],13,FALSE)</f>
        <v>0</v>
      </c>
      <c r="AH25" s="3">
        <f>IF(Tableau3[[#This Row],[sdom]]="4OUEST",1,0)</f>
        <v>0</v>
      </c>
      <c r="AI25" s="3">
        <f>VLOOKUP(Tableau3[[#This Row],[essence]],Tableau7[],14,FALSE)</f>
        <v>0</v>
      </c>
      <c r="AJ25" s="3">
        <f>IF(Tableau3[[#This Row],[sdom]]="5EST",1,0)</f>
        <v>0</v>
      </c>
      <c r="AK25" s="3">
        <f>VLOOKUP(Tableau3[[#This Row],[essence]],Tableau7[],17,FALSE)</f>
        <v>0</v>
      </c>
      <c r="AL25" s="3">
        <f>IF(Tableau3[[#This Row],[priorecol]]="C",1,0)</f>
        <v>1</v>
      </c>
      <c r="AM25" s="3">
        <f>VLOOKUP(Tableau3[[#This Row],[essence]],Tableau7[],18,FALSE)</f>
        <v>0</v>
      </c>
      <c r="AN25" s="3">
        <f>IF(Tableau3[[#This Row],[priorecol]]="R",1,0)</f>
        <v>0</v>
      </c>
      <c r="AO25" s="3">
        <f>VLOOKUP(Tableau3[[#This Row],[essence]],Tableau7[],19,FALSE)</f>
        <v>0</v>
      </c>
      <c r="AP25" s="3">
        <f>IF(Tableau3[[#This Row],[priorecol]]="S",1,0)</f>
        <v>0</v>
      </c>
      <c r="AQ25" s="3">
        <f>VLOOKUP(Tableau3[[#This Row],[essence]],Tableau7[],21,FALSE)</f>
        <v>0.2979</v>
      </c>
      <c r="AR25" s="3">
        <f>VLOOKUP(Tableau3[[#This Row],[essence]],Tableau7[],16,FALSE)</f>
        <v>0.154</v>
      </c>
      <c r="AS2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1.8390000000000002</v>
      </c>
      <c r="AT25" s="3">
        <f>Tableau3[[#This Row],[xb_]]+Tableau3[[#This Row],[b_intercept_C]]</f>
        <v>0.68080000000000029</v>
      </c>
      <c r="AU25" s="3">
        <f>Tableau3[[#This Row],[xb_]]+Tableau3[[#This Row],[b_intercept_B]]</f>
        <v>-1.1194999999999997</v>
      </c>
      <c r="AV25" s="3">
        <f>1/(1+EXP(-Tableau3[[#This Row],[xb_c]]))</f>
        <v>0.66391722572041401</v>
      </c>
      <c r="AW25" s="3">
        <f>1/(1+EXP(-Tableau3[[#This Row],[xb_b]]))</f>
        <v>0.24610404019464827</v>
      </c>
      <c r="AX25" s="3" t="str">
        <f t="shared" si="0"/>
        <v>NA</v>
      </c>
      <c r="AY25" s="3">
        <f>Tableau3[[#This Row],[prob_b]]</f>
        <v>0.24610404019464827</v>
      </c>
      <c r="AZ25" s="3">
        <f>Tableau3[[#This Row],[prob_c]]-Tableau3[[#This Row],[prob_b]]</f>
        <v>0.41781318552576574</v>
      </c>
      <c r="BA25" s="3">
        <f>1-Tableau3[[#This Row],[prob_c]]</f>
        <v>0.33608277427958599</v>
      </c>
    </row>
    <row r="26" spans="1:53" x14ac:dyDescent="0.25">
      <c r="A26" s="2">
        <v>7</v>
      </c>
      <c r="B26" s="2" t="s">
        <v>15</v>
      </c>
      <c r="C26" s="4">
        <v>2.1</v>
      </c>
      <c r="D26" s="4">
        <v>700</v>
      </c>
      <c r="E26" s="4">
        <v>20</v>
      </c>
      <c r="F26" s="4">
        <v>1</v>
      </c>
      <c r="G26" s="2">
        <v>25</v>
      </c>
      <c r="H26" s="2">
        <v>34</v>
      </c>
      <c r="I26" s="2" t="s">
        <v>19</v>
      </c>
      <c r="J26" s="2" t="s">
        <v>27</v>
      </c>
      <c r="K26" s="2">
        <f>VLOOKUP(Tableau3[[#This Row],[essence]],Tableau7[],2,FALSE)</f>
        <v>-3.7313999999999998</v>
      </c>
      <c r="L26" s="3">
        <f>VLOOKUP(Tableau3[[#This Row],[essence]],Tableau7[],3,FALSE)</f>
        <v>-1.7194</v>
      </c>
      <c r="M26" s="3">
        <f>VLOOKUP(Tableau3[[#This Row],[essence]],Tableau7[],4,FALSE)</f>
        <v>1.5371999999999999</v>
      </c>
      <c r="N26" s="3">
        <f>IF(Tableau3[[#This Row],[priorecol]]="C",1,0)</f>
        <v>1</v>
      </c>
      <c r="O26" s="3">
        <f>VLOOKUP(Tableau3[[#This Row],[essence]],Tableau7[],5,FALSE)</f>
        <v>2.5815000000000001</v>
      </c>
      <c r="P26" s="3">
        <f>IF(Tableau3[[#This Row],[priorecol]]="R",1,0)</f>
        <v>0</v>
      </c>
      <c r="Q26" s="3">
        <f>VLOOKUP(Tableau3[[#This Row],[essence]],Tableau7[],6,FALSE)</f>
        <v>0.96079999999999999</v>
      </c>
      <c r="R26" s="3">
        <f>IF(Tableau3[[#This Row],[priorecol]]="S",1,0)</f>
        <v>0</v>
      </c>
      <c r="S26" s="3">
        <f>VLOOKUP(Tableau3[[#This Row],[essence]],Tableau7[],7,FALSE)</f>
        <v>4.2799999999999998E-2</v>
      </c>
      <c r="T26" s="3">
        <f>VLOOKUP(Tableau3[[#This Row],[essence]],Tableau7[],15,FALSE)</f>
        <v>1.54E-2</v>
      </c>
      <c r="U26" s="3">
        <f>VLOOKUP(Tableau3[[#This Row],[essence]],Tableau7[],20,FALSE)</f>
        <v>0</v>
      </c>
      <c r="V26" s="3">
        <f>IF(Tableau3[[#This Row],[sdom]]=1,1,0)</f>
        <v>0</v>
      </c>
      <c r="W26" s="3">
        <f>VLOOKUP(Tableau3[[#This Row],[essence]],Tableau7[],8,FALSE)</f>
        <v>2.3900000000000001E-2</v>
      </c>
      <c r="X26" s="3">
        <f>IF(Tableau3[[#This Row],[sdom]]="2EST",1,0)</f>
        <v>0</v>
      </c>
      <c r="Y26" s="3">
        <f>VLOOKUP(Tableau3[[#This Row],[essence]],Tableau7[],9,FALSE)</f>
        <v>-0.4793</v>
      </c>
      <c r="Z26" s="3">
        <f>IF(Tableau3[[#This Row],[sdom]]="2OUEST",1,0)</f>
        <v>0</v>
      </c>
      <c r="AA26" s="3">
        <f>VLOOKUP(Tableau3[[#This Row],[essence]],Tableau7[],10,FALSE)</f>
        <v>0.13880000000000001</v>
      </c>
      <c r="AB26" s="3">
        <f>IF(Tableau3[[#This Row],[sdom]]="3EST",1,0)</f>
        <v>0</v>
      </c>
      <c r="AC26" s="3">
        <f>VLOOKUP(Tableau3[[#This Row],[essence]],Tableau7[],11,FALSE)</f>
        <v>0.27039999999999997</v>
      </c>
      <c r="AD26" s="3">
        <f>IF(Tableau3[[#This Row],[sdom]]="3OUEST",1,0)</f>
        <v>0</v>
      </c>
      <c r="AE26" s="3">
        <f>VLOOKUP(Tableau3[[#This Row],[essence]],Tableau7[],12,FALSE)</f>
        <v>4.6600000000000001E-3</v>
      </c>
      <c r="AF26" s="3">
        <f>IF(Tableau3[[#This Row],[sdom]]="4EST",1,0)</f>
        <v>0</v>
      </c>
      <c r="AG26" s="3">
        <f>VLOOKUP(Tableau3[[#This Row],[essence]],Tableau7[],13,FALSE)</f>
        <v>0.1986</v>
      </c>
      <c r="AH26" s="3">
        <f>IF(Tableau3[[#This Row],[sdom]]="4OUEST",1,0)</f>
        <v>1</v>
      </c>
      <c r="AI26" s="3">
        <f>VLOOKUP(Tableau3[[#This Row],[essence]],Tableau7[],14,FALSE)</f>
        <v>-0.2535</v>
      </c>
      <c r="AJ26" s="3">
        <f>IF(Tableau3[[#This Row],[sdom]]="5EST",1,0)</f>
        <v>0</v>
      </c>
      <c r="AK26" s="3">
        <f>VLOOKUP(Tableau3[[#This Row],[essence]],Tableau7[],17,FALSE)</f>
        <v>0</v>
      </c>
      <c r="AL26" s="3">
        <f>IF(Tableau3[[#This Row],[priorecol]]="C",1,0)</f>
        <v>1</v>
      </c>
      <c r="AM26" s="3">
        <f>VLOOKUP(Tableau3[[#This Row],[essence]],Tableau7[],18,FALSE)</f>
        <v>0</v>
      </c>
      <c r="AN26" s="3">
        <f>IF(Tableau3[[#This Row],[priorecol]]="R",1,0)</f>
        <v>0</v>
      </c>
      <c r="AO26" s="3">
        <f>VLOOKUP(Tableau3[[#This Row],[essence]],Tableau7[],19,FALSE)</f>
        <v>0</v>
      </c>
      <c r="AP26" s="3">
        <f>IF(Tableau3[[#This Row],[priorecol]]="S",1,0)</f>
        <v>0</v>
      </c>
      <c r="AQ26" s="3">
        <f>VLOOKUP(Tableau3[[#This Row],[essence]],Tableau7[],21,FALSE)</f>
        <v>0</v>
      </c>
      <c r="AR26" s="3">
        <f>VLOOKUP(Tableau3[[#This Row],[essence]],Tableau7[],16,FALSE)</f>
        <v>0.123</v>
      </c>
      <c r="AS2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3.7572999999999999</v>
      </c>
      <c r="AT26" s="3">
        <f>Tableau3[[#This Row],[xb_]]+Tableau3[[#This Row],[b_intercept_C]]</f>
        <v>2.0378999999999996</v>
      </c>
      <c r="AU26" s="3">
        <f>Tableau3[[#This Row],[xb_]]+Tableau3[[#This Row],[b_intercept_B]]</f>
        <v>2.5900000000000034E-2</v>
      </c>
      <c r="AV26" s="3">
        <f>1/(1+EXP(-Tableau3[[#This Row],[xb_c]]))</f>
        <v>0.88471925964100129</v>
      </c>
      <c r="AW26" s="3">
        <f>1/(1+EXP(-Tableau3[[#This Row],[xb_b]]))</f>
        <v>0.50647463806638304</v>
      </c>
      <c r="AX26" s="3" t="str">
        <f t="shared" si="0"/>
        <v>NA</v>
      </c>
      <c r="AY26" s="3">
        <f>Tableau3[[#This Row],[prob_b]]</f>
        <v>0.50647463806638304</v>
      </c>
      <c r="AZ26" s="3">
        <f>Tableau3[[#This Row],[prob_c]]-Tableau3[[#This Row],[prob_b]]</f>
        <v>0.37824462157461824</v>
      </c>
      <c r="BA26" s="3">
        <f>1-Tableau3[[#This Row],[prob_c]]</f>
        <v>0.11528074035899871</v>
      </c>
    </row>
    <row r="27" spans="1:53" x14ac:dyDescent="0.25">
      <c r="A27" s="3">
        <v>7</v>
      </c>
      <c r="B27" s="3" t="s">
        <v>15</v>
      </c>
      <c r="C27" s="1">
        <v>2.1</v>
      </c>
      <c r="D27" s="1">
        <v>700</v>
      </c>
      <c r="E27" s="1">
        <v>20</v>
      </c>
      <c r="F27" s="1">
        <v>1</v>
      </c>
      <c r="G27" s="3">
        <v>31</v>
      </c>
      <c r="H27" s="3">
        <v>34</v>
      </c>
      <c r="I27" s="3" t="s">
        <v>21</v>
      </c>
      <c r="J27" s="3" t="s">
        <v>27</v>
      </c>
      <c r="K27" s="3">
        <f>VLOOKUP(Tableau3[[#This Row],[essence]],Tableau7[],2,FALSE)</f>
        <v>-0.68799999999999994</v>
      </c>
      <c r="L27" s="3">
        <f>VLOOKUP(Tableau3[[#This Row],[essence]],Tableau7[],3,FALSE)</f>
        <v>1.3924000000000001</v>
      </c>
      <c r="M27" s="3">
        <f>VLOOKUP(Tableau3[[#This Row],[essence]],Tableau7[],4,FALSE)</f>
        <v>0.41599999999999998</v>
      </c>
      <c r="N27" s="3">
        <f>IF(Tableau3[[#This Row],[priorecol]]="C",1,0)</f>
        <v>1</v>
      </c>
      <c r="O27" s="3">
        <f>VLOOKUP(Tableau3[[#This Row],[essence]],Tableau7[],5,FALSE)</f>
        <v>1.5604</v>
      </c>
      <c r="P27" s="3">
        <f>IF(Tableau3[[#This Row],[priorecol]]="R",1,0)</f>
        <v>0</v>
      </c>
      <c r="Q27" s="3">
        <f>VLOOKUP(Tableau3[[#This Row],[essence]],Tableau7[],6,FALSE)</f>
        <v>-0.64770000000000005</v>
      </c>
      <c r="R27" s="3">
        <f>IF(Tableau3[[#This Row],[priorecol]]="S",1,0)</f>
        <v>0</v>
      </c>
      <c r="S27" s="3">
        <f>VLOOKUP(Tableau3[[#This Row],[essence]],Tableau7[],7,FALSE)</f>
        <v>0</v>
      </c>
      <c r="T27" s="3">
        <f>VLOOKUP(Tableau3[[#This Row],[essence]],Tableau7[],15,FALSE)</f>
        <v>-2.4500000000000001E-2</v>
      </c>
      <c r="U27" s="3">
        <f>VLOOKUP(Tableau3[[#This Row],[essence]],Tableau7[],20,FALSE)</f>
        <v>0.15179999999999999</v>
      </c>
      <c r="V27" s="3">
        <f>IF(Tableau3[[#This Row],[sdom]]=1,1,0)</f>
        <v>0</v>
      </c>
      <c r="W27" s="3">
        <f>VLOOKUP(Tableau3[[#This Row],[essence]],Tableau7[],8,FALSE)</f>
        <v>0</v>
      </c>
      <c r="X27" s="3">
        <f>IF(Tableau3[[#This Row],[sdom]]="2EST",1,0)</f>
        <v>0</v>
      </c>
      <c r="Y27" s="3">
        <f>VLOOKUP(Tableau3[[#This Row],[essence]],Tableau7[],9,FALSE)</f>
        <v>-0.27589999999999998</v>
      </c>
      <c r="Z27" s="3">
        <f>IF(Tableau3[[#This Row],[sdom]]="2OUEST",1,0)</f>
        <v>0</v>
      </c>
      <c r="AA27" s="3">
        <f>VLOOKUP(Tableau3[[#This Row],[essence]],Tableau7[],10,FALSE)</f>
        <v>0</v>
      </c>
      <c r="AB27" s="3">
        <f>IF(Tableau3[[#This Row],[sdom]]="3EST",1,0)</f>
        <v>0</v>
      </c>
      <c r="AC27" s="3">
        <f>VLOOKUP(Tableau3[[#This Row],[essence]],Tableau7[],11,FALSE)</f>
        <v>0</v>
      </c>
      <c r="AD27" s="3">
        <f>IF(Tableau3[[#This Row],[sdom]]="3OUEST",1,0)</f>
        <v>0</v>
      </c>
      <c r="AE27" s="3">
        <f>VLOOKUP(Tableau3[[#This Row],[essence]],Tableau7[],12,FALSE)</f>
        <v>0</v>
      </c>
      <c r="AF27" s="3">
        <f>IF(Tableau3[[#This Row],[sdom]]="4EST",1,0)</f>
        <v>0</v>
      </c>
      <c r="AG27" s="3">
        <f>VLOOKUP(Tableau3[[#This Row],[essence]],Tableau7[],13,FALSE)</f>
        <v>0</v>
      </c>
      <c r="AH27" s="3">
        <f>IF(Tableau3[[#This Row],[sdom]]="4OUEST",1,0)</f>
        <v>1</v>
      </c>
      <c r="AI27" s="3">
        <f>VLOOKUP(Tableau3[[#This Row],[essence]],Tableau7[],14,FALSE)</f>
        <v>0</v>
      </c>
      <c r="AJ27" s="3">
        <f>IF(Tableau3[[#This Row],[sdom]]="5EST",1,0)</f>
        <v>0</v>
      </c>
      <c r="AK27" s="3">
        <f>VLOOKUP(Tableau3[[#This Row],[essence]],Tableau7[],17,FALSE)</f>
        <v>6.4199999999999993E-2</v>
      </c>
      <c r="AL27" s="3">
        <f>IF(Tableau3[[#This Row],[priorecol]]="C",1,0)</f>
        <v>1</v>
      </c>
      <c r="AM27" s="3">
        <f>VLOOKUP(Tableau3[[#This Row],[essence]],Tableau7[],18,FALSE)</f>
        <v>6.3399999999999998E-2</v>
      </c>
      <c r="AN27" s="3">
        <f>IF(Tableau3[[#This Row],[priorecol]]="R",1,0)</f>
        <v>0</v>
      </c>
      <c r="AO27" s="3">
        <f>VLOOKUP(Tableau3[[#This Row],[essence]],Tableau7[],19,FALSE)</f>
        <v>8.2400000000000001E-2</v>
      </c>
      <c r="AP27" s="3">
        <f>IF(Tableau3[[#This Row],[priorecol]]="S",1,0)</f>
        <v>0</v>
      </c>
      <c r="AQ27" s="3">
        <f>VLOOKUP(Tableau3[[#This Row],[essence]],Tableau7[],21,FALSE)</f>
        <v>0</v>
      </c>
      <c r="AR27" s="3">
        <f>VLOOKUP(Tableau3[[#This Row],[essence]],Tableau7[],16,FALSE)</f>
        <v>0</v>
      </c>
      <c r="AS2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27" s="3">
        <f>Tableau3[[#This Row],[xb_]]+Tableau3[[#This Row],[b_intercept_C]]</f>
        <v>2.6023999999999998</v>
      </c>
      <c r="AU27" s="3">
        <f>Tableau3[[#This Row],[xb_]]+Tableau3[[#This Row],[b_intercept_B]]</f>
        <v>0.5219999999999998</v>
      </c>
      <c r="AV27" s="3">
        <f>1/(1+EXP(-Tableau3[[#This Row],[xb_c]]))</f>
        <v>0.93101587994365387</v>
      </c>
      <c r="AW27" s="3">
        <f>1/(1+EXP(-Tableau3[[#This Row],[xb_b]]))</f>
        <v>0.62761531415306238</v>
      </c>
      <c r="AX27" s="3" t="str">
        <f t="shared" si="0"/>
        <v>NA</v>
      </c>
      <c r="AY27" s="3">
        <f>Tableau3[[#This Row],[prob_b]]</f>
        <v>0.62761531415306238</v>
      </c>
      <c r="AZ27" s="3">
        <f>Tableau3[[#This Row],[prob_c]]-Tableau3[[#This Row],[prob_b]]</f>
        <v>0.30340056579059149</v>
      </c>
      <c r="BA27" s="3">
        <f>1-Tableau3[[#This Row],[prob_c]]</f>
        <v>6.8984120056346132E-2</v>
      </c>
    </row>
    <row r="28" spans="1:53" x14ac:dyDescent="0.25">
      <c r="A28" s="2">
        <v>7</v>
      </c>
      <c r="B28" s="2" t="s">
        <v>15</v>
      </c>
      <c r="C28" s="4">
        <v>2.1</v>
      </c>
      <c r="D28" s="4">
        <v>700</v>
      </c>
      <c r="E28" s="4">
        <v>20</v>
      </c>
      <c r="F28" s="4">
        <v>1</v>
      </c>
      <c r="G28" s="2">
        <v>37</v>
      </c>
      <c r="H28" s="2">
        <v>34</v>
      </c>
      <c r="I28" s="2" t="s">
        <v>23</v>
      </c>
      <c r="J28" s="2" t="s">
        <v>27</v>
      </c>
      <c r="K28" s="2">
        <f>VLOOKUP(Tableau3[[#This Row],[essence]],Tableau7[],2,FALSE)</f>
        <v>-3.9003999999999999</v>
      </c>
      <c r="L28" s="3">
        <f>VLOOKUP(Tableau3[[#This Row],[essence]],Tableau7[],3,FALSE)</f>
        <v>-1.7661</v>
      </c>
      <c r="M28" s="3">
        <f>VLOOKUP(Tableau3[[#This Row],[essence]],Tableau7[],4,FALSE)</f>
        <v>1.9438</v>
      </c>
      <c r="N28" s="3">
        <f>IF(Tableau3[[#This Row],[priorecol]]="C",1,0)</f>
        <v>1</v>
      </c>
      <c r="O28" s="3">
        <f>VLOOKUP(Tableau3[[#This Row],[essence]],Tableau7[],5,FALSE)</f>
        <v>2.9834000000000001</v>
      </c>
      <c r="P28" s="3">
        <f>IF(Tableau3[[#This Row],[priorecol]]="R",1,0)</f>
        <v>0</v>
      </c>
      <c r="Q28" s="3">
        <f>VLOOKUP(Tableau3[[#This Row],[essence]],Tableau7[],6,FALSE)</f>
        <v>1.0873999999999999</v>
      </c>
      <c r="R28" s="3">
        <f>IF(Tableau3[[#This Row],[priorecol]]="S",1,0)</f>
        <v>0</v>
      </c>
      <c r="S28" s="3">
        <f>VLOOKUP(Tableau3[[#This Row],[essence]],Tableau7[],7,FALSE)</f>
        <v>6.4000000000000001E-2</v>
      </c>
      <c r="T28" s="3">
        <f>VLOOKUP(Tableau3[[#This Row],[essence]],Tableau7[],15,FALSE)</f>
        <v>7.5199999999999998E-3</v>
      </c>
      <c r="U28" s="3">
        <f>VLOOKUP(Tableau3[[#This Row],[essence]],Tableau7[],20,FALSE)</f>
        <v>0.17810000000000001</v>
      </c>
      <c r="V28" s="3">
        <f>IF(Tableau3[[#This Row],[sdom]]=1,1,0)</f>
        <v>0</v>
      </c>
      <c r="W28" s="3">
        <f>VLOOKUP(Tableau3[[#This Row],[essence]],Tableau7[],8,FALSE)</f>
        <v>0.29430000000000001</v>
      </c>
      <c r="X28" s="3">
        <f>IF(Tableau3[[#This Row],[sdom]]="2EST",1,0)</f>
        <v>0</v>
      </c>
      <c r="Y28" s="3">
        <f>VLOOKUP(Tableau3[[#This Row],[essence]],Tableau7[],9,FALSE)</f>
        <v>0.11260000000000001</v>
      </c>
      <c r="Z28" s="3">
        <f>IF(Tableau3[[#This Row],[sdom]]="2OUEST",1,0)</f>
        <v>0</v>
      </c>
      <c r="AA28" s="3">
        <f>VLOOKUP(Tableau3[[#This Row],[essence]],Tableau7[],10,FALSE)</f>
        <v>1.2999999999999999E-2</v>
      </c>
      <c r="AB28" s="3">
        <f>IF(Tableau3[[#This Row],[sdom]]="3EST",1,0)</f>
        <v>0</v>
      </c>
      <c r="AC28" s="3">
        <f>VLOOKUP(Tableau3[[#This Row],[essence]],Tableau7[],11,FALSE)</f>
        <v>0.17150000000000001</v>
      </c>
      <c r="AD28" s="3">
        <f>IF(Tableau3[[#This Row],[sdom]]="3OUEST",1,0)</f>
        <v>0</v>
      </c>
      <c r="AE28" s="3">
        <f>VLOOKUP(Tableau3[[#This Row],[essence]],Tableau7[],12,FALSE)</f>
        <v>-0.1308</v>
      </c>
      <c r="AF28" s="3">
        <f>IF(Tableau3[[#This Row],[sdom]]="4EST",1,0)</f>
        <v>0</v>
      </c>
      <c r="AG28" s="3">
        <f>VLOOKUP(Tableau3[[#This Row],[essence]],Tableau7[],13,FALSE)</f>
        <v>-0.2858</v>
      </c>
      <c r="AH28" s="3">
        <f>IF(Tableau3[[#This Row],[sdom]]="4OUEST",1,0)</f>
        <v>1</v>
      </c>
      <c r="AI28" s="3">
        <f>VLOOKUP(Tableau3[[#This Row],[essence]],Tableau7[],14,FALSE)</f>
        <v>0</v>
      </c>
      <c r="AJ28" s="3">
        <f>IF(Tableau3[[#This Row],[sdom]]="5EST",1,0)</f>
        <v>0</v>
      </c>
      <c r="AK28" s="3">
        <f>VLOOKUP(Tableau3[[#This Row],[essence]],Tableau7[],17,FALSE)</f>
        <v>0</v>
      </c>
      <c r="AL28" s="3">
        <f>IF(Tableau3[[#This Row],[priorecol]]="C",1,0)</f>
        <v>1</v>
      </c>
      <c r="AM28" s="3">
        <f>VLOOKUP(Tableau3[[#This Row],[essence]],Tableau7[],18,FALSE)</f>
        <v>0</v>
      </c>
      <c r="AN28" s="3">
        <f>IF(Tableau3[[#This Row],[priorecol]]="R",1,0)</f>
        <v>0</v>
      </c>
      <c r="AO28" s="3">
        <f>VLOOKUP(Tableau3[[#This Row],[essence]],Tableau7[],19,FALSE)</f>
        <v>0</v>
      </c>
      <c r="AP28" s="3">
        <f>IF(Tableau3[[#This Row],[priorecol]]="S",1,0)</f>
        <v>0</v>
      </c>
      <c r="AQ28" s="3">
        <f>VLOOKUP(Tableau3[[#This Row],[essence]],Tableau7[],21,FALSE)</f>
        <v>0</v>
      </c>
      <c r="AR28" s="3">
        <f>VLOOKUP(Tableau3[[#This Row],[essence]],Tableau7[],16,FALSE)</f>
        <v>0</v>
      </c>
      <c r="AS2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3.9843999999999999</v>
      </c>
      <c r="AT28" s="3">
        <f>Tableau3[[#This Row],[xb_]]+Tableau3[[#This Row],[b_intercept_C]]</f>
        <v>2.2183000000000002</v>
      </c>
      <c r="AU28" s="3">
        <f>Tableau3[[#This Row],[xb_]]+Tableau3[[#This Row],[b_intercept_B]]</f>
        <v>8.4000000000000075E-2</v>
      </c>
      <c r="AV28" s="3">
        <f>1/(1+EXP(-Tableau3[[#This Row],[xb_c]]))</f>
        <v>0.90188086243286281</v>
      </c>
      <c r="AW28" s="3">
        <f>1/(1+EXP(-Tableau3[[#This Row],[xb_b]]))</f>
        <v>0.52098766070653235</v>
      </c>
      <c r="AX28" s="3" t="str">
        <f t="shared" si="0"/>
        <v>NA</v>
      </c>
      <c r="AY28" s="3">
        <f>Tableau3[[#This Row],[prob_b]]</f>
        <v>0.52098766070653235</v>
      </c>
      <c r="AZ28" s="3">
        <f>Tableau3[[#This Row],[prob_c]]-Tableau3[[#This Row],[prob_b]]</f>
        <v>0.38089320172633045</v>
      </c>
      <c r="BA28" s="3">
        <f>1-Tableau3[[#This Row],[prob_c]]</f>
        <v>9.8119137567137193E-2</v>
      </c>
    </row>
    <row r="29" spans="1:53" x14ac:dyDescent="0.25">
      <c r="A29" s="3">
        <v>7</v>
      </c>
      <c r="B29" s="3" t="s">
        <v>15</v>
      </c>
      <c r="C29" s="1">
        <v>2.1</v>
      </c>
      <c r="D29" s="1">
        <v>700</v>
      </c>
      <c r="E29" s="1">
        <v>20</v>
      </c>
      <c r="F29" s="1">
        <v>1</v>
      </c>
      <c r="G29" s="3">
        <v>43</v>
      </c>
      <c r="H29" s="3">
        <v>34</v>
      </c>
      <c r="I29" s="3" t="s">
        <v>25</v>
      </c>
      <c r="J29" s="3" t="s">
        <v>27</v>
      </c>
      <c r="K29" s="3">
        <f>VLOOKUP(Tableau3[[#This Row],[essence]],Tableau7[],2,FALSE)</f>
        <v>-2.9584999999999999</v>
      </c>
      <c r="L29" s="3">
        <f>VLOOKUP(Tableau3[[#This Row],[essence]],Tableau7[],3,FALSE)</f>
        <v>-1.1581999999999999</v>
      </c>
      <c r="M29" s="3">
        <f>VLOOKUP(Tableau3[[#This Row],[essence]],Tableau7[],4,FALSE)</f>
        <v>1.3563000000000001</v>
      </c>
      <c r="N29" s="3">
        <f>IF(Tableau3[[#This Row],[priorecol]]="C",1,0)</f>
        <v>1</v>
      </c>
      <c r="O29" s="3">
        <f>VLOOKUP(Tableau3[[#This Row],[essence]],Tableau7[],5,FALSE)</f>
        <v>2.0564</v>
      </c>
      <c r="P29" s="3">
        <f>IF(Tableau3[[#This Row],[priorecol]]="R",1,0)</f>
        <v>0</v>
      </c>
      <c r="Q29" s="3">
        <f>VLOOKUP(Tableau3[[#This Row],[essence]],Tableau7[],6,FALSE)</f>
        <v>1.3911</v>
      </c>
      <c r="R29" s="3">
        <f>IF(Tableau3[[#This Row],[priorecol]]="S",1,0)</f>
        <v>0</v>
      </c>
      <c r="S29" s="3">
        <f>VLOOKUP(Tableau3[[#This Row],[essence]],Tableau7[],7,FALSE)</f>
        <v>0</v>
      </c>
      <c r="T29" s="3">
        <f>VLOOKUP(Tableau3[[#This Row],[essence]],Tableau7[],15,FALSE)</f>
        <v>0</v>
      </c>
      <c r="U29" s="3">
        <f>VLOOKUP(Tableau3[[#This Row],[essence]],Tableau7[],20,FALSE)</f>
        <v>0</v>
      </c>
      <c r="V29" s="3">
        <f>IF(Tableau3[[#This Row],[sdom]]=1,1,0)</f>
        <v>0</v>
      </c>
      <c r="W29" s="3">
        <f>VLOOKUP(Tableau3[[#This Row],[essence]],Tableau7[],8,FALSE)</f>
        <v>0.19420000000000001</v>
      </c>
      <c r="X29" s="3">
        <f>IF(Tableau3[[#This Row],[sdom]]="2EST",1,0)</f>
        <v>0</v>
      </c>
      <c r="Y29" s="3">
        <f>VLOOKUP(Tableau3[[#This Row],[essence]],Tableau7[],9,FALSE)</f>
        <v>-0.1956</v>
      </c>
      <c r="Z29" s="3">
        <f>IF(Tableau3[[#This Row],[sdom]]="2OUEST",1,0)</f>
        <v>0</v>
      </c>
      <c r="AA29" s="3">
        <f>VLOOKUP(Tableau3[[#This Row],[essence]],Tableau7[],10,FALSE)</f>
        <v>-0.1221</v>
      </c>
      <c r="AB29" s="3">
        <f>IF(Tableau3[[#This Row],[sdom]]="3EST",1,0)</f>
        <v>0</v>
      </c>
      <c r="AC29" s="3">
        <f>VLOOKUP(Tableau3[[#This Row],[essence]],Tableau7[],11,FALSE)</f>
        <v>0.16789999999999999</v>
      </c>
      <c r="AD29" s="3">
        <f>IF(Tableau3[[#This Row],[sdom]]="3OUEST",1,0)</f>
        <v>0</v>
      </c>
      <c r="AE29" s="3">
        <f>VLOOKUP(Tableau3[[#This Row],[essence]],Tableau7[],12,FALSE)</f>
        <v>0</v>
      </c>
      <c r="AF29" s="3">
        <f>IF(Tableau3[[#This Row],[sdom]]="4EST",1,0)</f>
        <v>0</v>
      </c>
      <c r="AG29" s="3">
        <f>VLOOKUP(Tableau3[[#This Row],[essence]],Tableau7[],13,FALSE)</f>
        <v>0</v>
      </c>
      <c r="AH29" s="3">
        <f>IF(Tableau3[[#This Row],[sdom]]="4OUEST",1,0)</f>
        <v>1</v>
      </c>
      <c r="AI29" s="3">
        <f>VLOOKUP(Tableau3[[#This Row],[essence]],Tableau7[],14,FALSE)</f>
        <v>0</v>
      </c>
      <c r="AJ29" s="3">
        <f>IF(Tableau3[[#This Row],[sdom]]="5EST",1,0)</f>
        <v>0</v>
      </c>
      <c r="AK29" s="3">
        <f>VLOOKUP(Tableau3[[#This Row],[essence]],Tableau7[],17,FALSE)</f>
        <v>0</v>
      </c>
      <c r="AL29" s="3">
        <f>IF(Tableau3[[#This Row],[priorecol]]="C",1,0)</f>
        <v>1</v>
      </c>
      <c r="AM29" s="3">
        <f>VLOOKUP(Tableau3[[#This Row],[essence]],Tableau7[],18,FALSE)</f>
        <v>0</v>
      </c>
      <c r="AN29" s="3">
        <f>IF(Tableau3[[#This Row],[priorecol]]="R",1,0)</f>
        <v>0</v>
      </c>
      <c r="AO29" s="3">
        <f>VLOOKUP(Tableau3[[#This Row],[essence]],Tableau7[],19,FALSE)</f>
        <v>0</v>
      </c>
      <c r="AP29" s="3">
        <f>IF(Tableau3[[#This Row],[priorecol]]="S",1,0)</f>
        <v>0</v>
      </c>
      <c r="AQ29" s="3">
        <f>VLOOKUP(Tableau3[[#This Row],[essence]],Tableau7[],21,FALSE)</f>
        <v>0.2979</v>
      </c>
      <c r="AR29" s="3">
        <f>VLOOKUP(Tableau3[[#This Row],[essence]],Tableau7[],16,FALSE)</f>
        <v>0.154</v>
      </c>
      <c r="AS2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1.9776000000000002</v>
      </c>
      <c r="AT29" s="3">
        <f>Tableau3[[#This Row],[xb_]]+Tableau3[[#This Row],[b_intercept_C]]</f>
        <v>0.81940000000000035</v>
      </c>
      <c r="AU29" s="3">
        <f>Tableau3[[#This Row],[xb_]]+Tableau3[[#This Row],[b_intercept_B]]</f>
        <v>-0.98089999999999966</v>
      </c>
      <c r="AV29" s="3">
        <f>1/(1+EXP(-Tableau3[[#This Row],[xb_c]]))</f>
        <v>0.69410896192045923</v>
      </c>
      <c r="AW29" s="3">
        <f>1/(1+EXP(-Tableau3[[#This Row],[xb_b]]))</f>
        <v>0.27271324049241696</v>
      </c>
      <c r="AX29" s="3" t="str">
        <f t="shared" si="0"/>
        <v>NA</v>
      </c>
      <c r="AY29" s="3">
        <f>Tableau3[[#This Row],[prob_b]]</f>
        <v>0.27271324049241696</v>
      </c>
      <c r="AZ29" s="3">
        <f>Tableau3[[#This Row],[prob_c]]-Tableau3[[#This Row],[prob_b]]</f>
        <v>0.42139572142804227</v>
      </c>
      <c r="BA29" s="3">
        <f>1-Tableau3[[#This Row],[prob_c]]</f>
        <v>0.30589103807954077</v>
      </c>
    </row>
    <row r="30" spans="1:53" x14ac:dyDescent="0.25">
      <c r="A30" s="2">
        <v>8</v>
      </c>
      <c r="B30" s="2" t="s">
        <v>16</v>
      </c>
      <c r="C30" s="4">
        <v>2.1</v>
      </c>
      <c r="D30" s="4">
        <v>700</v>
      </c>
      <c r="E30" s="4">
        <v>20</v>
      </c>
      <c r="F30" s="4">
        <v>1</v>
      </c>
      <c r="G30" s="2">
        <v>25</v>
      </c>
      <c r="H30" s="2">
        <v>34</v>
      </c>
      <c r="I30" s="2" t="s">
        <v>19</v>
      </c>
      <c r="J30" s="2" t="s">
        <v>27</v>
      </c>
      <c r="K30" s="2">
        <f>VLOOKUP(Tableau3[[#This Row],[essence]],Tableau7[],2,FALSE)</f>
        <v>-3.7313999999999998</v>
      </c>
      <c r="L30" s="3">
        <f>VLOOKUP(Tableau3[[#This Row],[essence]],Tableau7[],3,FALSE)</f>
        <v>-1.7194</v>
      </c>
      <c r="M30" s="3">
        <f>VLOOKUP(Tableau3[[#This Row],[essence]],Tableau7[],4,FALSE)</f>
        <v>1.5371999999999999</v>
      </c>
      <c r="N30" s="3">
        <f>IF(Tableau3[[#This Row],[priorecol]]="C",1,0)</f>
        <v>1</v>
      </c>
      <c r="O30" s="3">
        <f>VLOOKUP(Tableau3[[#This Row],[essence]],Tableau7[],5,FALSE)</f>
        <v>2.5815000000000001</v>
      </c>
      <c r="P30" s="3">
        <f>IF(Tableau3[[#This Row],[priorecol]]="R",1,0)</f>
        <v>0</v>
      </c>
      <c r="Q30" s="3">
        <f>VLOOKUP(Tableau3[[#This Row],[essence]],Tableau7[],6,FALSE)</f>
        <v>0.96079999999999999</v>
      </c>
      <c r="R30" s="3">
        <f>IF(Tableau3[[#This Row],[priorecol]]="S",1,0)</f>
        <v>0</v>
      </c>
      <c r="S30" s="3">
        <f>VLOOKUP(Tableau3[[#This Row],[essence]],Tableau7[],7,FALSE)</f>
        <v>4.2799999999999998E-2</v>
      </c>
      <c r="T30" s="3">
        <f>VLOOKUP(Tableau3[[#This Row],[essence]],Tableau7[],15,FALSE)</f>
        <v>1.54E-2</v>
      </c>
      <c r="U30" s="3">
        <f>VLOOKUP(Tableau3[[#This Row],[essence]],Tableau7[],20,FALSE)</f>
        <v>0</v>
      </c>
      <c r="V30" s="3">
        <f>IF(Tableau3[[#This Row],[sdom]]=1,1,0)</f>
        <v>0</v>
      </c>
      <c r="W30" s="3">
        <f>VLOOKUP(Tableau3[[#This Row],[essence]],Tableau7[],8,FALSE)</f>
        <v>2.3900000000000001E-2</v>
      </c>
      <c r="X30" s="3">
        <f>IF(Tableau3[[#This Row],[sdom]]="2EST",1,0)</f>
        <v>0</v>
      </c>
      <c r="Y30" s="3">
        <f>VLOOKUP(Tableau3[[#This Row],[essence]],Tableau7[],9,FALSE)</f>
        <v>-0.4793</v>
      </c>
      <c r="Z30" s="3">
        <f>IF(Tableau3[[#This Row],[sdom]]="2OUEST",1,0)</f>
        <v>0</v>
      </c>
      <c r="AA30" s="3">
        <f>VLOOKUP(Tableau3[[#This Row],[essence]],Tableau7[],10,FALSE)</f>
        <v>0.13880000000000001</v>
      </c>
      <c r="AB30" s="3">
        <f>IF(Tableau3[[#This Row],[sdom]]="3EST",1,0)</f>
        <v>0</v>
      </c>
      <c r="AC30" s="3">
        <f>VLOOKUP(Tableau3[[#This Row],[essence]],Tableau7[],11,FALSE)</f>
        <v>0.27039999999999997</v>
      </c>
      <c r="AD30" s="3">
        <f>IF(Tableau3[[#This Row],[sdom]]="3OUEST",1,0)</f>
        <v>0</v>
      </c>
      <c r="AE30" s="3">
        <f>VLOOKUP(Tableau3[[#This Row],[essence]],Tableau7[],12,FALSE)</f>
        <v>4.6600000000000001E-3</v>
      </c>
      <c r="AF30" s="3">
        <f>IF(Tableau3[[#This Row],[sdom]]="4EST",1,0)</f>
        <v>0</v>
      </c>
      <c r="AG30" s="3">
        <f>VLOOKUP(Tableau3[[#This Row],[essence]],Tableau7[],13,FALSE)</f>
        <v>0.1986</v>
      </c>
      <c r="AH30" s="3">
        <f>IF(Tableau3[[#This Row],[sdom]]="4OUEST",1,0)</f>
        <v>0</v>
      </c>
      <c r="AI30" s="3">
        <f>VLOOKUP(Tableau3[[#This Row],[essence]],Tableau7[],14,FALSE)</f>
        <v>-0.2535</v>
      </c>
      <c r="AJ30" s="3">
        <f>IF(Tableau3[[#This Row],[sdom]]="5EST",1,0)</f>
        <v>1</v>
      </c>
      <c r="AK30" s="3">
        <f>VLOOKUP(Tableau3[[#This Row],[essence]],Tableau7[],17,FALSE)</f>
        <v>0</v>
      </c>
      <c r="AL30" s="3">
        <f>IF(Tableau3[[#This Row],[priorecol]]="C",1,0)</f>
        <v>1</v>
      </c>
      <c r="AM30" s="3">
        <f>VLOOKUP(Tableau3[[#This Row],[essence]],Tableau7[],18,FALSE)</f>
        <v>0</v>
      </c>
      <c r="AN30" s="3">
        <f>IF(Tableau3[[#This Row],[priorecol]]="R",1,0)</f>
        <v>0</v>
      </c>
      <c r="AO30" s="3">
        <f>VLOOKUP(Tableau3[[#This Row],[essence]],Tableau7[],19,FALSE)</f>
        <v>0</v>
      </c>
      <c r="AP30" s="3">
        <f>IF(Tableau3[[#This Row],[priorecol]]="S",1,0)</f>
        <v>0</v>
      </c>
      <c r="AQ30" s="3">
        <f>VLOOKUP(Tableau3[[#This Row],[essence]],Tableau7[],21,FALSE)</f>
        <v>0</v>
      </c>
      <c r="AR30" s="3">
        <f>VLOOKUP(Tableau3[[#This Row],[essence]],Tableau7[],16,FALSE)</f>
        <v>0.123</v>
      </c>
      <c r="AS3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3.3052000000000001</v>
      </c>
      <c r="AT30" s="3">
        <f>Tableau3[[#This Row],[xb_]]+Tableau3[[#This Row],[b_intercept_C]]</f>
        <v>1.5858000000000001</v>
      </c>
      <c r="AU30" s="3">
        <f>Tableau3[[#This Row],[xb_]]+Tableau3[[#This Row],[b_intercept_B]]</f>
        <v>-0.42619999999999969</v>
      </c>
      <c r="AV30" s="3">
        <f>1/(1+EXP(-Tableau3[[#This Row],[xb_c]]))</f>
        <v>0.83002437169691257</v>
      </c>
      <c r="AW30" s="3">
        <f>1/(1+EXP(-Tableau3[[#This Row],[xb_b]]))</f>
        <v>0.39503410060153871</v>
      </c>
      <c r="AX30" s="3" t="str">
        <f t="shared" si="0"/>
        <v>NA</v>
      </c>
      <c r="AY30" s="3">
        <f>Tableau3[[#This Row],[prob_b]]</f>
        <v>0.39503410060153871</v>
      </c>
      <c r="AZ30" s="3">
        <f>Tableau3[[#This Row],[prob_c]]-Tableau3[[#This Row],[prob_b]]</f>
        <v>0.43499027109537386</v>
      </c>
      <c r="BA30" s="3">
        <f>1-Tableau3[[#This Row],[prob_c]]</f>
        <v>0.16997562830308743</v>
      </c>
    </row>
    <row r="31" spans="1:53" x14ac:dyDescent="0.25">
      <c r="A31" s="3">
        <v>8</v>
      </c>
      <c r="B31" s="3" t="s">
        <v>16</v>
      </c>
      <c r="C31" s="1">
        <v>2.1</v>
      </c>
      <c r="D31" s="1">
        <v>700</v>
      </c>
      <c r="E31" s="1">
        <v>20</v>
      </c>
      <c r="F31" s="1">
        <v>1</v>
      </c>
      <c r="G31" s="3">
        <v>31</v>
      </c>
      <c r="H31" s="3">
        <v>34</v>
      </c>
      <c r="I31" s="3" t="s">
        <v>21</v>
      </c>
      <c r="J31" s="3" t="s">
        <v>27</v>
      </c>
      <c r="K31" s="3">
        <f>VLOOKUP(Tableau3[[#This Row],[essence]],Tableau7[],2,FALSE)</f>
        <v>-0.68799999999999994</v>
      </c>
      <c r="L31" s="3">
        <f>VLOOKUP(Tableau3[[#This Row],[essence]],Tableau7[],3,FALSE)</f>
        <v>1.3924000000000001</v>
      </c>
      <c r="M31" s="3">
        <f>VLOOKUP(Tableau3[[#This Row],[essence]],Tableau7[],4,FALSE)</f>
        <v>0.41599999999999998</v>
      </c>
      <c r="N31" s="3">
        <f>IF(Tableau3[[#This Row],[priorecol]]="C",1,0)</f>
        <v>1</v>
      </c>
      <c r="O31" s="3">
        <f>VLOOKUP(Tableau3[[#This Row],[essence]],Tableau7[],5,FALSE)</f>
        <v>1.5604</v>
      </c>
      <c r="P31" s="3">
        <f>IF(Tableau3[[#This Row],[priorecol]]="R",1,0)</f>
        <v>0</v>
      </c>
      <c r="Q31" s="3">
        <f>VLOOKUP(Tableau3[[#This Row],[essence]],Tableau7[],6,FALSE)</f>
        <v>-0.64770000000000005</v>
      </c>
      <c r="R31" s="3">
        <f>IF(Tableau3[[#This Row],[priorecol]]="S",1,0)</f>
        <v>0</v>
      </c>
      <c r="S31" s="3">
        <f>VLOOKUP(Tableau3[[#This Row],[essence]],Tableau7[],7,FALSE)</f>
        <v>0</v>
      </c>
      <c r="T31" s="3">
        <f>VLOOKUP(Tableau3[[#This Row],[essence]],Tableau7[],15,FALSE)</f>
        <v>-2.4500000000000001E-2</v>
      </c>
      <c r="U31" s="3">
        <f>VLOOKUP(Tableau3[[#This Row],[essence]],Tableau7[],20,FALSE)</f>
        <v>0.15179999999999999</v>
      </c>
      <c r="V31" s="3">
        <f>IF(Tableau3[[#This Row],[sdom]]=1,1,0)</f>
        <v>0</v>
      </c>
      <c r="W31" s="3">
        <f>VLOOKUP(Tableau3[[#This Row],[essence]],Tableau7[],8,FALSE)</f>
        <v>0</v>
      </c>
      <c r="X31" s="3">
        <f>IF(Tableau3[[#This Row],[sdom]]="2EST",1,0)</f>
        <v>0</v>
      </c>
      <c r="Y31" s="3">
        <f>VLOOKUP(Tableau3[[#This Row],[essence]],Tableau7[],9,FALSE)</f>
        <v>-0.27589999999999998</v>
      </c>
      <c r="Z31" s="3">
        <f>IF(Tableau3[[#This Row],[sdom]]="2OUEST",1,0)</f>
        <v>0</v>
      </c>
      <c r="AA31" s="3">
        <f>VLOOKUP(Tableau3[[#This Row],[essence]],Tableau7[],10,FALSE)</f>
        <v>0</v>
      </c>
      <c r="AB31" s="3">
        <f>IF(Tableau3[[#This Row],[sdom]]="3EST",1,0)</f>
        <v>0</v>
      </c>
      <c r="AC31" s="3">
        <f>VLOOKUP(Tableau3[[#This Row],[essence]],Tableau7[],11,FALSE)</f>
        <v>0</v>
      </c>
      <c r="AD31" s="3">
        <f>IF(Tableau3[[#This Row],[sdom]]="3OUEST",1,0)</f>
        <v>0</v>
      </c>
      <c r="AE31" s="3">
        <f>VLOOKUP(Tableau3[[#This Row],[essence]],Tableau7[],12,FALSE)</f>
        <v>0</v>
      </c>
      <c r="AF31" s="3">
        <f>IF(Tableau3[[#This Row],[sdom]]="4EST",1,0)</f>
        <v>0</v>
      </c>
      <c r="AG31" s="3">
        <f>VLOOKUP(Tableau3[[#This Row],[essence]],Tableau7[],13,FALSE)</f>
        <v>0</v>
      </c>
      <c r="AH31" s="3">
        <f>IF(Tableau3[[#This Row],[sdom]]="4OUEST",1,0)</f>
        <v>0</v>
      </c>
      <c r="AI31" s="3">
        <f>VLOOKUP(Tableau3[[#This Row],[essence]],Tableau7[],14,FALSE)</f>
        <v>0</v>
      </c>
      <c r="AJ31" s="3">
        <f>IF(Tableau3[[#This Row],[sdom]]="5EST",1,0)</f>
        <v>1</v>
      </c>
      <c r="AK31" s="3">
        <f>VLOOKUP(Tableau3[[#This Row],[essence]],Tableau7[],17,FALSE)</f>
        <v>6.4199999999999993E-2</v>
      </c>
      <c r="AL31" s="3">
        <f>IF(Tableau3[[#This Row],[priorecol]]="C",1,0)</f>
        <v>1</v>
      </c>
      <c r="AM31" s="3">
        <f>VLOOKUP(Tableau3[[#This Row],[essence]],Tableau7[],18,FALSE)</f>
        <v>6.3399999999999998E-2</v>
      </c>
      <c r="AN31" s="3">
        <f>IF(Tableau3[[#This Row],[priorecol]]="R",1,0)</f>
        <v>0</v>
      </c>
      <c r="AO31" s="3">
        <f>VLOOKUP(Tableau3[[#This Row],[essence]],Tableau7[],19,FALSE)</f>
        <v>8.2400000000000001E-2</v>
      </c>
      <c r="AP31" s="3">
        <f>IF(Tableau3[[#This Row],[priorecol]]="S",1,0)</f>
        <v>0</v>
      </c>
      <c r="AQ31" s="3">
        <f>VLOOKUP(Tableau3[[#This Row],[essence]],Tableau7[],21,FALSE)</f>
        <v>0</v>
      </c>
      <c r="AR31" s="3">
        <f>VLOOKUP(Tableau3[[#This Row],[essence]],Tableau7[],16,FALSE)</f>
        <v>0</v>
      </c>
      <c r="AS3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1.2099999999999997</v>
      </c>
      <c r="AT31" s="3">
        <f>Tableau3[[#This Row],[xb_]]+Tableau3[[#This Row],[b_intercept_C]]</f>
        <v>2.6023999999999998</v>
      </c>
      <c r="AU31" s="3">
        <f>Tableau3[[#This Row],[xb_]]+Tableau3[[#This Row],[b_intercept_B]]</f>
        <v>0.5219999999999998</v>
      </c>
      <c r="AV31" s="3">
        <f>1/(1+EXP(-Tableau3[[#This Row],[xb_c]]))</f>
        <v>0.93101587994365387</v>
      </c>
      <c r="AW31" s="3">
        <f>1/(1+EXP(-Tableau3[[#This Row],[xb_b]]))</f>
        <v>0.62761531415306238</v>
      </c>
      <c r="AX31" s="3" t="str">
        <f t="shared" si="0"/>
        <v>NA</v>
      </c>
      <c r="AY31" s="3">
        <f>Tableau3[[#This Row],[prob_b]]</f>
        <v>0.62761531415306238</v>
      </c>
      <c r="AZ31" s="3">
        <f>Tableau3[[#This Row],[prob_c]]-Tableau3[[#This Row],[prob_b]]</f>
        <v>0.30340056579059149</v>
      </c>
      <c r="BA31" s="3">
        <f>1-Tableau3[[#This Row],[prob_c]]</f>
        <v>6.8984120056346132E-2</v>
      </c>
    </row>
    <row r="32" spans="1:53" x14ac:dyDescent="0.25">
      <c r="A32" s="2">
        <v>8</v>
      </c>
      <c r="B32" s="2" t="s">
        <v>16</v>
      </c>
      <c r="C32" s="4">
        <v>2.1</v>
      </c>
      <c r="D32" s="4">
        <v>700</v>
      </c>
      <c r="E32" s="4">
        <v>20</v>
      </c>
      <c r="F32" s="4">
        <v>1</v>
      </c>
      <c r="G32" s="2">
        <v>37</v>
      </c>
      <c r="H32" s="2">
        <v>34</v>
      </c>
      <c r="I32" s="2" t="s">
        <v>23</v>
      </c>
      <c r="J32" s="2" t="s">
        <v>27</v>
      </c>
      <c r="K32" s="2">
        <f>VLOOKUP(Tableau3[[#This Row],[essence]],Tableau7[],2,FALSE)</f>
        <v>-3.9003999999999999</v>
      </c>
      <c r="L32" s="3">
        <f>VLOOKUP(Tableau3[[#This Row],[essence]],Tableau7[],3,FALSE)</f>
        <v>-1.7661</v>
      </c>
      <c r="M32" s="3">
        <f>VLOOKUP(Tableau3[[#This Row],[essence]],Tableau7[],4,FALSE)</f>
        <v>1.9438</v>
      </c>
      <c r="N32" s="3">
        <f>IF(Tableau3[[#This Row],[priorecol]]="C",1,0)</f>
        <v>1</v>
      </c>
      <c r="O32" s="3">
        <f>VLOOKUP(Tableau3[[#This Row],[essence]],Tableau7[],5,FALSE)</f>
        <v>2.9834000000000001</v>
      </c>
      <c r="P32" s="3">
        <f>IF(Tableau3[[#This Row],[priorecol]]="R",1,0)</f>
        <v>0</v>
      </c>
      <c r="Q32" s="3">
        <f>VLOOKUP(Tableau3[[#This Row],[essence]],Tableau7[],6,FALSE)</f>
        <v>1.0873999999999999</v>
      </c>
      <c r="R32" s="3">
        <f>IF(Tableau3[[#This Row],[priorecol]]="S",1,0)</f>
        <v>0</v>
      </c>
      <c r="S32" s="3">
        <f>VLOOKUP(Tableau3[[#This Row],[essence]],Tableau7[],7,FALSE)</f>
        <v>6.4000000000000001E-2</v>
      </c>
      <c r="T32" s="3">
        <f>VLOOKUP(Tableau3[[#This Row],[essence]],Tableau7[],15,FALSE)</f>
        <v>7.5199999999999998E-3</v>
      </c>
      <c r="U32" s="3">
        <f>VLOOKUP(Tableau3[[#This Row],[essence]],Tableau7[],20,FALSE)</f>
        <v>0.17810000000000001</v>
      </c>
      <c r="V32" s="3">
        <f>IF(Tableau3[[#This Row],[sdom]]=1,1,0)</f>
        <v>0</v>
      </c>
      <c r="W32" s="3">
        <f>VLOOKUP(Tableau3[[#This Row],[essence]],Tableau7[],8,FALSE)</f>
        <v>0.29430000000000001</v>
      </c>
      <c r="X32" s="3">
        <f>IF(Tableau3[[#This Row],[sdom]]="2EST",1,0)</f>
        <v>0</v>
      </c>
      <c r="Y32" s="3">
        <f>VLOOKUP(Tableau3[[#This Row],[essence]],Tableau7[],9,FALSE)</f>
        <v>0.11260000000000001</v>
      </c>
      <c r="Z32" s="3">
        <f>IF(Tableau3[[#This Row],[sdom]]="2OUEST",1,0)</f>
        <v>0</v>
      </c>
      <c r="AA32" s="3">
        <f>VLOOKUP(Tableau3[[#This Row],[essence]],Tableau7[],10,FALSE)</f>
        <v>1.2999999999999999E-2</v>
      </c>
      <c r="AB32" s="3">
        <f>IF(Tableau3[[#This Row],[sdom]]="3EST",1,0)</f>
        <v>0</v>
      </c>
      <c r="AC32" s="3">
        <f>VLOOKUP(Tableau3[[#This Row],[essence]],Tableau7[],11,FALSE)</f>
        <v>0.17150000000000001</v>
      </c>
      <c r="AD32" s="3">
        <f>IF(Tableau3[[#This Row],[sdom]]="3OUEST",1,0)</f>
        <v>0</v>
      </c>
      <c r="AE32" s="3">
        <f>VLOOKUP(Tableau3[[#This Row],[essence]],Tableau7[],12,FALSE)</f>
        <v>-0.1308</v>
      </c>
      <c r="AF32" s="3">
        <f>IF(Tableau3[[#This Row],[sdom]]="4EST",1,0)</f>
        <v>0</v>
      </c>
      <c r="AG32" s="3">
        <f>VLOOKUP(Tableau3[[#This Row],[essence]],Tableau7[],13,FALSE)</f>
        <v>-0.2858</v>
      </c>
      <c r="AH32" s="3">
        <f>IF(Tableau3[[#This Row],[sdom]]="4OUEST",1,0)</f>
        <v>0</v>
      </c>
      <c r="AI32" s="3">
        <f>VLOOKUP(Tableau3[[#This Row],[essence]],Tableau7[],14,FALSE)</f>
        <v>0</v>
      </c>
      <c r="AJ32" s="3">
        <f>IF(Tableau3[[#This Row],[sdom]]="5EST",1,0)</f>
        <v>1</v>
      </c>
      <c r="AK32" s="3">
        <f>VLOOKUP(Tableau3[[#This Row],[essence]],Tableau7[],17,FALSE)</f>
        <v>0</v>
      </c>
      <c r="AL32" s="3">
        <f>IF(Tableau3[[#This Row],[priorecol]]="C",1,0)</f>
        <v>1</v>
      </c>
      <c r="AM32" s="3">
        <f>VLOOKUP(Tableau3[[#This Row],[essence]],Tableau7[],18,FALSE)</f>
        <v>0</v>
      </c>
      <c r="AN32" s="3">
        <f>IF(Tableau3[[#This Row],[priorecol]]="R",1,0)</f>
        <v>0</v>
      </c>
      <c r="AO32" s="3">
        <f>VLOOKUP(Tableau3[[#This Row],[essence]],Tableau7[],19,FALSE)</f>
        <v>0</v>
      </c>
      <c r="AP32" s="3">
        <f>IF(Tableau3[[#This Row],[priorecol]]="S",1,0)</f>
        <v>0</v>
      </c>
      <c r="AQ32" s="3">
        <f>VLOOKUP(Tableau3[[#This Row],[essence]],Tableau7[],21,FALSE)</f>
        <v>0</v>
      </c>
      <c r="AR32" s="3">
        <f>VLOOKUP(Tableau3[[#This Row],[essence]],Tableau7[],16,FALSE)</f>
        <v>0</v>
      </c>
      <c r="AS3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4.2702</v>
      </c>
      <c r="AT32" s="3">
        <f>Tableau3[[#This Row],[xb_]]+Tableau3[[#This Row],[b_intercept_C]]</f>
        <v>2.5041000000000002</v>
      </c>
      <c r="AU32" s="3">
        <f>Tableau3[[#This Row],[xb_]]+Tableau3[[#This Row],[b_intercept_B]]</f>
        <v>0.36980000000000013</v>
      </c>
      <c r="AV32" s="3">
        <f>1/(1+EXP(-Tableau3[[#This Row],[xb_c]]))</f>
        <v>0.92442874585587487</v>
      </c>
      <c r="AW32" s="3">
        <f>1/(1+EXP(-Tableau3[[#This Row],[xb_b]]))</f>
        <v>0.59141065049788377</v>
      </c>
      <c r="AX32" s="3" t="str">
        <f t="shared" si="0"/>
        <v>NA</v>
      </c>
      <c r="AY32" s="3">
        <f>Tableau3[[#This Row],[prob_b]]</f>
        <v>0.59141065049788377</v>
      </c>
      <c r="AZ32" s="3">
        <f>Tableau3[[#This Row],[prob_c]]-Tableau3[[#This Row],[prob_b]]</f>
        <v>0.3330180953579911</v>
      </c>
      <c r="BA32" s="3">
        <f>1-Tableau3[[#This Row],[prob_c]]</f>
        <v>7.5571254144125133E-2</v>
      </c>
    </row>
    <row r="33" spans="1:53" x14ac:dyDescent="0.25">
      <c r="A33" s="3">
        <v>8</v>
      </c>
      <c r="B33" s="3" t="s">
        <v>16</v>
      </c>
      <c r="C33" s="1">
        <v>2.1</v>
      </c>
      <c r="D33" s="1">
        <v>700</v>
      </c>
      <c r="E33" s="1">
        <v>20</v>
      </c>
      <c r="F33" s="1">
        <v>1</v>
      </c>
      <c r="G33" s="3">
        <v>43</v>
      </c>
      <c r="H33" s="3">
        <v>34</v>
      </c>
      <c r="I33" s="3" t="s">
        <v>25</v>
      </c>
      <c r="J33" s="3" t="s">
        <v>27</v>
      </c>
      <c r="K33" s="3">
        <f>VLOOKUP(Tableau3[[#This Row],[essence]],Tableau7[],2,FALSE)</f>
        <v>-2.9584999999999999</v>
      </c>
      <c r="L33" s="3">
        <f>VLOOKUP(Tableau3[[#This Row],[essence]],Tableau7[],3,FALSE)</f>
        <v>-1.1581999999999999</v>
      </c>
      <c r="M33" s="3">
        <f>VLOOKUP(Tableau3[[#This Row],[essence]],Tableau7[],4,FALSE)</f>
        <v>1.3563000000000001</v>
      </c>
      <c r="N33" s="3">
        <f>IF(Tableau3[[#This Row],[priorecol]]="C",1,0)</f>
        <v>1</v>
      </c>
      <c r="O33" s="3">
        <f>VLOOKUP(Tableau3[[#This Row],[essence]],Tableau7[],5,FALSE)</f>
        <v>2.0564</v>
      </c>
      <c r="P33" s="3">
        <f>IF(Tableau3[[#This Row],[priorecol]]="R",1,0)</f>
        <v>0</v>
      </c>
      <c r="Q33" s="3">
        <f>VLOOKUP(Tableau3[[#This Row],[essence]],Tableau7[],6,FALSE)</f>
        <v>1.3911</v>
      </c>
      <c r="R33" s="3">
        <f>IF(Tableau3[[#This Row],[priorecol]]="S",1,0)</f>
        <v>0</v>
      </c>
      <c r="S33" s="3">
        <f>VLOOKUP(Tableau3[[#This Row],[essence]],Tableau7[],7,FALSE)</f>
        <v>0</v>
      </c>
      <c r="T33" s="3">
        <f>VLOOKUP(Tableau3[[#This Row],[essence]],Tableau7[],15,FALSE)</f>
        <v>0</v>
      </c>
      <c r="U33" s="3">
        <f>VLOOKUP(Tableau3[[#This Row],[essence]],Tableau7[],20,FALSE)</f>
        <v>0</v>
      </c>
      <c r="V33" s="3">
        <f>IF(Tableau3[[#This Row],[sdom]]=1,1,0)</f>
        <v>0</v>
      </c>
      <c r="W33" s="3">
        <f>VLOOKUP(Tableau3[[#This Row],[essence]],Tableau7[],8,FALSE)</f>
        <v>0.19420000000000001</v>
      </c>
      <c r="X33" s="3">
        <f>IF(Tableau3[[#This Row],[sdom]]="2EST",1,0)</f>
        <v>0</v>
      </c>
      <c r="Y33" s="3">
        <f>VLOOKUP(Tableau3[[#This Row],[essence]],Tableau7[],9,FALSE)</f>
        <v>-0.1956</v>
      </c>
      <c r="Z33" s="3">
        <f>IF(Tableau3[[#This Row],[sdom]]="2OUEST",1,0)</f>
        <v>0</v>
      </c>
      <c r="AA33" s="3">
        <f>VLOOKUP(Tableau3[[#This Row],[essence]],Tableau7[],10,FALSE)</f>
        <v>-0.1221</v>
      </c>
      <c r="AB33" s="3">
        <f>IF(Tableau3[[#This Row],[sdom]]="3EST",1,0)</f>
        <v>0</v>
      </c>
      <c r="AC33" s="3">
        <f>VLOOKUP(Tableau3[[#This Row],[essence]],Tableau7[],11,FALSE)</f>
        <v>0.16789999999999999</v>
      </c>
      <c r="AD33" s="3">
        <f>IF(Tableau3[[#This Row],[sdom]]="3OUEST",1,0)</f>
        <v>0</v>
      </c>
      <c r="AE33" s="3">
        <f>VLOOKUP(Tableau3[[#This Row],[essence]],Tableau7[],12,FALSE)</f>
        <v>0</v>
      </c>
      <c r="AF33" s="3">
        <f>IF(Tableau3[[#This Row],[sdom]]="4EST",1,0)</f>
        <v>0</v>
      </c>
      <c r="AG33" s="3">
        <f>VLOOKUP(Tableau3[[#This Row],[essence]],Tableau7[],13,FALSE)</f>
        <v>0</v>
      </c>
      <c r="AH33" s="3">
        <f>IF(Tableau3[[#This Row],[sdom]]="4OUEST",1,0)</f>
        <v>0</v>
      </c>
      <c r="AI33" s="3">
        <f>VLOOKUP(Tableau3[[#This Row],[essence]],Tableau7[],14,FALSE)</f>
        <v>0</v>
      </c>
      <c r="AJ33" s="3">
        <f>IF(Tableau3[[#This Row],[sdom]]="5EST",1,0)</f>
        <v>1</v>
      </c>
      <c r="AK33" s="3">
        <f>VLOOKUP(Tableau3[[#This Row],[essence]],Tableau7[],17,FALSE)</f>
        <v>0</v>
      </c>
      <c r="AL33" s="3">
        <f>IF(Tableau3[[#This Row],[priorecol]]="C",1,0)</f>
        <v>1</v>
      </c>
      <c r="AM33" s="3">
        <f>VLOOKUP(Tableau3[[#This Row],[essence]],Tableau7[],18,FALSE)</f>
        <v>0</v>
      </c>
      <c r="AN33" s="3">
        <f>IF(Tableau3[[#This Row],[priorecol]]="R",1,0)</f>
        <v>0</v>
      </c>
      <c r="AO33" s="3">
        <f>VLOOKUP(Tableau3[[#This Row],[essence]],Tableau7[],19,FALSE)</f>
        <v>0</v>
      </c>
      <c r="AP33" s="3">
        <f>IF(Tableau3[[#This Row],[priorecol]]="S",1,0)</f>
        <v>0</v>
      </c>
      <c r="AQ33" s="3">
        <f>VLOOKUP(Tableau3[[#This Row],[essence]],Tableau7[],21,FALSE)</f>
        <v>0.2979</v>
      </c>
      <c r="AR33" s="3">
        <f>VLOOKUP(Tableau3[[#This Row],[essence]],Tableau7[],16,FALSE)</f>
        <v>0.154</v>
      </c>
      <c r="AS3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1.9776000000000002</v>
      </c>
      <c r="AT33" s="3">
        <f>Tableau3[[#This Row],[xb_]]+Tableau3[[#This Row],[b_intercept_C]]</f>
        <v>0.81940000000000035</v>
      </c>
      <c r="AU33" s="3">
        <f>Tableau3[[#This Row],[xb_]]+Tableau3[[#This Row],[b_intercept_B]]</f>
        <v>-0.98089999999999966</v>
      </c>
      <c r="AV33" s="3">
        <f>1/(1+EXP(-Tableau3[[#This Row],[xb_c]]))</f>
        <v>0.69410896192045923</v>
      </c>
      <c r="AW33" s="3">
        <f>1/(1+EXP(-Tableau3[[#This Row],[xb_b]]))</f>
        <v>0.27271324049241696</v>
      </c>
      <c r="AX33" s="3" t="str">
        <f t="shared" si="0"/>
        <v>NA</v>
      </c>
      <c r="AY33" s="3">
        <f>Tableau3[[#This Row],[prob_b]]</f>
        <v>0.27271324049241696</v>
      </c>
      <c r="AZ33" s="3">
        <f>Tableau3[[#This Row],[prob_c]]-Tableau3[[#This Row],[prob_b]]</f>
        <v>0.42139572142804227</v>
      </c>
      <c r="BA33" s="3">
        <f>1-Tableau3[[#This Row],[prob_c]]</f>
        <v>0.30589103807954077</v>
      </c>
    </row>
    <row r="34" spans="1:53" x14ac:dyDescent="0.25">
      <c r="A34" s="2">
        <v>1</v>
      </c>
      <c r="B34" s="2">
        <v>1</v>
      </c>
      <c r="C34" s="4">
        <v>2.1</v>
      </c>
      <c r="D34" s="4">
        <v>700</v>
      </c>
      <c r="E34" s="4">
        <v>20</v>
      </c>
      <c r="F34" s="4">
        <v>1</v>
      </c>
      <c r="G34" s="2">
        <v>26</v>
      </c>
      <c r="H34" s="2">
        <v>35</v>
      </c>
      <c r="I34" s="2" t="s">
        <v>19</v>
      </c>
      <c r="J34" s="2" t="s">
        <v>28</v>
      </c>
      <c r="K34" s="2">
        <f>VLOOKUP(Tableau3[[#This Row],[essence]],Tableau7[],2,FALSE)</f>
        <v>-3.7313999999999998</v>
      </c>
      <c r="L34" s="3">
        <f>VLOOKUP(Tableau3[[#This Row],[essence]],Tableau7[],3,FALSE)</f>
        <v>-1.7194</v>
      </c>
      <c r="M34" s="3">
        <f>VLOOKUP(Tableau3[[#This Row],[essence]],Tableau7[],4,FALSE)</f>
        <v>1.5371999999999999</v>
      </c>
      <c r="N34" s="3">
        <f>IF(Tableau3[[#This Row],[priorecol]]="C",1,0)</f>
        <v>0</v>
      </c>
      <c r="O34" s="3">
        <f>VLOOKUP(Tableau3[[#This Row],[essence]],Tableau7[],5,FALSE)</f>
        <v>2.5815000000000001</v>
      </c>
      <c r="P34" s="3">
        <f>IF(Tableau3[[#This Row],[priorecol]]="R",1,0)</f>
        <v>1</v>
      </c>
      <c r="Q34" s="3">
        <f>VLOOKUP(Tableau3[[#This Row],[essence]],Tableau7[],6,FALSE)</f>
        <v>0.96079999999999999</v>
      </c>
      <c r="R34" s="3">
        <f>IF(Tableau3[[#This Row],[priorecol]]="S",1,0)</f>
        <v>0</v>
      </c>
      <c r="S34" s="3">
        <f>VLOOKUP(Tableau3[[#This Row],[essence]],Tableau7[],7,FALSE)</f>
        <v>4.2799999999999998E-2</v>
      </c>
      <c r="T34" s="3">
        <f>VLOOKUP(Tableau3[[#This Row],[essence]],Tableau7[],15,FALSE)</f>
        <v>1.54E-2</v>
      </c>
      <c r="U34" s="3">
        <f>VLOOKUP(Tableau3[[#This Row],[essence]],Tableau7[],20,FALSE)</f>
        <v>0</v>
      </c>
      <c r="V34" s="3">
        <f>IF(Tableau3[[#This Row],[sdom]]=1,1,0)</f>
        <v>1</v>
      </c>
      <c r="W34" s="3">
        <f>VLOOKUP(Tableau3[[#This Row],[essence]],Tableau7[],8,FALSE)</f>
        <v>2.3900000000000001E-2</v>
      </c>
      <c r="X34" s="3">
        <f>IF(Tableau3[[#This Row],[sdom]]="2EST",1,0)</f>
        <v>0</v>
      </c>
      <c r="Y34" s="3">
        <f>VLOOKUP(Tableau3[[#This Row],[essence]],Tableau7[],9,FALSE)</f>
        <v>-0.4793</v>
      </c>
      <c r="Z34" s="3">
        <f>IF(Tableau3[[#This Row],[sdom]]="2OUEST",1,0)</f>
        <v>0</v>
      </c>
      <c r="AA34" s="3">
        <f>VLOOKUP(Tableau3[[#This Row],[essence]],Tableau7[],10,FALSE)</f>
        <v>0.13880000000000001</v>
      </c>
      <c r="AB34" s="3">
        <f>IF(Tableau3[[#This Row],[sdom]]="3EST",1,0)</f>
        <v>0</v>
      </c>
      <c r="AC34" s="3">
        <f>VLOOKUP(Tableau3[[#This Row],[essence]],Tableau7[],11,FALSE)</f>
        <v>0.27039999999999997</v>
      </c>
      <c r="AD34" s="3">
        <f>IF(Tableau3[[#This Row],[sdom]]="3OUEST",1,0)</f>
        <v>0</v>
      </c>
      <c r="AE34" s="3">
        <f>VLOOKUP(Tableau3[[#This Row],[essence]],Tableau7[],12,FALSE)</f>
        <v>4.6600000000000001E-3</v>
      </c>
      <c r="AF34" s="3">
        <f>IF(Tableau3[[#This Row],[sdom]]="4EST",1,0)</f>
        <v>0</v>
      </c>
      <c r="AG34" s="3">
        <f>VLOOKUP(Tableau3[[#This Row],[essence]],Tableau7[],13,FALSE)</f>
        <v>0.1986</v>
      </c>
      <c r="AH34" s="3">
        <f>IF(Tableau3[[#This Row],[sdom]]="4OUEST",1,0)</f>
        <v>0</v>
      </c>
      <c r="AI34" s="3">
        <f>VLOOKUP(Tableau3[[#This Row],[essence]],Tableau7[],14,FALSE)</f>
        <v>-0.2535</v>
      </c>
      <c r="AJ34" s="3">
        <f>IF(Tableau3[[#This Row],[sdom]]="5EST",1,0)</f>
        <v>0</v>
      </c>
      <c r="AK34" s="3">
        <f>VLOOKUP(Tableau3[[#This Row],[essence]],Tableau7[],17,FALSE)</f>
        <v>0</v>
      </c>
      <c r="AL34" s="3">
        <f>IF(Tableau3[[#This Row],[priorecol]]="C",1,0)</f>
        <v>0</v>
      </c>
      <c r="AM34" s="3">
        <f>VLOOKUP(Tableau3[[#This Row],[essence]],Tableau7[],18,FALSE)</f>
        <v>0</v>
      </c>
      <c r="AN34" s="3">
        <f>IF(Tableau3[[#This Row],[priorecol]]="R",1,0)</f>
        <v>1</v>
      </c>
      <c r="AO34" s="3">
        <f>VLOOKUP(Tableau3[[#This Row],[essence]],Tableau7[],19,FALSE)</f>
        <v>0</v>
      </c>
      <c r="AP34" s="3">
        <f>IF(Tableau3[[#This Row],[priorecol]]="S",1,0)</f>
        <v>0</v>
      </c>
      <c r="AQ34" s="3">
        <f>VLOOKUP(Tableau3[[#This Row],[essence]],Tableau7[],21,FALSE)</f>
        <v>0</v>
      </c>
      <c r="AR34" s="3">
        <f>VLOOKUP(Tableau3[[#This Row],[essence]],Tableau7[],16,FALSE)</f>
        <v>0.123</v>
      </c>
      <c r="AS3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4.6458000000000004</v>
      </c>
      <c r="AT34" s="3">
        <f>Tableau3[[#This Row],[xb_]]+Tableau3[[#This Row],[b_intercept_C]]</f>
        <v>2.9264000000000001</v>
      </c>
      <c r="AU34" s="3">
        <f>Tableau3[[#This Row],[xb_]]+Tableau3[[#This Row],[b_intercept_B]]</f>
        <v>0.91440000000000055</v>
      </c>
      <c r="AV34" s="3">
        <f>1/(1+EXP(-Tableau3[[#This Row],[xb_c]]))</f>
        <v>0.94913615965518872</v>
      </c>
      <c r="AW34" s="3">
        <f>1/(1+EXP(-Tableau3[[#This Row],[xb_b]]))</f>
        <v>0.71389969435431333</v>
      </c>
      <c r="AX34" s="3" t="str">
        <f t="shared" ref="AX34:AX65" si="1">"NA"</f>
        <v>NA</v>
      </c>
      <c r="AY34" s="3">
        <f>Tableau3[[#This Row],[prob_b]]</f>
        <v>0.71389969435431333</v>
      </c>
      <c r="AZ34" s="3">
        <f>Tableau3[[#This Row],[prob_c]]-Tableau3[[#This Row],[prob_b]]</f>
        <v>0.23523646530087539</v>
      </c>
      <c r="BA34" s="3">
        <f>1-Tableau3[[#This Row],[prob_c]]</f>
        <v>5.0863840344811284E-2</v>
      </c>
    </row>
    <row r="35" spans="1:53" x14ac:dyDescent="0.25">
      <c r="A35" s="3">
        <v>1</v>
      </c>
      <c r="B35" s="3">
        <v>1</v>
      </c>
      <c r="C35" s="1">
        <v>2.1</v>
      </c>
      <c r="D35" s="1">
        <v>700</v>
      </c>
      <c r="E35" s="1">
        <v>20</v>
      </c>
      <c r="F35" s="1">
        <v>1</v>
      </c>
      <c r="G35" s="3">
        <v>32</v>
      </c>
      <c r="H35" s="3">
        <v>35</v>
      </c>
      <c r="I35" s="3" t="s">
        <v>21</v>
      </c>
      <c r="J35" s="3" t="s">
        <v>28</v>
      </c>
      <c r="K35" s="3">
        <f>VLOOKUP(Tableau3[[#This Row],[essence]],Tableau7[],2,FALSE)</f>
        <v>-0.68799999999999994</v>
      </c>
      <c r="L35" s="3">
        <f>VLOOKUP(Tableau3[[#This Row],[essence]],Tableau7[],3,FALSE)</f>
        <v>1.3924000000000001</v>
      </c>
      <c r="M35" s="3">
        <f>VLOOKUP(Tableau3[[#This Row],[essence]],Tableau7[],4,FALSE)</f>
        <v>0.41599999999999998</v>
      </c>
      <c r="N35" s="3">
        <f>IF(Tableau3[[#This Row],[priorecol]]="C",1,0)</f>
        <v>0</v>
      </c>
      <c r="O35" s="3">
        <f>VLOOKUP(Tableau3[[#This Row],[essence]],Tableau7[],5,FALSE)</f>
        <v>1.5604</v>
      </c>
      <c r="P35" s="3">
        <f>IF(Tableau3[[#This Row],[priorecol]]="R",1,0)</f>
        <v>1</v>
      </c>
      <c r="Q35" s="3">
        <f>VLOOKUP(Tableau3[[#This Row],[essence]],Tableau7[],6,FALSE)</f>
        <v>-0.64770000000000005</v>
      </c>
      <c r="R35" s="3">
        <f>IF(Tableau3[[#This Row],[priorecol]]="S",1,0)</f>
        <v>0</v>
      </c>
      <c r="S35" s="3">
        <f>VLOOKUP(Tableau3[[#This Row],[essence]],Tableau7[],7,FALSE)</f>
        <v>0</v>
      </c>
      <c r="T35" s="3">
        <f>VLOOKUP(Tableau3[[#This Row],[essence]],Tableau7[],15,FALSE)</f>
        <v>-2.4500000000000001E-2</v>
      </c>
      <c r="U35" s="3">
        <f>VLOOKUP(Tableau3[[#This Row],[essence]],Tableau7[],20,FALSE)</f>
        <v>0.15179999999999999</v>
      </c>
      <c r="V35" s="3">
        <f>IF(Tableau3[[#This Row],[sdom]]=1,1,0)</f>
        <v>1</v>
      </c>
      <c r="W35" s="3">
        <f>VLOOKUP(Tableau3[[#This Row],[essence]],Tableau7[],8,FALSE)</f>
        <v>0</v>
      </c>
      <c r="X35" s="3">
        <f>IF(Tableau3[[#This Row],[sdom]]="2EST",1,0)</f>
        <v>0</v>
      </c>
      <c r="Y35" s="3">
        <f>VLOOKUP(Tableau3[[#This Row],[essence]],Tableau7[],9,FALSE)</f>
        <v>-0.27589999999999998</v>
      </c>
      <c r="Z35" s="3">
        <f>IF(Tableau3[[#This Row],[sdom]]="2OUEST",1,0)</f>
        <v>0</v>
      </c>
      <c r="AA35" s="3">
        <f>VLOOKUP(Tableau3[[#This Row],[essence]],Tableau7[],10,FALSE)</f>
        <v>0</v>
      </c>
      <c r="AB35" s="3">
        <f>IF(Tableau3[[#This Row],[sdom]]="3EST",1,0)</f>
        <v>0</v>
      </c>
      <c r="AC35" s="3">
        <f>VLOOKUP(Tableau3[[#This Row],[essence]],Tableau7[],11,FALSE)</f>
        <v>0</v>
      </c>
      <c r="AD35" s="3">
        <f>IF(Tableau3[[#This Row],[sdom]]="3OUEST",1,0)</f>
        <v>0</v>
      </c>
      <c r="AE35" s="3">
        <f>VLOOKUP(Tableau3[[#This Row],[essence]],Tableau7[],12,FALSE)</f>
        <v>0</v>
      </c>
      <c r="AF35" s="3">
        <f>IF(Tableau3[[#This Row],[sdom]]="4EST",1,0)</f>
        <v>0</v>
      </c>
      <c r="AG35" s="3">
        <f>VLOOKUP(Tableau3[[#This Row],[essence]],Tableau7[],13,FALSE)</f>
        <v>0</v>
      </c>
      <c r="AH35" s="3">
        <f>IF(Tableau3[[#This Row],[sdom]]="4OUEST",1,0)</f>
        <v>0</v>
      </c>
      <c r="AI35" s="3">
        <f>VLOOKUP(Tableau3[[#This Row],[essence]],Tableau7[],14,FALSE)</f>
        <v>0</v>
      </c>
      <c r="AJ35" s="3">
        <f>IF(Tableau3[[#This Row],[sdom]]="5EST",1,0)</f>
        <v>0</v>
      </c>
      <c r="AK35" s="3">
        <f>VLOOKUP(Tableau3[[#This Row],[essence]],Tableau7[],17,FALSE)</f>
        <v>6.4199999999999993E-2</v>
      </c>
      <c r="AL35" s="3">
        <f>IF(Tableau3[[#This Row],[priorecol]]="C",1,0)</f>
        <v>0</v>
      </c>
      <c r="AM35" s="3">
        <f>VLOOKUP(Tableau3[[#This Row],[essence]],Tableau7[],18,FALSE)</f>
        <v>6.3399999999999998E-2</v>
      </c>
      <c r="AN35" s="3">
        <f>IF(Tableau3[[#This Row],[priorecol]]="R",1,0)</f>
        <v>1</v>
      </c>
      <c r="AO35" s="3">
        <f>VLOOKUP(Tableau3[[#This Row],[essence]],Tableau7[],19,FALSE)</f>
        <v>8.2400000000000001E-2</v>
      </c>
      <c r="AP35" s="3">
        <f>IF(Tableau3[[#This Row],[priorecol]]="S",1,0)</f>
        <v>0</v>
      </c>
      <c r="AQ35" s="3">
        <f>VLOOKUP(Tableau3[[#This Row],[essence]],Tableau7[],21,FALSE)</f>
        <v>0</v>
      </c>
      <c r="AR35" s="3">
        <f>VLOOKUP(Tableau3[[#This Row],[essence]],Tableau7[],16,FALSE)</f>
        <v>0</v>
      </c>
      <c r="AS3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2.4901999999999997</v>
      </c>
      <c r="AT35" s="3">
        <f>Tableau3[[#This Row],[xb_]]+Tableau3[[#This Row],[b_intercept_C]]</f>
        <v>3.8826000000000001</v>
      </c>
      <c r="AU35" s="3">
        <f>Tableau3[[#This Row],[xb_]]+Tableau3[[#This Row],[b_intercept_B]]</f>
        <v>1.8021999999999998</v>
      </c>
      <c r="AV35" s="3">
        <f>1/(1+EXP(-Tableau3[[#This Row],[xb_c]]))</f>
        <v>0.97981848008248495</v>
      </c>
      <c r="AW35" s="3">
        <f>1/(1+EXP(-Tableau3[[#This Row],[xb_b]]))</f>
        <v>0.85841652869581886</v>
      </c>
      <c r="AX35" s="3" t="str">
        <f t="shared" si="1"/>
        <v>NA</v>
      </c>
      <c r="AY35" s="3">
        <f>Tableau3[[#This Row],[prob_b]]</f>
        <v>0.85841652869581886</v>
      </c>
      <c r="AZ35" s="3">
        <f>Tableau3[[#This Row],[prob_c]]-Tableau3[[#This Row],[prob_b]]</f>
        <v>0.1214019513866661</v>
      </c>
      <c r="BA35" s="3">
        <f>1-Tableau3[[#This Row],[prob_c]]</f>
        <v>2.0181519917515045E-2</v>
      </c>
    </row>
    <row r="36" spans="1:53" x14ac:dyDescent="0.25">
      <c r="A36" s="2">
        <v>1</v>
      </c>
      <c r="B36" s="2">
        <v>1</v>
      </c>
      <c r="C36" s="4">
        <v>2.1</v>
      </c>
      <c r="D36" s="4">
        <v>700</v>
      </c>
      <c r="E36" s="4">
        <v>20</v>
      </c>
      <c r="F36" s="4">
        <v>1</v>
      </c>
      <c r="G36" s="2">
        <v>38</v>
      </c>
      <c r="H36" s="2">
        <v>35</v>
      </c>
      <c r="I36" s="2" t="s">
        <v>23</v>
      </c>
      <c r="J36" s="2" t="s">
        <v>28</v>
      </c>
      <c r="K36" s="2">
        <f>VLOOKUP(Tableau3[[#This Row],[essence]],Tableau7[],2,FALSE)</f>
        <v>-3.9003999999999999</v>
      </c>
      <c r="L36" s="3">
        <f>VLOOKUP(Tableau3[[#This Row],[essence]],Tableau7[],3,FALSE)</f>
        <v>-1.7661</v>
      </c>
      <c r="M36" s="3">
        <f>VLOOKUP(Tableau3[[#This Row],[essence]],Tableau7[],4,FALSE)</f>
        <v>1.9438</v>
      </c>
      <c r="N36" s="3">
        <f>IF(Tableau3[[#This Row],[priorecol]]="C",1,0)</f>
        <v>0</v>
      </c>
      <c r="O36" s="3">
        <f>VLOOKUP(Tableau3[[#This Row],[essence]],Tableau7[],5,FALSE)</f>
        <v>2.9834000000000001</v>
      </c>
      <c r="P36" s="3">
        <f>IF(Tableau3[[#This Row],[priorecol]]="R",1,0)</f>
        <v>1</v>
      </c>
      <c r="Q36" s="3">
        <f>VLOOKUP(Tableau3[[#This Row],[essence]],Tableau7[],6,FALSE)</f>
        <v>1.0873999999999999</v>
      </c>
      <c r="R36" s="3">
        <f>IF(Tableau3[[#This Row],[priorecol]]="S",1,0)</f>
        <v>0</v>
      </c>
      <c r="S36" s="3">
        <f>VLOOKUP(Tableau3[[#This Row],[essence]],Tableau7[],7,FALSE)</f>
        <v>6.4000000000000001E-2</v>
      </c>
      <c r="T36" s="3">
        <f>VLOOKUP(Tableau3[[#This Row],[essence]],Tableau7[],15,FALSE)</f>
        <v>7.5199999999999998E-3</v>
      </c>
      <c r="U36" s="3">
        <f>VLOOKUP(Tableau3[[#This Row],[essence]],Tableau7[],20,FALSE)</f>
        <v>0.17810000000000001</v>
      </c>
      <c r="V36" s="3">
        <f>IF(Tableau3[[#This Row],[sdom]]=1,1,0)</f>
        <v>1</v>
      </c>
      <c r="W36" s="3">
        <f>VLOOKUP(Tableau3[[#This Row],[essence]],Tableau7[],8,FALSE)</f>
        <v>0.29430000000000001</v>
      </c>
      <c r="X36" s="3">
        <f>IF(Tableau3[[#This Row],[sdom]]="2EST",1,0)</f>
        <v>0</v>
      </c>
      <c r="Y36" s="3">
        <f>VLOOKUP(Tableau3[[#This Row],[essence]],Tableau7[],9,FALSE)</f>
        <v>0.11260000000000001</v>
      </c>
      <c r="Z36" s="3">
        <f>IF(Tableau3[[#This Row],[sdom]]="2OUEST",1,0)</f>
        <v>0</v>
      </c>
      <c r="AA36" s="3">
        <f>VLOOKUP(Tableau3[[#This Row],[essence]],Tableau7[],10,FALSE)</f>
        <v>1.2999999999999999E-2</v>
      </c>
      <c r="AB36" s="3">
        <f>IF(Tableau3[[#This Row],[sdom]]="3EST",1,0)</f>
        <v>0</v>
      </c>
      <c r="AC36" s="3">
        <f>VLOOKUP(Tableau3[[#This Row],[essence]],Tableau7[],11,FALSE)</f>
        <v>0.17150000000000001</v>
      </c>
      <c r="AD36" s="3">
        <f>IF(Tableau3[[#This Row],[sdom]]="3OUEST",1,0)</f>
        <v>0</v>
      </c>
      <c r="AE36" s="3">
        <f>VLOOKUP(Tableau3[[#This Row],[essence]],Tableau7[],12,FALSE)</f>
        <v>-0.1308</v>
      </c>
      <c r="AF36" s="3">
        <f>IF(Tableau3[[#This Row],[sdom]]="4EST",1,0)</f>
        <v>0</v>
      </c>
      <c r="AG36" s="3">
        <f>VLOOKUP(Tableau3[[#This Row],[essence]],Tableau7[],13,FALSE)</f>
        <v>-0.2858</v>
      </c>
      <c r="AH36" s="3">
        <f>IF(Tableau3[[#This Row],[sdom]]="4OUEST",1,0)</f>
        <v>0</v>
      </c>
      <c r="AI36" s="3">
        <f>VLOOKUP(Tableau3[[#This Row],[essence]],Tableau7[],14,FALSE)</f>
        <v>0</v>
      </c>
      <c r="AJ36" s="3">
        <f>IF(Tableau3[[#This Row],[sdom]]="5EST",1,0)</f>
        <v>0</v>
      </c>
      <c r="AK36" s="3">
        <f>VLOOKUP(Tableau3[[#This Row],[essence]],Tableau7[],17,FALSE)</f>
        <v>0</v>
      </c>
      <c r="AL36" s="3">
        <f>IF(Tableau3[[#This Row],[priorecol]]="C",1,0)</f>
        <v>0</v>
      </c>
      <c r="AM36" s="3">
        <f>VLOOKUP(Tableau3[[#This Row],[essence]],Tableau7[],18,FALSE)</f>
        <v>0</v>
      </c>
      <c r="AN36" s="3">
        <f>IF(Tableau3[[#This Row],[priorecol]]="R",1,0)</f>
        <v>1</v>
      </c>
      <c r="AO36" s="3">
        <f>VLOOKUP(Tableau3[[#This Row],[essence]],Tableau7[],19,FALSE)</f>
        <v>0</v>
      </c>
      <c r="AP36" s="3">
        <f>IF(Tableau3[[#This Row],[priorecol]]="S",1,0)</f>
        <v>0</v>
      </c>
      <c r="AQ36" s="3">
        <f>VLOOKUP(Tableau3[[#This Row],[essence]],Tableau7[],21,FALSE)</f>
        <v>0</v>
      </c>
      <c r="AR36" s="3">
        <f>VLOOKUP(Tableau3[[#This Row],[essence]],Tableau7[],16,FALSE)</f>
        <v>0</v>
      </c>
      <c r="AS3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5.5518999999999998</v>
      </c>
      <c r="AT36" s="3">
        <f>Tableau3[[#This Row],[xb_]]+Tableau3[[#This Row],[b_intercept_C]]</f>
        <v>3.7858000000000001</v>
      </c>
      <c r="AU36" s="3">
        <f>Tableau3[[#This Row],[xb_]]+Tableau3[[#This Row],[b_intercept_B]]</f>
        <v>1.6515</v>
      </c>
      <c r="AV36" s="3">
        <f>1/(1+EXP(-Tableau3[[#This Row],[xb_c]]))</f>
        <v>0.97781274153962205</v>
      </c>
      <c r="AW36" s="3">
        <f>1/(1+EXP(-Tableau3[[#This Row],[xb_b]]))</f>
        <v>0.83909367666700585</v>
      </c>
      <c r="AX36" s="3" t="str">
        <f t="shared" si="1"/>
        <v>NA</v>
      </c>
      <c r="AY36" s="3">
        <f>Tableau3[[#This Row],[prob_b]]</f>
        <v>0.83909367666700585</v>
      </c>
      <c r="AZ36" s="3">
        <f>Tableau3[[#This Row],[prob_c]]-Tableau3[[#This Row],[prob_b]]</f>
        <v>0.1387190648726162</v>
      </c>
      <c r="BA36" s="3">
        <f>1-Tableau3[[#This Row],[prob_c]]</f>
        <v>2.2187258460377945E-2</v>
      </c>
    </row>
    <row r="37" spans="1:53" x14ac:dyDescent="0.25">
      <c r="A37" s="3">
        <v>1</v>
      </c>
      <c r="B37" s="3">
        <v>1</v>
      </c>
      <c r="C37" s="1">
        <v>2.1</v>
      </c>
      <c r="D37" s="1">
        <v>700</v>
      </c>
      <c r="E37" s="1">
        <v>20</v>
      </c>
      <c r="F37" s="1">
        <v>1</v>
      </c>
      <c r="G37" s="3">
        <v>44</v>
      </c>
      <c r="H37" s="3">
        <v>35</v>
      </c>
      <c r="I37" s="3" t="s">
        <v>25</v>
      </c>
      <c r="J37" s="3" t="s">
        <v>28</v>
      </c>
      <c r="K37" s="3">
        <f>VLOOKUP(Tableau3[[#This Row],[essence]],Tableau7[],2,FALSE)</f>
        <v>-2.9584999999999999</v>
      </c>
      <c r="L37" s="3">
        <f>VLOOKUP(Tableau3[[#This Row],[essence]],Tableau7[],3,FALSE)</f>
        <v>-1.1581999999999999</v>
      </c>
      <c r="M37" s="3">
        <f>VLOOKUP(Tableau3[[#This Row],[essence]],Tableau7[],4,FALSE)</f>
        <v>1.3563000000000001</v>
      </c>
      <c r="N37" s="3">
        <f>IF(Tableau3[[#This Row],[priorecol]]="C",1,0)</f>
        <v>0</v>
      </c>
      <c r="O37" s="3">
        <f>VLOOKUP(Tableau3[[#This Row],[essence]],Tableau7[],5,FALSE)</f>
        <v>2.0564</v>
      </c>
      <c r="P37" s="3">
        <f>IF(Tableau3[[#This Row],[priorecol]]="R",1,0)</f>
        <v>1</v>
      </c>
      <c r="Q37" s="3">
        <f>VLOOKUP(Tableau3[[#This Row],[essence]],Tableau7[],6,FALSE)</f>
        <v>1.3911</v>
      </c>
      <c r="R37" s="3">
        <f>IF(Tableau3[[#This Row],[priorecol]]="S",1,0)</f>
        <v>0</v>
      </c>
      <c r="S37" s="3">
        <f>VLOOKUP(Tableau3[[#This Row],[essence]],Tableau7[],7,FALSE)</f>
        <v>0</v>
      </c>
      <c r="T37" s="3">
        <f>VLOOKUP(Tableau3[[#This Row],[essence]],Tableau7[],15,FALSE)</f>
        <v>0</v>
      </c>
      <c r="U37" s="3">
        <f>VLOOKUP(Tableau3[[#This Row],[essence]],Tableau7[],20,FALSE)</f>
        <v>0</v>
      </c>
      <c r="V37" s="3">
        <f>IF(Tableau3[[#This Row],[sdom]]=1,1,0)</f>
        <v>1</v>
      </c>
      <c r="W37" s="3">
        <f>VLOOKUP(Tableau3[[#This Row],[essence]],Tableau7[],8,FALSE)</f>
        <v>0.19420000000000001</v>
      </c>
      <c r="X37" s="3">
        <f>IF(Tableau3[[#This Row],[sdom]]="2EST",1,0)</f>
        <v>0</v>
      </c>
      <c r="Y37" s="3">
        <f>VLOOKUP(Tableau3[[#This Row],[essence]],Tableau7[],9,FALSE)</f>
        <v>-0.1956</v>
      </c>
      <c r="Z37" s="3">
        <f>IF(Tableau3[[#This Row],[sdom]]="2OUEST",1,0)</f>
        <v>0</v>
      </c>
      <c r="AA37" s="3">
        <f>VLOOKUP(Tableau3[[#This Row],[essence]],Tableau7[],10,FALSE)</f>
        <v>-0.1221</v>
      </c>
      <c r="AB37" s="3">
        <f>IF(Tableau3[[#This Row],[sdom]]="3EST",1,0)</f>
        <v>0</v>
      </c>
      <c r="AC37" s="3">
        <f>VLOOKUP(Tableau3[[#This Row],[essence]],Tableau7[],11,FALSE)</f>
        <v>0.16789999999999999</v>
      </c>
      <c r="AD37" s="3">
        <f>IF(Tableau3[[#This Row],[sdom]]="3OUEST",1,0)</f>
        <v>0</v>
      </c>
      <c r="AE37" s="3">
        <f>VLOOKUP(Tableau3[[#This Row],[essence]],Tableau7[],12,FALSE)</f>
        <v>0</v>
      </c>
      <c r="AF37" s="3">
        <f>IF(Tableau3[[#This Row],[sdom]]="4EST",1,0)</f>
        <v>0</v>
      </c>
      <c r="AG37" s="3">
        <f>VLOOKUP(Tableau3[[#This Row],[essence]],Tableau7[],13,FALSE)</f>
        <v>0</v>
      </c>
      <c r="AH37" s="3">
        <f>IF(Tableau3[[#This Row],[sdom]]="4OUEST",1,0)</f>
        <v>0</v>
      </c>
      <c r="AI37" s="3">
        <f>VLOOKUP(Tableau3[[#This Row],[essence]],Tableau7[],14,FALSE)</f>
        <v>0</v>
      </c>
      <c r="AJ37" s="3">
        <f>IF(Tableau3[[#This Row],[sdom]]="5EST",1,0)</f>
        <v>0</v>
      </c>
      <c r="AK37" s="3">
        <f>VLOOKUP(Tableau3[[#This Row],[essence]],Tableau7[],17,FALSE)</f>
        <v>0</v>
      </c>
      <c r="AL37" s="3">
        <f>IF(Tableau3[[#This Row],[priorecol]]="C",1,0)</f>
        <v>0</v>
      </c>
      <c r="AM37" s="3">
        <f>VLOOKUP(Tableau3[[#This Row],[essence]],Tableau7[],18,FALSE)</f>
        <v>0</v>
      </c>
      <c r="AN37" s="3">
        <f>IF(Tableau3[[#This Row],[priorecol]]="R",1,0)</f>
        <v>1</v>
      </c>
      <c r="AO37" s="3">
        <f>VLOOKUP(Tableau3[[#This Row],[essence]],Tableau7[],19,FALSE)</f>
        <v>0</v>
      </c>
      <c r="AP37" s="3">
        <f>IF(Tableau3[[#This Row],[priorecol]]="S",1,0)</f>
        <v>0</v>
      </c>
      <c r="AQ37" s="3">
        <f>VLOOKUP(Tableau3[[#This Row],[essence]],Tableau7[],21,FALSE)</f>
        <v>0.2979</v>
      </c>
      <c r="AR37" s="3">
        <f>VLOOKUP(Tableau3[[#This Row],[essence]],Tableau7[],16,FALSE)</f>
        <v>0.154</v>
      </c>
      <c r="AS3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2.6776999999999997</v>
      </c>
      <c r="AT37" s="3">
        <f>Tableau3[[#This Row],[xb_]]+Tableau3[[#This Row],[b_intercept_C]]</f>
        <v>1.5194999999999999</v>
      </c>
      <c r="AU37" s="3">
        <f>Tableau3[[#This Row],[xb_]]+Tableau3[[#This Row],[b_intercept_B]]</f>
        <v>-0.28080000000000016</v>
      </c>
      <c r="AV37" s="3">
        <f>1/(1+EXP(-Tableau3[[#This Row],[xb_c]]))</f>
        <v>0.82046484125085628</v>
      </c>
      <c r="AW37" s="3">
        <f>1/(1+EXP(-Tableau3[[#This Row],[xb_b]]))</f>
        <v>0.43025765632455171</v>
      </c>
      <c r="AX37" s="3" t="str">
        <f t="shared" si="1"/>
        <v>NA</v>
      </c>
      <c r="AY37" s="3">
        <f>Tableau3[[#This Row],[prob_b]]</f>
        <v>0.43025765632455171</v>
      </c>
      <c r="AZ37" s="3">
        <f>Tableau3[[#This Row],[prob_c]]-Tableau3[[#This Row],[prob_b]]</f>
        <v>0.39020718492630457</v>
      </c>
      <c r="BA37" s="3">
        <f>1-Tableau3[[#This Row],[prob_c]]</f>
        <v>0.17953515874914372</v>
      </c>
    </row>
    <row r="38" spans="1:53" x14ac:dyDescent="0.25">
      <c r="A38" s="2">
        <v>2</v>
      </c>
      <c r="B38" s="2" t="s">
        <v>10</v>
      </c>
      <c r="C38" s="4">
        <v>2.1</v>
      </c>
      <c r="D38" s="4">
        <v>828</v>
      </c>
      <c r="E38" s="4">
        <v>29</v>
      </c>
      <c r="F38" s="4">
        <v>0</v>
      </c>
      <c r="G38" s="2">
        <v>26</v>
      </c>
      <c r="H38" s="2">
        <v>35</v>
      </c>
      <c r="I38" s="2" t="s">
        <v>19</v>
      </c>
      <c r="J38" s="2" t="s">
        <v>28</v>
      </c>
      <c r="K38" s="2">
        <f>VLOOKUP(Tableau3[[#This Row],[essence]],Tableau7[],2,FALSE)</f>
        <v>-3.7313999999999998</v>
      </c>
      <c r="L38" s="3">
        <f>VLOOKUP(Tableau3[[#This Row],[essence]],Tableau7[],3,FALSE)</f>
        <v>-1.7194</v>
      </c>
      <c r="M38" s="3">
        <f>VLOOKUP(Tableau3[[#This Row],[essence]],Tableau7[],4,FALSE)</f>
        <v>1.5371999999999999</v>
      </c>
      <c r="N38" s="3">
        <f>IF(Tableau3[[#This Row],[priorecol]]="C",1,0)</f>
        <v>0</v>
      </c>
      <c r="O38" s="3">
        <f>VLOOKUP(Tableau3[[#This Row],[essence]],Tableau7[],5,FALSE)</f>
        <v>2.5815000000000001</v>
      </c>
      <c r="P38" s="3">
        <f>IF(Tableau3[[#This Row],[priorecol]]="R",1,0)</f>
        <v>1</v>
      </c>
      <c r="Q38" s="3">
        <f>VLOOKUP(Tableau3[[#This Row],[essence]],Tableau7[],6,FALSE)</f>
        <v>0.96079999999999999</v>
      </c>
      <c r="R38" s="3">
        <f>IF(Tableau3[[#This Row],[priorecol]]="S",1,0)</f>
        <v>0</v>
      </c>
      <c r="S38" s="3">
        <f>VLOOKUP(Tableau3[[#This Row],[essence]],Tableau7[],7,FALSE)</f>
        <v>4.2799999999999998E-2</v>
      </c>
      <c r="T38" s="3">
        <f>VLOOKUP(Tableau3[[#This Row],[essence]],Tableau7[],15,FALSE)</f>
        <v>1.54E-2</v>
      </c>
      <c r="U38" s="3">
        <f>VLOOKUP(Tableau3[[#This Row],[essence]],Tableau7[],20,FALSE)</f>
        <v>0</v>
      </c>
      <c r="V38" s="3">
        <f>IF(Tableau3[[#This Row],[sdom]]=1,1,0)</f>
        <v>0</v>
      </c>
      <c r="W38" s="3">
        <f>VLOOKUP(Tableau3[[#This Row],[essence]],Tableau7[],8,FALSE)</f>
        <v>2.3900000000000001E-2</v>
      </c>
      <c r="X38" s="3">
        <f>IF(Tableau3[[#This Row],[sdom]]="2EST",1,0)</f>
        <v>1</v>
      </c>
      <c r="Y38" s="3">
        <f>VLOOKUP(Tableau3[[#This Row],[essence]],Tableau7[],9,FALSE)</f>
        <v>-0.4793</v>
      </c>
      <c r="Z38" s="3">
        <f>IF(Tableau3[[#This Row],[sdom]]="2OUEST",1,0)</f>
        <v>0</v>
      </c>
      <c r="AA38" s="3">
        <f>VLOOKUP(Tableau3[[#This Row],[essence]],Tableau7[],10,FALSE)</f>
        <v>0.13880000000000001</v>
      </c>
      <c r="AB38" s="3">
        <f>IF(Tableau3[[#This Row],[sdom]]="3EST",1,0)</f>
        <v>0</v>
      </c>
      <c r="AC38" s="3">
        <f>VLOOKUP(Tableau3[[#This Row],[essence]],Tableau7[],11,FALSE)</f>
        <v>0.27039999999999997</v>
      </c>
      <c r="AD38" s="3">
        <f>IF(Tableau3[[#This Row],[sdom]]="3OUEST",1,0)</f>
        <v>0</v>
      </c>
      <c r="AE38" s="3">
        <f>VLOOKUP(Tableau3[[#This Row],[essence]],Tableau7[],12,FALSE)</f>
        <v>4.6600000000000001E-3</v>
      </c>
      <c r="AF38" s="3">
        <f>IF(Tableau3[[#This Row],[sdom]]="4EST",1,0)</f>
        <v>0</v>
      </c>
      <c r="AG38" s="3">
        <f>VLOOKUP(Tableau3[[#This Row],[essence]],Tableau7[],13,FALSE)</f>
        <v>0.1986</v>
      </c>
      <c r="AH38" s="3">
        <f>IF(Tableau3[[#This Row],[sdom]]="4OUEST",1,0)</f>
        <v>0</v>
      </c>
      <c r="AI38" s="3">
        <f>VLOOKUP(Tableau3[[#This Row],[essence]],Tableau7[],14,FALSE)</f>
        <v>-0.2535</v>
      </c>
      <c r="AJ38" s="3">
        <f>IF(Tableau3[[#This Row],[sdom]]="5EST",1,0)</f>
        <v>0</v>
      </c>
      <c r="AK38" s="3">
        <f>VLOOKUP(Tableau3[[#This Row],[essence]],Tableau7[],17,FALSE)</f>
        <v>0</v>
      </c>
      <c r="AL38" s="3">
        <f>IF(Tableau3[[#This Row],[priorecol]]="C",1,0)</f>
        <v>0</v>
      </c>
      <c r="AM38" s="3">
        <f>VLOOKUP(Tableau3[[#This Row],[essence]],Tableau7[],18,FALSE)</f>
        <v>0</v>
      </c>
      <c r="AN38" s="3">
        <f>IF(Tableau3[[#This Row],[priorecol]]="R",1,0)</f>
        <v>1</v>
      </c>
      <c r="AO38" s="3">
        <f>VLOOKUP(Tableau3[[#This Row],[essence]],Tableau7[],19,FALSE)</f>
        <v>0</v>
      </c>
      <c r="AP38" s="3">
        <f>IF(Tableau3[[#This Row],[priorecol]]="S",1,0)</f>
        <v>0</v>
      </c>
      <c r="AQ38" s="3">
        <f>VLOOKUP(Tableau3[[#This Row],[essence]],Tableau7[],21,FALSE)</f>
        <v>0</v>
      </c>
      <c r="AR38" s="3">
        <f>VLOOKUP(Tableau3[[#This Row],[essence]],Tableau7[],16,FALSE)</f>
        <v>0.123</v>
      </c>
      <c r="AS3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4.8083000000000009</v>
      </c>
      <c r="AT38" s="3">
        <f>Tableau3[[#This Row],[xb_]]+Tableau3[[#This Row],[b_intercept_C]]</f>
        <v>3.0889000000000006</v>
      </c>
      <c r="AU38" s="3">
        <f>Tableau3[[#This Row],[xb_]]+Tableau3[[#This Row],[b_intercept_B]]</f>
        <v>1.0769000000000011</v>
      </c>
      <c r="AV38" s="3">
        <f>1/(1+EXP(-Tableau3[[#This Row],[xb_c]]))</f>
        <v>0.95643255179284259</v>
      </c>
      <c r="AW38" s="3">
        <f>1/(1+EXP(-Tableau3[[#This Row],[xb_b]]))</f>
        <v>0.74590688897046376</v>
      </c>
      <c r="AX38" s="3" t="str">
        <f t="shared" si="1"/>
        <v>NA</v>
      </c>
      <c r="AY38" s="3">
        <f>Tableau3[[#This Row],[prob_b]]</f>
        <v>0.74590688897046376</v>
      </c>
      <c r="AZ38" s="3">
        <f>Tableau3[[#This Row],[prob_c]]-Tableau3[[#This Row],[prob_b]]</f>
        <v>0.21052566282237883</v>
      </c>
      <c r="BA38" s="3">
        <f>1-Tableau3[[#This Row],[prob_c]]</f>
        <v>4.3567448207157411E-2</v>
      </c>
    </row>
    <row r="39" spans="1:53" x14ac:dyDescent="0.25">
      <c r="A39" s="3">
        <v>2</v>
      </c>
      <c r="B39" s="3" t="s">
        <v>10</v>
      </c>
      <c r="C39" s="1">
        <v>2.1</v>
      </c>
      <c r="D39" s="1">
        <v>828</v>
      </c>
      <c r="E39" s="1">
        <v>29</v>
      </c>
      <c r="F39" s="1">
        <v>0</v>
      </c>
      <c r="G39" s="3">
        <v>32</v>
      </c>
      <c r="H39" s="3">
        <v>35</v>
      </c>
      <c r="I39" s="3" t="s">
        <v>21</v>
      </c>
      <c r="J39" s="3" t="s">
        <v>28</v>
      </c>
      <c r="K39" s="3">
        <f>VLOOKUP(Tableau3[[#This Row],[essence]],Tableau7[],2,FALSE)</f>
        <v>-0.68799999999999994</v>
      </c>
      <c r="L39" s="3">
        <f>VLOOKUP(Tableau3[[#This Row],[essence]],Tableau7[],3,FALSE)</f>
        <v>1.3924000000000001</v>
      </c>
      <c r="M39" s="3">
        <f>VLOOKUP(Tableau3[[#This Row],[essence]],Tableau7[],4,FALSE)</f>
        <v>0.41599999999999998</v>
      </c>
      <c r="N39" s="3">
        <f>IF(Tableau3[[#This Row],[priorecol]]="C",1,0)</f>
        <v>0</v>
      </c>
      <c r="O39" s="3">
        <f>VLOOKUP(Tableau3[[#This Row],[essence]],Tableau7[],5,FALSE)</f>
        <v>1.5604</v>
      </c>
      <c r="P39" s="3">
        <f>IF(Tableau3[[#This Row],[priorecol]]="R",1,0)</f>
        <v>1</v>
      </c>
      <c r="Q39" s="3">
        <f>VLOOKUP(Tableau3[[#This Row],[essence]],Tableau7[],6,FALSE)</f>
        <v>-0.64770000000000005</v>
      </c>
      <c r="R39" s="3">
        <f>IF(Tableau3[[#This Row],[priorecol]]="S",1,0)</f>
        <v>0</v>
      </c>
      <c r="S39" s="3">
        <f>VLOOKUP(Tableau3[[#This Row],[essence]],Tableau7[],7,FALSE)</f>
        <v>0</v>
      </c>
      <c r="T39" s="3">
        <f>VLOOKUP(Tableau3[[#This Row],[essence]],Tableau7[],15,FALSE)</f>
        <v>-2.4500000000000001E-2</v>
      </c>
      <c r="U39" s="3">
        <f>VLOOKUP(Tableau3[[#This Row],[essence]],Tableau7[],20,FALSE)</f>
        <v>0.15179999999999999</v>
      </c>
      <c r="V39" s="3">
        <f>IF(Tableau3[[#This Row],[sdom]]=1,1,0)</f>
        <v>0</v>
      </c>
      <c r="W39" s="3">
        <f>VLOOKUP(Tableau3[[#This Row],[essence]],Tableau7[],8,FALSE)</f>
        <v>0</v>
      </c>
      <c r="X39" s="3">
        <f>IF(Tableau3[[#This Row],[sdom]]="2EST",1,0)</f>
        <v>1</v>
      </c>
      <c r="Y39" s="3">
        <f>VLOOKUP(Tableau3[[#This Row],[essence]],Tableau7[],9,FALSE)</f>
        <v>-0.27589999999999998</v>
      </c>
      <c r="Z39" s="3">
        <f>IF(Tableau3[[#This Row],[sdom]]="2OUEST",1,0)</f>
        <v>0</v>
      </c>
      <c r="AA39" s="3">
        <f>VLOOKUP(Tableau3[[#This Row],[essence]],Tableau7[],10,FALSE)</f>
        <v>0</v>
      </c>
      <c r="AB39" s="3">
        <f>IF(Tableau3[[#This Row],[sdom]]="3EST",1,0)</f>
        <v>0</v>
      </c>
      <c r="AC39" s="3">
        <f>VLOOKUP(Tableau3[[#This Row],[essence]],Tableau7[],11,FALSE)</f>
        <v>0</v>
      </c>
      <c r="AD39" s="3">
        <f>IF(Tableau3[[#This Row],[sdom]]="3OUEST",1,0)</f>
        <v>0</v>
      </c>
      <c r="AE39" s="3">
        <f>VLOOKUP(Tableau3[[#This Row],[essence]],Tableau7[],12,FALSE)</f>
        <v>0</v>
      </c>
      <c r="AF39" s="3">
        <f>IF(Tableau3[[#This Row],[sdom]]="4EST",1,0)</f>
        <v>0</v>
      </c>
      <c r="AG39" s="3">
        <f>VLOOKUP(Tableau3[[#This Row],[essence]],Tableau7[],13,FALSE)</f>
        <v>0</v>
      </c>
      <c r="AH39" s="3">
        <f>IF(Tableau3[[#This Row],[sdom]]="4OUEST",1,0)</f>
        <v>0</v>
      </c>
      <c r="AI39" s="3">
        <f>VLOOKUP(Tableau3[[#This Row],[essence]],Tableau7[],14,FALSE)</f>
        <v>0</v>
      </c>
      <c r="AJ39" s="3">
        <f>IF(Tableau3[[#This Row],[sdom]]="5EST",1,0)</f>
        <v>0</v>
      </c>
      <c r="AK39" s="3">
        <f>VLOOKUP(Tableau3[[#This Row],[essence]],Tableau7[],17,FALSE)</f>
        <v>6.4199999999999993E-2</v>
      </c>
      <c r="AL39" s="3">
        <f>IF(Tableau3[[#This Row],[priorecol]]="C",1,0)</f>
        <v>0</v>
      </c>
      <c r="AM39" s="3">
        <f>VLOOKUP(Tableau3[[#This Row],[essence]],Tableau7[],18,FALSE)</f>
        <v>6.3399999999999998E-2</v>
      </c>
      <c r="AN39" s="3">
        <f>IF(Tableau3[[#This Row],[priorecol]]="R",1,0)</f>
        <v>1</v>
      </c>
      <c r="AO39" s="3">
        <f>VLOOKUP(Tableau3[[#This Row],[essence]],Tableau7[],19,FALSE)</f>
        <v>8.2400000000000001E-2</v>
      </c>
      <c r="AP39" s="3">
        <f>IF(Tableau3[[#This Row],[priorecol]]="S",1,0)</f>
        <v>0</v>
      </c>
      <c r="AQ39" s="3">
        <f>VLOOKUP(Tableau3[[#This Row],[essence]],Tableau7[],21,FALSE)</f>
        <v>0</v>
      </c>
      <c r="AR39" s="3">
        <f>VLOOKUP(Tableau3[[#This Row],[essence]],Tableau7[],16,FALSE)</f>
        <v>0</v>
      </c>
      <c r="AS3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2.6884999999999999</v>
      </c>
      <c r="AT39" s="3">
        <f>Tableau3[[#This Row],[xb_]]+Tableau3[[#This Row],[b_intercept_C]]</f>
        <v>4.0808999999999997</v>
      </c>
      <c r="AU39" s="3">
        <f>Tableau3[[#This Row],[xb_]]+Tableau3[[#This Row],[b_intercept_B]]</f>
        <v>2.0004999999999997</v>
      </c>
      <c r="AV39" s="3">
        <f>1/(1+EXP(-Tableau3[[#This Row],[xb_c]]))</f>
        <v>0.98338835242073341</v>
      </c>
      <c r="AW39" s="3">
        <f>1/(1+EXP(-Tableau3[[#This Row],[xb_b]]))</f>
        <v>0.8808495647760809</v>
      </c>
      <c r="AX39" s="3" t="str">
        <f t="shared" si="1"/>
        <v>NA</v>
      </c>
      <c r="AY39" s="3">
        <f>Tableau3[[#This Row],[prob_b]]</f>
        <v>0.8808495647760809</v>
      </c>
      <c r="AZ39" s="3">
        <f>Tableau3[[#This Row],[prob_c]]-Tableau3[[#This Row],[prob_b]]</f>
        <v>0.10253878764465252</v>
      </c>
      <c r="BA39" s="3">
        <f>1-Tableau3[[#This Row],[prob_c]]</f>
        <v>1.6611647579266586E-2</v>
      </c>
    </row>
    <row r="40" spans="1:53" x14ac:dyDescent="0.25">
      <c r="A40" s="2">
        <v>2</v>
      </c>
      <c r="B40" s="2" t="s">
        <v>10</v>
      </c>
      <c r="C40" s="4">
        <v>2.1</v>
      </c>
      <c r="D40" s="4">
        <v>828</v>
      </c>
      <c r="E40" s="4">
        <v>29</v>
      </c>
      <c r="F40" s="4">
        <v>0</v>
      </c>
      <c r="G40" s="2">
        <v>38</v>
      </c>
      <c r="H40" s="2">
        <v>35</v>
      </c>
      <c r="I40" s="2" t="s">
        <v>23</v>
      </c>
      <c r="J40" s="2" t="s">
        <v>28</v>
      </c>
      <c r="K40" s="2">
        <f>VLOOKUP(Tableau3[[#This Row],[essence]],Tableau7[],2,FALSE)</f>
        <v>-3.9003999999999999</v>
      </c>
      <c r="L40" s="3">
        <f>VLOOKUP(Tableau3[[#This Row],[essence]],Tableau7[],3,FALSE)</f>
        <v>-1.7661</v>
      </c>
      <c r="M40" s="3">
        <f>VLOOKUP(Tableau3[[#This Row],[essence]],Tableau7[],4,FALSE)</f>
        <v>1.9438</v>
      </c>
      <c r="N40" s="3">
        <f>IF(Tableau3[[#This Row],[priorecol]]="C",1,0)</f>
        <v>0</v>
      </c>
      <c r="O40" s="3">
        <f>VLOOKUP(Tableau3[[#This Row],[essence]],Tableau7[],5,FALSE)</f>
        <v>2.9834000000000001</v>
      </c>
      <c r="P40" s="3">
        <f>IF(Tableau3[[#This Row],[priorecol]]="R",1,0)</f>
        <v>1</v>
      </c>
      <c r="Q40" s="3">
        <f>VLOOKUP(Tableau3[[#This Row],[essence]],Tableau7[],6,FALSE)</f>
        <v>1.0873999999999999</v>
      </c>
      <c r="R40" s="3">
        <f>IF(Tableau3[[#This Row],[priorecol]]="S",1,0)</f>
        <v>0</v>
      </c>
      <c r="S40" s="3">
        <f>VLOOKUP(Tableau3[[#This Row],[essence]],Tableau7[],7,FALSE)</f>
        <v>6.4000000000000001E-2</v>
      </c>
      <c r="T40" s="3">
        <f>VLOOKUP(Tableau3[[#This Row],[essence]],Tableau7[],15,FALSE)</f>
        <v>7.5199999999999998E-3</v>
      </c>
      <c r="U40" s="3">
        <f>VLOOKUP(Tableau3[[#This Row],[essence]],Tableau7[],20,FALSE)</f>
        <v>0.17810000000000001</v>
      </c>
      <c r="V40" s="3">
        <f>IF(Tableau3[[#This Row],[sdom]]=1,1,0)</f>
        <v>0</v>
      </c>
      <c r="W40" s="3">
        <f>VLOOKUP(Tableau3[[#This Row],[essence]],Tableau7[],8,FALSE)</f>
        <v>0.29430000000000001</v>
      </c>
      <c r="X40" s="3">
        <f>IF(Tableau3[[#This Row],[sdom]]="2EST",1,0)</f>
        <v>1</v>
      </c>
      <c r="Y40" s="3">
        <f>VLOOKUP(Tableau3[[#This Row],[essence]],Tableau7[],9,FALSE)</f>
        <v>0.11260000000000001</v>
      </c>
      <c r="Z40" s="3">
        <f>IF(Tableau3[[#This Row],[sdom]]="2OUEST",1,0)</f>
        <v>0</v>
      </c>
      <c r="AA40" s="3">
        <f>VLOOKUP(Tableau3[[#This Row],[essence]],Tableau7[],10,FALSE)</f>
        <v>1.2999999999999999E-2</v>
      </c>
      <c r="AB40" s="3">
        <f>IF(Tableau3[[#This Row],[sdom]]="3EST",1,0)</f>
        <v>0</v>
      </c>
      <c r="AC40" s="3">
        <f>VLOOKUP(Tableau3[[#This Row],[essence]],Tableau7[],11,FALSE)</f>
        <v>0.17150000000000001</v>
      </c>
      <c r="AD40" s="3">
        <f>IF(Tableau3[[#This Row],[sdom]]="3OUEST",1,0)</f>
        <v>0</v>
      </c>
      <c r="AE40" s="3">
        <f>VLOOKUP(Tableau3[[#This Row],[essence]],Tableau7[],12,FALSE)</f>
        <v>-0.1308</v>
      </c>
      <c r="AF40" s="3">
        <f>IF(Tableau3[[#This Row],[sdom]]="4EST",1,0)</f>
        <v>0</v>
      </c>
      <c r="AG40" s="3">
        <f>VLOOKUP(Tableau3[[#This Row],[essence]],Tableau7[],13,FALSE)</f>
        <v>-0.2858</v>
      </c>
      <c r="AH40" s="3">
        <f>IF(Tableau3[[#This Row],[sdom]]="4OUEST",1,0)</f>
        <v>0</v>
      </c>
      <c r="AI40" s="3">
        <f>VLOOKUP(Tableau3[[#This Row],[essence]],Tableau7[],14,FALSE)</f>
        <v>0</v>
      </c>
      <c r="AJ40" s="3">
        <f>IF(Tableau3[[#This Row],[sdom]]="5EST",1,0)</f>
        <v>0</v>
      </c>
      <c r="AK40" s="3">
        <f>VLOOKUP(Tableau3[[#This Row],[essence]],Tableau7[],17,FALSE)</f>
        <v>0</v>
      </c>
      <c r="AL40" s="3">
        <f>IF(Tableau3[[#This Row],[priorecol]]="C",1,0)</f>
        <v>0</v>
      </c>
      <c r="AM40" s="3">
        <f>VLOOKUP(Tableau3[[#This Row],[essence]],Tableau7[],18,FALSE)</f>
        <v>0</v>
      </c>
      <c r="AN40" s="3">
        <f>IF(Tableau3[[#This Row],[priorecol]]="R",1,0)</f>
        <v>1</v>
      </c>
      <c r="AO40" s="3">
        <f>VLOOKUP(Tableau3[[#This Row],[essence]],Tableau7[],19,FALSE)</f>
        <v>0</v>
      </c>
      <c r="AP40" s="3">
        <f>IF(Tableau3[[#This Row],[priorecol]]="S",1,0)</f>
        <v>0</v>
      </c>
      <c r="AQ40" s="3">
        <f>VLOOKUP(Tableau3[[#This Row],[essence]],Tableau7[],21,FALSE)</f>
        <v>0</v>
      </c>
      <c r="AR40" s="3">
        <f>VLOOKUP(Tableau3[[#This Row],[essence]],Tableau7[],16,FALSE)</f>
        <v>0</v>
      </c>
      <c r="AS4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5.7357799999999992</v>
      </c>
      <c r="AT40" s="3">
        <f>Tableau3[[#This Row],[xb_]]+Tableau3[[#This Row],[b_intercept_C]]</f>
        <v>3.9696799999999994</v>
      </c>
      <c r="AU40" s="3">
        <f>Tableau3[[#This Row],[xb_]]+Tableau3[[#This Row],[b_intercept_B]]</f>
        <v>1.8353799999999993</v>
      </c>
      <c r="AV40" s="3">
        <f>1/(1+EXP(-Tableau3[[#This Row],[xb_c]]))</f>
        <v>0.98147035631852741</v>
      </c>
      <c r="AW40" s="3">
        <f>1/(1+EXP(-Tableau3[[#This Row],[xb_b]]))</f>
        <v>0.8624013913966333</v>
      </c>
      <c r="AX40" s="3" t="str">
        <f t="shared" si="1"/>
        <v>NA</v>
      </c>
      <c r="AY40" s="3">
        <f>Tableau3[[#This Row],[prob_b]]</f>
        <v>0.8624013913966333</v>
      </c>
      <c r="AZ40" s="3">
        <f>Tableau3[[#This Row],[prob_c]]-Tableau3[[#This Row],[prob_b]]</f>
        <v>0.11906896492189412</v>
      </c>
      <c r="BA40" s="3">
        <f>1-Tableau3[[#This Row],[prob_c]]</f>
        <v>1.8529643681472585E-2</v>
      </c>
    </row>
    <row r="41" spans="1:53" x14ac:dyDescent="0.25">
      <c r="A41" s="3">
        <v>2</v>
      </c>
      <c r="B41" s="3" t="s">
        <v>10</v>
      </c>
      <c r="C41" s="1">
        <v>2.1</v>
      </c>
      <c r="D41" s="1">
        <v>828</v>
      </c>
      <c r="E41" s="1">
        <v>29</v>
      </c>
      <c r="F41" s="1">
        <v>0</v>
      </c>
      <c r="G41" s="3">
        <v>44</v>
      </c>
      <c r="H41" s="3">
        <v>35</v>
      </c>
      <c r="I41" s="3" t="s">
        <v>25</v>
      </c>
      <c r="J41" s="3" t="s">
        <v>28</v>
      </c>
      <c r="K41" s="3">
        <f>VLOOKUP(Tableau3[[#This Row],[essence]],Tableau7[],2,FALSE)</f>
        <v>-2.9584999999999999</v>
      </c>
      <c r="L41" s="3">
        <f>VLOOKUP(Tableau3[[#This Row],[essence]],Tableau7[],3,FALSE)</f>
        <v>-1.1581999999999999</v>
      </c>
      <c r="M41" s="3">
        <f>VLOOKUP(Tableau3[[#This Row],[essence]],Tableau7[],4,FALSE)</f>
        <v>1.3563000000000001</v>
      </c>
      <c r="N41" s="3">
        <f>IF(Tableau3[[#This Row],[priorecol]]="C",1,0)</f>
        <v>0</v>
      </c>
      <c r="O41" s="3">
        <f>VLOOKUP(Tableau3[[#This Row],[essence]],Tableau7[],5,FALSE)</f>
        <v>2.0564</v>
      </c>
      <c r="P41" s="3">
        <f>IF(Tableau3[[#This Row],[priorecol]]="R",1,0)</f>
        <v>1</v>
      </c>
      <c r="Q41" s="3">
        <f>VLOOKUP(Tableau3[[#This Row],[essence]],Tableau7[],6,FALSE)</f>
        <v>1.3911</v>
      </c>
      <c r="R41" s="3">
        <f>IF(Tableau3[[#This Row],[priorecol]]="S",1,0)</f>
        <v>0</v>
      </c>
      <c r="S41" s="3">
        <f>VLOOKUP(Tableau3[[#This Row],[essence]],Tableau7[],7,FALSE)</f>
        <v>0</v>
      </c>
      <c r="T41" s="3">
        <f>VLOOKUP(Tableau3[[#This Row],[essence]],Tableau7[],15,FALSE)</f>
        <v>0</v>
      </c>
      <c r="U41" s="3">
        <f>VLOOKUP(Tableau3[[#This Row],[essence]],Tableau7[],20,FALSE)</f>
        <v>0</v>
      </c>
      <c r="V41" s="3">
        <f>IF(Tableau3[[#This Row],[sdom]]=1,1,0)</f>
        <v>0</v>
      </c>
      <c r="W41" s="3">
        <f>VLOOKUP(Tableau3[[#This Row],[essence]],Tableau7[],8,FALSE)</f>
        <v>0.19420000000000001</v>
      </c>
      <c r="X41" s="3">
        <f>IF(Tableau3[[#This Row],[sdom]]="2EST",1,0)</f>
        <v>1</v>
      </c>
      <c r="Y41" s="3">
        <f>VLOOKUP(Tableau3[[#This Row],[essence]],Tableau7[],9,FALSE)</f>
        <v>-0.1956</v>
      </c>
      <c r="Z41" s="3">
        <f>IF(Tableau3[[#This Row],[sdom]]="2OUEST",1,0)</f>
        <v>0</v>
      </c>
      <c r="AA41" s="3">
        <f>VLOOKUP(Tableau3[[#This Row],[essence]],Tableau7[],10,FALSE)</f>
        <v>-0.1221</v>
      </c>
      <c r="AB41" s="3">
        <f>IF(Tableau3[[#This Row],[sdom]]="3EST",1,0)</f>
        <v>0</v>
      </c>
      <c r="AC41" s="3">
        <f>VLOOKUP(Tableau3[[#This Row],[essence]],Tableau7[],11,FALSE)</f>
        <v>0.16789999999999999</v>
      </c>
      <c r="AD41" s="3">
        <f>IF(Tableau3[[#This Row],[sdom]]="3OUEST",1,0)</f>
        <v>0</v>
      </c>
      <c r="AE41" s="3">
        <f>VLOOKUP(Tableau3[[#This Row],[essence]],Tableau7[],12,FALSE)</f>
        <v>0</v>
      </c>
      <c r="AF41" s="3">
        <f>IF(Tableau3[[#This Row],[sdom]]="4EST",1,0)</f>
        <v>0</v>
      </c>
      <c r="AG41" s="3">
        <f>VLOOKUP(Tableau3[[#This Row],[essence]],Tableau7[],13,FALSE)</f>
        <v>0</v>
      </c>
      <c r="AH41" s="3">
        <f>IF(Tableau3[[#This Row],[sdom]]="4OUEST",1,0)</f>
        <v>0</v>
      </c>
      <c r="AI41" s="3">
        <f>VLOOKUP(Tableau3[[#This Row],[essence]],Tableau7[],14,FALSE)</f>
        <v>0</v>
      </c>
      <c r="AJ41" s="3">
        <f>IF(Tableau3[[#This Row],[sdom]]="5EST",1,0)</f>
        <v>0</v>
      </c>
      <c r="AK41" s="3">
        <f>VLOOKUP(Tableau3[[#This Row],[essence]],Tableau7[],17,FALSE)</f>
        <v>0</v>
      </c>
      <c r="AL41" s="3">
        <f>IF(Tableau3[[#This Row],[priorecol]]="C",1,0)</f>
        <v>0</v>
      </c>
      <c r="AM41" s="3">
        <f>VLOOKUP(Tableau3[[#This Row],[essence]],Tableau7[],18,FALSE)</f>
        <v>0</v>
      </c>
      <c r="AN41" s="3">
        <f>IF(Tableau3[[#This Row],[priorecol]]="R",1,0)</f>
        <v>1</v>
      </c>
      <c r="AO41" s="3">
        <f>VLOOKUP(Tableau3[[#This Row],[essence]],Tableau7[],19,FALSE)</f>
        <v>0</v>
      </c>
      <c r="AP41" s="3">
        <f>IF(Tableau3[[#This Row],[priorecol]]="S",1,0)</f>
        <v>0</v>
      </c>
      <c r="AQ41" s="3">
        <f>VLOOKUP(Tableau3[[#This Row],[essence]],Tableau7[],21,FALSE)</f>
        <v>0.2979</v>
      </c>
      <c r="AR41" s="3">
        <f>VLOOKUP(Tableau3[[#This Row],[essence]],Tableau7[],16,FALSE)</f>
        <v>0.154</v>
      </c>
      <c r="AS4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2.5739999999999998</v>
      </c>
      <c r="AT41" s="3">
        <f>Tableau3[[#This Row],[xb_]]+Tableau3[[#This Row],[b_intercept_C]]</f>
        <v>1.4157999999999999</v>
      </c>
      <c r="AU41" s="3">
        <f>Tableau3[[#This Row],[xb_]]+Tableau3[[#This Row],[b_intercept_B]]</f>
        <v>-0.38450000000000006</v>
      </c>
      <c r="AV41" s="3">
        <f>1/(1+EXP(-Tableau3[[#This Row],[xb_c]]))</f>
        <v>0.80467914441692112</v>
      </c>
      <c r="AW41" s="3">
        <f>1/(1+EXP(-Tableau3[[#This Row],[xb_b]]))</f>
        <v>0.40504201190106093</v>
      </c>
      <c r="AX41" s="3" t="str">
        <f t="shared" si="1"/>
        <v>NA</v>
      </c>
      <c r="AY41" s="3">
        <f>Tableau3[[#This Row],[prob_b]]</f>
        <v>0.40504201190106093</v>
      </c>
      <c r="AZ41" s="3">
        <f>Tableau3[[#This Row],[prob_c]]-Tableau3[[#This Row],[prob_b]]</f>
        <v>0.39963713251586019</v>
      </c>
      <c r="BA41" s="3">
        <f>1-Tableau3[[#This Row],[prob_c]]</f>
        <v>0.19532085558307888</v>
      </c>
    </row>
    <row r="42" spans="1:53" x14ac:dyDescent="0.25">
      <c r="A42" s="2">
        <v>3</v>
      </c>
      <c r="B42" s="2" t="s">
        <v>11</v>
      </c>
      <c r="C42" s="4">
        <v>2.1</v>
      </c>
      <c r="D42" s="4">
        <v>700</v>
      </c>
      <c r="E42" s="4">
        <v>20</v>
      </c>
      <c r="F42" s="4">
        <v>1</v>
      </c>
      <c r="G42" s="2">
        <v>26</v>
      </c>
      <c r="H42" s="2">
        <v>35</v>
      </c>
      <c r="I42" s="2" t="s">
        <v>19</v>
      </c>
      <c r="J42" s="2" t="s">
        <v>28</v>
      </c>
      <c r="K42" s="2">
        <f>VLOOKUP(Tableau3[[#This Row],[essence]],Tableau7[],2,FALSE)</f>
        <v>-3.7313999999999998</v>
      </c>
      <c r="L42" s="3">
        <f>VLOOKUP(Tableau3[[#This Row],[essence]],Tableau7[],3,FALSE)</f>
        <v>-1.7194</v>
      </c>
      <c r="M42" s="3">
        <f>VLOOKUP(Tableau3[[#This Row],[essence]],Tableau7[],4,FALSE)</f>
        <v>1.5371999999999999</v>
      </c>
      <c r="N42" s="3">
        <f>IF(Tableau3[[#This Row],[priorecol]]="C",1,0)</f>
        <v>0</v>
      </c>
      <c r="O42" s="3">
        <f>VLOOKUP(Tableau3[[#This Row],[essence]],Tableau7[],5,FALSE)</f>
        <v>2.5815000000000001</v>
      </c>
      <c r="P42" s="3">
        <f>IF(Tableau3[[#This Row],[priorecol]]="R",1,0)</f>
        <v>1</v>
      </c>
      <c r="Q42" s="3">
        <f>VLOOKUP(Tableau3[[#This Row],[essence]],Tableau7[],6,FALSE)</f>
        <v>0.96079999999999999</v>
      </c>
      <c r="R42" s="3">
        <f>IF(Tableau3[[#This Row],[priorecol]]="S",1,0)</f>
        <v>0</v>
      </c>
      <c r="S42" s="3">
        <f>VLOOKUP(Tableau3[[#This Row],[essence]],Tableau7[],7,FALSE)</f>
        <v>4.2799999999999998E-2</v>
      </c>
      <c r="T42" s="3">
        <f>VLOOKUP(Tableau3[[#This Row],[essence]],Tableau7[],15,FALSE)</f>
        <v>1.54E-2</v>
      </c>
      <c r="U42" s="3">
        <f>VLOOKUP(Tableau3[[#This Row],[essence]],Tableau7[],20,FALSE)</f>
        <v>0</v>
      </c>
      <c r="V42" s="3">
        <f>IF(Tableau3[[#This Row],[sdom]]=1,1,0)</f>
        <v>0</v>
      </c>
      <c r="W42" s="3">
        <f>VLOOKUP(Tableau3[[#This Row],[essence]],Tableau7[],8,FALSE)</f>
        <v>2.3900000000000001E-2</v>
      </c>
      <c r="X42" s="3">
        <f>IF(Tableau3[[#This Row],[sdom]]="2EST",1,0)</f>
        <v>0</v>
      </c>
      <c r="Y42" s="3">
        <f>VLOOKUP(Tableau3[[#This Row],[essence]],Tableau7[],9,FALSE)</f>
        <v>-0.4793</v>
      </c>
      <c r="Z42" s="3">
        <f>IF(Tableau3[[#This Row],[sdom]]="2OUEST",1,0)</f>
        <v>1</v>
      </c>
      <c r="AA42" s="3">
        <f>VLOOKUP(Tableau3[[#This Row],[essence]],Tableau7[],10,FALSE)</f>
        <v>0.13880000000000001</v>
      </c>
      <c r="AB42" s="3">
        <f>IF(Tableau3[[#This Row],[sdom]]="3EST",1,0)</f>
        <v>0</v>
      </c>
      <c r="AC42" s="3">
        <f>VLOOKUP(Tableau3[[#This Row],[essence]],Tableau7[],11,FALSE)</f>
        <v>0.27039999999999997</v>
      </c>
      <c r="AD42" s="3">
        <f>IF(Tableau3[[#This Row],[sdom]]="3OUEST",1,0)</f>
        <v>0</v>
      </c>
      <c r="AE42" s="3">
        <f>VLOOKUP(Tableau3[[#This Row],[essence]],Tableau7[],12,FALSE)</f>
        <v>4.6600000000000001E-3</v>
      </c>
      <c r="AF42" s="3">
        <f>IF(Tableau3[[#This Row],[sdom]]="4EST",1,0)</f>
        <v>0</v>
      </c>
      <c r="AG42" s="3">
        <f>VLOOKUP(Tableau3[[#This Row],[essence]],Tableau7[],13,FALSE)</f>
        <v>0.1986</v>
      </c>
      <c r="AH42" s="3">
        <f>IF(Tableau3[[#This Row],[sdom]]="4OUEST",1,0)</f>
        <v>0</v>
      </c>
      <c r="AI42" s="3">
        <f>VLOOKUP(Tableau3[[#This Row],[essence]],Tableau7[],14,FALSE)</f>
        <v>-0.2535</v>
      </c>
      <c r="AJ42" s="3">
        <f>IF(Tableau3[[#This Row],[sdom]]="5EST",1,0)</f>
        <v>0</v>
      </c>
      <c r="AK42" s="3">
        <f>VLOOKUP(Tableau3[[#This Row],[essence]],Tableau7[],17,FALSE)</f>
        <v>0</v>
      </c>
      <c r="AL42" s="3">
        <f>IF(Tableau3[[#This Row],[priorecol]]="C",1,0)</f>
        <v>0</v>
      </c>
      <c r="AM42" s="3">
        <f>VLOOKUP(Tableau3[[#This Row],[essence]],Tableau7[],18,FALSE)</f>
        <v>0</v>
      </c>
      <c r="AN42" s="3">
        <f>IF(Tableau3[[#This Row],[priorecol]]="R",1,0)</f>
        <v>1</v>
      </c>
      <c r="AO42" s="3">
        <f>VLOOKUP(Tableau3[[#This Row],[essence]],Tableau7[],19,FALSE)</f>
        <v>0</v>
      </c>
      <c r="AP42" s="3">
        <f>IF(Tableau3[[#This Row],[priorecol]]="S",1,0)</f>
        <v>0</v>
      </c>
      <c r="AQ42" s="3">
        <f>VLOOKUP(Tableau3[[#This Row],[essence]],Tableau7[],21,FALSE)</f>
        <v>0</v>
      </c>
      <c r="AR42" s="3">
        <f>VLOOKUP(Tableau3[[#This Row],[essence]],Tableau7[],16,FALSE)</f>
        <v>0.123</v>
      </c>
      <c r="AS4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4.1665000000000001</v>
      </c>
      <c r="AT42" s="3">
        <f>Tableau3[[#This Row],[xb_]]+Tableau3[[#This Row],[b_intercept_C]]</f>
        <v>2.4470999999999998</v>
      </c>
      <c r="AU42" s="3">
        <f>Tableau3[[#This Row],[xb_]]+Tableau3[[#This Row],[b_intercept_B]]</f>
        <v>0.43510000000000026</v>
      </c>
      <c r="AV42" s="3">
        <f>1/(1+EXP(-Tableau3[[#This Row],[xb_c]]))</f>
        <v>0.92034912060926655</v>
      </c>
      <c r="AW42" s="3">
        <f>1/(1+EXP(-Tableau3[[#This Row],[xb_b]]))</f>
        <v>0.60709084148229908</v>
      </c>
      <c r="AX42" s="3" t="str">
        <f t="shared" si="1"/>
        <v>NA</v>
      </c>
      <c r="AY42" s="3">
        <f>Tableau3[[#This Row],[prob_b]]</f>
        <v>0.60709084148229908</v>
      </c>
      <c r="AZ42" s="3">
        <f>Tableau3[[#This Row],[prob_c]]-Tableau3[[#This Row],[prob_b]]</f>
        <v>0.31325827912696746</v>
      </c>
      <c r="BA42" s="3">
        <f>1-Tableau3[[#This Row],[prob_c]]</f>
        <v>7.9650879390733453E-2</v>
      </c>
    </row>
    <row r="43" spans="1:53" x14ac:dyDescent="0.25">
      <c r="A43" s="3">
        <v>3</v>
      </c>
      <c r="B43" s="3" t="s">
        <v>11</v>
      </c>
      <c r="C43" s="1">
        <v>2.1</v>
      </c>
      <c r="D43" s="1">
        <v>700</v>
      </c>
      <c r="E43" s="1">
        <v>20</v>
      </c>
      <c r="F43" s="1">
        <v>1</v>
      </c>
      <c r="G43" s="3">
        <v>32</v>
      </c>
      <c r="H43" s="3">
        <v>35</v>
      </c>
      <c r="I43" s="3" t="s">
        <v>21</v>
      </c>
      <c r="J43" s="3" t="s">
        <v>28</v>
      </c>
      <c r="K43" s="3">
        <f>VLOOKUP(Tableau3[[#This Row],[essence]],Tableau7[],2,FALSE)</f>
        <v>-0.68799999999999994</v>
      </c>
      <c r="L43" s="3">
        <f>VLOOKUP(Tableau3[[#This Row],[essence]],Tableau7[],3,FALSE)</f>
        <v>1.3924000000000001</v>
      </c>
      <c r="M43" s="3">
        <f>VLOOKUP(Tableau3[[#This Row],[essence]],Tableau7[],4,FALSE)</f>
        <v>0.41599999999999998</v>
      </c>
      <c r="N43" s="3">
        <f>IF(Tableau3[[#This Row],[priorecol]]="C",1,0)</f>
        <v>0</v>
      </c>
      <c r="O43" s="3">
        <f>VLOOKUP(Tableau3[[#This Row],[essence]],Tableau7[],5,FALSE)</f>
        <v>1.5604</v>
      </c>
      <c r="P43" s="3">
        <f>IF(Tableau3[[#This Row],[priorecol]]="R",1,0)</f>
        <v>1</v>
      </c>
      <c r="Q43" s="3">
        <f>VLOOKUP(Tableau3[[#This Row],[essence]],Tableau7[],6,FALSE)</f>
        <v>-0.64770000000000005</v>
      </c>
      <c r="R43" s="3">
        <f>IF(Tableau3[[#This Row],[priorecol]]="S",1,0)</f>
        <v>0</v>
      </c>
      <c r="S43" s="3">
        <f>VLOOKUP(Tableau3[[#This Row],[essence]],Tableau7[],7,FALSE)</f>
        <v>0</v>
      </c>
      <c r="T43" s="3">
        <f>VLOOKUP(Tableau3[[#This Row],[essence]],Tableau7[],15,FALSE)</f>
        <v>-2.4500000000000001E-2</v>
      </c>
      <c r="U43" s="3">
        <f>VLOOKUP(Tableau3[[#This Row],[essence]],Tableau7[],20,FALSE)</f>
        <v>0.15179999999999999</v>
      </c>
      <c r="V43" s="3">
        <f>IF(Tableau3[[#This Row],[sdom]]=1,1,0)</f>
        <v>0</v>
      </c>
      <c r="W43" s="3">
        <f>VLOOKUP(Tableau3[[#This Row],[essence]],Tableau7[],8,FALSE)</f>
        <v>0</v>
      </c>
      <c r="X43" s="3">
        <f>IF(Tableau3[[#This Row],[sdom]]="2EST",1,0)</f>
        <v>0</v>
      </c>
      <c r="Y43" s="3">
        <f>VLOOKUP(Tableau3[[#This Row],[essence]],Tableau7[],9,FALSE)</f>
        <v>-0.27589999999999998</v>
      </c>
      <c r="Z43" s="3">
        <f>IF(Tableau3[[#This Row],[sdom]]="2OUEST",1,0)</f>
        <v>1</v>
      </c>
      <c r="AA43" s="3">
        <f>VLOOKUP(Tableau3[[#This Row],[essence]],Tableau7[],10,FALSE)</f>
        <v>0</v>
      </c>
      <c r="AB43" s="3">
        <f>IF(Tableau3[[#This Row],[sdom]]="3EST",1,0)</f>
        <v>0</v>
      </c>
      <c r="AC43" s="3">
        <f>VLOOKUP(Tableau3[[#This Row],[essence]],Tableau7[],11,FALSE)</f>
        <v>0</v>
      </c>
      <c r="AD43" s="3">
        <f>IF(Tableau3[[#This Row],[sdom]]="3OUEST",1,0)</f>
        <v>0</v>
      </c>
      <c r="AE43" s="3">
        <f>VLOOKUP(Tableau3[[#This Row],[essence]],Tableau7[],12,FALSE)</f>
        <v>0</v>
      </c>
      <c r="AF43" s="3">
        <f>IF(Tableau3[[#This Row],[sdom]]="4EST",1,0)</f>
        <v>0</v>
      </c>
      <c r="AG43" s="3">
        <f>VLOOKUP(Tableau3[[#This Row],[essence]],Tableau7[],13,FALSE)</f>
        <v>0</v>
      </c>
      <c r="AH43" s="3">
        <f>IF(Tableau3[[#This Row],[sdom]]="4OUEST",1,0)</f>
        <v>0</v>
      </c>
      <c r="AI43" s="3">
        <f>VLOOKUP(Tableau3[[#This Row],[essence]],Tableau7[],14,FALSE)</f>
        <v>0</v>
      </c>
      <c r="AJ43" s="3">
        <f>IF(Tableau3[[#This Row],[sdom]]="5EST",1,0)</f>
        <v>0</v>
      </c>
      <c r="AK43" s="3">
        <f>VLOOKUP(Tableau3[[#This Row],[essence]],Tableau7[],17,FALSE)</f>
        <v>6.4199999999999993E-2</v>
      </c>
      <c r="AL43" s="3">
        <f>IF(Tableau3[[#This Row],[priorecol]]="C",1,0)</f>
        <v>0</v>
      </c>
      <c r="AM43" s="3">
        <f>VLOOKUP(Tableau3[[#This Row],[essence]],Tableau7[],18,FALSE)</f>
        <v>6.3399999999999998E-2</v>
      </c>
      <c r="AN43" s="3">
        <f>IF(Tableau3[[#This Row],[priorecol]]="R",1,0)</f>
        <v>1</v>
      </c>
      <c r="AO43" s="3">
        <f>VLOOKUP(Tableau3[[#This Row],[essence]],Tableau7[],19,FALSE)</f>
        <v>8.2400000000000001E-2</v>
      </c>
      <c r="AP43" s="3">
        <f>IF(Tableau3[[#This Row],[priorecol]]="S",1,0)</f>
        <v>0</v>
      </c>
      <c r="AQ43" s="3">
        <f>VLOOKUP(Tableau3[[#This Row],[essence]],Tableau7[],21,FALSE)</f>
        <v>0</v>
      </c>
      <c r="AR43" s="3">
        <f>VLOOKUP(Tableau3[[#This Row],[essence]],Tableau7[],16,FALSE)</f>
        <v>0</v>
      </c>
      <c r="AS4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2.0625</v>
      </c>
      <c r="AT43" s="3">
        <f>Tableau3[[#This Row],[xb_]]+Tableau3[[#This Row],[b_intercept_C]]</f>
        <v>3.4549000000000003</v>
      </c>
      <c r="AU43" s="3">
        <f>Tableau3[[#This Row],[xb_]]+Tableau3[[#This Row],[b_intercept_B]]</f>
        <v>1.3745000000000001</v>
      </c>
      <c r="AV43" s="3">
        <f>1/(1+EXP(-Tableau3[[#This Row],[xb_c]]))</f>
        <v>0.96937693360879607</v>
      </c>
      <c r="AW43" s="3">
        <f>1/(1+EXP(-Tableau3[[#This Row],[xb_b]]))</f>
        <v>0.79810622340839044</v>
      </c>
      <c r="AX43" s="3" t="str">
        <f t="shared" si="1"/>
        <v>NA</v>
      </c>
      <c r="AY43" s="3">
        <f>Tableau3[[#This Row],[prob_b]]</f>
        <v>0.79810622340839044</v>
      </c>
      <c r="AZ43" s="3">
        <f>Tableau3[[#This Row],[prob_c]]-Tableau3[[#This Row],[prob_b]]</f>
        <v>0.17127071020040563</v>
      </c>
      <c r="BA43" s="3">
        <f>1-Tableau3[[#This Row],[prob_c]]</f>
        <v>3.0623066391203935E-2</v>
      </c>
    </row>
    <row r="44" spans="1:53" x14ac:dyDescent="0.25">
      <c r="A44" s="2">
        <v>3</v>
      </c>
      <c r="B44" s="2" t="s">
        <v>11</v>
      </c>
      <c r="C44" s="4">
        <v>2.1</v>
      </c>
      <c r="D44" s="4">
        <v>700</v>
      </c>
      <c r="E44" s="4">
        <v>20</v>
      </c>
      <c r="F44" s="4">
        <v>1</v>
      </c>
      <c r="G44" s="2">
        <v>38</v>
      </c>
      <c r="H44" s="2">
        <v>35</v>
      </c>
      <c r="I44" s="2" t="s">
        <v>23</v>
      </c>
      <c r="J44" s="2" t="s">
        <v>28</v>
      </c>
      <c r="K44" s="2">
        <f>VLOOKUP(Tableau3[[#This Row],[essence]],Tableau7[],2,FALSE)</f>
        <v>-3.9003999999999999</v>
      </c>
      <c r="L44" s="3">
        <f>VLOOKUP(Tableau3[[#This Row],[essence]],Tableau7[],3,FALSE)</f>
        <v>-1.7661</v>
      </c>
      <c r="M44" s="3">
        <f>VLOOKUP(Tableau3[[#This Row],[essence]],Tableau7[],4,FALSE)</f>
        <v>1.9438</v>
      </c>
      <c r="N44" s="3">
        <f>IF(Tableau3[[#This Row],[priorecol]]="C",1,0)</f>
        <v>0</v>
      </c>
      <c r="O44" s="3">
        <f>VLOOKUP(Tableau3[[#This Row],[essence]],Tableau7[],5,FALSE)</f>
        <v>2.9834000000000001</v>
      </c>
      <c r="P44" s="3">
        <f>IF(Tableau3[[#This Row],[priorecol]]="R",1,0)</f>
        <v>1</v>
      </c>
      <c r="Q44" s="3">
        <f>VLOOKUP(Tableau3[[#This Row],[essence]],Tableau7[],6,FALSE)</f>
        <v>1.0873999999999999</v>
      </c>
      <c r="R44" s="3">
        <f>IF(Tableau3[[#This Row],[priorecol]]="S",1,0)</f>
        <v>0</v>
      </c>
      <c r="S44" s="3">
        <f>VLOOKUP(Tableau3[[#This Row],[essence]],Tableau7[],7,FALSE)</f>
        <v>6.4000000000000001E-2</v>
      </c>
      <c r="T44" s="3">
        <f>VLOOKUP(Tableau3[[#This Row],[essence]],Tableau7[],15,FALSE)</f>
        <v>7.5199999999999998E-3</v>
      </c>
      <c r="U44" s="3">
        <f>VLOOKUP(Tableau3[[#This Row],[essence]],Tableau7[],20,FALSE)</f>
        <v>0.17810000000000001</v>
      </c>
      <c r="V44" s="3">
        <f>IF(Tableau3[[#This Row],[sdom]]=1,1,0)</f>
        <v>0</v>
      </c>
      <c r="W44" s="3">
        <f>VLOOKUP(Tableau3[[#This Row],[essence]],Tableau7[],8,FALSE)</f>
        <v>0.29430000000000001</v>
      </c>
      <c r="X44" s="3">
        <f>IF(Tableau3[[#This Row],[sdom]]="2EST",1,0)</f>
        <v>0</v>
      </c>
      <c r="Y44" s="3">
        <f>VLOOKUP(Tableau3[[#This Row],[essence]],Tableau7[],9,FALSE)</f>
        <v>0.11260000000000001</v>
      </c>
      <c r="Z44" s="3">
        <f>IF(Tableau3[[#This Row],[sdom]]="2OUEST",1,0)</f>
        <v>1</v>
      </c>
      <c r="AA44" s="3">
        <f>VLOOKUP(Tableau3[[#This Row],[essence]],Tableau7[],10,FALSE)</f>
        <v>1.2999999999999999E-2</v>
      </c>
      <c r="AB44" s="3">
        <f>IF(Tableau3[[#This Row],[sdom]]="3EST",1,0)</f>
        <v>0</v>
      </c>
      <c r="AC44" s="3">
        <f>VLOOKUP(Tableau3[[#This Row],[essence]],Tableau7[],11,FALSE)</f>
        <v>0.17150000000000001</v>
      </c>
      <c r="AD44" s="3">
        <f>IF(Tableau3[[#This Row],[sdom]]="3OUEST",1,0)</f>
        <v>0</v>
      </c>
      <c r="AE44" s="3">
        <f>VLOOKUP(Tableau3[[#This Row],[essence]],Tableau7[],12,FALSE)</f>
        <v>-0.1308</v>
      </c>
      <c r="AF44" s="3">
        <f>IF(Tableau3[[#This Row],[sdom]]="4EST",1,0)</f>
        <v>0</v>
      </c>
      <c r="AG44" s="3">
        <f>VLOOKUP(Tableau3[[#This Row],[essence]],Tableau7[],13,FALSE)</f>
        <v>-0.2858</v>
      </c>
      <c r="AH44" s="3">
        <f>IF(Tableau3[[#This Row],[sdom]]="4OUEST",1,0)</f>
        <v>0</v>
      </c>
      <c r="AI44" s="3">
        <f>VLOOKUP(Tableau3[[#This Row],[essence]],Tableau7[],14,FALSE)</f>
        <v>0</v>
      </c>
      <c r="AJ44" s="3">
        <f>IF(Tableau3[[#This Row],[sdom]]="5EST",1,0)</f>
        <v>0</v>
      </c>
      <c r="AK44" s="3">
        <f>VLOOKUP(Tableau3[[#This Row],[essence]],Tableau7[],17,FALSE)</f>
        <v>0</v>
      </c>
      <c r="AL44" s="3">
        <f>IF(Tableau3[[#This Row],[priorecol]]="C",1,0)</f>
        <v>0</v>
      </c>
      <c r="AM44" s="3">
        <f>VLOOKUP(Tableau3[[#This Row],[essence]],Tableau7[],18,FALSE)</f>
        <v>0</v>
      </c>
      <c r="AN44" s="3">
        <f>IF(Tableau3[[#This Row],[priorecol]]="R",1,0)</f>
        <v>1</v>
      </c>
      <c r="AO44" s="3">
        <f>VLOOKUP(Tableau3[[#This Row],[essence]],Tableau7[],19,FALSE)</f>
        <v>0</v>
      </c>
      <c r="AP44" s="3">
        <f>IF(Tableau3[[#This Row],[priorecol]]="S",1,0)</f>
        <v>0</v>
      </c>
      <c r="AQ44" s="3">
        <f>VLOOKUP(Tableau3[[#This Row],[essence]],Tableau7[],21,FALSE)</f>
        <v>0</v>
      </c>
      <c r="AR44" s="3">
        <f>VLOOKUP(Tableau3[[#This Row],[essence]],Tableau7[],16,FALSE)</f>
        <v>0</v>
      </c>
      <c r="AS4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5.4863999999999997</v>
      </c>
      <c r="AT44" s="3">
        <f>Tableau3[[#This Row],[xb_]]+Tableau3[[#This Row],[b_intercept_C]]</f>
        <v>3.7202999999999999</v>
      </c>
      <c r="AU44" s="3">
        <f>Tableau3[[#This Row],[xb_]]+Tableau3[[#This Row],[b_intercept_B]]</f>
        <v>1.5859999999999999</v>
      </c>
      <c r="AV44" s="3">
        <f>1/(1+EXP(-Tableau3[[#This Row],[xb_c]]))</f>
        <v>0.97634635108084533</v>
      </c>
      <c r="AW44" s="3">
        <f>1/(1+EXP(-Tableau3[[#This Row],[xb_b]]))</f>
        <v>0.8300525866173134</v>
      </c>
      <c r="AX44" s="3" t="str">
        <f t="shared" si="1"/>
        <v>NA</v>
      </c>
      <c r="AY44" s="3">
        <f>Tableau3[[#This Row],[prob_b]]</f>
        <v>0.8300525866173134</v>
      </c>
      <c r="AZ44" s="3">
        <f>Tableau3[[#This Row],[prob_c]]-Tableau3[[#This Row],[prob_b]]</f>
        <v>0.14629376446353193</v>
      </c>
      <c r="BA44" s="3">
        <f>1-Tableau3[[#This Row],[prob_c]]</f>
        <v>2.3653648919154668E-2</v>
      </c>
    </row>
    <row r="45" spans="1:53" x14ac:dyDescent="0.25">
      <c r="A45" s="3">
        <v>3</v>
      </c>
      <c r="B45" s="3" t="s">
        <v>11</v>
      </c>
      <c r="C45" s="1">
        <v>2.1</v>
      </c>
      <c r="D45" s="1">
        <v>700</v>
      </c>
      <c r="E45" s="1">
        <v>20</v>
      </c>
      <c r="F45" s="1">
        <v>1</v>
      </c>
      <c r="G45" s="3">
        <v>44</v>
      </c>
      <c r="H45" s="3">
        <v>35</v>
      </c>
      <c r="I45" s="3" t="s">
        <v>25</v>
      </c>
      <c r="J45" s="3" t="s">
        <v>28</v>
      </c>
      <c r="K45" s="3">
        <f>VLOOKUP(Tableau3[[#This Row],[essence]],Tableau7[],2,FALSE)</f>
        <v>-2.9584999999999999</v>
      </c>
      <c r="L45" s="3">
        <f>VLOOKUP(Tableau3[[#This Row],[essence]],Tableau7[],3,FALSE)</f>
        <v>-1.1581999999999999</v>
      </c>
      <c r="M45" s="3">
        <f>VLOOKUP(Tableau3[[#This Row],[essence]],Tableau7[],4,FALSE)</f>
        <v>1.3563000000000001</v>
      </c>
      <c r="N45" s="3">
        <f>IF(Tableau3[[#This Row],[priorecol]]="C",1,0)</f>
        <v>0</v>
      </c>
      <c r="O45" s="3">
        <f>VLOOKUP(Tableau3[[#This Row],[essence]],Tableau7[],5,FALSE)</f>
        <v>2.0564</v>
      </c>
      <c r="P45" s="3">
        <f>IF(Tableau3[[#This Row],[priorecol]]="R",1,0)</f>
        <v>1</v>
      </c>
      <c r="Q45" s="3">
        <f>VLOOKUP(Tableau3[[#This Row],[essence]],Tableau7[],6,FALSE)</f>
        <v>1.3911</v>
      </c>
      <c r="R45" s="3">
        <f>IF(Tableau3[[#This Row],[priorecol]]="S",1,0)</f>
        <v>0</v>
      </c>
      <c r="S45" s="3">
        <f>VLOOKUP(Tableau3[[#This Row],[essence]],Tableau7[],7,FALSE)</f>
        <v>0</v>
      </c>
      <c r="T45" s="3">
        <f>VLOOKUP(Tableau3[[#This Row],[essence]],Tableau7[],15,FALSE)</f>
        <v>0</v>
      </c>
      <c r="U45" s="3">
        <f>VLOOKUP(Tableau3[[#This Row],[essence]],Tableau7[],20,FALSE)</f>
        <v>0</v>
      </c>
      <c r="V45" s="3">
        <f>IF(Tableau3[[#This Row],[sdom]]=1,1,0)</f>
        <v>0</v>
      </c>
      <c r="W45" s="3">
        <f>VLOOKUP(Tableau3[[#This Row],[essence]],Tableau7[],8,FALSE)</f>
        <v>0.19420000000000001</v>
      </c>
      <c r="X45" s="3">
        <f>IF(Tableau3[[#This Row],[sdom]]="2EST",1,0)</f>
        <v>0</v>
      </c>
      <c r="Y45" s="3">
        <f>VLOOKUP(Tableau3[[#This Row],[essence]],Tableau7[],9,FALSE)</f>
        <v>-0.1956</v>
      </c>
      <c r="Z45" s="3">
        <f>IF(Tableau3[[#This Row],[sdom]]="2OUEST",1,0)</f>
        <v>1</v>
      </c>
      <c r="AA45" s="3">
        <f>VLOOKUP(Tableau3[[#This Row],[essence]],Tableau7[],10,FALSE)</f>
        <v>-0.1221</v>
      </c>
      <c r="AB45" s="3">
        <f>IF(Tableau3[[#This Row],[sdom]]="3EST",1,0)</f>
        <v>0</v>
      </c>
      <c r="AC45" s="3">
        <f>VLOOKUP(Tableau3[[#This Row],[essence]],Tableau7[],11,FALSE)</f>
        <v>0.16789999999999999</v>
      </c>
      <c r="AD45" s="3">
        <f>IF(Tableau3[[#This Row],[sdom]]="3OUEST",1,0)</f>
        <v>0</v>
      </c>
      <c r="AE45" s="3">
        <f>VLOOKUP(Tableau3[[#This Row],[essence]],Tableau7[],12,FALSE)</f>
        <v>0</v>
      </c>
      <c r="AF45" s="3">
        <f>IF(Tableau3[[#This Row],[sdom]]="4EST",1,0)</f>
        <v>0</v>
      </c>
      <c r="AG45" s="3">
        <f>VLOOKUP(Tableau3[[#This Row],[essence]],Tableau7[],13,FALSE)</f>
        <v>0</v>
      </c>
      <c r="AH45" s="3">
        <f>IF(Tableau3[[#This Row],[sdom]]="4OUEST",1,0)</f>
        <v>0</v>
      </c>
      <c r="AI45" s="3">
        <f>VLOOKUP(Tableau3[[#This Row],[essence]],Tableau7[],14,FALSE)</f>
        <v>0</v>
      </c>
      <c r="AJ45" s="3">
        <f>IF(Tableau3[[#This Row],[sdom]]="5EST",1,0)</f>
        <v>0</v>
      </c>
      <c r="AK45" s="3">
        <f>VLOOKUP(Tableau3[[#This Row],[essence]],Tableau7[],17,FALSE)</f>
        <v>0</v>
      </c>
      <c r="AL45" s="3">
        <f>IF(Tableau3[[#This Row],[priorecol]]="C",1,0)</f>
        <v>0</v>
      </c>
      <c r="AM45" s="3">
        <f>VLOOKUP(Tableau3[[#This Row],[essence]],Tableau7[],18,FALSE)</f>
        <v>0</v>
      </c>
      <c r="AN45" s="3">
        <f>IF(Tableau3[[#This Row],[priorecol]]="R",1,0)</f>
        <v>1</v>
      </c>
      <c r="AO45" s="3">
        <f>VLOOKUP(Tableau3[[#This Row],[essence]],Tableau7[],19,FALSE)</f>
        <v>0</v>
      </c>
      <c r="AP45" s="3">
        <f>IF(Tableau3[[#This Row],[priorecol]]="S",1,0)</f>
        <v>0</v>
      </c>
      <c r="AQ45" s="3">
        <f>VLOOKUP(Tableau3[[#This Row],[essence]],Tableau7[],21,FALSE)</f>
        <v>0.2979</v>
      </c>
      <c r="AR45" s="3">
        <f>VLOOKUP(Tableau3[[#This Row],[essence]],Tableau7[],16,FALSE)</f>
        <v>0.154</v>
      </c>
      <c r="AS4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2.4821</v>
      </c>
      <c r="AT45" s="3">
        <f>Tableau3[[#This Row],[xb_]]+Tableau3[[#This Row],[b_intercept_C]]</f>
        <v>1.3239000000000001</v>
      </c>
      <c r="AU45" s="3">
        <f>Tableau3[[#This Row],[xb_]]+Tableau3[[#This Row],[b_intercept_B]]</f>
        <v>-0.47639999999999993</v>
      </c>
      <c r="AV45" s="3">
        <f>1/(1+EXP(-Tableau3[[#This Row],[xb_c]]))</f>
        <v>0.78982983310637156</v>
      </c>
      <c r="AW45" s="3">
        <f>1/(1+EXP(-Tableau3[[#This Row],[xb_b]]))</f>
        <v>0.38310257238706563</v>
      </c>
      <c r="AX45" s="3" t="str">
        <f t="shared" si="1"/>
        <v>NA</v>
      </c>
      <c r="AY45" s="3">
        <f>Tableau3[[#This Row],[prob_b]]</f>
        <v>0.38310257238706563</v>
      </c>
      <c r="AZ45" s="3">
        <f>Tableau3[[#This Row],[prob_c]]-Tableau3[[#This Row],[prob_b]]</f>
        <v>0.40672726071930593</v>
      </c>
      <c r="BA45" s="3">
        <f>1-Tableau3[[#This Row],[prob_c]]</f>
        <v>0.21017016689362844</v>
      </c>
    </row>
    <row r="46" spans="1:53" x14ac:dyDescent="0.25">
      <c r="A46" s="2">
        <v>4</v>
      </c>
      <c r="B46" s="2" t="s">
        <v>12</v>
      </c>
      <c r="C46" s="4">
        <v>2.1</v>
      </c>
      <c r="D46" s="4">
        <v>700</v>
      </c>
      <c r="E46" s="4">
        <v>20</v>
      </c>
      <c r="F46" s="4">
        <v>1</v>
      </c>
      <c r="G46" s="2">
        <v>26</v>
      </c>
      <c r="H46" s="2">
        <v>35</v>
      </c>
      <c r="I46" s="2" t="s">
        <v>19</v>
      </c>
      <c r="J46" s="2" t="s">
        <v>28</v>
      </c>
      <c r="K46" s="2">
        <f>VLOOKUP(Tableau3[[#This Row],[essence]],Tableau7[],2,FALSE)</f>
        <v>-3.7313999999999998</v>
      </c>
      <c r="L46" s="3">
        <f>VLOOKUP(Tableau3[[#This Row],[essence]],Tableau7[],3,FALSE)</f>
        <v>-1.7194</v>
      </c>
      <c r="M46" s="3">
        <f>VLOOKUP(Tableau3[[#This Row],[essence]],Tableau7[],4,FALSE)</f>
        <v>1.5371999999999999</v>
      </c>
      <c r="N46" s="3">
        <f>IF(Tableau3[[#This Row],[priorecol]]="C",1,0)</f>
        <v>0</v>
      </c>
      <c r="O46" s="3">
        <f>VLOOKUP(Tableau3[[#This Row],[essence]],Tableau7[],5,FALSE)</f>
        <v>2.5815000000000001</v>
      </c>
      <c r="P46" s="3">
        <f>IF(Tableau3[[#This Row],[priorecol]]="R",1,0)</f>
        <v>1</v>
      </c>
      <c r="Q46" s="3">
        <f>VLOOKUP(Tableau3[[#This Row],[essence]],Tableau7[],6,FALSE)</f>
        <v>0.96079999999999999</v>
      </c>
      <c r="R46" s="3">
        <f>IF(Tableau3[[#This Row],[priorecol]]="S",1,0)</f>
        <v>0</v>
      </c>
      <c r="S46" s="3">
        <f>VLOOKUP(Tableau3[[#This Row],[essence]],Tableau7[],7,FALSE)</f>
        <v>4.2799999999999998E-2</v>
      </c>
      <c r="T46" s="3">
        <f>VLOOKUP(Tableau3[[#This Row],[essence]],Tableau7[],15,FALSE)</f>
        <v>1.54E-2</v>
      </c>
      <c r="U46" s="3">
        <f>VLOOKUP(Tableau3[[#This Row],[essence]],Tableau7[],20,FALSE)</f>
        <v>0</v>
      </c>
      <c r="V46" s="3">
        <f>IF(Tableau3[[#This Row],[sdom]]=1,1,0)</f>
        <v>0</v>
      </c>
      <c r="W46" s="3">
        <f>VLOOKUP(Tableau3[[#This Row],[essence]],Tableau7[],8,FALSE)</f>
        <v>2.3900000000000001E-2</v>
      </c>
      <c r="X46" s="3">
        <f>IF(Tableau3[[#This Row],[sdom]]="2EST",1,0)</f>
        <v>0</v>
      </c>
      <c r="Y46" s="3">
        <f>VLOOKUP(Tableau3[[#This Row],[essence]],Tableau7[],9,FALSE)</f>
        <v>-0.4793</v>
      </c>
      <c r="Z46" s="3">
        <f>IF(Tableau3[[#This Row],[sdom]]="2OUEST",1,0)</f>
        <v>0</v>
      </c>
      <c r="AA46" s="3">
        <f>VLOOKUP(Tableau3[[#This Row],[essence]],Tableau7[],10,FALSE)</f>
        <v>0.13880000000000001</v>
      </c>
      <c r="AB46" s="3">
        <f>IF(Tableau3[[#This Row],[sdom]]="3EST",1,0)</f>
        <v>1</v>
      </c>
      <c r="AC46" s="3">
        <f>VLOOKUP(Tableau3[[#This Row],[essence]],Tableau7[],11,FALSE)</f>
        <v>0.27039999999999997</v>
      </c>
      <c r="AD46" s="3">
        <f>IF(Tableau3[[#This Row],[sdom]]="3OUEST",1,0)</f>
        <v>0</v>
      </c>
      <c r="AE46" s="3">
        <f>VLOOKUP(Tableau3[[#This Row],[essence]],Tableau7[],12,FALSE)</f>
        <v>4.6600000000000001E-3</v>
      </c>
      <c r="AF46" s="3">
        <f>IF(Tableau3[[#This Row],[sdom]]="4EST",1,0)</f>
        <v>0</v>
      </c>
      <c r="AG46" s="3">
        <f>VLOOKUP(Tableau3[[#This Row],[essence]],Tableau7[],13,FALSE)</f>
        <v>0.1986</v>
      </c>
      <c r="AH46" s="3">
        <f>IF(Tableau3[[#This Row],[sdom]]="4OUEST",1,0)</f>
        <v>0</v>
      </c>
      <c r="AI46" s="3">
        <f>VLOOKUP(Tableau3[[#This Row],[essence]],Tableau7[],14,FALSE)</f>
        <v>-0.2535</v>
      </c>
      <c r="AJ46" s="3">
        <f>IF(Tableau3[[#This Row],[sdom]]="5EST",1,0)</f>
        <v>0</v>
      </c>
      <c r="AK46" s="3">
        <f>VLOOKUP(Tableau3[[#This Row],[essence]],Tableau7[],17,FALSE)</f>
        <v>0</v>
      </c>
      <c r="AL46" s="3">
        <f>IF(Tableau3[[#This Row],[priorecol]]="C",1,0)</f>
        <v>0</v>
      </c>
      <c r="AM46" s="3">
        <f>VLOOKUP(Tableau3[[#This Row],[essence]],Tableau7[],18,FALSE)</f>
        <v>0</v>
      </c>
      <c r="AN46" s="3">
        <f>IF(Tableau3[[#This Row],[priorecol]]="R",1,0)</f>
        <v>1</v>
      </c>
      <c r="AO46" s="3">
        <f>VLOOKUP(Tableau3[[#This Row],[essence]],Tableau7[],19,FALSE)</f>
        <v>0</v>
      </c>
      <c r="AP46" s="3">
        <f>IF(Tableau3[[#This Row],[priorecol]]="S",1,0)</f>
        <v>0</v>
      </c>
      <c r="AQ46" s="3">
        <f>VLOOKUP(Tableau3[[#This Row],[essence]],Tableau7[],21,FALSE)</f>
        <v>0</v>
      </c>
      <c r="AR46" s="3">
        <f>VLOOKUP(Tableau3[[#This Row],[essence]],Tableau7[],16,FALSE)</f>
        <v>0.123</v>
      </c>
      <c r="AS4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4.7846000000000002</v>
      </c>
      <c r="AT46" s="3">
        <f>Tableau3[[#This Row],[xb_]]+Tableau3[[#This Row],[b_intercept_C]]</f>
        <v>3.0651999999999999</v>
      </c>
      <c r="AU46" s="3">
        <f>Tableau3[[#This Row],[xb_]]+Tableau3[[#This Row],[b_intercept_B]]</f>
        <v>1.0532000000000004</v>
      </c>
      <c r="AV46" s="3">
        <f>1/(1+EXP(-Tableau3[[#This Row],[xb_c]]))</f>
        <v>0.95543423627313107</v>
      </c>
      <c r="AW46" s="3">
        <f>1/(1+EXP(-Tableau3[[#This Row],[xb_b]]))</f>
        <v>0.74138891340607038</v>
      </c>
      <c r="AX46" s="3" t="str">
        <f t="shared" si="1"/>
        <v>NA</v>
      </c>
      <c r="AY46" s="3">
        <f>Tableau3[[#This Row],[prob_b]]</f>
        <v>0.74138891340607038</v>
      </c>
      <c r="AZ46" s="3">
        <f>Tableau3[[#This Row],[prob_c]]-Tableau3[[#This Row],[prob_b]]</f>
        <v>0.21404532286706068</v>
      </c>
      <c r="BA46" s="3">
        <f>1-Tableau3[[#This Row],[prob_c]]</f>
        <v>4.4565763726868934E-2</v>
      </c>
    </row>
    <row r="47" spans="1:53" x14ac:dyDescent="0.25">
      <c r="A47" s="3">
        <v>4</v>
      </c>
      <c r="B47" s="3" t="s">
        <v>12</v>
      </c>
      <c r="C47" s="1">
        <v>2.1</v>
      </c>
      <c r="D47" s="1">
        <v>700</v>
      </c>
      <c r="E47" s="1">
        <v>20</v>
      </c>
      <c r="F47" s="1">
        <v>1</v>
      </c>
      <c r="G47" s="3">
        <v>32</v>
      </c>
      <c r="H47" s="3">
        <v>35</v>
      </c>
      <c r="I47" s="3" t="s">
        <v>21</v>
      </c>
      <c r="J47" s="3" t="s">
        <v>28</v>
      </c>
      <c r="K47" s="3">
        <f>VLOOKUP(Tableau3[[#This Row],[essence]],Tableau7[],2,FALSE)</f>
        <v>-0.68799999999999994</v>
      </c>
      <c r="L47" s="3">
        <f>VLOOKUP(Tableau3[[#This Row],[essence]],Tableau7[],3,FALSE)</f>
        <v>1.3924000000000001</v>
      </c>
      <c r="M47" s="3">
        <f>VLOOKUP(Tableau3[[#This Row],[essence]],Tableau7[],4,FALSE)</f>
        <v>0.41599999999999998</v>
      </c>
      <c r="N47" s="3">
        <f>IF(Tableau3[[#This Row],[priorecol]]="C",1,0)</f>
        <v>0</v>
      </c>
      <c r="O47" s="3">
        <f>VLOOKUP(Tableau3[[#This Row],[essence]],Tableau7[],5,FALSE)</f>
        <v>1.5604</v>
      </c>
      <c r="P47" s="3">
        <f>IF(Tableau3[[#This Row],[priorecol]]="R",1,0)</f>
        <v>1</v>
      </c>
      <c r="Q47" s="3">
        <f>VLOOKUP(Tableau3[[#This Row],[essence]],Tableau7[],6,FALSE)</f>
        <v>-0.64770000000000005</v>
      </c>
      <c r="R47" s="3">
        <f>IF(Tableau3[[#This Row],[priorecol]]="S",1,0)</f>
        <v>0</v>
      </c>
      <c r="S47" s="3">
        <f>VLOOKUP(Tableau3[[#This Row],[essence]],Tableau7[],7,FALSE)</f>
        <v>0</v>
      </c>
      <c r="T47" s="3">
        <f>VLOOKUP(Tableau3[[#This Row],[essence]],Tableau7[],15,FALSE)</f>
        <v>-2.4500000000000001E-2</v>
      </c>
      <c r="U47" s="3">
        <f>VLOOKUP(Tableau3[[#This Row],[essence]],Tableau7[],20,FALSE)</f>
        <v>0.15179999999999999</v>
      </c>
      <c r="V47" s="3">
        <f>IF(Tableau3[[#This Row],[sdom]]=1,1,0)</f>
        <v>0</v>
      </c>
      <c r="W47" s="3">
        <f>VLOOKUP(Tableau3[[#This Row],[essence]],Tableau7[],8,FALSE)</f>
        <v>0</v>
      </c>
      <c r="X47" s="3">
        <f>IF(Tableau3[[#This Row],[sdom]]="2EST",1,0)</f>
        <v>0</v>
      </c>
      <c r="Y47" s="3">
        <f>VLOOKUP(Tableau3[[#This Row],[essence]],Tableau7[],9,FALSE)</f>
        <v>-0.27589999999999998</v>
      </c>
      <c r="Z47" s="3">
        <f>IF(Tableau3[[#This Row],[sdom]]="2OUEST",1,0)</f>
        <v>0</v>
      </c>
      <c r="AA47" s="3">
        <f>VLOOKUP(Tableau3[[#This Row],[essence]],Tableau7[],10,FALSE)</f>
        <v>0</v>
      </c>
      <c r="AB47" s="3">
        <f>IF(Tableau3[[#This Row],[sdom]]="3EST",1,0)</f>
        <v>1</v>
      </c>
      <c r="AC47" s="3">
        <f>VLOOKUP(Tableau3[[#This Row],[essence]],Tableau7[],11,FALSE)</f>
        <v>0</v>
      </c>
      <c r="AD47" s="3">
        <f>IF(Tableau3[[#This Row],[sdom]]="3OUEST",1,0)</f>
        <v>0</v>
      </c>
      <c r="AE47" s="3">
        <f>VLOOKUP(Tableau3[[#This Row],[essence]],Tableau7[],12,FALSE)</f>
        <v>0</v>
      </c>
      <c r="AF47" s="3">
        <f>IF(Tableau3[[#This Row],[sdom]]="4EST",1,0)</f>
        <v>0</v>
      </c>
      <c r="AG47" s="3">
        <f>VLOOKUP(Tableau3[[#This Row],[essence]],Tableau7[],13,FALSE)</f>
        <v>0</v>
      </c>
      <c r="AH47" s="3">
        <f>IF(Tableau3[[#This Row],[sdom]]="4OUEST",1,0)</f>
        <v>0</v>
      </c>
      <c r="AI47" s="3">
        <f>VLOOKUP(Tableau3[[#This Row],[essence]],Tableau7[],14,FALSE)</f>
        <v>0</v>
      </c>
      <c r="AJ47" s="3">
        <f>IF(Tableau3[[#This Row],[sdom]]="5EST",1,0)</f>
        <v>0</v>
      </c>
      <c r="AK47" s="3">
        <f>VLOOKUP(Tableau3[[#This Row],[essence]],Tableau7[],17,FALSE)</f>
        <v>6.4199999999999993E-2</v>
      </c>
      <c r="AL47" s="3">
        <f>IF(Tableau3[[#This Row],[priorecol]]="C",1,0)</f>
        <v>0</v>
      </c>
      <c r="AM47" s="3">
        <f>VLOOKUP(Tableau3[[#This Row],[essence]],Tableau7[],18,FALSE)</f>
        <v>6.3399999999999998E-2</v>
      </c>
      <c r="AN47" s="3">
        <f>IF(Tableau3[[#This Row],[priorecol]]="R",1,0)</f>
        <v>1</v>
      </c>
      <c r="AO47" s="3">
        <f>VLOOKUP(Tableau3[[#This Row],[essence]],Tableau7[],19,FALSE)</f>
        <v>8.2400000000000001E-2</v>
      </c>
      <c r="AP47" s="3">
        <f>IF(Tableau3[[#This Row],[priorecol]]="S",1,0)</f>
        <v>0</v>
      </c>
      <c r="AQ47" s="3">
        <f>VLOOKUP(Tableau3[[#This Row],[essence]],Tableau7[],21,FALSE)</f>
        <v>0</v>
      </c>
      <c r="AR47" s="3">
        <f>VLOOKUP(Tableau3[[#This Row],[essence]],Tableau7[],16,FALSE)</f>
        <v>0</v>
      </c>
      <c r="AS4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47" s="3">
        <f>Tableau3[[#This Row],[xb_]]+Tableau3[[#This Row],[b_intercept_C]]</f>
        <v>3.7308000000000003</v>
      </c>
      <c r="AU47" s="3">
        <f>Tableau3[[#This Row],[xb_]]+Tableau3[[#This Row],[b_intercept_B]]</f>
        <v>1.6504000000000001</v>
      </c>
      <c r="AV47" s="3">
        <f>1/(1+EXP(-Tableau3[[#This Row],[xb_c]]))</f>
        <v>0.97658763068619281</v>
      </c>
      <c r="AW47" s="3">
        <f>1/(1+EXP(-Tableau3[[#This Row],[xb_b]]))</f>
        <v>0.83894510423772972</v>
      </c>
      <c r="AX47" s="3" t="str">
        <f t="shared" si="1"/>
        <v>NA</v>
      </c>
      <c r="AY47" s="3">
        <f>Tableau3[[#This Row],[prob_b]]</f>
        <v>0.83894510423772972</v>
      </c>
      <c r="AZ47" s="3">
        <f>Tableau3[[#This Row],[prob_c]]-Tableau3[[#This Row],[prob_b]]</f>
        <v>0.13764252644846309</v>
      </c>
      <c r="BA47" s="3">
        <f>1-Tableau3[[#This Row],[prob_c]]</f>
        <v>2.3412369313807191E-2</v>
      </c>
    </row>
    <row r="48" spans="1:53" x14ac:dyDescent="0.25">
      <c r="A48" s="2">
        <v>4</v>
      </c>
      <c r="B48" s="2" t="s">
        <v>12</v>
      </c>
      <c r="C48" s="4">
        <v>2.1</v>
      </c>
      <c r="D48" s="4">
        <v>700</v>
      </c>
      <c r="E48" s="4">
        <v>20</v>
      </c>
      <c r="F48" s="4">
        <v>1</v>
      </c>
      <c r="G48" s="2">
        <v>38</v>
      </c>
      <c r="H48" s="2">
        <v>35</v>
      </c>
      <c r="I48" s="2" t="s">
        <v>23</v>
      </c>
      <c r="J48" s="2" t="s">
        <v>28</v>
      </c>
      <c r="K48" s="2">
        <f>VLOOKUP(Tableau3[[#This Row],[essence]],Tableau7[],2,FALSE)</f>
        <v>-3.9003999999999999</v>
      </c>
      <c r="L48" s="3">
        <f>VLOOKUP(Tableau3[[#This Row],[essence]],Tableau7[],3,FALSE)</f>
        <v>-1.7661</v>
      </c>
      <c r="M48" s="3">
        <f>VLOOKUP(Tableau3[[#This Row],[essence]],Tableau7[],4,FALSE)</f>
        <v>1.9438</v>
      </c>
      <c r="N48" s="3">
        <f>IF(Tableau3[[#This Row],[priorecol]]="C",1,0)</f>
        <v>0</v>
      </c>
      <c r="O48" s="3">
        <f>VLOOKUP(Tableau3[[#This Row],[essence]],Tableau7[],5,FALSE)</f>
        <v>2.9834000000000001</v>
      </c>
      <c r="P48" s="3">
        <f>IF(Tableau3[[#This Row],[priorecol]]="R",1,0)</f>
        <v>1</v>
      </c>
      <c r="Q48" s="3">
        <f>VLOOKUP(Tableau3[[#This Row],[essence]],Tableau7[],6,FALSE)</f>
        <v>1.0873999999999999</v>
      </c>
      <c r="R48" s="3">
        <f>IF(Tableau3[[#This Row],[priorecol]]="S",1,0)</f>
        <v>0</v>
      </c>
      <c r="S48" s="3">
        <f>VLOOKUP(Tableau3[[#This Row],[essence]],Tableau7[],7,FALSE)</f>
        <v>6.4000000000000001E-2</v>
      </c>
      <c r="T48" s="3">
        <f>VLOOKUP(Tableau3[[#This Row],[essence]],Tableau7[],15,FALSE)</f>
        <v>7.5199999999999998E-3</v>
      </c>
      <c r="U48" s="3">
        <f>VLOOKUP(Tableau3[[#This Row],[essence]],Tableau7[],20,FALSE)</f>
        <v>0.17810000000000001</v>
      </c>
      <c r="V48" s="3">
        <f>IF(Tableau3[[#This Row],[sdom]]=1,1,0)</f>
        <v>0</v>
      </c>
      <c r="W48" s="3">
        <f>VLOOKUP(Tableau3[[#This Row],[essence]],Tableau7[],8,FALSE)</f>
        <v>0.29430000000000001</v>
      </c>
      <c r="X48" s="3">
        <f>IF(Tableau3[[#This Row],[sdom]]="2EST",1,0)</f>
        <v>0</v>
      </c>
      <c r="Y48" s="3">
        <f>VLOOKUP(Tableau3[[#This Row],[essence]],Tableau7[],9,FALSE)</f>
        <v>0.11260000000000001</v>
      </c>
      <c r="Z48" s="3">
        <f>IF(Tableau3[[#This Row],[sdom]]="2OUEST",1,0)</f>
        <v>0</v>
      </c>
      <c r="AA48" s="3">
        <f>VLOOKUP(Tableau3[[#This Row],[essence]],Tableau7[],10,FALSE)</f>
        <v>1.2999999999999999E-2</v>
      </c>
      <c r="AB48" s="3">
        <f>IF(Tableau3[[#This Row],[sdom]]="3EST",1,0)</f>
        <v>1</v>
      </c>
      <c r="AC48" s="3">
        <f>VLOOKUP(Tableau3[[#This Row],[essence]],Tableau7[],11,FALSE)</f>
        <v>0.17150000000000001</v>
      </c>
      <c r="AD48" s="3">
        <f>IF(Tableau3[[#This Row],[sdom]]="3OUEST",1,0)</f>
        <v>0</v>
      </c>
      <c r="AE48" s="3">
        <f>VLOOKUP(Tableau3[[#This Row],[essence]],Tableau7[],12,FALSE)</f>
        <v>-0.1308</v>
      </c>
      <c r="AF48" s="3">
        <f>IF(Tableau3[[#This Row],[sdom]]="4EST",1,0)</f>
        <v>0</v>
      </c>
      <c r="AG48" s="3">
        <f>VLOOKUP(Tableau3[[#This Row],[essence]],Tableau7[],13,FALSE)</f>
        <v>-0.2858</v>
      </c>
      <c r="AH48" s="3">
        <f>IF(Tableau3[[#This Row],[sdom]]="4OUEST",1,0)</f>
        <v>0</v>
      </c>
      <c r="AI48" s="3">
        <f>VLOOKUP(Tableau3[[#This Row],[essence]],Tableau7[],14,FALSE)</f>
        <v>0</v>
      </c>
      <c r="AJ48" s="3">
        <f>IF(Tableau3[[#This Row],[sdom]]="5EST",1,0)</f>
        <v>0</v>
      </c>
      <c r="AK48" s="3">
        <f>VLOOKUP(Tableau3[[#This Row],[essence]],Tableau7[],17,FALSE)</f>
        <v>0</v>
      </c>
      <c r="AL48" s="3">
        <f>IF(Tableau3[[#This Row],[priorecol]]="C",1,0)</f>
        <v>0</v>
      </c>
      <c r="AM48" s="3">
        <f>VLOOKUP(Tableau3[[#This Row],[essence]],Tableau7[],18,FALSE)</f>
        <v>0</v>
      </c>
      <c r="AN48" s="3">
        <f>IF(Tableau3[[#This Row],[priorecol]]="R",1,0)</f>
        <v>1</v>
      </c>
      <c r="AO48" s="3">
        <f>VLOOKUP(Tableau3[[#This Row],[essence]],Tableau7[],19,FALSE)</f>
        <v>0</v>
      </c>
      <c r="AP48" s="3">
        <f>IF(Tableau3[[#This Row],[priorecol]]="S",1,0)</f>
        <v>0</v>
      </c>
      <c r="AQ48" s="3">
        <f>VLOOKUP(Tableau3[[#This Row],[essence]],Tableau7[],21,FALSE)</f>
        <v>0</v>
      </c>
      <c r="AR48" s="3">
        <f>VLOOKUP(Tableau3[[#This Row],[essence]],Tableau7[],16,FALSE)</f>
        <v>0</v>
      </c>
      <c r="AS4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5.3868</v>
      </c>
      <c r="AT48" s="3">
        <f>Tableau3[[#This Row],[xb_]]+Tableau3[[#This Row],[b_intercept_C]]</f>
        <v>3.6207000000000003</v>
      </c>
      <c r="AU48" s="3">
        <f>Tableau3[[#This Row],[xb_]]+Tableau3[[#This Row],[b_intercept_B]]</f>
        <v>1.4864000000000002</v>
      </c>
      <c r="AV48" s="3">
        <f>1/(1+EXP(-Tableau3[[#This Row],[xb_c]]))</f>
        <v>0.97393370154295089</v>
      </c>
      <c r="AW48" s="3">
        <f>1/(1+EXP(-Tableau3[[#This Row],[xb_b]]))</f>
        <v>0.81553731732943346</v>
      </c>
      <c r="AX48" s="3" t="str">
        <f t="shared" si="1"/>
        <v>NA</v>
      </c>
      <c r="AY48" s="3">
        <f>Tableau3[[#This Row],[prob_b]]</f>
        <v>0.81553731732943346</v>
      </c>
      <c r="AZ48" s="3">
        <f>Tableau3[[#This Row],[prob_c]]-Tableau3[[#This Row],[prob_b]]</f>
        <v>0.15839638421351743</v>
      </c>
      <c r="BA48" s="3">
        <f>1-Tableau3[[#This Row],[prob_c]]</f>
        <v>2.6066298457049109E-2</v>
      </c>
    </row>
    <row r="49" spans="1:53" x14ac:dyDescent="0.25">
      <c r="A49" s="3">
        <v>4</v>
      </c>
      <c r="B49" s="3" t="s">
        <v>12</v>
      </c>
      <c r="C49" s="1">
        <v>2.1</v>
      </c>
      <c r="D49" s="1">
        <v>700</v>
      </c>
      <c r="E49" s="1">
        <v>20</v>
      </c>
      <c r="F49" s="1">
        <v>1</v>
      </c>
      <c r="G49" s="3">
        <v>44</v>
      </c>
      <c r="H49" s="3">
        <v>35</v>
      </c>
      <c r="I49" s="3" t="s">
        <v>25</v>
      </c>
      <c r="J49" s="3" t="s">
        <v>28</v>
      </c>
      <c r="K49" s="3">
        <f>VLOOKUP(Tableau3[[#This Row],[essence]],Tableau7[],2,FALSE)</f>
        <v>-2.9584999999999999</v>
      </c>
      <c r="L49" s="3">
        <f>VLOOKUP(Tableau3[[#This Row],[essence]],Tableau7[],3,FALSE)</f>
        <v>-1.1581999999999999</v>
      </c>
      <c r="M49" s="3">
        <f>VLOOKUP(Tableau3[[#This Row],[essence]],Tableau7[],4,FALSE)</f>
        <v>1.3563000000000001</v>
      </c>
      <c r="N49" s="3">
        <f>IF(Tableau3[[#This Row],[priorecol]]="C",1,0)</f>
        <v>0</v>
      </c>
      <c r="O49" s="3">
        <f>VLOOKUP(Tableau3[[#This Row],[essence]],Tableau7[],5,FALSE)</f>
        <v>2.0564</v>
      </c>
      <c r="P49" s="3">
        <f>IF(Tableau3[[#This Row],[priorecol]]="R",1,0)</f>
        <v>1</v>
      </c>
      <c r="Q49" s="3">
        <f>VLOOKUP(Tableau3[[#This Row],[essence]],Tableau7[],6,FALSE)</f>
        <v>1.3911</v>
      </c>
      <c r="R49" s="3">
        <f>IF(Tableau3[[#This Row],[priorecol]]="S",1,0)</f>
        <v>0</v>
      </c>
      <c r="S49" s="3">
        <f>VLOOKUP(Tableau3[[#This Row],[essence]],Tableau7[],7,FALSE)</f>
        <v>0</v>
      </c>
      <c r="T49" s="3">
        <f>VLOOKUP(Tableau3[[#This Row],[essence]],Tableau7[],15,FALSE)</f>
        <v>0</v>
      </c>
      <c r="U49" s="3">
        <f>VLOOKUP(Tableau3[[#This Row],[essence]],Tableau7[],20,FALSE)</f>
        <v>0</v>
      </c>
      <c r="V49" s="3">
        <f>IF(Tableau3[[#This Row],[sdom]]=1,1,0)</f>
        <v>0</v>
      </c>
      <c r="W49" s="3">
        <f>VLOOKUP(Tableau3[[#This Row],[essence]],Tableau7[],8,FALSE)</f>
        <v>0.19420000000000001</v>
      </c>
      <c r="X49" s="3">
        <f>IF(Tableau3[[#This Row],[sdom]]="2EST",1,0)</f>
        <v>0</v>
      </c>
      <c r="Y49" s="3">
        <f>VLOOKUP(Tableau3[[#This Row],[essence]],Tableau7[],9,FALSE)</f>
        <v>-0.1956</v>
      </c>
      <c r="Z49" s="3">
        <f>IF(Tableau3[[#This Row],[sdom]]="2OUEST",1,0)</f>
        <v>0</v>
      </c>
      <c r="AA49" s="3">
        <f>VLOOKUP(Tableau3[[#This Row],[essence]],Tableau7[],10,FALSE)</f>
        <v>-0.1221</v>
      </c>
      <c r="AB49" s="3">
        <f>IF(Tableau3[[#This Row],[sdom]]="3EST",1,0)</f>
        <v>1</v>
      </c>
      <c r="AC49" s="3">
        <f>VLOOKUP(Tableau3[[#This Row],[essence]],Tableau7[],11,FALSE)</f>
        <v>0.16789999999999999</v>
      </c>
      <c r="AD49" s="3">
        <f>IF(Tableau3[[#This Row],[sdom]]="3OUEST",1,0)</f>
        <v>0</v>
      </c>
      <c r="AE49" s="3">
        <f>VLOOKUP(Tableau3[[#This Row],[essence]],Tableau7[],12,FALSE)</f>
        <v>0</v>
      </c>
      <c r="AF49" s="3">
        <f>IF(Tableau3[[#This Row],[sdom]]="4EST",1,0)</f>
        <v>0</v>
      </c>
      <c r="AG49" s="3">
        <f>VLOOKUP(Tableau3[[#This Row],[essence]],Tableau7[],13,FALSE)</f>
        <v>0</v>
      </c>
      <c r="AH49" s="3">
        <f>IF(Tableau3[[#This Row],[sdom]]="4OUEST",1,0)</f>
        <v>0</v>
      </c>
      <c r="AI49" s="3">
        <f>VLOOKUP(Tableau3[[#This Row],[essence]],Tableau7[],14,FALSE)</f>
        <v>0</v>
      </c>
      <c r="AJ49" s="3">
        <f>IF(Tableau3[[#This Row],[sdom]]="5EST",1,0)</f>
        <v>0</v>
      </c>
      <c r="AK49" s="3">
        <f>VLOOKUP(Tableau3[[#This Row],[essence]],Tableau7[],17,FALSE)</f>
        <v>0</v>
      </c>
      <c r="AL49" s="3">
        <f>IF(Tableau3[[#This Row],[priorecol]]="C",1,0)</f>
        <v>0</v>
      </c>
      <c r="AM49" s="3">
        <f>VLOOKUP(Tableau3[[#This Row],[essence]],Tableau7[],18,FALSE)</f>
        <v>0</v>
      </c>
      <c r="AN49" s="3">
        <f>IF(Tableau3[[#This Row],[priorecol]]="R",1,0)</f>
        <v>1</v>
      </c>
      <c r="AO49" s="3">
        <f>VLOOKUP(Tableau3[[#This Row],[essence]],Tableau7[],19,FALSE)</f>
        <v>0</v>
      </c>
      <c r="AP49" s="3">
        <f>IF(Tableau3[[#This Row],[priorecol]]="S",1,0)</f>
        <v>0</v>
      </c>
      <c r="AQ49" s="3">
        <f>VLOOKUP(Tableau3[[#This Row],[essence]],Tableau7[],21,FALSE)</f>
        <v>0.2979</v>
      </c>
      <c r="AR49" s="3">
        <f>VLOOKUP(Tableau3[[#This Row],[essence]],Tableau7[],16,FALSE)</f>
        <v>0.154</v>
      </c>
      <c r="AS4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2.5555999999999996</v>
      </c>
      <c r="AT49" s="3">
        <f>Tableau3[[#This Row],[xb_]]+Tableau3[[#This Row],[b_intercept_C]]</f>
        <v>1.3973999999999998</v>
      </c>
      <c r="AU49" s="3">
        <f>Tableau3[[#This Row],[xb_]]+Tableau3[[#This Row],[b_intercept_B]]</f>
        <v>-0.40290000000000026</v>
      </c>
      <c r="AV49" s="3">
        <f>1/(1+EXP(-Tableau3[[#This Row],[xb_c]]))</f>
        <v>0.80177098364734578</v>
      </c>
      <c r="AW49" s="3">
        <f>1/(1+EXP(-Tableau3[[#This Row],[xb_b]]))</f>
        <v>0.40061578356345728</v>
      </c>
      <c r="AX49" s="3" t="str">
        <f t="shared" si="1"/>
        <v>NA</v>
      </c>
      <c r="AY49" s="3">
        <f>Tableau3[[#This Row],[prob_b]]</f>
        <v>0.40061578356345728</v>
      </c>
      <c r="AZ49" s="3">
        <f>Tableau3[[#This Row],[prob_c]]-Tableau3[[#This Row],[prob_b]]</f>
        <v>0.4011552000838885</v>
      </c>
      <c r="BA49" s="3">
        <f>1-Tableau3[[#This Row],[prob_c]]</f>
        <v>0.19822901635265422</v>
      </c>
    </row>
    <row r="50" spans="1:53" x14ac:dyDescent="0.25">
      <c r="A50" s="2">
        <v>5</v>
      </c>
      <c r="B50" s="2" t="s">
        <v>13</v>
      </c>
      <c r="C50" s="4">
        <v>2.1</v>
      </c>
      <c r="D50" s="4">
        <v>700</v>
      </c>
      <c r="E50" s="4">
        <v>20</v>
      </c>
      <c r="F50" s="4">
        <v>1</v>
      </c>
      <c r="G50" s="2">
        <v>26</v>
      </c>
      <c r="H50" s="2">
        <v>35</v>
      </c>
      <c r="I50" s="2" t="s">
        <v>19</v>
      </c>
      <c r="J50" s="2" t="s">
        <v>28</v>
      </c>
      <c r="K50" s="2">
        <f>VLOOKUP(Tableau3[[#This Row],[essence]],Tableau7[],2,FALSE)</f>
        <v>-3.7313999999999998</v>
      </c>
      <c r="L50" s="3">
        <f>VLOOKUP(Tableau3[[#This Row],[essence]],Tableau7[],3,FALSE)</f>
        <v>-1.7194</v>
      </c>
      <c r="M50" s="3">
        <f>VLOOKUP(Tableau3[[#This Row],[essence]],Tableau7[],4,FALSE)</f>
        <v>1.5371999999999999</v>
      </c>
      <c r="N50" s="3">
        <f>IF(Tableau3[[#This Row],[priorecol]]="C",1,0)</f>
        <v>0</v>
      </c>
      <c r="O50" s="3">
        <f>VLOOKUP(Tableau3[[#This Row],[essence]],Tableau7[],5,FALSE)</f>
        <v>2.5815000000000001</v>
      </c>
      <c r="P50" s="3">
        <f>IF(Tableau3[[#This Row],[priorecol]]="R",1,0)</f>
        <v>1</v>
      </c>
      <c r="Q50" s="3">
        <f>VLOOKUP(Tableau3[[#This Row],[essence]],Tableau7[],6,FALSE)</f>
        <v>0.96079999999999999</v>
      </c>
      <c r="R50" s="3">
        <f>IF(Tableau3[[#This Row],[priorecol]]="S",1,0)</f>
        <v>0</v>
      </c>
      <c r="S50" s="3">
        <f>VLOOKUP(Tableau3[[#This Row],[essence]],Tableau7[],7,FALSE)</f>
        <v>4.2799999999999998E-2</v>
      </c>
      <c r="T50" s="3">
        <f>VLOOKUP(Tableau3[[#This Row],[essence]],Tableau7[],15,FALSE)</f>
        <v>1.54E-2</v>
      </c>
      <c r="U50" s="3">
        <f>VLOOKUP(Tableau3[[#This Row],[essence]],Tableau7[],20,FALSE)</f>
        <v>0</v>
      </c>
      <c r="V50" s="3">
        <f>IF(Tableau3[[#This Row],[sdom]]=1,1,0)</f>
        <v>0</v>
      </c>
      <c r="W50" s="3">
        <f>VLOOKUP(Tableau3[[#This Row],[essence]],Tableau7[],8,FALSE)</f>
        <v>2.3900000000000001E-2</v>
      </c>
      <c r="X50" s="3">
        <f>IF(Tableau3[[#This Row],[sdom]]="2EST",1,0)</f>
        <v>0</v>
      </c>
      <c r="Y50" s="3">
        <f>VLOOKUP(Tableau3[[#This Row],[essence]],Tableau7[],9,FALSE)</f>
        <v>-0.4793</v>
      </c>
      <c r="Z50" s="3">
        <f>IF(Tableau3[[#This Row],[sdom]]="2OUEST",1,0)</f>
        <v>0</v>
      </c>
      <c r="AA50" s="3">
        <f>VLOOKUP(Tableau3[[#This Row],[essence]],Tableau7[],10,FALSE)</f>
        <v>0.13880000000000001</v>
      </c>
      <c r="AB50" s="3">
        <f>IF(Tableau3[[#This Row],[sdom]]="3EST",1,0)</f>
        <v>0</v>
      </c>
      <c r="AC50" s="3">
        <f>VLOOKUP(Tableau3[[#This Row],[essence]],Tableau7[],11,FALSE)</f>
        <v>0.27039999999999997</v>
      </c>
      <c r="AD50" s="3">
        <f>IF(Tableau3[[#This Row],[sdom]]="3OUEST",1,0)</f>
        <v>1</v>
      </c>
      <c r="AE50" s="3">
        <f>VLOOKUP(Tableau3[[#This Row],[essence]],Tableau7[],12,FALSE)</f>
        <v>4.6600000000000001E-3</v>
      </c>
      <c r="AF50" s="3">
        <f>IF(Tableau3[[#This Row],[sdom]]="4EST",1,0)</f>
        <v>0</v>
      </c>
      <c r="AG50" s="3">
        <f>VLOOKUP(Tableau3[[#This Row],[essence]],Tableau7[],13,FALSE)</f>
        <v>0.1986</v>
      </c>
      <c r="AH50" s="3">
        <f>IF(Tableau3[[#This Row],[sdom]]="4OUEST",1,0)</f>
        <v>0</v>
      </c>
      <c r="AI50" s="3">
        <f>VLOOKUP(Tableau3[[#This Row],[essence]],Tableau7[],14,FALSE)</f>
        <v>-0.2535</v>
      </c>
      <c r="AJ50" s="3">
        <f>IF(Tableau3[[#This Row],[sdom]]="5EST",1,0)</f>
        <v>0</v>
      </c>
      <c r="AK50" s="3">
        <f>VLOOKUP(Tableau3[[#This Row],[essence]],Tableau7[],17,FALSE)</f>
        <v>0</v>
      </c>
      <c r="AL50" s="3">
        <f>IF(Tableau3[[#This Row],[priorecol]]="C",1,0)</f>
        <v>0</v>
      </c>
      <c r="AM50" s="3">
        <f>VLOOKUP(Tableau3[[#This Row],[essence]],Tableau7[],18,FALSE)</f>
        <v>0</v>
      </c>
      <c r="AN50" s="3">
        <f>IF(Tableau3[[#This Row],[priorecol]]="R",1,0)</f>
        <v>1</v>
      </c>
      <c r="AO50" s="3">
        <f>VLOOKUP(Tableau3[[#This Row],[essence]],Tableau7[],19,FALSE)</f>
        <v>0</v>
      </c>
      <c r="AP50" s="3">
        <f>IF(Tableau3[[#This Row],[priorecol]]="S",1,0)</f>
        <v>0</v>
      </c>
      <c r="AQ50" s="3">
        <f>VLOOKUP(Tableau3[[#This Row],[essence]],Tableau7[],21,FALSE)</f>
        <v>0</v>
      </c>
      <c r="AR50" s="3">
        <f>VLOOKUP(Tableau3[[#This Row],[essence]],Tableau7[],16,FALSE)</f>
        <v>0.123</v>
      </c>
      <c r="AS5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4.9161999999999999</v>
      </c>
      <c r="AT50" s="3">
        <f>Tableau3[[#This Row],[xb_]]+Tableau3[[#This Row],[b_intercept_C]]</f>
        <v>3.1967999999999996</v>
      </c>
      <c r="AU50" s="3">
        <f>Tableau3[[#This Row],[xb_]]+Tableau3[[#This Row],[b_intercept_B]]</f>
        <v>1.1848000000000001</v>
      </c>
      <c r="AV50" s="3">
        <f>1/(1+EXP(-Tableau3[[#This Row],[xb_c]]))</f>
        <v>0.96071367780120998</v>
      </c>
      <c r="AW50" s="3">
        <f>1/(1+EXP(-Tableau3[[#This Row],[xb_b]]))</f>
        <v>0.76580975869224632</v>
      </c>
      <c r="AX50" s="3" t="str">
        <f t="shared" si="1"/>
        <v>NA</v>
      </c>
      <c r="AY50" s="3">
        <f>Tableau3[[#This Row],[prob_b]]</f>
        <v>0.76580975869224632</v>
      </c>
      <c r="AZ50" s="3">
        <f>Tableau3[[#This Row],[prob_c]]-Tableau3[[#This Row],[prob_b]]</f>
        <v>0.19490391910896365</v>
      </c>
      <c r="BA50" s="3">
        <f>1-Tableau3[[#This Row],[prob_c]]</f>
        <v>3.9286322198790025E-2</v>
      </c>
    </row>
    <row r="51" spans="1:53" x14ac:dyDescent="0.25">
      <c r="A51" s="3">
        <v>5</v>
      </c>
      <c r="B51" s="3" t="s">
        <v>13</v>
      </c>
      <c r="C51" s="1">
        <v>2.1</v>
      </c>
      <c r="D51" s="1">
        <v>700</v>
      </c>
      <c r="E51" s="1">
        <v>20</v>
      </c>
      <c r="F51" s="1">
        <v>1</v>
      </c>
      <c r="G51" s="3">
        <v>32</v>
      </c>
      <c r="H51" s="3">
        <v>35</v>
      </c>
      <c r="I51" s="3" t="s">
        <v>21</v>
      </c>
      <c r="J51" s="3" t="s">
        <v>28</v>
      </c>
      <c r="K51" s="3">
        <f>VLOOKUP(Tableau3[[#This Row],[essence]],Tableau7[],2,FALSE)</f>
        <v>-0.68799999999999994</v>
      </c>
      <c r="L51" s="3">
        <f>VLOOKUP(Tableau3[[#This Row],[essence]],Tableau7[],3,FALSE)</f>
        <v>1.3924000000000001</v>
      </c>
      <c r="M51" s="3">
        <f>VLOOKUP(Tableau3[[#This Row],[essence]],Tableau7[],4,FALSE)</f>
        <v>0.41599999999999998</v>
      </c>
      <c r="N51" s="3">
        <f>IF(Tableau3[[#This Row],[priorecol]]="C",1,0)</f>
        <v>0</v>
      </c>
      <c r="O51" s="3">
        <f>VLOOKUP(Tableau3[[#This Row],[essence]],Tableau7[],5,FALSE)</f>
        <v>1.5604</v>
      </c>
      <c r="P51" s="3">
        <f>IF(Tableau3[[#This Row],[priorecol]]="R",1,0)</f>
        <v>1</v>
      </c>
      <c r="Q51" s="3">
        <f>VLOOKUP(Tableau3[[#This Row],[essence]],Tableau7[],6,FALSE)</f>
        <v>-0.64770000000000005</v>
      </c>
      <c r="R51" s="3">
        <f>IF(Tableau3[[#This Row],[priorecol]]="S",1,0)</f>
        <v>0</v>
      </c>
      <c r="S51" s="3">
        <f>VLOOKUP(Tableau3[[#This Row],[essence]],Tableau7[],7,FALSE)</f>
        <v>0</v>
      </c>
      <c r="T51" s="3">
        <f>VLOOKUP(Tableau3[[#This Row],[essence]],Tableau7[],15,FALSE)</f>
        <v>-2.4500000000000001E-2</v>
      </c>
      <c r="U51" s="3">
        <f>VLOOKUP(Tableau3[[#This Row],[essence]],Tableau7[],20,FALSE)</f>
        <v>0.15179999999999999</v>
      </c>
      <c r="V51" s="3">
        <f>IF(Tableau3[[#This Row],[sdom]]=1,1,0)</f>
        <v>0</v>
      </c>
      <c r="W51" s="3">
        <f>VLOOKUP(Tableau3[[#This Row],[essence]],Tableau7[],8,FALSE)</f>
        <v>0</v>
      </c>
      <c r="X51" s="3">
        <f>IF(Tableau3[[#This Row],[sdom]]="2EST",1,0)</f>
        <v>0</v>
      </c>
      <c r="Y51" s="3">
        <f>VLOOKUP(Tableau3[[#This Row],[essence]],Tableau7[],9,FALSE)</f>
        <v>-0.27589999999999998</v>
      </c>
      <c r="Z51" s="3">
        <f>IF(Tableau3[[#This Row],[sdom]]="2OUEST",1,0)</f>
        <v>0</v>
      </c>
      <c r="AA51" s="3">
        <f>VLOOKUP(Tableau3[[#This Row],[essence]],Tableau7[],10,FALSE)</f>
        <v>0</v>
      </c>
      <c r="AB51" s="3">
        <f>IF(Tableau3[[#This Row],[sdom]]="3EST",1,0)</f>
        <v>0</v>
      </c>
      <c r="AC51" s="3">
        <f>VLOOKUP(Tableau3[[#This Row],[essence]],Tableau7[],11,FALSE)</f>
        <v>0</v>
      </c>
      <c r="AD51" s="3">
        <f>IF(Tableau3[[#This Row],[sdom]]="3OUEST",1,0)</f>
        <v>1</v>
      </c>
      <c r="AE51" s="3">
        <f>VLOOKUP(Tableau3[[#This Row],[essence]],Tableau7[],12,FALSE)</f>
        <v>0</v>
      </c>
      <c r="AF51" s="3">
        <f>IF(Tableau3[[#This Row],[sdom]]="4EST",1,0)</f>
        <v>0</v>
      </c>
      <c r="AG51" s="3">
        <f>VLOOKUP(Tableau3[[#This Row],[essence]],Tableau7[],13,FALSE)</f>
        <v>0</v>
      </c>
      <c r="AH51" s="3">
        <f>IF(Tableau3[[#This Row],[sdom]]="4OUEST",1,0)</f>
        <v>0</v>
      </c>
      <c r="AI51" s="3">
        <f>VLOOKUP(Tableau3[[#This Row],[essence]],Tableau7[],14,FALSE)</f>
        <v>0</v>
      </c>
      <c r="AJ51" s="3">
        <f>IF(Tableau3[[#This Row],[sdom]]="5EST",1,0)</f>
        <v>0</v>
      </c>
      <c r="AK51" s="3">
        <f>VLOOKUP(Tableau3[[#This Row],[essence]],Tableau7[],17,FALSE)</f>
        <v>6.4199999999999993E-2</v>
      </c>
      <c r="AL51" s="3">
        <f>IF(Tableau3[[#This Row],[priorecol]]="C",1,0)</f>
        <v>0</v>
      </c>
      <c r="AM51" s="3">
        <f>VLOOKUP(Tableau3[[#This Row],[essence]],Tableau7[],18,FALSE)</f>
        <v>6.3399999999999998E-2</v>
      </c>
      <c r="AN51" s="3">
        <f>IF(Tableau3[[#This Row],[priorecol]]="R",1,0)</f>
        <v>1</v>
      </c>
      <c r="AO51" s="3">
        <f>VLOOKUP(Tableau3[[#This Row],[essence]],Tableau7[],19,FALSE)</f>
        <v>8.2400000000000001E-2</v>
      </c>
      <c r="AP51" s="3">
        <f>IF(Tableau3[[#This Row],[priorecol]]="S",1,0)</f>
        <v>0</v>
      </c>
      <c r="AQ51" s="3">
        <f>VLOOKUP(Tableau3[[#This Row],[essence]],Tableau7[],21,FALSE)</f>
        <v>0</v>
      </c>
      <c r="AR51" s="3">
        <f>VLOOKUP(Tableau3[[#This Row],[essence]],Tableau7[],16,FALSE)</f>
        <v>0</v>
      </c>
      <c r="AS5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51" s="3">
        <f>Tableau3[[#This Row],[xb_]]+Tableau3[[#This Row],[b_intercept_C]]</f>
        <v>3.7308000000000003</v>
      </c>
      <c r="AU51" s="3">
        <f>Tableau3[[#This Row],[xb_]]+Tableau3[[#This Row],[b_intercept_B]]</f>
        <v>1.6504000000000001</v>
      </c>
      <c r="AV51" s="3">
        <f>1/(1+EXP(-Tableau3[[#This Row],[xb_c]]))</f>
        <v>0.97658763068619281</v>
      </c>
      <c r="AW51" s="3">
        <f>1/(1+EXP(-Tableau3[[#This Row],[xb_b]]))</f>
        <v>0.83894510423772972</v>
      </c>
      <c r="AX51" s="3" t="str">
        <f t="shared" si="1"/>
        <v>NA</v>
      </c>
      <c r="AY51" s="3">
        <f>Tableau3[[#This Row],[prob_b]]</f>
        <v>0.83894510423772972</v>
      </c>
      <c r="AZ51" s="3">
        <f>Tableau3[[#This Row],[prob_c]]-Tableau3[[#This Row],[prob_b]]</f>
        <v>0.13764252644846309</v>
      </c>
      <c r="BA51" s="3">
        <f>1-Tableau3[[#This Row],[prob_c]]</f>
        <v>2.3412369313807191E-2</v>
      </c>
    </row>
    <row r="52" spans="1:53" x14ac:dyDescent="0.25">
      <c r="A52" s="2">
        <v>5</v>
      </c>
      <c r="B52" s="2" t="s">
        <v>13</v>
      </c>
      <c r="C52" s="4">
        <v>2.1</v>
      </c>
      <c r="D52" s="4">
        <v>700</v>
      </c>
      <c r="E52" s="4">
        <v>20</v>
      </c>
      <c r="F52" s="4">
        <v>1</v>
      </c>
      <c r="G52" s="2">
        <v>38</v>
      </c>
      <c r="H52" s="2">
        <v>35</v>
      </c>
      <c r="I52" s="2" t="s">
        <v>23</v>
      </c>
      <c r="J52" s="2" t="s">
        <v>28</v>
      </c>
      <c r="K52" s="2">
        <f>VLOOKUP(Tableau3[[#This Row],[essence]],Tableau7[],2,FALSE)</f>
        <v>-3.9003999999999999</v>
      </c>
      <c r="L52" s="3">
        <f>VLOOKUP(Tableau3[[#This Row],[essence]],Tableau7[],3,FALSE)</f>
        <v>-1.7661</v>
      </c>
      <c r="M52" s="3">
        <f>VLOOKUP(Tableau3[[#This Row],[essence]],Tableau7[],4,FALSE)</f>
        <v>1.9438</v>
      </c>
      <c r="N52" s="3">
        <f>IF(Tableau3[[#This Row],[priorecol]]="C",1,0)</f>
        <v>0</v>
      </c>
      <c r="O52" s="3">
        <f>VLOOKUP(Tableau3[[#This Row],[essence]],Tableau7[],5,FALSE)</f>
        <v>2.9834000000000001</v>
      </c>
      <c r="P52" s="3">
        <f>IF(Tableau3[[#This Row],[priorecol]]="R",1,0)</f>
        <v>1</v>
      </c>
      <c r="Q52" s="3">
        <f>VLOOKUP(Tableau3[[#This Row],[essence]],Tableau7[],6,FALSE)</f>
        <v>1.0873999999999999</v>
      </c>
      <c r="R52" s="3">
        <f>IF(Tableau3[[#This Row],[priorecol]]="S",1,0)</f>
        <v>0</v>
      </c>
      <c r="S52" s="3">
        <f>VLOOKUP(Tableau3[[#This Row],[essence]],Tableau7[],7,FALSE)</f>
        <v>6.4000000000000001E-2</v>
      </c>
      <c r="T52" s="3">
        <f>VLOOKUP(Tableau3[[#This Row],[essence]],Tableau7[],15,FALSE)</f>
        <v>7.5199999999999998E-3</v>
      </c>
      <c r="U52" s="3">
        <f>VLOOKUP(Tableau3[[#This Row],[essence]],Tableau7[],20,FALSE)</f>
        <v>0.17810000000000001</v>
      </c>
      <c r="V52" s="3">
        <f>IF(Tableau3[[#This Row],[sdom]]=1,1,0)</f>
        <v>0</v>
      </c>
      <c r="W52" s="3">
        <f>VLOOKUP(Tableau3[[#This Row],[essence]],Tableau7[],8,FALSE)</f>
        <v>0.29430000000000001</v>
      </c>
      <c r="X52" s="3">
        <f>IF(Tableau3[[#This Row],[sdom]]="2EST",1,0)</f>
        <v>0</v>
      </c>
      <c r="Y52" s="3">
        <f>VLOOKUP(Tableau3[[#This Row],[essence]],Tableau7[],9,FALSE)</f>
        <v>0.11260000000000001</v>
      </c>
      <c r="Z52" s="3">
        <f>IF(Tableau3[[#This Row],[sdom]]="2OUEST",1,0)</f>
        <v>0</v>
      </c>
      <c r="AA52" s="3">
        <f>VLOOKUP(Tableau3[[#This Row],[essence]],Tableau7[],10,FALSE)</f>
        <v>1.2999999999999999E-2</v>
      </c>
      <c r="AB52" s="3">
        <f>IF(Tableau3[[#This Row],[sdom]]="3EST",1,0)</f>
        <v>0</v>
      </c>
      <c r="AC52" s="3">
        <f>VLOOKUP(Tableau3[[#This Row],[essence]],Tableau7[],11,FALSE)</f>
        <v>0.17150000000000001</v>
      </c>
      <c r="AD52" s="3">
        <f>IF(Tableau3[[#This Row],[sdom]]="3OUEST",1,0)</f>
        <v>1</v>
      </c>
      <c r="AE52" s="3">
        <f>VLOOKUP(Tableau3[[#This Row],[essence]],Tableau7[],12,FALSE)</f>
        <v>-0.1308</v>
      </c>
      <c r="AF52" s="3">
        <f>IF(Tableau3[[#This Row],[sdom]]="4EST",1,0)</f>
        <v>0</v>
      </c>
      <c r="AG52" s="3">
        <f>VLOOKUP(Tableau3[[#This Row],[essence]],Tableau7[],13,FALSE)</f>
        <v>-0.2858</v>
      </c>
      <c r="AH52" s="3">
        <f>IF(Tableau3[[#This Row],[sdom]]="4OUEST",1,0)</f>
        <v>0</v>
      </c>
      <c r="AI52" s="3">
        <f>VLOOKUP(Tableau3[[#This Row],[essence]],Tableau7[],14,FALSE)</f>
        <v>0</v>
      </c>
      <c r="AJ52" s="3">
        <f>IF(Tableau3[[#This Row],[sdom]]="5EST",1,0)</f>
        <v>0</v>
      </c>
      <c r="AK52" s="3">
        <f>VLOOKUP(Tableau3[[#This Row],[essence]],Tableau7[],17,FALSE)</f>
        <v>0</v>
      </c>
      <c r="AL52" s="3">
        <f>IF(Tableau3[[#This Row],[priorecol]]="C",1,0)</f>
        <v>0</v>
      </c>
      <c r="AM52" s="3">
        <f>VLOOKUP(Tableau3[[#This Row],[essence]],Tableau7[],18,FALSE)</f>
        <v>0</v>
      </c>
      <c r="AN52" s="3">
        <f>IF(Tableau3[[#This Row],[priorecol]]="R",1,0)</f>
        <v>1</v>
      </c>
      <c r="AO52" s="3">
        <f>VLOOKUP(Tableau3[[#This Row],[essence]],Tableau7[],19,FALSE)</f>
        <v>0</v>
      </c>
      <c r="AP52" s="3">
        <f>IF(Tableau3[[#This Row],[priorecol]]="S",1,0)</f>
        <v>0</v>
      </c>
      <c r="AQ52" s="3">
        <f>VLOOKUP(Tableau3[[#This Row],[essence]],Tableau7[],21,FALSE)</f>
        <v>0</v>
      </c>
      <c r="AR52" s="3">
        <f>VLOOKUP(Tableau3[[#This Row],[essence]],Tableau7[],16,FALSE)</f>
        <v>0</v>
      </c>
      <c r="AS5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5.5453000000000001</v>
      </c>
      <c r="AT52" s="3">
        <f>Tableau3[[#This Row],[xb_]]+Tableau3[[#This Row],[b_intercept_C]]</f>
        <v>3.7792000000000003</v>
      </c>
      <c r="AU52" s="3">
        <f>Tableau3[[#This Row],[xb_]]+Tableau3[[#This Row],[b_intercept_B]]</f>
        <v>1.6449000000000003</v>
      </c>
      <c r="AV52" s="3">
        <f>1/(1+EXP(-Tableau3[[#This Row],[xb_c]]))</f>
        <v>0.977669102190591</v>
      </c>
      <c r="AW52" s="3">
        <f>1/(1+EXP(-Tableau3[[#This Row],[xb_b]]))</f>
        <v>0.83820057898228317</v>
      </c>
      <c r="AX52" s="3" t="str">
        <f t="shared" si="1"/>
        <v>NA</v>
      </c>
      <c r="AY52" s="3">
        <f>Tableau3[[#This Row],[prob_b]]</f>
        <v>0.83820057898228317</v>
      </c>
      <c r="AZ52" s="3">
        <f>Tableau3[[#This Row],[prob_c]]-Tableau3[[#This Row],[prob_b]]</f>
        <v>0.13946852320830783</v>
      </c>
      <c r="BA52" s="3">
        <f>1-Tableau3[[#This Row],[prob_c]]</f>
        <v>2.2330897809409E-2</v>
      </c>
    </row>
    <row r="53" spans="1:53" x14ac:dyDescent="0.25">
      <c r="A53" s="3">
        <v>5</v>
      </c>
      <c r="B53" s="3" t="s">
        <v>13</v>
      </c>
      <c r="C53" s="1">
        <v>2.1</v>
      </c>
      <c r="D53" s="1">
        <v>700</v>
      </c>
      <c r="E53" s="1">
        <v>20</v>
      </c>
      <c r="F53" s="1">
        <v>1</v>
      </c>
      <c r="G53" s="3">
        <v>44</v>
      </c>
      <c r="H53" s="3">
        <v>35</v>
      </c>
      <c r="I53" s="3" t="s">
        <v>25</v>
      </c>
      <c r="J53" s="3" t="s">
        <v>28</v>
      </c>
      <c r="K53" s="3">
        <f>VLOOKUP(Tableau3[[#This Row],[essence]],Tableau7[],2,FALSE)</f>
        <v>-2.9584999999999999</v>
      </c>
      <c r="L53" s="3">
        <f>VLOOKUP(Tableau3[[#This Row],[essence]],Tableau7[],3,FALSE)</f>
        <v>-1.1581999999999999</v>
      </c>
      <c r="M53" s="3">
        <f>VLOOKUP(Tableau3[[#This Row],[essence]],Tableau7[],4,FALSE)</f>
        <v>1.3563000000000001</v>
      </c>
      <c r="N53" s="3">
        <f>IF(Tableau3[[#This Row],[priorecol]]="C",1,0)</f>
        <v>0</v>
      </c>
      <c r="O53" s="3">
        <f>VLOOKUP(Tableau3[[#This Row],[essence]],Tableau7[],5,FALSE)</f>
        <v>2.0564</v>
      </c>
      <c r="P53" s="3">
        <f>IF(Tableau3[[#This Row],[priorecol]]="R",1,0)</f>
        <v>1</v>
      </c>
      <c r="Q53" s="3">
        <f>VLOOKUP(Tableau3[[#This Row],[essence]],Tableau7[],6,FALSE)</f>
        <v>1.3911</v>
      </c>
      <c r="R53" s="3">
        <f>IF(Tableau3[[#This Row],[priorecol]]="S",1,0)</f>
        <v>0</v>
      </c>
      <c r="S53" s="3">
        <f>VLOOKUP(Tableau3[[#This Row],[essence]],Tableau7[],7,FALSE)</f>
        <v>0</v>
      </c>
      <c r="T53" s="3">
        <f>VLOOKUP(Tableau3[[#This Row],[essence]],Tableau7[],15,FALSE)</f>
        <v>0</v>
      </c>
      <c r="U53" s="3">
        <f>VLOOKUP(Tableau3[[#This Row],[essence]],Tableau7[],20,FALSE)</f>
        <v>0</v>
      </c>
      <c r="V53" s="3">
        <f>IF(Tableau3[[#This Row],[sdom]]=1,1,0)</f>
        <v>0</v>
      </c>
      <c r="W53" s="3">
        <f>VLOOKUP(Tableau3[[#This Row],[essence]],Tableau7[],8,FALSE)</f>
        <v>0.19420000000000001</v>
      </c>
      <c r="X53" s="3">
        <f>IF(Tableau3[[#This Row],[sdom]]="2EST",1,0)</f>
        <v>0</v>
      </c>
      <c r="Y53" s="3">
        <f>VLOOKUP(Tableau3[[#This Row],[essence]],Tableau7[],9,FALSE)</f>
        <v>-0.1956</v>
      </c>
      <c r="Z53" s="3">
        <f>IF(Tableau3[[#This Row],[sdom]]="2OUEST",1,0)</f>
        <v>0</v>
      </c>
      <c r="AA53" s="3">
        <f>VLOOKUP(Tableau3[[#This Row],[essence]],Tableau7[],10,FALSE)</f>
        <v>-0.1221</v>
      </c>
      <c r="AB53" s="3">
        <f>IF(Tableau3[[#This Row],[sdom]]="3EST",1,0)</f>
        <v>0</v>
      </c>
      <c r="AC53" s="3">
        <f>VLOOKUP(Tableau3[[#This Row],[essence]],Tableau7[],11,FALSE)</f>
        <v>0.16789999999999999</v>
      </c>
      <c r="AD53" s="3">
        <f>IF(Tableau3[[#This Row],[sdom]]="3OUEST",1,0)</f>
        <v>1</v>
      </c>
      <c r="AE53" s="3">
        <f>VLOOKUP(Tableau3[[#This Row],[essence]],Tableau7[],12,FALSE)</f>
        <v>0</v>
      </c>
      <c r="AF53" s="3">
        <f>IF(Tableau3[[#This Row],[sdom]]="4EST",1,0)</f>
        <v>0</v>
      </c>
      <c r="AG53" s="3">
        <f>VLOOKUP(Tableau3[[#This Row],[essence]],Tableau7[],13,FALSE)</f>
        <v>0</v>
      </c>
      <c r="AH53" s="3">
        <f>IF(Tableau3[[#This Row],[sdom]]="4OUEST",1,0)</f>
        <v>0</v>
      </c>
      <c r="AI53" s="3">
        <f>VLOOKUP(Tableau3[[#This Row],[essence]],Tableau7[],14,FALSE)</f>
        <v>0</v>
      </c>
      <c r="AJ53" s="3">
        <f>IF(Tableau3[[#This Row],[sdom]]="5EST",1,0)</f>
        <v>0</v>
      </c>
      <c r="AK53" s="3">
        <f>VLOOKUP(Tableau3[[#This Row],[essence]],Tableau7[],17,FALSE)</f>
        <v>0</v>
      </c>
      <c r="AL53" s="3">
        <f>IF(Tableau3[[#This Row],[priorecol]]="C",1,0)</f>
        <v>0</v>
      </c>
      <c r="AM53" s="3">
        <f>VLOOKUP(Tableau3[[#This Row],[essence]],Tableau7[],18,FALSE)</f>
        <v>0</v>
      </c>
      <c r="AN53" s="3">
        <f>IF(Tableau3[[#This Row],[priorecol]]="R",1,0)</f>
        <v>1</v>
      </c>
      <c r="AO53" s="3">
        <f>VLOOKUP(Tableau3[[#This Row],[essence]],Tableau7[],19,FALSE)</f>
        <v>0</v>
      </c>
      <c r="AP53" s="3">
        <f>IF(Tableau3[[#This Row],[priorecol]]="S",1,0)</f>
        <v>0</v>
      </c>
      <c r="AQ53" s="3">
        <f>VLOOKUP(Tableau3[[#This Row],[essence]],Tableau7[],21,FALSE)</f>
        <v>0.2979</v>
      </c>
      <c r="AR53" s="3">
        <f>VLOOKUP(Tableau3[[#This Row],[essence]],Tableau7[],16,FALSE)</f>
        <v>0.154</v>
      </c>
      <c r="AS5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2.8455999999999997</v>
      </c>
      <c r="AT53" s="3">
        <f>Tableau3[[#This Row],[xb_]]+Tableau3[[#This Row],[b_intercept_C]]</f>
        <v>1.6873999999999998</v>
      </c>
      <c r="AU53" s="3">
        <f>Tableau3[[#This Row],[xb_]]+Tableau3[[#This Row],[b_intercept_B]]</f>
        <v>-0.11290000000000022</v>
      </c>
      <c r="AV53" s="3">
        <f>1/(1+EXP(-Tableau3[[#This Row],[xb_c]]))</f>
        <v>0.84388192848565979</v>
      </c>
      <c r="AW53" s="3">
        <f>1/(1+EXP(-Tableau3[[#This Row],[xb_b]]))</f>
        <v>0.47180494245322135</v>
      </c>
      <c r="AX53" s="3" t="str">
        <f t="shared" si="1"/>
        <v>NA</v>
      </c>
      <c r="AY53" s="3">
        <f>Tableau3[[#This Row],[prob_b]]</f>
        <v>0.47180494245322135</v>
      </c>
      <c r="AZ53" s="3">
        <f>Tableau3[[#This Row],[prob_c]]-Tableau3[[#This Row],[prob_b]]</f>
        <v>0.37207698603243844</v>
      </c>
      <c r="BA53" s="3">
        <f>1-Tableau3[[#This Row],[prob_c]]</f>
        <v>0.15611807151434021</v>
      </c>
    </row>
    <row r="54" spans="1:53" x14ac:dyDescent="0.25">
      <c r="A54" s="2">
        <v>6</v>
      </c>
      <c r="B54" s="2" t="s">
        <v>14</v>
      </c>
      <c r="C54" s="4">
        <v>1.2</v>
      </c>
      <c r="D54" s="4">
        <v>1022</v>
      </c>
      <c r="E54" s="4">
        <v>25</v>
      </c>
      <c r="F54" s="4">
        <v>1</v>
      </c>
      <c r="G54" s="2">
        <v>26</v>
      </c>
      <c r="H54" s="2">
        <v>35</v>
      </c>
      <c r="I54" s="2" t="s">
        <v>19</v>
      </c>
      <c r="J54" s="2" t="s">
        <v>28</v>
      </c>
      <c r="K54" s="2">
        <f>VLOOKUP(Tableau3[[#This Row],[essence]],Tableau7[],2,FALSE)</f>
        <v>-3.7313999999999998</v>
      </c>
      <c r="L54" s="3">
        <f>VLOOKUP(Tableau3[[#This Row],[essence]],Tableau7[],3,FALSE)</f>
        <v>-1.7194</v>
      </c>
      <c r="M54" s="3">
        <f>VLOOKUP(Tableau3[[#This Row],[essence]],Tableau7[],4,FALSE)</f>
        <v>1.5371999999999999</v>
      </c>
      <c r="N54" s="3">
        <f>IF(Tableau3[[#This Row],[priorecol]]="C",1,0)</f>
        <v>0</v>
      </c>
      <c r="O54" s="3">
        <f>VLOOKUP(Tableau3[[#This Row],[essence]],Tableau7[],5,FALSE)</f>
        <v>2.5815000000000001</v>
      </c>
      <c r="P54" s="3">
        <f>IF(Tableau3[[#This Row],[priorecol]]="R",1,0)</f>
        <v>1</v>
      </c>
      <c r="Q54" s="3">
        <f>VLOOKUP(Tableau3[[#This Row],[essence]],Tableau7[],6,FALSE)</f>
        <v>0.96079999999999999</v>
      </c>
      <c r="R54" s="3">
        <f>IF(Tableau3[[#This Row],[priorecol]]="S",1,0)</f>
        <v>0</v>
      </c>
      <c r="S54" s="3">
        <f>VLOOKUP(Tableau3[[#This Row],[essence]],Tableau7[],7,FALSE)</f>
        <v>4.2799999999999998E-2</v>
      </c>
      <c r="T54" s="3">
        <f>VLOOKUP(Tableau3[[#This Row],[essence]],Tableau7[],15,FALSE)</f>
        <v>1.54E-2</v>
      </c>
      <c r="U54" s="3">
        <f>VLOOKUP(Tableau3[[#This Row],[essence]],Tableau7[],20,FALSE)</f>
        <v>0</v>
      </c>
      <c r="V54" s="3">
        <f>IF(Tableau3[[#This Row],[sdom]]=1,1,0)</f>
        <v>0</v>
      </c>
      <c r="W54" s="3">
        <f>VLOOKUP(Tableau3[[#This Row],[essence]],Tableau7[],8,FALSE)</f>
        <v>2.3900000000000001E-2</v>
      </c>
      <c r="X54" s="3">
        <f>IF(Tableau3[[#This Row],[sdom]]="2EST",1,0)</f>
        <v>0</v>
      </c>
      <c r="Y54" s="3">
        <f>VLOOKUP(Tableau3[[#This Row],[essence]],Tableau7[],9,FALSE)</f>
        <v>-0.4793</v>
      </c>
      <c r="Z54" s="3">
        <f>IF(Tableau3[[#This Row],[sdom]]="2OUEST",1,0)</f>
        <v>0</v>
      </c>
      <c r="AA54" s="3">
        <f>VLOOKUP(Tableau3[[#This Row],[essence]],Tableau7[],10,FALSE)</f>
        <v>0.13880000000000001</v>
      </c>
      <c r="AB54" s="3">
        <f>IF(Tableau3[[#This Row],[sdom]]="3EST",1,0)</f>
        <v>0</v>
      </c>
      <c r="AC54" s="3">
        <f>VLOOKUP(Tableau3[[#This Row],[essence]],Tableau7[],11,FALSE)</f>
        <v>0.27039999999999997</v>
      </c>
      <c r="AD54" s="3">
        <f>IF(Tableau3[[#This Row],[sdom]]="3OUEST",1,0)</f>
        <v>0</v>
      </c>
      <c r="AE54" s="3">
        <f>VLOOKUP(Tableau3[[#This Row],[essence]],Tableau7[],12,FALSE)</f>
        <v>4.6600000000000001E-3</v>
      </c>
      <c r="AF54" s="3">
        <f>IF(Tableau3[[#This Row],[sdom]]="4EST",1,0)</f>
        <v>1</v>
      </c>
      <c r="AG54" s="3">
        <f>VLOOKUP(Tableau3[[#This Row],[essence]],Tableau7[],13,FALSE)</f>
        <v>0.1986</v>
      </c>
      <c r="AH54" s="3">
        <f>IF(Tableau3[[#This Row],[sdom]]="4OUEST",1,0)</f>
        <v>0</v>
      </c>
      <c r="AI54" s="3">
        <f>VLOOKUP(Tableau3[[#This Row],[essence]],Tableau7[],14,FALSE)</f>
        <v>-0.2535</v>
      </c>
      <c r="AJ54" s="3">
        <f>IF(Tableau3[[#This Row],[sdom]]="5EST",1,0)</f>
        <v>0</v>
      </c>
      <c r="AK54" s="3">
        <f>VLOOKUP(Tableau3[[#This Row],[essence]],Tableau7[],17,FALSE)</f>
        <v>0</v>
      </c>
      <c r="AL54" s="3">
        <f>IF(Tableau3[[#This Row],[priorecol]]="C",1,0)</f>
        <v>0</v>
      </c>
      <c r="AM54" s="3">
        <f>VLOOKUP(Tableau3[[#This Row],[essence]],Tableau7[],18,FALSE)</f>
        <v>0</v>
      </c>
      <c r="AN54" s="3">
        <f>IF(Tableau3[[#This Row],[priorecol]]="R",1,0)</f>
        <v>1</v>
      </c>
      <c r="AO54" s="3">
        <f>VLOOKUP(Tableau3[[#This Row],[essence]],Tableau7[],19,FALSE)</f>
        <v>0</v>
      </c>
      <c r="AP54" s="3">
        <f>IF(Tableau3[[#This Row],[priorecol]]="S",1,0)</f>
        <v>0</v>
      </c>
      <c r="AQ54" s="3">
        <f>VLOOKUP(Tableau3[[#This Row],[essence]],Tableau7[],21,FALSE)</f>
        <v>0</v>
      </c>
      <c r="AR54" s="3">
        <f>VLOOKUP(Tableau3[[#This Row],[essence]],Tableau7[],16,FALSE)</f>
        <v>0.123</v>
      </c>
      <c r="AS5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4.6167600000000002</v>
      </c>
      <c r="AT54" s="3">
        <f>Tableau3[[#This Row],[xb_]]+Tableau3[[#This Row],[b_intercept_C]]</f>
        <v>2.8973599999999999</v>
      </c>
      <c r="AU54" s="3">
        <f>Tableau3[[#This Row],[xb_]]+Tableau3[[#This Row],[b_intercept_B]]</f>
        <v>0.88536000000000037</v>
      </c>
      <c r="AV54" s="3">
        <f>1/(1+EXP(-Tableau3[[#This Row],[xb_c]]))</f>
        <v>0.94771577789540296</v>
      </c>
      <c r="AW54" s="3">
        <f>1/(1+EXP(-Tableau3[[#This Row],[xb_b]]))</f>
        <v>0.70793171218107631</v>
      </c>
      <c r="AX54" s="3" t="str">
        <f t="shared" si="1"/>
        <v>NA</v>
      </c>
      <c r="AY54" s="3">
        <f>Tableau3[[#This Row],[prob_b]]</f>
        <v>0.70793171218107631</v>
      </c>
      <c r="AZ54" s="3">
        <f>Tableau3[[#This Row],[prob_c]]-Tableau3[[#This Row],[prob_b]]</f>
        <v>0.23978406571432664</v>
      </c>
      <c r="BA54" s="3">
        <f>1-Tableau3[[#This Row],[prob_c]]</f>
        <v>5.2284222104597045E-2</v>
      </c>
    </row>
    <row r="55" spans="1:53" x14ac:dyDescent="0.25">
      <c r="A55" s="3">
        <v>6</v>
      </c>
      <c r="B55" s="3" t="s">
        <v>14</v>
      </c>
      <c r="C55" s="1">
        <v>1.2</v>
      </c>
      <c r="D55" s="1">
        <v>1022</v>
      </c>
      <c r="E55" s="1">
        <v>25</v>
      </c>
      <c r="F55" s="1">
        <v>1</v>
      </c>
      <c r="G55" s="3">
        <v>32</v>
      </c>
      <c r="H55" s="3">
        <v>35</v>
      </c>
      <c r="I55" s="3" t="s">
        <v>21</v>
      </c>
      <c r="J55" s="3" t="s">
        <v>28</v>
      </c>
      <c r="K55" s="3">
        <f>VLOOKUP(Tableau3[[#This Row],[essence]],Tableau7[],2,FALSE)</f>
        <v>-0.68799999999999994</v>
      </c>
      <c r="L55" s="3">
        <f>VLOOKUP(Tableau3[[#This Row],[essence]],Tableau7[],3,FALSE)</f>
        <v>1.3924000000000001</v>
      </c>
      <c r="M55" s="3">
        <f>VLOOKUP(Tableau3[[#This Row],[essence]],Tableau7[],4,FALSE)</f>
        <v>0.41599999999999998</v>
      </c>
      <c r="N55" s="3">
        <f>IF(Tableau3[[#This Row],[priorecol]]="C",1,0)</f>
        <v>0</v>
      </c>
      <c r="O55" s="3">
        <f>VLOOKUP(Tableau3[[#This Row],[essence]],Tableau7[],5,FALSE)</f>
        <v>1.5604</v>
      </c>
      <c r="P55" s="3">
        <f>IF(Tableau3[[#This Row],[priorecol]]="R",1,0)</f>
        <v>1</v>
      </c>
      <c r="Q55" s="3">
        <f>VLOOKUP(Tableau3[[#This Row],[essence]],Tableau7[],6,FALSE)</f>
        <v>-0.64770000000000005</v>
      </c>
      <c r="R55" s="3">
        <f>IF(Tableau3[[#This Row],[priorecol]]="S",1,0)</f>
        <v>0</v>
      </c>
      <c r="S55" s="3">
        <f>VLOOKUP(Tableau3[[#This Row],[essence]],Tableau7[],7,FALSE)</f>
        <v>0</v>
      </c>
      <c r="T55" s="3">
        <f>VLOOKUP(Tableau3[[#This Row],[essence]],Tableau7[],15,FALSE)</f>
        <v>-2.4500000000000001E-2</v>
      </c>
      <c r="U55" s="3">
        <f>VLOOKUP(Tableau3[[#This Row],[essence]],Tableau7[],20,FALSE)</f>
        <v>0.15179999999999999</v>
      </c>
      <c r="V55" s="3">
        <f>IF(Tableau3[[#This Row],[sdom]]=1,1,0)</f>
        <v>0</v>
      </c>
      <c r="W55" s="3">
        <f>VLOOKUP(Tableau3[[#This Row],[essence]],Tableau7[],8,FALSE)</f>
        <v>0</v>
      </c>
      <c r="X55" s="3">
        <f>IF(Tableau3[[#This Row],[sdom]]="2EST",1,0)</f>
        <v>0</v>
      </c>
      <c r="Y55" s="3">
        <f>VLOOKUP(Tableau3[[#This Row],[essence]],Tableau7[],9,FALSE)</f>
        <v>-0.27589999999999998</v>
      </c>
      <c r="Z55" s="3">
        <f>IF(Tableau3[[#This Row],[sdom]]="2OUEST",1,0)</f>
        <v>0</v>
      </c>
      <c r="AA55" s="3">
        <f>VLOOKUP(Tableau3[[#This Row],[essence]],Tableau7[],10,FALSE)</f>
        <v>0</v>
      </c>
      <c r="AB55" s="3">
        <f>IF(Tableau3[[#This Row],[sdom]]="3EST",1,0)</f>
        <v>0</v>
      </c>
      <c r="AC55" s="3">
        <f>VLOOKUP(Tableau3[[#This Row],[essence]],Tableau7[],11,FALSE)</f>
        <v>0</v>
      </c>
      <c r="AD55" s="3">
        <f>IF(Tableau3[[#This Row],[sdom]]="3OUEST",1,0)</f>
        <v>0</v>
      </c>
      <c r="AE55" s="3">
        <f>VLOOKUP(Tableau3[[#This Row],[essence]],Tableau7[],12,FALSE)</f>
        <v>0</v>
      </c>
      <c r="AF55" s="3">
        <f>IF(Tableau3[[#This Row],[sdom]]="4EST",1,0)</f>
        <v>1</v>
      </c>
      <c r="AG55" s="3">
        <f>VLOOKUP(Tableau3[[#This Row],[essence]],Tableau7[],13,FALSE)</f>
        <v>0</v>
      </c>
      <c r="AH55" s="3">
        <f>IF(Tableau3[[#This Row],[sdom]]="4OUEST",1,0)</f>
        <v>0</v>
      </c>
      <c r="AI55" s="3">
        <f>VLOOKUP(Tableau3[[#This Row],[essence]],Tableau7[],14,FALSE)</f>
        <v>0</v>
      </c>
      <c r="AJ55" s="3">
        <f>IF(Tableau3[[#This Row],[sdom]]="5EST",1,0)</f>
        <v>0</v>
      </c>
      <c r="AK55" s="3">
        <f>VLOOKUP(Tableau3[[#This Row],[essence]],Tableau7[],17,FALSE)</f>
        <v>6.4199999999999993E-2</v>
      </c>
      <c r="AL55" s="3">
        <f>IF(Tableau3[[#This Row],[priorecol]]="C",1,0)</f>
        <v>0</v>
      </c>
      <c r="AM55" s="3">
        <f>VLOOKUP(Tableau3[[#This Row],[essence]],Tableau7[],18,FALSE)</f>
        <v>6.3399999999999998E-2</v>
      </c>
      <c r="AN55" s="3">
        <f>IF(Tableau3[[#This Row],[priorecol]]="R",1,0)</f>
        <v>1</v>
      </c>
      <c r="AO55" s="3">
        <f>VLOOKUP(Tableau3[[#This Row],[essence]],Tableau7[],19,FALSE)</f>
        <v>8.2400000000000001E-2</v>
      </c>
      <c r="AP55" s="3">
        <f>IF(Tableau3[[#This Row],[priorecol]]="S",1,0)</f>
        <v>0</v>
      </c>
      <c r="AQ55" s="3">
        <f>VLOOKUP(Tableau3[[#This Row],[essence]],Tableau7[],21,FALSE)</f>
        <v>0</v>
      </c>
      <c r="AR55" s="3">
        <f>VLOOKUP(Tableau3[[#This Row],[essence]],Tableau7[],16,FALSE)</f>
        <v>0</v>
      </c>
      <c r="AS5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2.5328999999999997</v>
      </c>
      <c r="AT55" s="3">
        <f>Tableau3[[#This Row],[xb_]]+Tableau3[[#This Row],[b_intercept_C]]</f>
        <v>3.9253</v>
      </c>
      <c r="AU55" s="3">
        <f>Tableau3[[#This Row],[xb_]]+Tableau3[[#This Row],[b_intercept_B]]</f>
        <v>1.8448999999999998</v>
      </c>
      <c r="AV55" s="3">
        <f>1/(1+EXP(-Tableau3[[#This Row],[xb_c]]))</f>
        <v>0.98064576424164707</v>
      </c>
      <c r="AW55" s="3">
        <f>1/(1+EXP(-Tableau3[[#This Row],[xb_b]]))</f>
        <v>0.86352719181760895</v>
      </c>
      <c r="AX55" s="3" t="str">
        <f t="shared" si="1"/>
        <v>NA</v>
      </c>
      <c r="AY55" s="3">
        <f>Tableau3[[#This Row],[prob_b]]</f>
        <v>0.86352719181760895</v>
      </c>
      <c r="AZ55" s="3">
        <f>Tableau3[[#This Row],[prob_c]]-Tableau3[[#This Row],[prob_b]]</f>
        <v>0.11711857242403811</v>
      </c>
      <c r="BA55" s="3">
        <f>1-Tableau3[[#This Row],[prob_c]]</f>
        <v>1.9354235758352933E-2</v>
      </c>
    </row>
    <row r="56" spans="1:53" x14ac:dyDescent="0.25">
      <c r="A56" s="2">
        <v>6</v>
      </c>
      <c r="B56" s="2" t="s">
        <v>14</v>
      </c>
      <c r="C56" s="4">
        <v>1.2</v>
      </c>
      <c r="D56" s="4">
        <v>1022</v>
      </c>
      <c r="E56" s="4">
        <v>25</v>
      </c>
      <c r="F56" s="4">
        <v>1</v>
      </c>
      <c r="G56" s="2">
        <v>38</v>
      </c>
      <c r="H56" s="2">
        <v>35</v>
      </c>
      <c r="I56" s="2" t="s">
        <v>23</v>
      </c>
      <c r="J56" s="2" t="s">
        <v>28</v>
      </c>
      <c r="K56" s="2">
        <f>VLOOKUP(Tableau3[[#This Row],[essence]],Tableau7[],2,FALSE)</f>
        <v>-3.9003999999999999</v>
      </c>
      <c r="L56" s="3">
        <f>VLOOKUP(Tableau3[[#This Row],[essence]],Tableau7[],3,FALSE)</f>
        <v>-1.7661</v>
      </c>
      <c r="M56" s="3">
        <f>VLOOKUP(Tableau3[[#This Row],[essence]],Tableau7[],4,FALSE)</f>
        <v>1.9438</v>
      </c>
      <c r="N56" s="3">
        <f>IF(Tableau3[[#This Row],[priorecol]]="C",1,0)</f>
        <v>0</v>
      </c>
      <c r="O56" s="3">
        <f>VLOOKUP(Tableau3[[#This Row],[essence]],Tableau7[],5,FALSE)</f>
        <v>2.9834000000000001</v>
      </c>
      <c r="P56" s="3">
        <f>IF(Tableau3[[#This Row],[priorecol]]="R",1,0)</f>
        <v>1</v>
      </c>
      <c r="Q56" s="3">
        <f>VLOOKUP(Tableau3[[#This Row],[essence]],Tableau7[],6,FALSE)</f>
        <v>1.0873999999999999</v>
      </c>
      <c r="R56" s="3">
        <f>IF(Tableau3[[#This Row],[priorecol]]="S",1,0)</f>
        <v>0</v>
      </c>
      <c r="S56" s="3">
        <f>VLOOKUP(Tableau3[[#This Row],[essence]],Tableau7[],7,FALSE)</f>
        <v>6.4000000000000001E-2</v>
      </c>
      <c r="T56" s="3">
        <f>VLOOKUP(Tableau3[[#This Row],[essence]],Tableau7[],15,FALSE)</f>
        <v>7.5199999999999998E-3</v>
      </c>
      <c r="U56" s="3">
        <f>VLOOKUP(Tableau3[[#This Row],[essence]],Tableau7[],20,FALSE)</f>
        <v>0.17810000000000001</v>
      </c>
      <c r="V56" s="3">
        <f>IF(Tableau3[[#This Row],[sdom]]=1,1,0)</f>
        <v>0</v>
      </c>
      <c r="W56" s="3">
        <f>VLOOKUP(Tableau3[[#This Row],[essence]],Tableau7[],8,FALSE)</f>
        <v>0.29430000000000001</v>
      </c>
      <c r="X56" s="3">
        <f>IF(Tableau3[[#This Row],[sdom]]="2EST",1,0)</f>
        <v>0</v>
      </c>
      <c r="Y56" s="3">
        <f>VLOOKUP(Tableau3[[#This Row],[essence]],Tableau7[],9,FALSE)</f>
        <v>0.11260000000000001</v>
      </c>
      <c r="Z56" s="3">
        <f>IF(Tableau3[[#This Row],[sdom]]="2OUEST",1,0)</f>
        <v>0</v>
      </c>
      <c r="AA56" s="3">
        <f>VLOOKUP(Tableau3[[#This Row],[essence]],Tableau7[],10,FALSE)</f>
        <v>1.2999999999999999E-2</v>
      </c>
      <c r="AB56" s="3">
        <f>IF(Tableau3[[#This Row],[sdom]]="3EST",1,0)</f>
        <v>0</v>
      </c>
      <c r="AC56" s="3">
        <f>VLOOKUP(Tableau3[[#This Row],[essence]],Tableau7[],11,FALSE)</f>
        <v>0.17150000000000001</v>
      </c>
      <c r="AD56" s="3">
        <f>IF(Tableau3[[#This Row],[sdom]]="3OUEST",1,0)</f>
        <v>0</v>
      </c>
      <c r="AE56" s="3">
        <f>VLOOKUP(Tableau3[[#This Row],[essence]],Tableau7[],12,FALSE)</f>
        <v>-0.1308</v>
      </c>
      <c r="AF56" s="3">
        <f>IF(Tableau3[[#This Row],[sdom]]="4EST",1,0)</f>
        <v>1</v>
      </c>
      <c r="AG56" s="3">
        <f>VLOOKUP(Tableau3[[#This Row],[essence]],Tableau7[],13,FALSE)</f>
        <v>-0.2858</v>
      </c>
      <c r="AH56" s="3">
        <f>IF(Tableau3[[#This Row],[sdom]]="4OUEST",1,0)</f>
        <v>0</v>
      </c>
      <c r="AI56" s="3">
        <f>VLOOKUP(Tableau3[[#This Row],[essence]],Tableau7[],14,FALSE)</f>
        <v>0</v>
      </c>
      <c r="AJ56" s="3">
        <f>IF(Tableau3[[#This Row],[sdom]]="5EST",1,0)</f>
        <v>0</v>
      </c>
      <c r="AK56" s="3">
        <f>VLOOKUP(Tableau3[[#This Row],[essence]],Tableau7[],17,FALSE)</f>
        <v>0</v>
      </c>
      <c r="AL56" s="3">
        <f>IF(Tableau3[[#This Row],[priorecol]]="C",1,0)</f>
        <v>0</v>
      </c>
      <c r="AM56" s="3">
        <f>VLOOKUP(Tableau3[[#This Row],[essence]],Tableau7[],18,FALSE)</f>
        <v>0</v>
      </c>
      <c r="AN56" s="3">
        <f>IF(Tableau3[[#This Row],[priorecol]]="R",1,0)</f>
        <v>1</v>
      </c>
      <c r="AO56" s="3">
        <f>VLOOKUP(Tableau3[[#This Row],[essence]],Tableau7[],19,FALSE)</f>
        <v>0</v>
      </c>
      <c r="AP56" s="3">
        <f>IF(Tableau3[[#This Row],[priorecol]]="S",1,0)</f>
        <v>0</v>
      </c>
      <c r="AQ56" s="3">
        <f>VLOOKUP(Tableau3[[#This Row],[essence]],Tableau7[],21,FALSE)</f>
        <v>0</v>
      </c>
      <c r="AR56" s="3">
        <f>VLOOKUP(Tableau3[[#This Row],[essence]],Tableau7[],16,FALSE)</f>
        <v>0</v>
      </c>
      <c r="AS5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5.2805999999999997</v>
      </c>
      <c r="AT56" s="3">
        <f>Tableau3[[#This Row],[xb_]]+Tableau3[[#This Row],[b_intercept_C]]</f>
        <v>3.5145</v>
      </c>
      <c r="AU56" s="3">
        <f>Tableau3[[#This Row],[xb_]]+Tableau3[[#This Row],[b_intercept_B]]</f>
        <v>1.3801999999999999</v>
      </c>
      <c r="AV56" s="3">
        <f>1/(1+EXP(-Tableau3[[#This Row],[xb_c]]))</f>
        <v>0.97109753428036405</v>
      </c>
      <c r="AW56" s="3">
        <f>1/(1+EXP(-Tableau3[[#This Row],[xb_b]]))</f>
        <v>0.79902311920506186</v>
      </c>
      <c r="AX56" s="3" t="str">
        <f t="shared" si="1"/>
        <v>NA</v>
      </c>
      <c r="AY56" s="3">
        <f>Tableau3[[#This Row],[prob_b]]</f>
        <v>0.79902311920506186</v>
      </c>
      <c r="AZ56" s="3">
        <f>Tableau3[[#This Row],[prob_c]]-Tableau3[[#This Row],[prob_b]]</f>
        <v>0.17207441507530219</v>
      </c>
      <c r="BA56" s="3">
        <f>1-Tableau3[[#This Row],[prob_c]]</f>
        <v>2.890246571963595E-2</v>
      </c>
    </row>
    <row r="57" spans="1:53" x14ac:dyDescent="0.25">
      <c r="A57" s="3">
        <v>6</v>
      </c>
      <c r="B57" s="3" t="s">
        <v>14</v>
      </c>
      <c r="C57" s="1">
        <v>1.2</v>
      </c>
      <c r="D57" s="1">
        <v>1022</v>
      </c>
      <c r="E57" s="1">
        <v>25</v>
      </c>
      <c r="F57" s="1">
        <v>1</v>
      </c>
      <c r="G57" s="3">
        <v>44</v>
      </c>
      <c r="H57" s="3">
        <v>35</v>
      </c>
      <c r="I57" s="3" t="s">
        <v>25</v>
      </c>
      <c r="J57" s="3" t="s">
        <v>28</v>
      </c>
      <c r="K57" s="3">
        <f>VLOOKUP(Tableau3[[#This Row],[essence]],Tableau7[],2,FALSE)</f>
        <v>-2.9584999999999999</v>
      </c>
      <c r="L57" s="3">
        <f>VLOOKUP(Tableau3[[#This Row],[essence]],Tableau7[],3,FALSE)</f>
        <v>-1.1581999999999999</v>
      </c>
      <c r="M57" s="3">
        <f>VLOOKUP(Tableau3[[#This Row],[essence]],Tableau7[],4,FALSE)</f>
        <v>1.3563000000000001</v>
      </c>
      <c r="N57" s="3">
        <f>IF(Tableau3[[#This Row],[priorecol]]="C",1,0)</f>
        <v>0</v>
      </c>
      <c r="O57" s="3">
        <f>VLOOKUP(Tableau3[[#This Row],[essence]],Tableau7[],5,FALSE)</f>
        <v>2.0564</v>
      </c>
      <c r="P57" s="3">
        <f>IF(Tableau3[[#This Row],[priorecol]]="R",1,0)</f>
        <v>1</v>
      </c>
      <c r="Q57" s="3">
        <f>VLOOKUP(Tableau3[[#This Row],[essence]],Tableau7[],6,FALSE)</f>
        <v>1.3911</v>
      </c>
      <c r="R57" s="3">
        <f>IF(Tableau3[[#This Row],[priorecol]]="S",1,0)</f>
        <v>0</v>
      </c>
      <c r="S57" s="3">
        <f>VLOOKUP(Tableau3[[#This Row],[essence]],Tableau7[],7,FALSE)</f>
        <v>0</v>
      </c>
      <c r="T57" s="3">
        <f>VLOOKUP(Tableau3[[#This Row],[essence]],Tableau7[],15,FALSE)</f>
        <v>0</v>
      </c>
      <c r="U57" s="3">
        <f>VLOOKUP(Tableau3[[#This Row],[essence]],Tableau7[],20,FALSE)</f>
        <v>0</v>
      </c>
      <c r="V57" s="3">
        <f>IF(Tableau3[[#This Row],[sdom]]=1,1,0)</f>
        <v>0</v>
      </c>
      <c r="W57" s="3">
        <f>VLOOKUP(Tableau3[[#This Row],[essence]],Tableau7[],8,FALSE)</f>
        <v>0.19420000000000001</v>
      </c>
      <c r="X57" s="3">
        <f>IF(Tableau3[[#This Row],[sdom]]="2EST",1,0)</f>
        <v>0</v>
      </c>
      <c r="Y57" s="3">
        <f>VLOOKUP(Tableau3[[#This Row],[essence]],Tableau7[],9,FALSE)</f>
        <v>-0.1956</v>
      </c>
      <c r="Z57" s="3">
        <f>IF(Tableau3[[#This Row],[sdom]]="2OUEST",1,0)</f>
        <v>0</v>
      </c>
      <c r="AA57" s="3">
        <f>VLOOKUP(Tableau3[[#This Row],[essence]],Tableau7[],10,FALSE)</f>
        <v>-0.1221</v>
      </c>
      <c r="AB57" s="3">
        <f>IF(Tableau3[[#This Row],[sdom]]="3EST",1,0)</f>
        <v>0</v>
      </c>
      <c r="AC57" s="3">
        <f>VLOOKUP(Tableau3[[#This Row],[essence]],Tableau7[],11,FALSE)</f>
        <v>0.16789999999999999</v>
      </c>
      <c r="AD57" s="3">
        <f>IF(Tableau3[[#This Row],[sdom]]="3OUEST",1,0)</f>
        <v>0</v>
      </c>
      <c r="AE57" s="3">
        <f>VLOOKUP(Tableau3[[#This Row],[essence]],Tableau7[],12,FALSE)</f>
        <v>0</v>
      </c>
      <c r="AF57" s="3">
        <f>IF(Tableau3[[#This Row],[sdom]]="4EST",1,0)</f>
        <v>1</v>
      </c>
      <c r="AG57" s="3">
        <f>VLOOKUP(Tableau3[[#This Row],[essence]],Tableau7[],13,FALSE)</f>
        <v>0</v>
      </c>
      <c r="AH57" s="3">
        <f>IF(Tableau3[[#This Row],[sdom]]="4OUEST",1,0)</f>
        <v>0</v>
      </c>
      <c r="AI57" s="3">
        <f>VLOOKUP(Tableau3[[#This Row],[essence]],Tableau7[],14,FALSE)</f>
        <v>0</v>
      </c>
      <c r="AJ57" s="3">
        <f>IF(Tableau3[[#This Row],[sdom]]="5EST",1,0)</f>
        <v>0</v>
      </c>
      <c r="AK57" s="3">
        <f>VLOOKUP(Tableau3[[#This Row],[essence]],Tableau7[],17,FALSE)</f>
        <v>0</v>
      </c>
      <c r="AL57" s="3">
        <f>IF(Tableau3[[#This Row],[priorecol]]="C",1,0)</f>
        <v>0</v>
      </c>
      <c r="AM57" s="3">
        <f>VLOOKUP(Tableau3[[#This Row],[essence]],Tableau7[],18,FALSE)</f>
        <v>0</v>
      </c>
      <c r="AN57" s="3">
        <f>IF(Tableau3[[#This Row],[priorecol]]="R",1,0)</f>
        <v>1</v>
      </c>
      <c r="AO57" s="3">
        <f>VLOOKUP(Tableau3[[#This Row],[essence]],Tableau7[],19,FALSE)</f>
        <v>0</v>
      </c>
      <c r="AP57" s="3">
        <f>IF(Tableau3[[#This Row],[priorecol]]="S",1,0)</f>
        <v>0</v>
      </c>
      <c r="AQ57" s="3">
        <f>VLOOKUP(Tableau3[[#This Row],[essence]],Tableau7[],21,FALSE)</f>
        <v>0.2979</v>
      </c>
      <c r="AR57" s="3">
        <f>VLOOKUP(Tableau3[[#This Row],[essence]],Tableau7[],16,FALSE)</f>
        <v>0.154</v>
      </c>
      <c r="AS5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2.5390999999999999</v>
      </c>
      <c r="AT57" s="3">
        <f>Tableau3[[#This Row],[xb_]]+Tableau3[[#This Row],[b_intercept_C]]</f>
        <v>1.3809</v>
      </c>
      <c r="AU57" s="3">
        <f>Tableau3[[#This Row],[xb_]]+Tableau3[[#This Row],[b_intercept_B]]</f>
        <v>-0.4194</v>
      </c>
      <c r="AV57" s="3">
        <f>1/(1+EXP(-Tableau3[[#This Row],[xb_c]]))</f>
        <v>0.79913550529817123</v>
      </c>
      <c r="AW57" s="3">
        <f>1/(1+EXP(-Tableau3[[#This Row],[xb_b]]))</f>
        <v>0.39666033377626575</v>
      </c>
      <c r="AX57" s="3" t="str">
        <f t="shared" si="1"/>
        <v>NA</v>
      </c>
      <c r="AY57" s="3">
        <f>Tableau3[[#This Row],[prob_b]]</f>
        <v>0.39666033377626575</v>
      </c>
      <c r="AZ57" s="3">
        <f>Tableau3[[#This Row],[prob_c]]-Tableau3[[#This Row],[prob_b]]</f>
        <v>0.40247517152190548</v>
      </c>
      <c r="BA57" s="3">
        <f>1-Tableau3[[#This Row],[prob_c]]</f>
        <v>0.20086449470182877</v>
      </c>
    </row>
    <row r="58" spans="1:53" x14ac:dyDescent="0.25">
      <c r="A58" s="2">
        <v>7</v>
      </c>
      <c r="B58" s="2" t="s">
        <v>15</v>
      </c>
      <c r="C58" s="4">
        <v>2.1</v>
      </c>
      <c r="D58" s="4">
        <v>700</v>
      </c>
      <c r="E58" s="4">
        <v>20</v>
      </c>
      <c r="F58" s="4">
        <v>1</v>
      </c>
      <c r="G58" s="2">
        <v>26</v>
      </c>
      <c r="H58" s="2">
        <v>35</v>
      </c>
      <c r="I58" s="2" t="s">
        <v>19</v>
      </c>
      <c r="J58" s="2" t="s">
        <v>28</v>
      </c>
      <c r="K58" s="2">
        <f>VLOOKUP(Tableau3[[#This Row],[essence]],Tableau7[],2,FALSE)</f>
        <v>-3.7313999999999998</v>
      </c>
      <c r="L58" s="3">
        <f>VLOOKUP(Tableau3[[#This Row],[essence]],Tableau7[],3,FALSE)</f>
        <v>-1.7194</v>
      </c>
      <c r="M58" s="3">
        <f>VLOOKUP(Tableau3[[#This Row],[essence]],Tableau7[],4,FALSE)</f>
        <v>1.5371999999999999</v>
      </c>
      <c r="N58" s="3">
        <f>IF(Tableau3[[#This Row],[priorecol]]="C",1,0)</f>
        <v>0</v>
      </c>
      <c r="O58" s="3">
        <f>VLOOKUP(Tableau3[[#This Row],[essence]],Tableau7[],5,FALSE)</f>
        <v>2.5815000000000001</v>
      </c>
      <c r="P58" s="3">
        <f>IF(Tableau3[[#This Row],[priorecol]]="R",1,0)</f>
        <v>1</v>
      </c>
      <c r="Q58" s="3">
        <f>VLOOKUP(Tableau3[[#This Row],[essence]],Tableau7[],6,FALSE)</f>
        <v>0.96079999999999999</v>
      </c>
      <c r="R58" s="3">
        <f>IF(Tableau3[[#This Row],[priorecol]]="S",1,0)</f>
        <v>0</v>
      </c>
      <c r="S58" s="3">
        <f>VLOOKUP(Tableau3[[#This Row],[essence]],Tableau7[],7,FALSE)</f>
        <v>4.2799999999999998E-2</v>
      </c>
      <c r="T58" s="3">
        <f>VLOOKUP(Tableau3[[#This Row],[essence]],Tableau7[],15,FALSE)</f>
        <v>1.54E-2</v>
      </c>
      <c r="U58" s="3">
        <f>VLOOKUP(Tableau3[[#This Row],[essence]],Tableau7[],20,FALSE)</f>
        <v>0</v>
      </c>
      <c r="V58" s="3">
        <f>IF(Tableau3[[#This Row],[sdom]]=1,1,0)</f>
        <v>0</v>
      </c>
      <c r="W58" s="3">
        <f>VLOOKUP(Tableau3[[#This Row],[essence]],Tableau7[],8,FALSE)</f>
        <v>2.3900000000000001E-2</v>
      </c>
      <c r="X58" s="3">
        <f>IF(Tableau3[[#This Row],[sdom]]="2EST",1,0)</f>
        <v>0</v>
      </c>
      <c r="Y58" s="3">
        <f>VLOOKUP(Tableau3[[#This Row],[essence]],Tableau7[],9,FALSE)</f>
        <v>-0.4793</v>
      </c>
      <c r="Z58" s="3">
        <f>IF(Tableau3[[#This Row],[sdom]]="2OUEST",1,0)</f>
        <v>0</v>
      </c>
      <c r="AA58" s="3">
        <f>VLOOKUP(Tableau3[[#This Row],[essence]],Tableau7[],10,FALSE)</f>
        <v>0.13880000000000001</v>
      </c>
      <c r="AB58" s="3">
        <f>IF(Tableau3[[#This Row],[sdom]]="3EST",1,0)</f>
        <v>0</v>
      </c>
      <c r="AC58" s="3">
        <f>VLOOKUP(Tableau3[[#This Row],[essence]],Tableau7[],11,FALSE)</f>
        <v>0.27039999999999997</v>
      </c>
      <c r="AD58" s="3">
        <f>IF(Tableau3[[#This Row],[sdom]]="3OUEST",1,0)</f>
        <v>0</v>
      </c>
      <c r="AE58" s="3">
        <f>VLOOKUP(Tableau3[[#This Row],[essence]],Tableau7[],12,FALSE)</f>
        <v>4.6600000000000001E-3</v>
      </c>
      <c r="AF58" s="3">
        <f>IF(Tableau3[[#This Row],[sdom]]="4EST",1,0)</f>
        <v>0</v>
      </c>
      <c r="AG58" s="3">
        <f>VLOOKUP(Tableau3[[#This Row],[essence]],Tableau7[],13,FALSE)</f>
        <v>0.1986</v>
      </c>
      <c r="AH58" s="3">
        <f>IF(Tableau3[[#This Row],[sdom]]="4OUEST",1,0)</f>
        <v>1</v>
      </c>
      <c r="AI58" s="3">
        <f>VLOOKUP(Tableau3[[#This Row],[essence]],Tableau7[],14,FALSE)</f>
        <v>-0.2535</v>
      </c>
      <c r="AJ58" s="3">
        <f>IF(Tableau3[[#This Row],[sdom]]="5EST",1,0)</f>
        <v>0</v>
      </c>
      <c r="AK58" s="3">
        <f>VLOOKUP(Tableau3[[#This Row],[essence]],Tableau7[],17,FALSE)</f>
        <v>0</v>
      </c>
      <c r="AL58" s="3">
        <f>IF(Tableau3[[#This Row],[priorecol]]="C",1,0)</f>
        <v>0</v>
      </c>
      <c r="AM58" s="3">
        <f>VLOOKUP(Tableau3[[#This Row],[essence]],Tableau7[],18,FALSE)</f>
        <v>0</v>
      </c>
      <c r="AN58" s="3">
        <f>IF(Tableau3[[#This Row],[priorecol]]="R",1,0)</f>
        <v>1</v>
      </c>
      <c r="AO58" s="3">
        <f>VLOOKUP(Tableau3[[#This Row],[essence]],Tableau7[],19,FALSE)</f>
        <v>0</v>
      </c>
      <c r="AP58" s="3">
        <f>IF(Tableau3[[#This Row],[priorecol]]="S",1,0)</f>
        <v>0</v>
      </c>
      <c r="AQ58" s="3">
        <f>VLOOKUP(Tableau3[[#This Row],[essence]],Tableau7[],21,FALSE)</f>
        <v>0</v>
      </c>
      <c r="AR58" s="3">
        <f>VLOOKUP(Tableau3[[#This Row],[essence]],Tableau7[],16,FALSE)</f>
        <v>0.123</v>
      </c>
      <c r="AS5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4.8444000000000003</v>
      </c>
      <c r="AT58" s="3">
        <f>Tableau3[[#This Row],[xb_]]+Tableau3[[#This Row],[b_intercept_C]]</f>
        <v>3.125</v>
      </c>
      <c r="AU58" s="3">
        <f>Tableau3[[#This Row],[xb_]]+Tableau3[[#This Row],[b_intercept_B]]</f>
        <v>1.1130000000000004</v>
      </c>
      <c r="AV58" s="3">
        <f>1/(1+EXP(-Tableau3[[#This Row],[xb_c]]))</f>
        <v>0.95791227208438112</v>
      </c>
      <c r="AW58" s="3">
        <f>1/(1+EXP(-Tableau3[[#This Row],[xb_b]]))</f>
        <v>0.75268798103203083</v>
      </c>
      <c r="AX58" s="3" t="str">
        <f t="shared" si="1"/>
        <v>NA</v>
      </c>
      <c r="AY58" s="3">
        <f>Tableau3[[#This Row],[prob_b]]</f>
        <v>0.75268798103203083</v>
      </c>
      <c r="AZ58" s="3">
        <f>Tableau3[[#This Row],[prob_c]]-Tableau3[[#This Row],[prob_b]]</f>
        <v>0.20522429105235029</v>
      </c>
      <c r="BA58" s="3">
        <f>1-Tableau3[[#This Row],[prob_c]]</f>
        <v>4.2087727915618878E-2</v>
      </c>
    </row>
    <row r="59" spans="1:53" x14ac:dyDescent="0.25">
      <c r="A59" s="3">
        <v>7</v>
      </c>
      <c r="B59" s="3" t="s">
        <v>15</v>
      </c>
      <c r="C59" s="1">
        <v>2.1</v>
      </c>
      <c r="D59" s="1">
        <v>700</v>
      </c>
      <c r="E59" s="1">
        <v>20</v>
      </c>
      <c r="F59" s="1">
        <v>1</v>
      </c>
      <c r="G59" s="3">
        <v>32</v>
      </c>
      <c r="H59" s="3">
        <v>35</v>
      </c>
      <c r="I59" s="3" t="s">
        <v>21</v>
      </c>
      <c r="J59" s="3" t="s">
        <v>28</v>
      </c>
      <c r="K59" s="3">
        <f>VLOOKUP(Tableau3[[#This Row],[essence]],Tableau7[],2,FALSE)</f>
        <v>-0.68799999999999994</v>
      </c>
      <c r="L59" s="3">
        <f>VLOOKUP(Tableau3[[#This Row],[essence]],Tableau7[],3,FALSE)</f>
        <v>1.3924000000000001</v>
      </c>
      <c r="M59" s="3">
        <f>VLOOKUP(Tableau3[[#This Row],[essence]],Tableau7[],4,FALSE)</f>
        <v>0.41599999999999998</v>
      </c>
      <c r="N59" s="3">
        <f>IF(Tableau3[[#This Row],[priorecol]]="C",1,0)</f>
        <v>0</v>
      </c>
      <c r="O59" s="3">
        <f>VLOOKUP(Tableau3[[#This Row],[essence]],Tableau7[],5,FALSE)</f>
        <v>1.5604</v>
      </c>
      <c r="P59" s="3">
        <f>IF(Tableau3[[#This Row],[priorecol]]="R",1,0)</f>
        <v>1</v>
      </c>
      <c r="Q59" s="3">
        <f>VLOOKUP(Tableau3[[#This Row],[essence]],Tableau7[],6,FALSE)</f>
        <v>-0.64770000000000005</v>
      </c>
      <c r="R59" s="3">
        <f>IF(Tableau3[[#This Row],[priorecol]]="S",1,0)</f>
        <v>0</v>
      </c>
      <c r="S59" s="3">
        <f>VLOOKUP(Tableau3[[#This Row],[essence]],Tableau7[],7,FALSE)</f>
        <v>0</v>
      </c>
      <c r="T59" s="3">
        <f>VLOOKUP(Tableau3[[#This Row],[essence]],Tableau7[],15,FALSE)</f>
        <v>-2.4500000000000001E-2</v>
      </c>
      <c r="U59" s="3">
        <f>VLOOKUP(Tableau3[[#This Row],[essence]],Tableau7[],20,FALSE)</f>
        <v>0.15179999999999999</v>
      </c>
      <c r="V59" s="3">
        <f>IF(Tableau3[[#This Row],[sdom]]=1,1,0)</f>
        <v>0</v>
      </c>
      <c r="W59" s="3">
        <f>VLOOKUP(Tableau3[[#This Row],[essence]],Tableau7[],8,FALSE)</f>
        <v>0</v>
      </c>
      <c r="X59" s="3">
        <f>IF(Tableau3[[#This Row],[sdom]]="2EST",1,0)</f>
        <v>0</v>
      </c>
      <c r="Y59" s="3">
        <f>VLOOKUP(Tableau3[[#This Row],[essence]],Tableau7[],9,FALSE)</f>
        <v>-0.27589999999999998</v>
      </c>
      <c r="Z59" s="3">
        <f>IF(Tableau3[[#This Row],[sdom]]="2OUEST",1,0)</f>
        <v>0</v>
      </c>
      <c r="AA59" s="3">
        <f>VLOOKUP(Tableau3[[#This Row],[essence]],Tableau7[],10,FALSE)</f>
        <v>0</v>
      </c>
      <c r="AB59" s="3">
        <f>IF(Tableau3[[#This Row],[sdom]]="3EST",1,0)</f>
        <v>0</v>
      </c>
      <c r="AC59" s="3">
        <f>VLOOKUP(Tableau3[[#This Row],[essence]],Tableau7[],11,FALSE)</f>
        <v>0</v>
      </c>
      <c r="AD59" s="3">
        <f>IF(Tableau3[[#This Row],[sdom]]="3OUEST",1,0)</f>
        <v>0</v>
      </c>
      <c r="AE59" s="3">
        <f>VLOOKUP(Tableau3[[#This Row],[essence]],Tableau7[],12,FALSE)</f>
        <v>0</v>
      </c>
      <c r="AF59" s="3">
        <f>IF(Tableau3[[#This Row],[sdom]]="4EST",1,0)</f>
        <v>0</v>
      </c>
      <c r="AG59" s="3">
        <f>VLOOKUP(Tableau3[[#This Row],[essence]],Tableau7[],13,FALSE)</f>
        <v>0</v>
      </c>
      <c r="AH59" s="3">
        <f>IF(Tableau3[[#This Row],[sdom]]="4OUEST",1,0)</f>
        <v>1</v>
      </c>
      <c r="AI59" s="3">
        <f>VLOOKUP(Tableau3[[#This Row],[essence]],Tableau7[],14,FALSE)</f>
        <v>0</v>
      </c>
      <c r="AJ59" s="3">
        <f>IF(Tableau3[[#This Row],[sdom]]="5EST",1,0)</f>
        <v>0</v>
      </c>
      <c r="AK59" s="3">
        <f>VLOOKUP(Tableau3[[#This Row],[essence]],Tableau7[],17,FALSE)</f>
        <v>6.4199999999999993E-2</v>
      </c>
      <c r="AL59" s="3">
        <f>IF(Tableau3[[#This Row],[priorecol]]="C",1,0)</f>
        <v>0</v>
      </c>
      <c r="AM59" s="3">
        <f>VLOOKUP(Tableau3[[#This Row],[essence]],Tableau7[],18,FALSE)</f>
        <v>6.3399999999999998E-2</v>
      </c>
      <c r="AN59" s="3">
        <f>IF(Tableau3[[#This Row],[priorecol]]="R",1,0)</f>
        <v>1</v>
      </c>
      <c r="AO59" s="3">
        <f>VLOOKUP(Tableau3[[#This Row],[essence]],Tableau7[],19,FALSE)</f>
        <v>8.2400000000000001E-2</v>
      </c>
      <c r="AP59" s="3">
        <f>IF(Tableau3[[#This Row],[priorecol]]="S",1,0)</f>
        <v>0</v>
      </c>
      <c r="AQ59" s="3">
        <f>VLOOKUP(Tableau3[[#This Row],[essence]],Tableau7[],21,FALSE)</f>
        <v>0</v>
      </c>
      <c r="AR59" s="3">
        <f>VLOOKUP(Tableau3[[#This Row],[essence]],Tableau7[],16,FALSE)</f>
        <v>0</v>
      </c>
      <c r="AS5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59" s="3">
        <f>Tableau3[[#This Row],[xb_]]+Tableau3[[#This Row],[b_intercept_C]]</f>
        <v>3.7308000000000003</v>
      </c>
      <c r="AU59" s="3">
        <f>Tableau3[[#This Row],[xb_]]+Tableau3[[#This Row],[b_intercept_B]]</f>
        <v>1.6504000000000001</v>
      </c>
      <c r="AV59" s="3">
        <f>1/(1+EXP(-Tableau3[[#This Row],[xb_c]]))</f>
        <v>0.97658763068619281</v>
      </c>
      <c r="AW59" s="3">
        <f>1/(1+EXP(-Tableau3[[#This Row],[xb_b]]))</f>
        <v>0.83894510423772972</v>
      </c>
      <c r="AX59" s="3" t="str">
        <f t="shared" si="1"/>
        <v>NA</v>
      </c>
      <c r="AY59" s="3">
        <f>Tableau3[[#This Row],[prob_b]]</f>
        <v>0.83894510423772972</v>
      </c>
      <c r="AZ59" s="3">
        <f>Tableau3[[#This Row],[prob_c]]-Tableau3[[#This Row],[prob_b]]</f>
        <v>0.13764252644846309</v>
      </c>
      <c r="BA59" s="3">
        <f>1-Tableau3[[#This Row],[prob_c]]</f>
        <v>2.3412369313807191E-2</v>
      </c>
    </row>
    <row r="60" spans="1:53" x14ac:dyDescent="0.25">
      <c r="A60" s="2">
        <v>7</v>
      </c>
      <c r="B60" s="2" t="s">
        <v>15</v>
      </c>
      <c r="C60" s="4">
        <v>2.1</v>
      </c>
      <c r="D60" s="4">
        <v>700</v>
      </c>
      <c r="E60" s="4">
        <v>20</v>
      </c>
      <c r="F60" s="4">
        <v>1</v>
      </c>
      <c r="G60" s="2">
        <v>38</v>
      </c>
      <c r="H60" s="2">
        <v>35</v>
      </c>
      <c r="I60" s="2" t="s">
        <v>23</v>
      </c>
      <c r="J60" s="2" t="s">
        <v>28</v>
      </c>
      <c r="K60" s="2">
        <f>VLOOKUP(Tableau3[[#This Row],[essence]],Tableau7[],2,FALSE)</f>
        <v>-3.9003999999999999</v>
      </c>
      <c r="L60" s="3">
        <f>VLOOKUP(Tableau3[[#This Row],[essence]],Tableau7[],3,FALSE)</f>
        <v>-1.7661</v>
      </c>
      <c r="M60" s="3">
        <f>VLOOKUP(Tableau3[[#This Row],[essence]],Tableau7[],4,FALSE)</f>
        <v>1.9438</v>
      </c>
      <c r="N60" s="3">
        <f>IF(Tableau3[[#This Row],[priorecol]]="C",1,0)</f>
        <v>0</v>
      </c>
      <c r="O60" s="3">
        <f>VLOOKUP(Tableau3[[#This Row],[essence]],Tableau7[],5,FALSE)</f>
        <v>2.9834000000000001</v>
      </c>
      <c r="P60" s="3">
        <f>IF(Tableau3[[#This Row],[priorecol]]="R",1,0)</f>
        <v>1</v>
      </c>
      <c r="Q60" s="3">
        <f>VLOOKUP(Tableau3[[#This Row],[essence]],Tableau7[],6,FALSE)</f>
        <v>1.0873999999999999</v>
      </c>
      <c r="R60" s="3">
        <f>IF(Tableau3[[#This Row],[priorecol]]="S",1,0)</f>
        <v>0</v>
      </c>
      <c r="S60" s="3">
        <f>VLOOKUP(Tableau3[[#This Row],[essence]],Tableau7[],7,FALSE)</f>
        <v>6.4000000000000001E-2</v>
      </c>
      <c r="T60" s="3">
        <f>VLOOKUP(Tableau3[[#This Row],[essence]],Tableau7[],15,FALSE)</f>
        <v>7.5199999999999998E-3</v>
      </c>
      <c r="U60" s="3">
        <f>VLOOKUP(Tableau3[[#This Row],[essence]],Tableau7[],20,FALSE)</f>
        <v>0.17810000000000001</v>
      </c>
      <c r="V60" s="3">
        <f>IF(Tableau3[[#This Row],[sdom]]=1,1,0)</f>
        <v>0</v>
      </c>
      <c r="W60" s="3">
        <f>VLOOKUP(Tableau3[[#This Row],[essence]],Tableau7[],8,FALSE)</f>
        <v>0.29430000000000001</v>
      </c>
      <c r="X60" s="3">
        <f>IF(Tableau3[[#This Row],[sdom]]="2EST",1,0)</f>
        <v>0</v>
      </c>
      <c r="Y60" s="3">
        <f>VLOOKUP(Tableau3[[#This Row],[essence]],Tableau7[],9,FALSE)</f>
        <v>0.11260000000000001</v>
      </c>
      <c r="Z60" s="3">
        <f>IF(Tableau3[[#This Row],[sdom]]="2OUEST",1,0)</f>
        <v>0</v>
      </c>
      <c r="AA60" s="3">
        <f>VLOOKUP(Tableau3[[#This Row],[essence]],Tableau7[],10,FALSE)</f>
        <v>1.2999999999999999E-2</v>
      </c>
      <c r="AB60" s="3">
        <f>IF(Tableau3[[#This Row],[sdom]]="3EST",1,0)</f>
        <v>0</v>
      </c>
      <c r="AC60" s="3">
        <f>VLOOKUP(Tableau3[[#This Row],[essence]],Tableau7[],11,FALSE)</f>
        <v>0.17150000000000001</v>
      </c>
      <c r="AD60" s="3">
        <f>IF(Tableau3[[#This Row],[sdom]]="3OUEST",1,0)</f>
        <v>0</v>
      </c>
      <c r="AE60" s="3">
        <f>VLOOKUP(Tableau3[[#This Row],[essence]],Tableau7[],12,FALSE)</f>
        <v>-0.1308</v>
      </c>
      <c r="AF60" s="3">
        <f>IF(Tableau3[[#This Row],[sdom]]="4EST",1,0)</f>
        <v>0</v>
      </c>
      <c r="AG60" s="3">
        <f>VLOOKUP(Tableau3[[#This Row],[essence]],Tableau7[],13,FALSE)</f>
        <v>-0.2858</v>
      </c>
      <c r="AH60" s="3">
        <f>IF(Tableau3[[#This Row],[sdom]]="4OUEST",1,0)</f>
        <v>1</v>
      </c>
      <c r="AI60" s="3">
        <f>VLOOKUP(Tableau3[[#This Row],[essence]],Tableau7[],14,FALSE)</f>
        <v>0</v>
      </c>
      <c r="AJ60" s="3">
        <f>IF(Tableau3[[#This Row],[sdom]]="5EST",1,0)</f>
        <v>0</v>
      </c>
      <c r="AK60" s="3">
        <f>VLOOKUP(Tableau3[[#This Row],[essence]],Tableau7[],17,FALSE)</f>
        <v>0</v>
      </c>
      <c r="AL60" s="3">
        <f>IF(Tableau3[[#This Row],[priorecol]]="C",1,0)</f>
        <v>0</v>
      </c>
      <c r="AM60" s="3">
        <f>VLOOKUP(Tableau3[[#This Row],[essence]],Tableau7[],18,FALSE)</f>
        <v>0</v>
      </c>
      <c r="AN60" s="3">
        <f>IF(Tableau3[[#This Row],[priorecol]]="R",1,0)</f>
        <v>1</v>
      </c>
      <c r="AO60" s="3">
        <f>VLOOKUP(Tableau3[[#This Row],[essence]],Tableau7[],19,FALSE)</f>
        <v>0</v>
      </c>
      <c r="AP60" s="3">
        <f>IF(Tableau3[[#This Row],[priorecol]]="S",1,0)</f>
        <v>0</v>
      </c>
      <c r="AQ60" s="3">
        <f>VLOOKUP(Tableau3[[#This Row],[essence]],Tableau7[],21,FALSE)</f>
        <v>0</v>
      </c>
      <c r="AR60" s="3">
        <f>VLOOKUP(Tableau3[[#This Row],[essence]],Tableau7[],16,FALSE)</f>
        <v>0</v>
      </c>
      <c r="AS6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5.0880000000000001</v>
      </c>
      <c r="AT60" s="3">
        <f>Tableau3[[#This Row],[xb_]]+Tableau3[[#This Row],[b_intercept_C]]</f>
        <v>3.3219000000000003</v>
      </c>
      <c r="AU60" s="3">
        <f>Tableau3[[#This Row],[xb_]]+Tableau3[[#This Row],[b_intercept_B]]</f>
        <v>1.1876000000000002</v>
      </c>
      <c r="AV60" s="3">
        <f>1/(1+EXP(-Tableau3[[#This Row],[xb_c]]))</f>
        <v>0.96517251555538308</v>
      </c>
      <c r="AW60" s="3">
        <f>1/(1+EXP(-Tableau3[[#This Row],[xb_b]]))</f>
        <v>0.76631155137862361</v>
      </c>
      <c r="AX60" s="3" t="str">
        <f t="shared" si="1"/>
        <v>NA</v>
      </c>
      <c r="AY60" s="3">
        <f>Tableau3[[#This Row],[prob_b]]</f>
        <v>0.76631155137862361</v>
      </c>
      <c r="AZ60" s="3">
        <f>Tableau3[[#This Row],[prob_c]]-Tableau3[[#This Row],[prob_b]]</f>
        <v>0.19886096417675947</v>
      </c>
      <c r="BA60" s="3">
        <f>1-Tableau3[[#This Row],[prob_c]]</f>
        <v>3.4827484444616919E-2</v>
      </c>
    </row>
    <row r="61" spans="1:53" x14ac:dyDescent="0.25">
      <c r="A61" s="3">
        <v>7</v>
      </c>
      <c r="B61" s="3" t="s">
        <v>15</v>
      </c>
      <c r="C61" s="1">
        <v>2.1</v>
      </c>
      <c r="D61" s="1">
        <v>700</v>
      </c>
      <c r="E61" s="1">
        <v>20</v>
      </c>
      <c r="F61" s="1">
        <v>1</v>
      </c>
      <c r="G61" s="3">
        <v>44</v>
      </c>
      <c r="H61" s="3">
        <v>35</v>
      </c>
      <c r="I61" s="3" t="s">
        <v>25</v>
      </c>
      <c r="J61" s="3" t="s">
        <v>28</v>
      </c>
      <c r="K61" s="3">
        <f>VLOOKUP(Tableau3[[#This Row],[essence]],Tableau7[],2,FALSE)</f>
        <v>-2.9584999999999999</v>
      </c>
      <c r="L61" s="3">
        <f>VLOOKUP(Tableau3[[#This Row],[essence]],Tableau7[],3,FALSE)</f>
        <v>-1.1581999999999999</v>
      </c>
      <c r="M61" s="3">
        <f>VLOOKUP(Tableau3[[#This Row],[essence]],Tableau7[],4,FALSE)</f>
        <v>1.3563000000000001</v>
      </c>
      <c r="N61" s="3">
        <f>IF(Tableau3[[#This Row],[priorecol]]="C",1,0)</f>
        <v>0</v>
      </c>
      <c r="O61" s="3">
        <f>VLOOKUP(Tableau3[[#This Row],[essence]],Tableau7[],5,FALSE)</f>
        <v>2.0564</v>
      </c>
      <c r="P61" s="3">
        <f>IF(Tableau3[[#This Row],[priorecol]]="R",1,0)</f>
        <v>1</v>
      </c>
      <c r="Q61" s="3">
        <f>VLOOKUP(Tableau3[[#This Row],[essence]],Tableau7[],6,FALSE)</f>
        <v>1.3911</v>
      </c>
      <c r="R61" s="3">
        <f>IF(Tableau3[[#This Row],[priorecol]]="S",1,0)</f>
        <v>0</v>
      </c>
      <c r="S61" s="3">
        <f>VLOOKUP(Tableau3[[#This Row],[essence]],Tableau7[],7,FALSE)</f>
        <v>0</v>
      </c>
      <c r="T61" s="3">
        <f>VLOOKUP(Tableau3[[#This Row],[essence]],Tableau7[],15,FALSE)</f>
        <v>0</v>
      </c>
      <c r="U61" s="3">
        <f>VLOOKUP(Tableau3[[#This Row],[essence]],Tableau7[],20,FALSE)</f>
        <v>0</v>
      </c>
      <c r="V61" s="3">
        <f>IF(Tableau3[[#This Row],[sdom]]=1,1,0)</f>
        <v>0</v>
      </c>
      <c r="W61" s="3">
        <f>VLOOKUP(Tableau3[[#This Row],[essence]],Tableau7[],8,FALSE)</f>
        <v>0.19420000000000001</v>
      </c>
      <c r="X61" s="3">
        <f>IF(Tableau3[[#This Row],[sdom]]="2EST",1,0)</f>
        <v>0</v>
      </c>
      <c r="Y61" s="3">
        <f>VLOOKUP(Tableau3[[#This Row],[essence]],Tableau7[],9,FALSE)</f>
        <v>-0.1956</v>
      </c>
      <c r="Z61" s="3">
        <f>IF(Tableau3[[#This Row],[sdom]]="2OUEST",1,0)</f>
        <v>0</v>
      </c>
      <c r="AA61" s="3">
        <f>VLOOKUP(Tableau3[[#This Row],[essence]],Tableau7[],10,FALSE)</f>
        <v>-0.1221</v>
      </c>
      <c r="AB61" s="3">
        <f>IF(Tableau3[[#This Row],[sdom]]="3EST",1,0)</f>
        <v>0</v>
      </c>
      <c r="AC61" s="3">
        <f>VLOOKUP(Tableau3[[#This Row],[essence]],Tableau7[],11,FALSE)</f>
        <v>0.16789999999999999</v>
      </c>
      <c r="AD61" s="3">
        <f>IF(Tableau3[[#This Row],[sdom]]="3OUEST",1,0)</f>
        <v>0</v>
      </c>
      <c r="AE61" s="3">
        <f>VLOOKUP(Tableau3[[#This Row],[essence]],Tableau7[],12,FALSE)</f>
        <v>0</v>
      </c>
      <c r="AF61" s="3">
        <f>IF(Tableau3[[#This Row],[sdom]]="4EST",1,0)</f>
        <v>0</v>
      </c>
      <c r="AG61" s="3">
        <f>VLOOKUP(Tableau3[[#This Row],[essence]],Tableau7[],13,FALSE)</f>
        <v>0</v>
      </c>
      <c r="AH61" s="3">
        <f>IF(Tableau3[[#This Row],[sdom]]="4OUEST",1,0)</f>
        <v>1</v>
      </c>
      <c r="AI61" s="3">
        <f>VLOOKUP(Tableau3[[#This Row],[essence]],Tableau7[],14,FALSE)</f>
        <v>0</v>
      </c>
      <c r="AJ61" s="3">
        <f>IF(Tableau3[[#This Row],[sdom]]="5EST",1,0)</f>
        <v>0</v>
      </c>
      <c r="AK61" s="3">
        <f>VLOOKUP(Tableau3[[#This Row],[essence]],Tableau7[],17,FALSE)</f>
        <v>0</v>
      </c>
      <c r="AL61" s="3">
        <f>IF(Tableau3[[#This Row],[priorecol]]="C",1,0)</f>
        <v>0</v>
      </c>
      <c r="AM61" s="3">
        <f>VLOOKUP(Tableau3[[#This Row],[essence]],Tableau7[],18,FALSE)</f>
        <v>0</v>
      </c>
      <c r="AN61" s="3">
        <f>IF(Tableau3[[#This Row],[priorecol]]="R",1,0)</f>
        <v>1</v>
      </c>
      <c r="AO61" s="3">
        <f>VLOOKUP(Tableau3[[#This Row],[essence]],Tableau7[],19,FALSE)</f>
        <v>0</v>
      </c>
      <c r="AP61" s="3">
        <f>IF(Tableau3[[#This Row],[priorecol]]="S",1,0)</f>
        <v>0</v>
      </c>
      <c r="AQ61" s="3">
        <f>VLOOKUP(Tableau3[[#This Row],[essence]],Tableau7[],21,FALSE)</f>
        <v>0.2979</v>
      </c>
      <c r="AR61" s="3">
        <f>VLOOKUP(Tableau3[[#This Row],[essence]],Tableau7[],16,FALSE)</f>
        <v>0.154</v>
      </c>
      <c r="AS6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2.6776999999999997</v>
      </c>
      <c r="AT61" s="3">
        <f>Tableau3[[#This Row],[xb_]]+Tableau3[[#This Row],[b_intercept_C]]</f>
        <v>1.5194999999999999</v>
      </c>
      <c r="AU61" s="3">
        <f>Tableau3[[#This Row],[xb_]]+Tableau3[[#This Row],[b_intercept_B]]</f>
        <v>-0.28080000000000016</v>
      </c>
      <c r="AV61" s="3">
        <f>1/(1+EXP(-Tableau3[[#This Row],[xb_c]]))</f>
        <v>0.82046484125085628</v>
      </c>
      <c r="AW61" s="3">
        <f>1/(1+EXP(-Tableau3[[#This Row],[xb_b]]))</f>
        <v>0.43025765632455171</v>
      </c>
      <c r="AX61" s="3" t="str">
        <f t="shared" si="1"/>
        <v>NA</v>
      </c>
      <c r="AY61" s="3">
        <f>Tableau3[[#This Row],[prob_b]]</f>
        <v>0.43025765632455171</v>
      </c>
      <c r="AZ61" s="3">
        <f>Tableau3[[#This Row],[prob_c]]-Tableau3[[#This Row],[prob_b]]</f>
        <v>0.39020718492630457</v>
      </c>
      <c r="BA61" s="3">
        <f>1-Tableau3[[#This Row],[prob_c]]</f>
        <v>0.17953515874914372</v>
      </c>
    </row>
    <row r="62" spans="1:53" x14ac:dyDescent="0.25">
      <c r="A62" s="2">
        <v>8</v>
      </c>
      <c r="B62" s="2" t="s">
        <v>16</v>
      </c>
      <c r="C62" s="4">
        <v>2.1</v>
      </c>
      <c r="D62" s="4">
        <v>700</v>
      </c>
      <c r="E62" s="4">
        <v>20</v>
      </c>
      <c r="F62" s="4">
        <v>1</v>
      </c>
      <c r="G62" s="2">
        <v>26</v>
      </c>
      <c r="H62" s="2">
        <v>35</v>
      </c>
      <c r="I62" s="2" t="s">
        <v>19</v>
      </c>
      <c r="J62" s="2" t="s">
        <v>28</v>
      </c>
      <c r="K62" s="2">
        <f>VLOOKUP(Tableau3[[#This Row],[essence]],Tableau7[],2,FALSE)</f>
        <v>-3.7313999999999998</v>
      </c>
      <c r="L62" s="3">
        <f>VLOOKUP(Tableau3[[#This Row],[essence]],Tableau7[],3,FALSE)</f>
        <v>-1.7194</v>
      </c>
      <c r="M62" s="3">
        <f>VLOOKUP(Tableau3[[#This Row],[essence]],Tableau7[],4,FALSE)</f>
        <v>1.5371999999999999</v>
      </c>
      <c r="N62" s="3">
        <f>IF(Tableau3[[#This Row],[priorecol]]="C",1,0)</f>
        <v>0</v>
      </c>
      <c r="O62" s="3">
        <f>VLOOKUP(Tableau3[[#This Row],[essence]],Tableau7[],5,FALSE)</f>
        <v>2.5815000000000001</v>
      </c>
      <c r="P62" s="3">
        <f>IF(Tableau3[[#This Row],[priorecol]]="R",1,0)</f>
        <v>1</v>
      </c>
      <c r="Q62" s="3">
        <f>VLOOKUP(Tableau3[[#This Row],[essence]],Tableau7[],6,FALSE)</f>
        <v>0.96079999999999999</v>
      </c>
      <c r="R62" s="3">
        <f>IF(Tableau3[[#This Row],[priorecol]]="S",1,0)</f>
        <v>0</v>
      </c>
      <c r="S62" s="3">
        <f>VLOOKUP(Tableau3[[#This Row],[essence]],Tableau7[],7,FALSE)</f>
        <v>4.2799999999999998E-2</v>
      </c>
      <c r="T62" s="3">
        <f>VLOOKUP(Tableau3[[#This Row],[essence]],Tableau7[],15,FALSE)</f>
        <v>1.54E-2</v>
      </c>
      <c r="U62" s="3">
        <f>VLOOKUP(Tableau3[[#This Row],[essence]],Tableau7[],20,FALSE)</f>
        <v>0</v>
      </c>
      <c r="V62" s="3">
        <f>IF(Tableau3[[#This Row],[sdom]]=1,1,0)</f>
        <v>0</v>
      </c>
      <c r="W62" s="3">
        <f>VLOOKUP(Tableau3[[#This Row],[essence]],Tableau7[],8,FALSE)</f>
        <v>2.3900000000000001E-2</v>
      </c>
      <c r="X62" s="3">
        <f>IF(Tableau3[[#This Row],[sdom]]="2EST",1,0)</f>
        <v>0</v>
      </c>
      <c r="Y62" s="3">
        <f>VLOOKUP(Tableau3[[#This Row],[essence]],Tableau7[],9,FALSE)</f>
        <v>-0.4793</v>
      </c>
      <c r="Z62" s="3">
        <f>IF(Tableau3[[#This Row],[sdom]]="2OUEST",1,0)</f>
        <v>0</v>
      </c>
      <c r="AA62" s="3">
        <f>VLOOKUP(Tableau3[[#This Row],[essence]],Tableau7[],10,FALSE)</f>
        <v>0.13880000000000001</v>
      </c>
      <c r="AB62" s="3">
        <f>IF(Tableau3[[#This Row],[sdom]]="3EST",1,0)</f>
        <v>0</v>
      </c>
      <c r="AC62" s="3">
        <f>VLOOKUP(Tableau3[[#This Row],[essence]],Tableau7[],11,FALSE)</f>
        <v>0.27039999999999997</v>
      </c>
      <c r="AD62" s="3">
        <f>IF(Tableau3[[#This Row],[sdom]]="3OUEST",1,0)</f>
        <v>0</v>
      </c>
      <c r="AE62" s="3">
        <f>VLOOKUP(Tableau3[[#This Row],[essence]],Tableau7[],12,FALSE)</f>
        <v>4.6600000000000001E-3</v>
      </c>
      <c r="AF62" s="3">
        <f>IF(Tableau3[[#This Row],[sdom]]="4EST",1,0)</f>
        <v>0</v>
      </c>
      <c r="AG62" s="3">
        <f>VLOOKUP(Tableau3[[#This Row],[essence]],Tableau7[],13,FALSE)</f>
        <v>0.1986</v>
      </c>
      <c r="AH62" s="3">
        <f>IF(Tableau3[[#This Row],[sdom]]="4OUEST",1,0)</f>
        <v>0</v>
      </c>
      <c r="AI62" s="3">
        <f>VLOOKUP(Tableau3[[#This Row],[essence]],Tableau7[],14,FALSE)</f>
        <v>-0.2535</v>
      </c>
      <c r="AJ62" s="3">
        <f>IF(Tableau3[[#This Row],[sdom]]="5EST",1,0)</f>
        <v>1</v>
      </c>
      <c r="AK62" s="3">
        <f>VLOOKUP(Tableau3[[#This Row],[essence]],Tableau7[],17,FALSE)</f>
        <v>0</v>
      </c>
      <c r="AL62" s="3">
        <f>IF(Tableau3[[#This Row],[priorecol]]="C",1,0)</f>
        <v>0</v>
      </c>
      <c r="AM62" s="3">
        <f>VLOOKUP(Tableau3[[#This Row],[essence]],Tableau7[],18,FALSE)</f>
        <v>0</v>
      </c>
      <c r="AN62" s="3">
        <f>IF(Tableau3[[#This Row],[priorecol]]="R",1,0)</f>
        <v>1</v>
      </c>
      <c r="AO62" s="3">
        <f>VLOOKUP(Tableau3[[#This Row],[essence]],Tableau7[],19,FALSE)</f>
        <v>0</v>
      </c>
      <c r="AP62" s="3">
        <f>IF(Tableau3[[#This Row],[priorecol]]="S",1,0)</f>
        <v>0</v>
      </c>
      <c r="AQ62" s="3">
        <f>VLOOKUP(Tableau3[[#This Row],[essence]],Tableau7[],21,FALSE)</f>
        <v>0</v>
      </c>
      <c r="AR62" s="3">
        <f>VLOOKUP(Tableau3[[#This Row],[essence]],Tableau7[],16,FALSE)</f>
        <v>0.123</v>
      </c>
      <c r="AS6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4.3923000000000005</v>
      </c>
      <c r="AT62" s="3">
        <f>Tableau3[[#This Row],[xb_]]+Tableau3[[#This Row],[b_intercept_C]]</f>
        <v>2.6729000000000003</v>
      </c>
      <c r="AU62" s="3">
        <f>Tableau3[[#This Row],[xb_]]+Tableau3[[#This Row],[b_intercept_B]]</f>
        <v>0.66090000000000071</v>
      </c>
      <c r="AV62" s="3">
        <f>1/(1+EXP(-Tableau3[[#This Row],[xb_c]]))</f>
        <v>0.9354084692411716</v>
      </c>
      <c r="AW62" s="3">
        <f>1/(1+EXP(-Tableau3[[#This Row],[xb_b]]))</f>
        <v>0.65946253197943305</v>
      </c>
      <c r="AX62" s="3" t="str">
        <f t="shared" si="1"/>
        <v>NA</v>
      </c>
      <c r="AY62" s="3">
        <f>Tableau3[[#This Row],[prob_b]]</f>
        <v>0.65946253197943305</v>
      </c>
      <c r="AZ62" s="3">
        <f>Tableau3[[#This Row],[prob_c]]-Tableau3[[#This Row],[prob_b]]</f>
        <v>0.27594593726173855</v>
      </c>
      <c r="BA62" s="3">
        <f>1-Tableau3[[#This Row],[prob_c]]</f>
        <v>6.4591530758828397E-2</v>
      </c>
    </row>
    <row r="63" spans="1:53" x14ac:dyDescent="0.25">
      <c r="A63" s="3">
        <v>8</v>
      </c>
      <c r="B63" s="3" t="s">
        <v>16</v>
      </c>
      <c r="C63" s="1">
        <v>2.1</v>
      </c>
      <c r="D63" s="1">
        <v>700</v>
      </c>
      <c r="E63" s="1">
        <v>20</v>
      </c>
      <c r="F63" s="1">
        <v>1</v>
      </c>
      <c r="G63" s="3">
        <v>32</v>
      </c>
      <c r="H63" s="3">
        <v>35</v>
      </c>
      <c r="I63" s="3" t="s">
        <v>21</v>
      </c>
      <c r="J63" s="3" t="s">
        <v>28</v>
      </c>
      <c r="K63" s="3">
        <f>VLOOKUP(Tableau3[[#This Row],[essence]],Tableau7[],2,FALSE)</f>
        <v>-0.68799999999999994</v>
      </c>
      <c r="L63" s="3">
        <f>VLOOKUP(Tableau3[[#This Row],[essence]],Tableau7[],3,FALSE)</f>
        <v>1.3924000000000001</v>
      </c>
      <c r="M63" s="3">
        <f>VLOOKUP(Tableau3[[#This Row],[essence]],Tableau7[],4,FALSE)</f>
        <v>0.41599999999999998</v>
      </c>
      <c r="N63" s="3">
        <f>IF(Tableau3[[#This Row],[priorecol]]="C",1,0)</f>
        <v>0</v>
      </c>
      <c r="O63" s="3">
        <f>VLOOKUP(Tableau3[[#This Row],[essence]],Tableau7[],5,FALSE)</f>
        <v>1.5604</v>
      </c>
      <c r="P63" s="3">
        <f>IF(Tableau3[[#This Row],[priorecol]]="R",1,0)</f>
        <v>1</v>
      </c>
      <c r="Q63" s="3">
        <f>VLOOKUP(Tableau3[[#This Row],[essence]],Tableau7[],6,FALSE)</f>
        <v>-0.64770000000000005</v>
      </c>
      <c r="R63" s="3">
        <f>IF(Tableau3[[#This Row],[priorecol]]="S",1,0)</f>
        <v>0</v>
      </c>
      <c r="S63" s="3">
        <f>VLOOKUP(Tableau3[[#This Row],[essence]],Tableau7[],7,FALSE)</f>
        <v>0</v>
      </c>
      <c r="T63" s="3">
        <f>VLOOKUP(Tableau3[[#This Row],[essence]],Tableau7[],15,FALSE)</f>
        <v>-2.4500000000000001E-2</v>
      </c>
      <c r="U63" s="3">
        <f>VLOOKUP(Tableau3[[#This Row],[essence]],Tableau7[],20,FALSE)</f>
        <v>0.15179999999999999</v>
      </c>
      <c r="V63" s="3">
        <f>IF(Tableau3[[#This Row],[sdom]]=1,1,0)</f>
        <v>0</v>
      </c>
      <c r="W63" s="3">
        <f>VLOOKUP(Tableau3[[#This Row],[essence]],Tableau7[],8,FALSE)</f>
        <v>0</v>
      </c>
      <c r="X63" s="3">
        <f>IF(Tableau3[[#This Row],[sdom]]="2EST",1,0)</f>
        <v>0</v>
      </c>
      <c r="Y63" s="3">
        <f>VLOOKUP(Tableau3[[#This Row],[essence]],Tableau7[],9,FALSE)</f>
        <v>-0.27589999999999998</v>
      </c>
      <c r="Z63" s="3">
        <f>IF(Tableau3[[#This Row],[sdom]]="2OUEST",1,0)</f>
        <v>0</v>
      </c>
      <c r="AA63" s="3">
        <f>VLOOKUP(Tableau3[[#This Row],[essence]],Tableau7[],10,FALSE)</f>
        <v>0</v>
      </c>
      <c r="AB63" s="3">
        <f>IF(Tableau3[[#This Row],[sdom]]="3EST",1,0)</f>
        <v>0</v>
      </c>
      <c r="AC63" s="3">
        <f>VLOOKUP(Tableau3[[#This Row],[essence]],Tableau7[],11,FALSE)</f>
        <v>0</v>
      </c>
      <c r="AD63" s="3">
        <f>IF(Tableau3[[#This Row],[sdom]]="3OUEST",1,0)</f>
        <v>0</v>
      </c>
      <c r="AE63" s="3">
        <f>VLOOKUP(Tableau3[[#This Row],[essence]],Tableau7[],12,FALSE)</f>
        <v>0</v>
      </c>
      <c r="AF63" s="3">
        <f>IF(Tableau3[[#This Row],[sdom]]="4EST",1,0)</f>
        <v>0</v>
      </c>
      <c r="AG63" s="3">
        <f>VLOOKUP(Tableau3[[#This Row],[essence]],Tableau7[],13,FALSE)</f>
        <v>0</v>
      </c>
      <c r="AH63" s="3">
        <f>IF(Tableau3[[#This Row],[sdom]]="4OUEST",1,0)</f>
        <v>0</v>
      </c>
      <c r="AI63" s="3">
        <f>VLOOKUP(Tableau3[[#This Row],[essence]],Tableau7[],14,FALSE)</f>
        <v>0</v>
      </c>
      <c r="AJ63" s="3">
        <f>IF(Tableau3[[#This Row],[sdom]]="5EST",1,0)</f>
        <v>1</v>
      </c>
      <c r="AK63" s="3">
        <f>VLOOKUP(Tableau3[[#This Row],[essence]],Tableau7[],17,FALSE)</f>
        <v>6.4199999999999993E-2</v>
      </c>
      <c r="AL63" s="3">
        <f>IF(Tableau3[[#This Row],[priorecol]]="C",1,0)</f>
        <v>0</v>
      </c>
      <c r="AM63" s="3">
        <f>VLOOKUP(Tableau3[[#This Row],[essence]],Tableau7[],18,FALSE)</f>
        <v>6.3399999999999998E-2</v>
      </c>
      <c r="AN63" s="3">
        <f>IF(Tableau3[[#This Row],[priorecol]]="R",1,0)</f>
        <v>1</v>
      </c>
      <c r="AO63" s="3">
        <f>VLOOKUP(Tableau3[[#This Row],[essence]],Tableau7[],19,FALSE)</f>
        <v>8.2400000000000001E-2</v>
      </c>
      <c r="AP63" s="3">
        <f>IF(Tableau3[[#This Row],[priorecol]]="S",1,0)</f>
        <v>0</v>
      </c>
      <c r="AQ63" s="3">
        <f>VLOOKUP(Tableau3[[#This Row],[essence]],Tableau7[],21,FALSE)</f>
        <v>0</v>
      </c>
      <c r="AR63" s="3">
        <f>VLOOKUP(Tableau3[[#This Row],[essence]],Tableau7[],16,FALSE)</f>
        <v>0</v>
      </c>
      <c r="AS6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2.3384</v>
      </c>
      <c r="AT63" s="3">
        <f>Tableau3[[#This Row],[xb_]]+Tableau3[[#This Row],[b_intercept_C]]</f>
        <v>3.7308000000000003</v>
      </c>
      <c r="AU63" s="3">
        <f>Tableau3[[#This Row],[xb_]]+Tableau3[[#This Row],[b_intercept_B]]</f>
        <v>1.6504000000000001</v>
      </c>
      <c r="AV63" s="3">
        <f>1/(1+EXP(-Tableau3[[#This Row],[xb_c]]))</f>
        <v>0.97658763068619281</v>
      </c>
      <c r="AW63" s="3">
        <f>1/(1+EXP(-Tableau3[[#This Row],[xb_b]]))</f>
        <v>0.83894510423772972</v>
      </c>
      <c r="AX63" s="3" t="str">
        <f t="shared" si="1"/>
        <v>NA</v>
      </c>
      <c r="AY63" s="3">
        <f>Tableau3[[#This Row],[prob_b]]</f>
        <v>0.83894510423772972</v>
      </c>
      <c r="AZ63" s="3">
        <f>Tableau3[[#This Row],[prob_c]]-Tableau3[[#This Row],[prob_b]]</f>
        <v>0.13764252644846309</v>
      </c>
      <c r="BA63" s="3">
        <f>1-Tableau3[[#This Row],[prob_c]]</f>
        <v>2.3412369313807191E-2</v>
      </c>
    </row>
    <row r="64" spans="1:53" x14ac:dyDescent="0.25">
      <c r="A64" s="2">
        <v>8</v>
      </c>
      <c r="B64" s="2" t="s">
        <v>16</v>
      </c>
      <c r="C64" s="4">
        <v>2.1</v>
      </c>
      <c r="D64" s="4">
        <v>700</v>
      </c>
      <c r="E64" s="4">
        <v>20</v>
      </c>
      <c r="F64" s="4">
        <v>1</v>
      </c>
      <c r="G64" s="2">
        <v>38</v>
      </c>
      <c r="H64" s="2">
        <v>35</v>
      </c>
      <c r="I64" s="2" t="s">
        <v>23</v>
      </c>
      <c r="J64" s="2" t="s">
        <v>28</v>
      </c>
      <c r="K64" s="2">
        <f>VLOOKUP(Tableau3[[#This Row],[essence]],Tableau7[],2,FALSE)</f>
        <v>-3.9003999999999999</v>
      </c>
      <c r="L64" s="3">
        <f>VLOOKUP(Tableau3[[#This Row],[essence]],Tableau7[],3,FALSE)</f>
        <v>-1.7661</v>
      </c>
      <c r="M64" s="3">
        <f>VLOOKUP(Tableau3[[#This Row],[essence]],Tableau7[],4,FALSE)</f>
        <v>1.9438</v>
      </c>
      <c r="N64" s="3">
        <f>IF(Tableau3[[#This Row],[priorecol]]="C",1,0)</f>
        <v>0</v>
      </c>
      <c r="O64" s="3">
        <f>VLOOKUP(Tableau3[[#This Row],[essence]],Tableau7[],5,FALSE)</f>
        <v>2.9834000000000001</v>
      </c>
      <c r="P64" s="3">
        <f>IF(Tableau3[[#This Row],[priorecol]]="R",1,0)</f>
        <v>1</v>
      </c>
      <c r="Q64" s="3">
        <f>VLOOKUP(Tableau3[[#This Row],[essence]],Tableau7[],6,FALSE)</f>
        <v>1.0873999999999999</v>
      </c>
      <c r="R64" s="3">
        <f>IF(Tableau3[[#This Row],[priorecol]]="S",1,0)</f>
        <v>0</v>
      </c>
      <c r="S64" s="3">
        <f>VLOOKUP(Tableau3[[#This Row],[essence]],Tableau7[],7,FALSE)</f>
        <v>6.4000000000000001E-2</v>
      </c>
      <c r="T64" s="3">
        <f>VLOOKUP(Tableau3[[#This Row],[essence]],Tableau7[],15,FALSE)</f>
        <v>7.5199999999999998E-3</v>
      </c>
      <c r="U64" s="3">
        <f>VLOOKUP(Tableau3[[#This Row],[essence]],Tableau7[],20,FALSE)</f>
        <v>0.17810000000000001</v>
      </c>
      <c r="V64" s="3">
        <f>IF(Tableau3[[#This Row],[sdom]]=1,1,0)</f>
        <v>0</v>
      </c>
      <c r="W64" s="3">
        <f>VLOOKUP(Tableau3[[#This Row],[essence]],Tableau7[],8,FALSE)</f>
        <v>0.29430000000000001</v>
      </c>
      <c r="X64" s="3">
        <f>IF(Tableau3[[#This Row],[sdom]]="2EST",1,0)</f>
        <v>0</v>
      </c>
      <c r="Y64" s="3">
        <f>VLOOKUP(Tableau3[[#This Row],[essence]],Tableau7[],9,FALSE)</f>
        <v>0.11260000000000001</v>
      </c>
      <c r="Z64" s="3">
        <f>IF(Tableau3[[#This Row],[sdom]]="2OUEST",1,0)</f>
        <v>0</v>
      </c>
      <c r="AA64" s="3">
        <f>VLOOKUP(Tableau3[[#This Row],[essence]],Tableau7[],10,FALSE)</f>
        <v>1.2999999999999999E-2</v>
      </c>
      <c r="AB64" s="3">
        <f>IF(Tableau3[[#This Row],[sdom]]="3EST",1,0)</f>
        <v>0</v>
      </c>
      <c r="AC64" s="3">
        <f>VLOOKUP(Tableau3[[#This Row],[essence]],Tableau7[],11,FALSE)</f>
        <v>0.17150000000000001</v>
      </c>
      <c r="AD64" s="3">
        <f>IF(Tableau3[[#This Row],[sdom]]="3OUEST",1,0)</f>
        <v>0</v>
      </c>
      <c r="AE64" s="3">
        <f>VLOOKUP(Tableau3[[#This Row],[essence]],Tableau7[],12,FALSE)</f>
        <v>-0.1308</v>
      </c>
      <c r="AF64" s="3">
        <f>IF(Tableau3[[#This Row],[sdom]]="4EST",1,0)</f>
        <v>0</v>
      </c>
      <c r="AG64" s="3">
        <f>VLOOKUP(Tableau3[[#This Row],[essence]],Tableau7[],13,FALSE)</f>
        <v>-0.2858</v>
      </c>
      <c r="AH64" s="3">
        <f>IF(Tableau3[[#This Row],[sdom]]="4OUEST",1,0)</f>
        <v>0</v>
      </c>
      <c r="AI64" s="3">
        <f>VLOOKUP(Tableau3[[#This Row],[essence]],Tableau7[],14,FALSE)</f>
        <v>0</v>
      </c>
      <c r="AJ64" s="3">
        <f>IF(Tableau3[[#This Row],[sdom]]="5EST",1,0)</f>
        <v>1</v>
      </c>
      <c r="AK64" s="3">
        <f>VLOOKUP(Tableau3[[#This Row],[essence]],Tableau7[],17,FALSE)</f>
        <v>0</v>
      </c>
      <c r="AL64" s="3">
        <f>IF(Tableau3[[#This Row],[priorecol]]="C",1,0)</f>
        <v>0</v>
      </c>
      <c r="AM64" s="3">
        <f>VLOOKUP(Tableau3[[#This Row],[essence]],Tableau7[],18,FALSE)</f>
        <v>0</v>
      </c>
      <c r="AN64" s="3">
        <f>IF(Tableau3[[#This Row],[priorecol]]="R",1,0)</f>
        <v>1</v>
      </c>
      <c r="AO64" s="3">
        <f>VLOOKUP(Tableau3[[#This Row],[essence]],Tableau7[],19,FALSE)</f>
        <v>0</v>
      </c>
      <c r="AP64" s="3">
        <f>IF(Tableau3[[#This Row],[priorecol]]="S",1,0)</f>
        <v>0</v>
      </c>
      <c r="AQ64" s="3">
        <f>VLOOKUP(Tableau3[[#This Row],[essence]],Tableau7[],21,FALSE)</f>
        <v>0</v>
      </c>
      <c r="AR64" s="3">
        <f>VLOOKUP(Tableau3[[#This Row],[essence]],Tableau7[],16,FALSE)</f>
        <v>0</v>
      </c>
      <c r="AS6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5.3738000000000001</v>
      </c>
      <c r="AT64" s="3">
        <f>Tableau3[[#This Row],[xb_]]+Tableau3[[#This Row],[b_intercept_C]]</f>
        <v>3.6077000000000004</v>
      </c>
      <c r="AU64" s="3">
        <f>Tableau3[[#This Row],[xb_]]+Tableau3[[#This Row],[b_intercept_B]]</f>
        <v>1.4734000000000003</v>
      </c>
      <c r="AV64" s="3">
        <f>1/(1+EXP(-Tableau3[[#This Row],[xb_c]]))</f>
        <v>0.9736016312838186</v>
      </c>
      <c r="AW64" s="3">
        <f>1/(1+EXP(-Tableau3[[#This Row],[xb_b]]))</f>
        <v>0.81357361930684713</v>
      </c>
      <c r="AX64" s="3" t="str">
        <f t="shared" si="1"/>
        <v>NA</v>
      </c>
      <c r="AY64" s="3">
        <f>Tableau3[[#This Row],[prob_b]]</f>
        <v>0.81357361930684713</v>
      </c>
      <c r="AZ64" s="3">
        <f>Tableau3[[#This Row],[prob_c]]-Tableau3[[#This Row],[prob_b]]</f>
        <v>0.16002801197697147</v>
      </c>
      <c r="BA64" s="3">
        <f>1-Tableau3[[#This Row],[prob_c]]</f>
        <v>2.6398368716181397E-2</v>
      </c>
    </row>
    <row r="65" spans="1:53" x14ac:dyDescent="0.25">
      <c r="A65" s="3">
        <v>8</v>
      </c>
      <c r="B65" s="3" t="s">
        <v>16</v>
      </c>
      <c r="C65" s="1">
        <v>2.1</v>
      </c>
      <c r="D65" s="1">
        <v>700</v>
      </c>
      <c r="E65" s="1">
        <v>20</v>
      </c>
      <c r="F65" s="1">
        <v>1</v>
      </c>
      <c r="G65" s="3">
        <v>44</v>
      </c>
      <c r="H65" s="3">
        <v>35</v>
      </c>
      <c r="I65" s="3" t="s">
        <v>25</v>
      </c>
      <c r="J65" s="3" t="s">
        <v>28</v>
      </c>
      <c r="K65" s="3">
        <f>VLOOKUP(Tableau3[[#This Row],[essence]],Tableau7[],2,FALSE)</f>
        <v>-2.9584999999999999</v>
      </c>
      <c r="L65" s="3">
        <f>VLOOKUP(Tableau3[[#This Row],[essence]],Tableau7[],3,FALSE)</f>
        <v>-1.1581999999999999</v>
      </c>
      <c r="M65" s="3">
        <f>VLOOKUP(Tableau3[[#This Row],[essence]],Tableau7[],4,FALSE)</f>
        <v>1.3563000000000001</v>
      </c>
      <c r="N65" s="3">
        <f>IF(Tableau3[[#This Row],[priorecol]]="C",1,0)</f>
        <v>0</v>
      </c>
      <c r="O65" s="3">
        <f>VLOOKUP(Tableau3[[#This Row],[essence]],Tableau7[],5,FALSE)</f>
        <v>2.0564</v>
      </c>
      <c r="P65" s="3">
        <f>IF(Tableau3[[#This Row],[priorecol]]="R",1,0)</f>
        <v>1</v>
      </c>
      <c r="Q65" s="3">
        <f>VLOOKUP(Tableau3[[#This Row],[essence]],Tableau7[],6,FALSE)</f>
        <v>1.3911</v>
      </c>
      <c r="R65" s="3">
        <f>IF(Tableau3[[#This Row],[priorecol]]="S",1,0)</f>
        <v>0</v>
      </c>
      <c r="S65" s="3">
        <f>VLOOKUP(Tableau3[[#This Row],[essence]],Tableau7[],7,FALSE)</f>
        <v>0</v>
      </c>
      <c r="T65" s="3">
        <f>VLOOKUP(Tableau3[[#This Row],[essence]],Tableau7[],15,FALSE)</f>
        <v>0</v>
      </c>
      <c r="U65" s="3">
        <f>VLOOKUP(Tableau3[[#This Row],[essence]],Tableau7[],20,FALSE)</f>
        <v>0</v>
      </c>
      <c r="V65" s="3">
        <f>IF(Tableau3[[#This Row],[sdom]]=1,1,0)</f>
        <v>0</v>
      </c>
      <c r="W65" s="3">
        <f>VLOOKUP(Tableau3[[#This Row],[essence]],Tableau7[],8,FALSE)</f>
        <v>0.19420000000000001</v>
      </c>
      <c r="X65" s="3">
        <f>IF(Tableau3[[#This Row],[sdom]]="2EST",1,0)</f>
        <v>0</v>
      </c>
      <c r="Y65" s="3">
        <f>VLOOKUP(Tableau3[[#This Row],[essence]],Tableau7[],9,FALSE)</f>
        <v>-0.1956</v>
      </c>
      <c r="Z65" s="3">
        <f>IF(Tableau3[[#This Row],[sdom]]="2OUEST",1,0)</f>
        <v>0</v>
      </c>
      <c r="AA65" s="3">
        <f>VLOOKUP(Tableau3[[#This Row],[essence]],Tableau7[],10,FALSE)</f>
        <v>-0.1221</v>
      </c>
      <c r="AB65" s="3">
        <f>IF(Tableau3[[#This Row],[sdom]]="3EST",1,0)</f>
        <v>0</v>
      </c>
      <c r="AC65" s="3">
        <f>VLOOKUP(Tableau3[[#This Row],[essence]],Tableau7[],11,FALSE)</f>
        <v>0.16789999999999999</v>
      </c>
      <c r="AD65" s="3">
        <f>IF(Tableau3[[#This Row],[sdom]]="3OUEST",1,0)</f>
        <v>0</v>
      </c>
      <c r="AE65" s="3">
        <f>VLOOKUP(Tableau3[[#This Row],[essence]],Tableau7[],12,FALSE)</f>
        <v>0</v>
      </c>
      <c r="AF65" s="3">
        <f>IF(Tableau3[[#This Row],[sdom]]="4EST",1,0)</f>
        <v>0</v>
      </c>
      <c r="AG65" s="3">
        <f>VLOOKUP(Tableau3[[#This Row],[essence]],Tableau7[],13,FALSE)</f>
        <v>0</v>
      </c>
      <c r="AH65" s="3">
        <f>IF(Tableau3[[#This Row],[sdom]]="4OUEST",1,0)</f>
        <v>0</v>
      </c>
      <c r="AI65" s="3">
        <f>VLOOKUP(Tableau3[[#This Row],[essence]],Tableau7[],14,FALSE)</f>
        <v>0</v>
      </c>
      <c r="AJ65" s="3">
        <f>IF(Tableau3[[#This Row],[sdom]]="5EST",1,0)</f>
        <v>1</v>
      </c>
      <c r="AK65" s="3">
        <f>VLOOKUP(Tableau3[[#This Row],[essence]],Tableau7[],17,FALSE)</f>
        <v>0</v>
      </c>
      <c r="AL65" s="3">
        <f>IF(Tableau3[[#This Row],[priorecol]]="C",1,0)</f>
        <v>0</v>
      </c>
      <c r="AM65" s="3">
        <f>VLOOKUP(Tableau3[[#This Row],[essence]],Tableau7[],18,FALSE)</f>
        <v>0</v>
      </c>
      <c r="AN65" s="3">
        <f>IF(Tableau3[[#This Row],[priorecol]]="R",1,0)</f>
        <v>1</v>
      </c>
      <c r="AO65" s="3">
        <f>VLOOKUP(Tableau3[[#This Row],[essence]],Tableau7[],19,FALSE)</f>
        <v>0</v>
      </c>
      <c r="AP65" s="3">
        <f>IF(Tableau3[[#This Row],[priorecol]]="S",1,0)</f>
        <v>0</v>
      </c>
      <c r="AQ65" s="3">
        <f>VLOOKUP(Tableau3[[#This Row],[essence]],Tableau7[],21,FALSE)</f>
        <v>0.2979</v>
      </c>
      <c r="AR65" s="3">
        <f>VLOOKUP(Tableau3[[#This Row],[essence]],Tableau7[],16,FALSE)</f>
        <v>0.154</v>
      </c>
      <c r="AS6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2.6776999999999997</v>
      </c>
      <c r="AT65" s="3">
        <f>Tableau3[[#This Row],[xb_]]+Tableau3[[#This Row],[b_intercept_C]]</f>
        <v>1.5194999999999999</v>
      </c>
      <c r="AU65" s="3">
        <f>Tableau3[[#This Row],[xb_]]+Tableau3[[#This Row],[b_intercept_B]]</f>
        <v>-0.28080000000000016</v>
      </c>
      <c r="AV65" s="3">
        <f>1/(1+EXP(-Tableau3[[#This Row],[xb_c]]))</f>
        <v>0.82046484125085628</v>
      </c>
      <c r="AW65" s="3">
        <f>1/(1+EXP(-Tableau3[[#This Row],[xb_b]]))</f>
        <v>0.43025765632455171</v>
      </c>
      <c r="AX65" s="3" t="str">
        <f t="shared" si="1"/>
        <v>NA</v>
      </c>
      <c r="AY65" s="3">
        <f>Tableau3[[#This Row],[prob_b]]</f>
        <v>0.43025765632455171</v>
      </c>
      <c r="AZ65" s="3">
        <f>Tableau3[[#This Row],[prob_c]]-Tableau3[[#This Row],[prob_b]]</f>
        <v>0.39020718492630457</v>
      </c>
      <c r="BA65" s="3">
        <f>1-Tableau3[[#This Row],[prob_c]]</f>
        <v>0.17953515874914372</v>
      </c>
    </row>
    <row r="66" spans="1:53" x14ac:dyDescent="0.25">
      <c r="A66" s="2">
        <v>1</v>
      </c>
      <c r="B66" s="2">
        <v>1</v>
      </c>
      <c r="C66" s="4">
        <v>2.1</v>
      </c>
      <c r="D66" s="4">
        <v>700</v>
      </c>
      <c r="E66" s="4">
        <v>20</v>
      </c>
      <c r="F66" s="4">
        <v>1</v>
      </c>
      <c r="G66" s="2">
        <v>27</v>
      </c>
      <c r="H66" s="2">
        <v>36</v>
      </c>
      <c r="I66" s="2" t="s">
        <v>19</v>
      </c>
      <c r="J66" s="2" t="s">
        <v>29</v>
      </c>
      <c r="K66" s="2">
        <f>VLOOKUP(Tableau3[[#This Row],[essence]],Tableau7[],2,FALSE)</f>
        <v>-3.7313999999999998</v>
      </c>
      <c r="L66" s="3">
        <f>VLOOKUP(Tableau3[[#This Row],[essence]],Tableau7[],3,FALSE)</f>
        <v>-1.7194</v>
      </c>
      <c r="M66" s="3">
        <f>VLOOKUP(Tableau3[[#This Row],[essence]],Tableau7[],4,FALSE)</f>
        <v>1.5371999999999999</v>
      </c>
      <c r="N66" s="3">
        <f>IF(Tableau3[[#This Row],[priorecol]]="C",1,0)</f>
        <v>0</v>
      </c>
      <c r="O66" s="3">
        <f>VLOOKUP(Tableau3[[#This Row],[essence]],Tableau7[],5,FALSE)</f>
        <v>2.5815000000000001</v>
      </c>
      <c r="P66" s="3">
        <f>IF(Tableau3[[#This Row],[priorecol]]="R",1,0)</f>
        <v>0</v>
      </c>
      <c r="Q66" s="3">
        <f>VLOOKUP(Tableau3[[#This Row],[essence]],Tableau7[],6,FALSE)</f>
        <v>0.96079999999999999</v>
      </c>
      <c r="R66" s="3">
        <f>IF(Tableau3[[#This Row],[priorecol]]="S",1,0)</f>
        <v>1</v>
      </c>
      <c r="S66" s="3">
        <f>VLOOKUP(Tableau3[[#This Row],[essence]],Tableau7[],7,FALSE)</f>
        <v>4.2799999999999998E-2</v>
      </c>
      <c r="T66" s="3">
        <f>VLOOKUP(Tableau3[[#This Row],[essence]],Tableau7[],15,FALSE)</f>
        <v>1.54E-2</v>
      </c>
      <c r="U66" s="3">
        <f>VLOOKUP(Tableau3[[#This Row],[essence]],Tableau7[],20,FALSE)</f>
        <v>0</v>
      </c>
      <c r="V66" s="3">
        <f>IF(Tableau3[[#This Row],[sdom]]=1,1,0)</f>
        <v>1</v>
      </c>
      <c r="W66" s="3">
        <f>VLOOKUP(Tableau3[[#This Row],[essence]],Tableau7[],8,FALSE)</f>
        <v>2.3900000000000001E-2</v>
      </c>
      <c r="X66" s="3">
        <f>IF(Tableau3[[#This Row],[sdom]]="2EST",1,0)</f>
        <v>0</v>
      </c>
      <c r="Y66" s="3">
        <f>VLOOKUP(Tableau3[[#This Row],[essence]],Tableau7[],9,FALSE)</f>
        <v>-0.4793</v>
      </c>
      <c r="Z66" s="3">
        <f>IF(Tableau3[[#This Row],[sdom]]="2OUEST",1,0)</f>
        <v>0</v>
      </c>
      <c r="AA66" s="3">
        <f>VLOOKUP(Tableau3[[#This Row],[essence]],Tableau7[],10,FALSE)</f>
        <v>0.13880000000000001</v>
      </c>
      <c r="AB66" s="3">
        <f>IF(Tableau3[[#This Row],[sdom]]="3EST",1,0)</f>
        <v>0</v>
      </c>
      <c r="AC66" s="3">
        <f>VLOOKUP(Tableau3[[#This Row],[essence]],Tableau7[],11,FALSE)</f>
        <v>0.27039999999999997</v>
      </c>
      <c r="AD66" s="3">
        <f>IF(Tableau3[[#This Row],[sdom]]="3OUEST",1,0)</f>
        <v>0</v>
      </c>
      <c r="AE66" s="3">
        <f>VLOOKUP(Tableau3[[#This Row],[essence]],Tableau7[],12,FALSE)</f>
        <v>4.6600000000000001E-3</v>
      </c>
      <c r="AF66" s="3">
        <f>IF(Tableau3[[#This Row],[sdom]]="4EST",1,0)</f>
        <v>0</v>
      </c>
      <c r="AG66" s="3">
        <f>VLOOKUP(Tableau3[[#This Row],[essence]],Tableau7[],13,FALSE)</f>
        <v>0.1986</v>
      </c>
      <c r="AH66" s="3">
        <f>IF(Tableau3[[#This Row],[sdom]]="4OUEST",1,0)</f>
        <v>0</v>
      </c>
      <c r="AI66" s="3">
        <f>VLOOKUP(Tableau3[[#This Row],[essence]],Tableau7[],14,FALSE)</f>
        <v>-0.2535</v>
      </c>
      <c r="AJ66" s="3">
        <f>IF(Tableau3[[#This Row],[sdom]]="5EST",1,0)</f>
        <v>0</v>
      </c>
      <c r="AK66" s="3">
        <f>VLOOKUP(Tableau3[[#This Row],[essence]],Tableau7[],17,FALSE)</f>
        <v>0</v>
      </c>
      <c r="AL66" s="3">
        <f>IF(Tableau3[[#This Row],[priorecol]]="C",1,0)</f>
        <v>0</v>
      </c>
      <c r="AM66" s="3">
        <f>VLOOKUP(Tableau3[[#This Row],[essence]],Tableau7[],18,FALSE)</f>
        <v>0</v>
      </c>
      <c r="AN66" s="3">
        <f>IF(Tableau3[[#This Row],[priorecol]]="R",1,0)</f>
        <v>0</v>
      </c>
      <c r="AO66" s="3">
        <f>VLOOKUP(Tableau3[[#This Row],[essence]],Tableau7[],19,FALSE)</f>
        <v>0</v>
      </c>
      <c r="AP66" s="3">
        <f>IF(Tableau3[[#This Row],[priorecol]]="S",1,0)</f>
        <v>1</v>
      </c>
      <c r="AQ66" s="3">
        <f>VLOOKUP(Tableau3[[#This Row],[essence]],Tableau7[],21,FALSE)</f>
        <v>0</v>
      </c>
      <c r="AR66" s="3">
        <f>VLOOKUP(Tableau3[[#This Row],[essence]],Tableau7[],16,FALSE)</f>
        <v>0.123</v>
      </c>
      <c r="AS6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3.0678999999999998</v>
      </c>
      <c r="AT66" s="3">
        <f>Tableau3[[#This Row],[xb_]]+Tableau3[[#This Row],[b_intercept_C]]</f>
        <v>1.3484999999999998</v>
      </c>
      <c r="AU66" s="3">
        <f>Tableau3[[#This Row],[xb_]]+Tableau3[[#This Row],[b_intercept_B]]</f>
        <v>-0.66349999999999998</v>
      </c>
      <c r="AV66" s="3">
        <f>1/(1+EXP(-Tableau3[[#This Row],[xb_c]]))</f>
        <v>0.793884288359757</v>
      </c>
      <c r="AW66" s="3">
        <f>1/(1+EXP(-Tableau3[[#This Row],[xb_b]]))</f>
        <v>0.33995382390738399</v>
      </c>
      <c r="AX66" s="3" t="str">
        <f t="shared" ref="AX66:AX97" si="2">"NA"</f>
        <v>NA</v>
      </c>
      <c r="AY66" s="3">
        <f>Tableau3[[#This Row],[prob_b]]</f>
        <v>0.33995382390738399</v>
      </c>
      <c r="AZ66" s="3">
        <f>Tableau3[[#This Row],[prob_c]]-Tableau3[[#This Row],[prob_b]]</f>
        <v>0.45393046445237301</v>
      </c>
      <c r="BA66" s="3">
        <f>1-Tableau3[[#This Row],[prob_c]]</f>
        <v>0.206115711640243</v>
      </c>
    </row>
    <row r="67" spans="1:53" x14ac:dyDescent="0.25">
      <c r="A67" s="3">
        <v>1</v>
      </c>
      <c r="B67" s="3">
        <v>1</v>
      </c>
      <c r="C67" s="1">
        <v>2.1</v>
      </c>
      <c r="D67" s="1">
        <v>700</v>
      </c>
      <c r="E67" s="1">
        <v>20</v>
      </c>
      <c r="F67" s="1">
        <v>1</v>
      </c>
      <c r="G67" s="3">
        <v>33</v>
      </c>
      <c r="H67" s="3">
        <v>36</v>
      </c>
      <c r="I67" s="3" t="s">
        <v>21</v>
      </c>
      <c r="J67" s="3" t="s">
        <v>29</v>
      </c>
      <c r="K67" s="3">
        <f>VLOOKUP(Tableau3[[#This Row],[essence]],Tableau7[],2,FALSE)</f>
        <v>-0.68799999999999994</v>
      </c>
      <c r="L67" s="3">
        <f>VLOOKUP(Tableau3[[#This Row],[essence]],Tableau7[],3,FALSE)</f>
        <v>1.3924000000000001</v>
      </c>
      <c r="M67" s="3">
        <f>VLOOKUP(Tableau3[[#This Row],[essence]],Tableau7[],4,FALSE)</f>
        <v>0.41599999999999998</v>
      </c>
      <c r="N67" s="3">
        <f>IF(Tableau3[[#This Row],[priorecol]]="C",1,0)</f>
        <v>0</v>
      </c>
      <c r="O67" s="3">
        <f>VLOOKUP(Tableau3[[#This Row],[essence]],Tableau7[],5,FALSE)</f>
        <v>1.5604</v>
      </c>
      <c r="P67" s="3">
        <f>IF(Tableau3[[#This Row],[priorecol]]="R",1,0)</f>
        <v>0</v>
      </c>
      <c r="Q67" s="3">
        <f>VLOOKUP(Tableau3[[#This Row],[essence]],Tableau7[],6,FALSE)</f>
        <v>-0.64770000000000005</v>
      </c>
      <c r="R67" s="3">
        <f>IF(Tableau3[[#This Row],[priorecol]]="S",1,0)</f>
        <v>1</v>
      </c>
      <c r="S67" s="3">
        <f>VLOOKUP(Tableau3[[#This Row],[essence]],Tableau7[],7,FALSE)</f>
        <v>0</v>
      </c>
      <c r="T67" s="3">
        <f>VLOOKUP(Tableau3[[#This Row],[essence]],Tableau7[],15,FALSE)</f>
        <v>-2.4500000000000001E-2</v>
      </c>
      <c r="U67" s="3">
        <f>VLOOKUP(Tableau3[[#This Row],[essence]],Tableau7[],20,FALSE)</f>
        <v>0.15179999999999999</v>
      </c>
      <c r="V67" s="3">
        <f>IF(Tableau3[[#This Row],[sdom]]=1,1,0)</f>
        <v>1</v>
      </c>
      <c r="W67" s="3">
        <f>VLOOKUP(Tableau3[[#This Row],[essence]],Tableau7[],8,FALSE)</f>
        <v>0</v>
      </c>
      <c r="X67" s="3">
        <f>IF(Tableau3[[#This Row],[sdom]]="2EST",1,0)</f>
        <v>0</v>
      </c>
      <c r="Y67" s="3">
        <f>VLOOKUP(Tableau3[[#This Row],[essence]],Tableau7[],9,FALSE)</f>
        <v>-0.27589999999999998</v>
      </c>
      <c r="Z67" s="3">
        <f>IF(Tableau3[[#This Row],[sdom]]="2OUEST",1,0)</f>
        <v>0</v>
      </c>
      <c r="AA67" s="3">
        <f>VLOOKUP(Tableau3[[#This Row],[essence]],Tableau7[],10,FALSE)</f>
        <v>0</v>
      </c>
      <c r="AB67" s="3">
        <f>IF(Tableau3[[#This Row],[sdom]]="3EST",1,0)</f>
        <v>0</v>
      </c>
      <c r="AC67" s="3">
        <f>VLOOKUP(Tableau3[[#This Row],[essence]],Tableau7[],11,FALSE)</f>
        <v>0</v>
      </c>
      <c r="AD67" s="3">
        <f>IF(Tableau3[[#This Row],[sdom]]="3OUEST",1,0)</f>
        <v>0</v>
      </c>
      <c r="AE67" s="3">
        <f>VLOOKUP(Tableau3[[#This Row],[essence]],Tableau7[],12,FALSE)</f>
        <v>0</v>
      </c>
      <c r="AF67" s="3">
        <f>IF(Tableau3[[#This Row],[sdom]]="4EST",1,0)</f>
        <v>0</v>
      </c>
      <c r="AG67" s="3">
        <f>VLOOKUP(Tableau3[[#This Row],[essence]],Tableau7[],13,FALSE)</f>
        <v>0</v>
      </c>
      <c r="AH67" s="3">
        <f>IF(Tableau3[[#This Row],[sdom]]="4OUEST",1,0)</f>
        <v>0</v>
      </c>
      <c r="AI67" s="3">
        <f>VLOOKUP(Tableau3[[#This Row],[essence]],Tableau7[],14,FALSE)</f>
        <v>0</v>
      </c>
      <c r="AJ67" s="3">
        <f>IF(Tableau3[[#This Row],[sdom]]="5EST",1,0)</f>
        <v>0</v>
      </c>
      <c r="AK67" s="3">
        <f>VLOOKUP(Tableau3[[#This Row],[essence]],Tableau7[],17,FALSE)</f>
        <v>6.4199999999999993E-2</v>
      </c>
      <c r="AL67" s="3">
        <f>IF(Tableau3[[#This Row],[priorecol]]="C",1,0)</f>
        <v>0</v>
      </c>
      <c r="AM67" s="3">
        <f>VLOOKUP(Tableau3[[#This Row],[essence]],Tableau7[],18,FALSE)</f>
        <v>6.3399999999999998E-2</v>
      </c>
      <c r="AN67" s="3">
        <f>IF(Tableau3[[#This Row],[priorecol]]="R",1,0)</f>
        <v>0</v>
      </c>
      <c r="AO67" s="3">
        <f>VLOOKUP(Tableau3[[#This Row],[essence]],Tableau7[],19,FALSE)</f>
        <v>8.2400000000000001E-2</v>
      </c>
      <c r="AP67" s="3">
        <f>IF(Tableau3[[#This Row],[priorecol]]="S",1,0)</f>
        <v>1</v>
      </c>
      <c r="AQ67" s="3">
        <f>VLOOKUP(Tableau3[[#This Row],[essence]],Tableau7[],21,FALSE)</f>
        <v>0</v>
      </c>
      <c r="AR67" s="3">
        <f>VLOOKUP(Tableau3[[#This Row],[essence]],Tableau7[],16,FALSE)</f>
        <v>0</v>
      </c>
      <c r="AS6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0.66209999999999991</v>
      </c>
      <c r="AT67" s="3">
        <f>Tableau3[[#This Row],[xb_]]+Tableau3[[#This Row],[b_intercept_C]]</f>
        <v>2.0545</v>
      </c>
      <c r="AU67" s="3">
        <f>Tableau3[[#This Row],[xb_]]+Tableau3[[#This Row],[b_intercept_B]]</f>
        <v>-2.5900000000000034E-2</v>
      </c>
      <c r="AV67" s="3">
        <f>1/(1+EXP(-Tableau3[[#This Row],[xb_c]]))</f>
        <v>0.88640152957828722</v>
      </c>
      <c r="AW67" s="3">
        <f>1/(1+EXP(-Tableau3[[#This Row],[xb_b]]))</f>
        <v>0.4935253619336169</v>
      </c>
      <c r="AX67" s="3" t="str">
        <f t="shared" si="2"/>
        <v>NA</v>
      </c>
      <c r="AY67" s="3">
        <f>Tableau3[[#This Row],[prob_b]]</f>
        <v>0.4935253619336169</v>
      </c>
      <c r="AZ67" s="3">
        <f>Tableau3[[#This Row],[prob_c]]-Tableau3[[#This Row],[prob_b]]</f>
        <v>0.39287616764467032</v>
      </c>
      <c r="BA67" s="3">
        <f>1-Tableau3[[#This Row],[prob_c]]</f>
        <v>0.11359847042171278</v>
      </c>
    </row>
    <row r="68" spans="1:53" x14ac:dyDescent="0.25">
      <c r="A68" s="2">
        <v>1</v>
      </c>
      <c r="B68" s="2">
        <v>1</v>
      </c>
      <c r="C68" s="4">
        <v>2.1</v>
      </c>
      <c r="D68" s="4">
        <v>700</v>
      </c>
      <c r="E68" s="4">
        <v>20</v>
      </c>
      <c r="F68" s="4">
        <v>1</v>
      </c>
      <c r="G68" s="2">
        <v>39</v>
      </c>
      <c r="H68" s="2">
        <v>36</v>
      </c>
      <c r="I68" s="2" t="s">
        <v>23</v>
      </c>
      <c r="J68" s="2" t="s">
        <v>29</v>
      </c>
      <c r="K68" s="2">
        <f>VLOOKUP(Tableau3[[#This Row],[essence]],Tableau7[],2,FALSE)</f>
        <v>-3.9003999999999999</v>
      </c>
      <c r="L68" s="3">
        <f>VLOOKUP(Tableau3[[#This Row],[essence]],Tableau7[],3,FALSE)</f>
        <v>-1.7661</v>
      </c>
      <c r="M68" s="3">
        <f>VLOOKUP(Tableau3[[#This Row],[essence]],Tableau7[],4,FALSE)</f>
        <v>1.9438</v>
      </c>
      <c r="N68" s="3">
        <f>IF(Tableau3[[#This Row],[priorecol]]="C",1,0)</f>
        <v>0</v>
      </c>
      <c r="O68" s="3">
        <f>VLOOKUP(Tableau3[[#This Row],[essence]],Tableau7[],5,FALSE)</f>
        <v>2.9834000000000001</v>
      </c>
      <c r="P68" s="3">
        <f>IF(Tableau3[[#This Row],[priorecol]]="R",1,0)</f>
        <v>0</v>
      </c>
      <c r="Q68" s="3">
        <f>VLOOKUP(Tableau3[[#This Row],[essence]],Tableau7[],6,FALSE)</f>
        <v>1.0873999999999999</v>
      </c>
      <c r="R68" s="3">
        <f>IF(Tableau3[[#This Row],[priorecol]]="S",1,0)</f>
        <v>1</v>
      </c>
      <c r="S68" s="3">
        <f>VLOOKUP(Tableau3[[#This Row],[essence]],Tableau7[],7,FALSE)</f>
        <v>6.4000000000000001E-2</v>
      </c>
      <c r="T68" s="3">
        <f>VLOOKUP(Tableau3[[#This Row],[essence]],Tableau7[],15,FALSE)</f>
        <v>7.5199999999999998E-3</v>
      </c>
      <c r="U68" s="3">
        <f>VLOOKUP(Tableau3[[#This Row],[essence]],Tableau7[],20,FALSE)</f>
        <v>0.17810000000000001</v>
      </c>
      <c r="V68" s="3">
        <f>IF(Tableau3[[#This Row],[sdom]]=1,1,0)</f>
        <v>1</v>
      </c>
      <c r="W68" s="3">
        <f>VLOOKUP(Tableau3[[#This Row],[essence]],Tableau7[],8,FALSE)</f>
        <v>0.29430000000000001</v>
      </c>
      <c r="X68" s="3">
        <f>IF(Tableau3[[#This Row],[sdom]]="2EST",1,0)</f>
        <v>0</v>
      </c>
      <c r="Y68" s="3">
        <f>VLOOKUP(Tableau3[[#This Row],[essence]],Tableau7[],9,FALSE)</f>
        <v>0.11260000000000001</v>
      </c>
      <c r="Z68" s="3">
        <f>IF(Tableau3[[#This Row],[sdom]]="2OUEST",1,0)</f>
        <v>0</v>
      </c>
      <c r="AA68" s="3">
        <f>VLOOKUP(Tableau3[[#This Row],[essence]],Tableau7[],10,FALSE)</f>
        <v>1.2999999999999999E-2</v>
      </c>
      <c r="AB68" s="3">
        <f>IF(Tableau3[[#This Row],[sdom]]="3EST",1,0)</f>
        <v>0</v>
      </c>
      <c r="AC68" s="3">
        <f>VLOOKUP(Tableau3[[#This Row],[essence]],Tableau7[],11,FALSE)</f>
        <v>0.17150000000000001</v>
      </c>
      <c r="AD68" s="3">
        <f>IF(Tableau3[[#This Row],[sdom]]="3OUEST",1,0)</f>
        <v>0</v>
      </c>
      <c r="AE68" s="3">
        <f>VLOOKUP(Tableau3[[#This Row],[essence]],Tableau7[],12,FALSE)</f>
        <v>-0.1308</v>
      </c>
      <c r="AF68" s="3">
        <f>IF(Tableau3[[#This Row],[sdom]]="4EST",1,0)</f>
        <v>0</v>
      </c>
      <c r="AG68" s="3">
        <f>VLOOKUP(Tableau3[[#This Row],[essence]],Tableau7[],13,FALSE)</f>
        <v>-0.2858</v>
      </c>
      <c r="AH68" s="3">
        <f>IF(Tableau3[[#This Row],[sdom]]="4OUEST",1,0)</f>
        <v>0</v>
      </c>
      <c r="AI68" s="3">
        <f>VLOOKUP(Tableau3[[#This Row],[essence]],Tableau7[],14,FALSE)</f>
        <v>0</v>
      </c>
      <c r="AJ68" s="3">
        <f>IF(Tableau3[[#This Row],[sdom]]="5EST",1,0)</f>
        <v>0</v>
      </c>
      <c r="AK68" s="3">
        <f>VLOOKUP(Tableau3[[#This Row],[essence]],Tableau7[],17,FALSE)</f>
        <v>0</v>
      </c>
      <c r="AL68" s="3">
        <f>IF(Tableau3[[#This Row],[priorecol]]="C",1,0)</f>
        <v>0</v>
      </c>
      <c r="AM68" s="3">
        <f>VLOOKUP(Tableau3[[#This Row],[essence]],Tableau7[],18,FALSE)</f>
        <v>0</v>
      </c>
      <c r="AN68" s="3">
        <f>IF(Tableau3[[#This Row],[priorecol]]="R",1,0)</f>
        <v>0</v>
      </c>
      <c r="AO68" s="3">
        <f>VLOOKUP(Tableau3[[#This Row],[essence]],Tableau7[],19,FALSE)</f>
        <v>0</v>
      </c>
      <c r="AP68" s="3">
        <f>IF(Tableau3[[#This Row],[priorecol]]="S",1,0)</f>
        <v>1</v>
      </c>
      <c r="AQ68" s="3">
        <f>VLOOKUP(Tableau3[[#This Row],[essence]],Tableau7[],21,FALSE)</f>
        <v>0</v>
      </c>
      <c r="AR68" s="3">
        <f>VLOOKUP(Tableau3[[#This Row],[essence]],Tableau7[],16,FALSE)</f>
        <v>0</v>
      </c>
      <c r="AS6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3.7199</v>
      </c>
      <c r="AT68" s="3">
        <f>Tableau3[[#This Row],[xb_]]+Tableau3[[#This Row],[b_intercept_C]]</f>
        <v>1.9538</v>
      </c>
      <c r="AU68" s="3">
        <f>Tableau3[[#This Row],[xb_]]+Tableau3[[#This Row],[b_intercept_B]]</f>
        <v>-0.18049999999999988</v>
      </c>
      <c r="AV68" s="3">
        <f>1/(1+EXP(-Tableau3[[#This Row],[xb_c]]))</f>
        <v>0.87586040231649964</v>
      </c>
      <c r="AW68" s="3">
        <f>1/(1+EXP(-Tableau3[[#This Row],[xb_b]]))</f>
        <v>0.45499711746876392</v>
      </c>
      <c r="AX68" s="3" t="str">
        <f t="shared" si="2"/>
        <v>NA</v>
      </c>
      <c r="AY68" s="3">
        <f>Tableau3[[#This Row],[prob_b]]</f>
        <v>0.45499711746876392</v>
      </c>
      <c r="AZ68" s="3">
        <f>Tableau3[[#This Row],[prob_c]]-Tableau3[[#This Row],[prob_b]]</f>
        <v>0.42086328484773572</v>
      </c>
      <c r="BA68" s="3">
        <f>1-Tableau3[[#This Row],[prob_c]]</f>
        <v>0.12413959768350036</v>
      </c>
    </row>
    <row r="69" spans="1:53" x14ac:dyDescent="0.25">
      <c r="A69" s="3">
        <v>1</v>
      </c>
      <c r="B69" s="3">
        <v>1</v>
      </c>
      <c r="C69" s="1">
        <v>2.1</v>
      </c>
      <c r="D69" s="1">
        <v>700</v>
      </c>
      <c r="E69" s="1">
        <v>20</v>
      </c>
      <c r="F69" s="1">
        <v>1</v>
      </c>
      <c r="G69" s="3">
        <v>45</v>
      </c>
      <c r="H69" s="3">
        <v>36</v>
      </c>
      <c r="I69" s="3" t="s">
        <v>25</v>
      </c>
      <c r="J69" s="3" t="s">
        <v>29</v>
      </c>
      <c r="K69" s="3">
        <f>VLOOKUP(Tableau3[[#This Row],[essence]],Tableau7[],2,FALSE)</f>
        <v>-2.9584999999999999</v>
      </c>
      <c r="L69" s="3">
        <f>VLOOKUP(Tableau3[[#This Row],[essence]],Tableau7[],3,FALSE)</f>
        <v>-1.1581999999999999</v>
      </c>
      <c r="M69" s="3">
        <f>VLOOKUP(Tableau3[[#This Row],[essence]],Tableau7[],4,FALSE)</f>
        <v>1.3563000000000001</v>
      </c>
      <c r="N69" s="3">
        <f>IF(Tableau3[[#This Row],[priorecol]]="C",1,0)</f>
        <v>0</v>
      </c>
      <c r="O69" s="3">
        <f>VLOOKUP(Tableau3[[#This Row],[essence]],Tableau7[],5,FALSE)</f>
        <v>2.0564</v>
      </c>
      <c r="P69" s="3">
        <f>IF(Tableau3[[#This Row],[priorecol]]="R",1,0)</f>
        <v>0</v>
      </c>
      <c r="Q69" s="3">
        <f>VLOOKUP(Tableau3[[#This Row],[essence]],Tableau7[],6,FALSE)</f>
        <v>1.3911</v>
      </c>
      <c r="R69" s="3">
        <f>IF(Tableau3[[#This Row],[priorecol]]="S",1,0)</f>
        <v>1</v>
      </c>
      <c r="S69" s="3">
        <f>VLOOKUP(Tableau3[[#This Row],[essence]],Tableau7[],7,FALSE)</f>
        <v>0</v>
      </c>
      <c r="T69" s="3">
        <f>VLOOKUP(Tableau3[[#This Row],[essence]],Tableau7[],15,FALSE)</f>
        <v>0</v>
      </c>
      <c r="U69" s="3">
        <f>VLOOKUP(Tableau3[[#This Row],[essence]],Tableau7[],20,FALSE)</f>
        <v>0</v>
      </c>
      <c r="V69" s="3">
        <f>IF(Tableau3[[#This Row],[sdom]]=1,1,0)</f>
        <v>1</v>
      </c>
      <c r="W69" s="3">
        <f>VLOOKUP(Tableau3[[#This Row],[essence]],Tableau7[],8,FALSE)</f>
        <v>0.19420000000000001</v>
      </c>
      <c r="X69" s="3">
        <f>IF(Tableau3[[#This Row],[sdom]]="2EST",1,0)</f>
        <v>0</v>
      </c>
      <c r="Y69" s="3">
        <f>VLOOKUP(Tableau3[[#This Row],[essence]],Tableau7[],9,FALSE)</f>
        <v>-0.1956</v>
      </c>
      <c r="Z69" s="3">
        <f>IF(Tableau3[[#This Row],[sdom]]="2OUEST",1,0)</f>
        <v>0</v>
      </c>
      <c r="AA69" s="3">
        <f>VLOOKUP(Tableau3[[#This Row],[essence]],Tableau7[],10,FALSE)</f>
        <v>-0.1221</v>
      </c>
      <c r="AB69" s="3">
        <f>IF(Tableau3[[#This Row],[sdom]]="3EST",1,0)</f>
        <v>0</v>
      </c>
      <c r="AC69" s="3">
        <f>VLOOKUP(Tableau3[[#This Row],[essence]],Tableau7[],11,FALSE)</f>
        <v>0.16789999999999999</v>
      </c>
      <c r="AD69" s="3">
        <f>IF(Tableau3[[#This Row],[sdom]]="3OUEST",1,0)</f>
        <v>0</v>
      </c>
      <c r="AE69" s="3">
        <f>VLOOKUP(Tableau3[[#This Row],[essence]],Tableau7[],12,FALSE)</f>
        <v>0</v>
      </c>
      <c r="AF69" s="3">
        <f>IF(Tableau3[[#This Row],[sdom]]="4EST",1,0)</f>
        <v>0</v>
      </c>
      <c r="AG69" s="3">
        <f>VLOOKUP(Tableau3[[#This Row],[essence]],Tableau7[],13,FALSE)</f>
        <v>0</v>
      </c>
      <c r="AH69" s="3">
        <f>IF(Tableau3[[#This Row],[sdom]]="4OUEST",1,0)</f>
        <v>0</v>
      </c>
      <c r="AI69" s="3">
        <f>VLOOKUP(Tableau3[[#This Row],[essence]],Tableau7[],14,FALSE)</f>
        <v>0</v>
      </c>
      <c r="AJ69" s="3">
        <f>IF(Tableau3[[#This Row],[sdom]]="5EST",1,0)</f>
        <v>0</v>
      </c>
      <c r="AK69" s="3">
        <f>VLOOKUP(Tableau3[[#This Row],[essence]],Tableau7[],17,FALSE)</f>
        <v>0</v>
      </c>
      <c r="AL69" s="3">
        <f>IF(Tableau3[[#This Row],[priorecol]]="C",1,0)</f>
        <v>0</v>
      </c>
      <c r="AM69" s="3">
        <f>VLOOKUP(Tableau3[[#This Row],[essence]],Tableau7[],18,FALSE)</f>
        <v>0</v>
      </c>
      <c r="AN69" s="3">
        <f>IF(Tableau3[[#This Row],[priorecol]]="R",1,0)</f>
        <v>0</v>
      </c>
      <c r="AO69" s="3">
        <f>VLOOKUP(Tableau3[[#This Row],[essence]],Tableau7[],19,FALSE)</f>
        <v>0</v>
      </c>
      <c r="AP69" s="3">
        <f>IF(Tableau3[[#This Row],[priorecol]]="S",1,0)</f>
        <v>1</v>
      </c>
      <c r="AQ69" s="3">
        <f>VLOOKUP(Tableau3[[#This Row],[essence]],Tableau7[],21,FALSE)</f>
        <v>0.2979</v>
      </c>
      <c r="AR69" s="3">
        <f>VLOOKUP(Tableau3[[#This Row],[essence]],Tableau7[],16,FALSE)</f>
        <v>0.154</v>
      </c>
      <c r="AS6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2.0124</v>
      </c>
      <c r="AT69" s="3">
        <f>Tableau3[[#This Row],[xb_]]+Tableau3[[#This Row],[b_intercept_C]]</f>
        <v>0.85420000000000007</v>
      </c>
      <c r="AU69" s="3">
        <f>Tableau3[[#This Row],[xb_]]+Tableau3[[#This Row],[b_intercept_B]]</f>
        <v>-0.94609999999999994</v>
      </c>
      <c r="AV69" s="3">
        <f>1/(1+EXP(-Tableau3[[#This Row],[xb_c]]))</f>
        <v>0.70144744547823523</v>
      </c>
      <c r="AW69" s="3">
        <f>1/(1+EXP(-Tableau3[[#This Row],[xb_b]]))</f>
        <v>0.27966981942845942</v>
      </c>
      <c r="AX69" s="3" t="str">
        <f t="shared" si="2"/>
        <v>NA</v>
      </c>
      <c r="AY69" s="3">
        <f>Tableau3[[#This Row],[prob_b]]</f>
        <v>0.27966981942845942</v>
      </c>
      <c r="AZ69" s="3">
        <f>Tableau3[[#This Row],[prob_c]]-Tableau3[[#This Row],[prob_b]]</f>
        <v>0.42177762604977581</v>
      </c>
      <c r="BA69" s="3">
        <f>1-Tableau3[[#This Row],[prob_c]]</f>
        <v>0.29855255452176477</v>
      </c>
    </row>
    <row r="70" spans="1:53" x14ac:dyDescent="0.25">
      <c r="A70" s="2">
        <v>2</v>
      </c>
      <c r="B70" s="2" t="s">
        <v>10</v>
      </c>
      <c r="C70" s="4">
        <v>2.1</v>
      </c>
      <c r="D70" s="4">
        <v>828</v>
      </c>
      <c r="E70" s="4">
        <v>29</v>
      </c>
      <c r="F70" s="4">
        <v>0</v>
      </c>
      <c r="G70" s="2">
        <v>27</v>
      </c>
      <c r="H70" s="2">
        <v>36</v>
      </c>
      <c r="I70" s="2" t="s">
        <v>19</v>
      </c>
      <c r="J70" s="2" t="s">
        <v>29</v>
      </c>
      <c r="K70" s="2">
        <f>VLOOKUP(Tableau3[[#This Row],[essence]],Tableau7[],2,FALSE)</f>
        <v>-3.7313999999999998</v>
      </c>
      <c r="L70" s="3">
        <f>VLOOKUP(Tableau3[[#This Row],[essence]],Tableau7[],3,FALSE)</f>
        <v>-1.7194</v>
      </c>
      <c r="M70" s="3">
        <f>VLOOKUP(Tableau3[[#This Row],[essence]],Tableau7[],4,FALSE)</f>
        <v>1.5371999999999999</v>
      </c>
      <c r="N70" s="3">
        <f>IF(Tableau3[[#This Row],[priorecol]]="C",1,0)</f>
        <v>0</v>
      </c>
      <c r="O70" s="3">
        <f>VLOOKUP(Tableau3[[#This Row],[essence]],Tableau7[],5,FALSE)</f>
        <v>2.5815000000000001</v>
      </c>
      <c r="P70" s="3">
        <f>IF(Tableau3[[#This Row],[priorecol]]="R",1,0)</f>
        <v>0</v>
      </c>
      <c r="Q70" s="3">
        <f>VLOOKUP(Tableau3[[#This Row],[essence]],Tableau7[],6,FALSE)</f>
        <v>0.96079999999999999</v>
      </c>
      <c r="R70" s="3">
        <f>IF(Tableau3[[#This Row],[priorecol]]="S",1,0)</f>
        <v>1</v>
      </c>
      <c r="S70" s="3">
        <f>VLOOKUP(Tableau3[[#This Row],[essence]],Tableau7[],7,FALSE)</f>
        <v>4.2799999999999998E-2</v>
      </c>
      <c r="T70" s="3">
        <f>VLOOKUP(Tableau3[[#This Row],[essence]],Tableau7[],15,FALSE)</f>
        <v>1.54E-2</v>
      </c>
      <c r="U70" s="3">
        <f>VLOOKUP(Tableau3[[#This Row],[essence]],Tableau7[],20,FALSE)</f>
        <v>0</v>
      </c>
      <c r="V70" s="3">
        <f>IF(Tableau3[[#This Row],[sdom]]=1,1,0)</f>
        <v>0</v>
      </c>
      <c r="W70" s="3">
        <f>VLOOKUP(Tableau3[[#This Row],[essence]],Tableau7[],8,FALSE)</f>
        <v>2.3900000000000001E-2</v>
      </c>
      <c r="X70" s="3">
        <f>IF(Tableau3[[#This Row],[sdom]]="2EST",1,0)</f>
        <v>1</v>
      </c>
      <c r="Y70" s="3">
        <f>VLOOKUP(Tableau3[[#This Row],[essence]],Tableau7[],9,FALSE)</f>
        <v>-0.4793</v>
      </c>
      <c r="Z70" s="3">
        <f>IF(Tableau3[[#This Row],[sdom]]="2OUEST",1,0)</f>
        <v>0</v>
      </c>
      <c r="AA70" s="3">
        <f>VLOOKUP(Tableau3[[#This Row],[essence]],Tableau7[],10,FALSE)</f>
        <v>0.13880000000000001</v>
      </c>
      <c r="AB70" s="3">
        <f>IF(Tableau3[[#This Row],[sdom]]="3EST",1,0)</f>
        <v>0</v>
      </c>
      <c r="AC70" s="3">
        <f>VLOOKUP(Tableau3[[#This Row],[essence]],Tableau7[],11,FALSE)</f>
        <v>0.27039999999999997</v>
      </c>
      <c r="AD70" s="3">
        <f>IF(Tableau3[[#This Row],[sdom]]="3OUEST",1,0)</f>
        <v>0</v>
      </c>
      <c r="AE70" s="3">
        <f>VLOOKUP(Tableau3[[#This Row],[essence]],Tableau7[],12,FALSE)</f>
        <v>4.6600000000000001E-3</v>
      </c>
      <c r="AF70" s="3">
        <f>IF(Tableau3[[#This Row],[sdom]]="4EST",1,0)</f>
        <v>0</v>
      </c>
      <c r="AG70" s="3">
        <f>VLOOKUP(Tableau3[[#This Row],[essence]],Tableau7[],13,FALSE)</f>
        <v>0.1986</v>
      </c>
      <c r="AH70" s="3">
        <f>IF(Tableau3[[#This Row],[sdom]]="4OUEST",1,0)</f>
        <v>0</v>
      </c>
      <c r="AI70" s="3">
        <f>VLOOKUP(Tableau3[[#This Row],[essence]],Tableau7[],14,FALSE)</f>
        <v>-0.2535</v>
      </c>
      <c r="AJ70" s="3">
        <f>IF(Tableau3[[#This Row],[sdom]]="5EST",1,0)</f>
        <v>0</v>
      </c>
      <c r="AK70" s="3">
        <f>VLOOKUP(Tableau3[[#This Row],[essence]],Tableau7[],17,FALSE)</f>
        <v>0</v>
      </c>
      <c r="AL70" s="3">
        <f>IF(Tableau3[[#This Row],[priorecol]]="C",1,0)</f>
        <v>0</v>
      </c>
      <c r="AM70" s="3">
        <f>VLOOKUP(Tableau3[[#This Row],[essence]],Tableau7[],18,FALSE)</f>
        <v>0</v>
      </c>
      <c r="AN70" s="3">
        <f>IF(Tableau3[[#This Row],[priorecol]]="R",1,0)</f>
        <v>0</v>
      </c>
      <c r="AO70" s="3">
        <f>VLOOKUP(Tableau3[[#This Row],[essence]],Tableau7[],19,FALSE)</f>
        <v>0</v>
      </c>
      <c r="AP70" s="3">
        <f>IF(Tableau3[[#This Row],[priorecol]]="S",1,0)</f>
        <v>1</v>
      </c>
      <c r="AQ70" s="3">
        <f>VLOOKUP(Tableau3[[#This Row],[essence]],Tableau7[],21,FALSE)</f>
        <v>0</v>
      </c>
      <c r="AR70" s="3">
        <f>VLOOKUP(Tableau3[[#This Row],[essence]],Tableau7[],16,FALSE)</f>
        <v>0.123</v>
      </c>
      <c r="AS7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3.2303999999999999</v>
      </c>
      <c r="AT70" s="3">
        <f>Tableau3[[#This Row],[xb_]]+Tableau3[[#This Row],[b_intercept_C]]</f>
        <v>1.5109999999999999</v>
      </c>
      <c r="AU70" s="3">
        <f>Tableau3[[#This Row],[xb_]]+Tableau3[[#This Row],[b_intercept_B]]</f>
        <v>-0.50099999999999989</v>
      </c>
      <c r="AV70" s="3">
        <f>1/(1+EXP(-Tableau3[[#This Row],[xb_c]]))</f>
        <v>0.81920935951202878</v>
      </c>
      <c r="AW70" s="3">
        <f>1/(1+EXP(-Tableau3[[#This Row],[xb_b]]))</f>
        <v>0.37730569388039636</v>
      </c>
      <c r="AX70" s="3" t="str">
        <f t="shared" si="2"/>
        <v>NA</v>
      </c>
      <c r="AY70" s="3">
        <f>Tableau3[[#This Row],[prob_b]]</f>
        <v>0.37730569388039636</v>
      </c>
      <c r="AZ70" s="3">
        <f>Tableau3[[#This Row],[prob_c]]-Tableau3[[#This Row],[prob_b]]</f>
        <v>0.44190366563163241</v>
      </c>
      <c r="BA70" s="3">
        <f>1-Tableau3[[#This Row],[prob_c]]</f>
        <v>0.18079064048797122</v>
      </c>
    </row>
    <row r="71" spans="1:53" x14ac:dyDescent="0.25">
      <c r="A71" s="3">
        <v>2</v>
      </c>
      <c r="B71" s="3" t="s">
        <v>10</v>
      </c>
      <c r="C71" s="1">
        <v>2.1</v>
      </c>
      <c r="D71" s="1">
        <v>828</v>
      </c>
      <c r="E71" s="1">
        <v>29</v>
      </c>
      <c r="F71" s="1">
        <v>0</v>
      </c>
      <c r="G71" s="3">
        <v>33</v>
      </c>
      <c r="H71" s="3">
        <v>36</v>
      </c>
      <c r="I71" s="3" t="s">
        <v>21</v>
      </c>
      <c r="J71" s="3" t="s">
        <v>29</v>
      </c>
      <c r="K71" s="3">
        <f>VLOOKUP(Tableau3[[#This Row],[essence]],Tableau7[],2,FALSE)</f>
        <v>-0.68799999999999994</v>
      </c>
      <c r="L71" s="3">
        <f>VLOOKUP(Tableau3[[#This Row],[essence]],Tableau7[],3,FALSE)</f>
        <v>1.3924000000000001</v>
      </c>
      <c r="M71" s="3">
        <f>VLOOKUP(Tableau3[[#This Row],[essence]],Tableau7[],4,FALSE)</f>
        <v>0.41599999999999998</v>
      </c>
      <c r="N71" s="3">
        <f>IF(Tableau3[[#This Row],[priorecol]]="C",1,0)</f>
        <v>0</v>
      </c>
      <c r="O71" s="3">
        <f>VLOOKUP(Tableau3[[#This Row],[essence]],Tableau7[],5,FALSE)</f>
        <v>1.5604</v>
      </c>
      <c r="P71" s="3">
        <f>IF(Tableau3[[#This Row],[priorecol]]="R",1,0)</f>
        <v>0</v>
      </c>
      <c r="Q71" s="3">
        <f>VLOOKUP(Tableau3[[#This Row],[essence]],Tableau7[],6,FALSE)</f>
        <v>-0.64770000000000005</v>
      </c>
      <c r="R71" s="3">
        <f>IF(Tableau3[[#This Row],[priorecol]]="S",1,0)</f>
        <v>1</v>
      </c>
      <c r="S71" s="3">
        <f>VLOOKUP(Tableau3[[#This Row],[essence]],Tableau7[],7,FALSE)</f>
        <v>0</v>
      </c>
      <c r="T71" s="3">
        <f>VLOOKUP(Tableau3[[#This Row],[essence]],Tableau7[],15,FALSE)</f>
        <v>-2.4500000000000001E-2</v>
      </c>
      <c r="U71" s="3">
        <f>VLOOKUP(Tableau3[[#This Row],[essence]],Tableau7[],20,FALSE)</f>
        <v>0.15179999999999999</v>
      </c>
      <c r="V71" s="3">
        <f>IF(Tableau3[[#This Row],[sdom]]=1,1,0)</f>
        <v>0</v>
      </c>
      <c r="W71" s="3">
        <f>VLOOKUP(Tableau3[[#This Row],[essence]],Tableau7[],8,FALSE)</f>
        <v>0</v>
      </c>
      <c r="X71" s="3">
        <f>IF(Tableau3[[#This Row],[sdom]]="2EST",1,0)</f>
        <v>1</v>
      </c>
      <c r="Y71" s="3">
        <f>VLOOKUP(Tableau3[[#This Row],[essence]],Tableau7[],9,FALSE)</f>
        <v>-0.27589999999999998</v>
      </c>
      <c r="Z71" s="3">
        <f>IF(Tableau3[[#This Row],[sdom]]="2OUEST",1,0)</f>
        <v>0</v>
      </c>
      <c r="AA71" s="3">
        <f>VLOOKUP(Tableau3[[#This Row],[essence]],Tableau7[],10,FALSE)</f>
        <v>0</v>
      </c>
      <c r="AB71" s="3">
        <f>IF(Tableau3[[#This Row],[sdom]]="3EST",1,0)</f>
        <v>0</v>
      </c>
      <c r="AC71" s="3">
        <f>VLOOKUP(Tableau3[[#This Row],[essence]],Tableau7[],11,FALSE)</f>
        <v>0</v>
      </c>
      <c r="AD71" s="3">
        <f>IF(Tableau3[[#This Row],[sdom]]="3OUEST",1,0)</f>
        <v>0</v>
      </c>
      <c r="AE71" s="3">
        <f>VLOOKUP(Tableau3[[#This Row],[essence]],Tableau7[],12,FALSE)</f>
        <v>0</v>
      </c>
      <c r="AF71" s="3">
        <f>IF(Tableau3[[#This Row],[sdom]]="4EST",1,0)</f>
        <v>0</v>
      </c>
      <c r="AG71" s="3">
        <f>VLOOKUP(Tableau3[[#This Row],[essence]],Tableau7[],13,FALSE)</f>
        <v>0</v>
      </c>
      <c r="AH71" s="3">
        <f>IF(Tableau3[[#This Row],[sdom]]="4OUEST",1,0)</f>
        <v>0</v>
      </c>
      <c r="AI71" s="3">
        <f>VLOOKUP(Tableau3[[#This Row],[essence]],Tableau7[],14,FALSE)</f>
        <v>0</v>
      </c>
      <c r="AJ71" s="3">
        <f>IF(Tableau3[[#This Row],[sdom]]="5EST",1,0)</f>
        <v>0</v>
      </c>
      <c r="AK71" s="3">
        <f>VLOOKUP(Tableau3[[#This Row],[essence]],Tableau7[],17,FALSE)</f>
        <v>6.4199999999999993E-2</v>
      </c>
      <c r="AL71" s="3">
        <f>IF(Tableau3[[#This Row],[priorecol]]="C",1,0)</f>
        <v>0</v>
      </c>
      <c r="AM71" s="3">
        <f>VLOOKUP(Tableau3[[#This Row],[essence]],Tableau7[],18,FALSE)</f>
        <v>6.3399999999999998E-2</v>
      </c>
      <c r="AN71" s="3">
        <f>IF(Tableau3[[#This Row],[priorecol]]="R",1,0)</f>
        <v>0</v>
      </c>
      <c r="AO71" s="3">
        <f>VLOOKUP(Tableau3[[#This Row],[essence]],Tableau7[],19,FALSE)</f>
        <v>8.2400000000000001E-2</v>
      </c>
      <c r="AP71" s="3">
        <f>IF(Tableau3[[#This Row],[priorecol]]="S",1,0)</f>
        <v>1</v>
      </c>
      <c r="AQ71" s="3">
        <f>VLOOKUP(Tableau3[[#This Row],[essence]],Tableau7[],21,FALSE)</f>
        <v>0</v>
      </c>
      <c r="AR71" s="3">
        <f>VLOOKUP(Tableau3[[#This Row],[essence]],Tableau7[],16,FALSE)</f>
        <v>0</v>
      </c>
      <c r="AS7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1.0314000000000001</v>
      </c>
      <c r="AT71" s="3">
        <f>Tableau3[[#This Row],[xb_]]+Tableau3[[#This Row],[b_intercept_C]]</f>
        <v>2.4238</v>
      </c>
      <c r="AU71" s="3">
        <f>Tableau3[[#This Row],[xb_]]+Tableau3[[#This Row],[b_intercept_B]]</f>
        <v>0.34340000000000015</v>
      </c>
      <c r="AV71" s="3">
        <f>1/(1+EXP(-Tableau3[[#This Row],[xb_c]]))</f>
        <v>0.91862426096375849</v>
      </c>
      <c r="AW71" s="3">
        <f>1/(1+EXP(-Tableau3[[#This Row],[xb_b]]))</f>
        <v>0.58501618644555597</v>
      </c>
      <c r="AX71" s="3" t="str">
        <f t="shared" si="2"/>
        <v>NA</v>
      </c>
      <c r="AY71" s="3">
        <f>Tableau3[[#This Row],[prob_b]]</f>
        <v>0.58501618644555597</v>
      </c>
      <c r="AZ71" s="3">
        <f>Tableau3[[#This Row],[prob_c]]-Tableau3[[#This Row],[prob_b]]</f>
        <v>0.33360807451820251</v>
      </c>
      <c r="BA71" s="3">
        <f>1-Tableau3[[#This Row],[prob_c]]</f>
        <v>8.1375739036241512E-2</v>
      </c>
    </row>
    <row r="72" spans="1:53" x14ac:dyDescent="0.25">
      <c r="A72" s="2">
        <v>2</v>
      </c>
      <c r="B72" s="2" t="s">
        <v>10</v>
      </c>
      <c r="C72" s="4">
        <v>2.1</v>
      </c>
      <c r="D72" s="4">
        <v>828</v>
      </c>
      <c r="E72" s="4">
        <v>29</v>
      </c>
      <c r="F72" s="4">
        <v>0</v>
      </c>
      <c r="G72" s="2">
        <v>39</v>
      </c>
      <c r="H72" s="2">
        <v>36</v>
      </c>
      <c r="I72" s="2" t="s">
        <v>23</v>
      </c>
      <c r="J72" s="2" t="s">
        <v>29</v>
      </c>
      <c r="K72" s="2">
        <f>VLOOKUP(Tableau3[[#This Row],[essence]],Tableau7[],2,FALSE)</f>
        <v>-3.9003999999999999</v>
      </c>
      <c r="L72" s="3">
        <f>VLOOKUP(Tableau3[[#This Row],[essence]],Tableau7[],3,FALSE)</f>
        <v>-1.7661</v>
      </c>
      <c r="M72" s="3">
        <f>VLOOKUP(Tableau3[[#This Row],[essence]],Tableau7[],4,FALSE)</f>
        <v>1.9438</v>
      </c>
      <c r="N72" s="3">
        <f>IF(Tableau3[[#This Row],[priorecol]]="C",1,0)</f>
        <v>0</v>
      </c>
      <c r="O72" s="3">
        <f>VLOOKUP(Tableau3[[#This Row],[essence]],Tableau7[],5,FALSE)</f>
        <v>2.9834000000000001</v>
      </c>
      <c r="P72" s="3">
        <f>IF(Tableau3[[#This Row],[priorecol]]="R",1,0)</f>
        <v>0</v>
      </c>
      <c r="Q72" s="3">
        <f>VLOOKUP(Tableau3[[#This Row],[essence]],Tableau7[],6,FALSE)</f>
        <v>1.0873999999999999</v>
      </c>
      <c r="R72" s="3">
        <f>IF(Tableau3[[#This Row],[priorecol]]="S",1,0)</f>
        <v>1</v>
      </c>
      <c r="S72" s="3">
        <f>VLOOKUP(Tableau3[[#This Row],[essence]],Tableau7[],7,FALSE)</f>
        <v>6.4000000000000001E-2</v>
      </c>
      <c r="T72" s="3">
        <f>VLOOKUP(Tableau3[[#This Row],[essence]],Tableau7[],15,FALSE)</f>
        <v>7.5199999999999998E-3</v>
      </c>
      <c r="U72" s="3">
        <f>VLOOKUP(Tableau3[[#This Row],[essence]],Tableau7[],20,FALSE)</f>
        <v>0.17810000000000001</v>
      </c>
      <c r="V72" s="3">
        <f>IF(Tableau3[[#This Row],[sdom]]=1,1,0)</f>
        <v>0</v>
      </c>
      <c r="W72" s="3">
        <f>VLOOKUP(Tableau3[[#This Row],[essence]],Tableau7[],8,FALSE)</f>
        <v>0.29430000000000001</v>
      </c>
      <c r="X72" s="3">
        <f>IF(Tableau3[[#This Row],[sdom]]="2EST",1,0)</f>
        <v>1</v>
      </c>
      <c r="Y72" s="3">
        <f>VLOOKUP(Tableau3[[#This Row],[essence]],Tableau7[],9,FALSE)</f>
        <v>0.11260000000000001</v>
      </c>
      <c r="Z72" s="3">
        <f>IF(Tableau3[[#This Row],[sdom]]="2OUEST",1,0)</f>
        <v>0</v>
      </c>
      <c r="AA72" s="3">
        <f>VLOOKUP(Tableau3[[#This Row],[essence]],Tableau7[],10,FALSE)</f>
        <v>1.2999999999999999E-2</v>
      </c>
      <c r="AB72" s="3">
        <f>IF(Tableau3[[#This Row],[sdom]]="3EST",1,0)</f>
        <v>0</v>
      </c>
      <c r="AC72" s="3">
        <f>VLOOKUP(Tableau3[[#This Row],[essence]],Tableau7[],11,FALSE)</f>
        <v>0.17150000000000001</v>
      </c>
      <c r="AD72" s="3">
        <f>IF(Tableau3[[#This Row],[sdom]]="3OUEST",1,0)</f>
        <v>0</v>
      </c>
      <c r="AE72" s="3">
        <f>VLOOKUP(Tableau3[[#This Row],[essence]],Tableau7[],12,FALSE)</f>
        <v>-0.1308</v>
      </c>
      <c r="AF72" s="3">
        <f>IF(Tableau3[[#This Row],[sdom]]="4EST",1,0)</f>
        <v>0</v>
      </c>
      <c r="AG72" s="3">
        <f>VLOOKUP(Tableau3[[#This Row],[essence]],Tableau7[],13,FALSE)</f>
        <v>-0.2858</v>
      </c>
      <c r="AH72" s="3">
        <f>IF(Tableau3[[#This Row],[sdom]]="4OUEST",1,0)</f>
        <v>0</v>
      </c>
      <c r="AI72" s="3">
        <f>VLOOKUP(Tableau3[[#This Row],[essence]],Tableau7[],14,FALSE)</f>
        <v>0</v>
      </c>
      <c r="AJ72" s="3">
        <f>IF(Tableau3[[#This Row],[sdom]]="5EST",1,0)</f>
        <v>0</v>
      </c>
      <c r="AK72" s="3">
        <f>VLOOKUP(Tableau3[[#This Row],[essence]],Tableau7[],17,FALSE)</f>
        <v>0</v>
      </c>
      <c r="AL72" s="3">
        <f>IF(Tableau3[[#This Row],[priorecol]]="C",1,0)</f>
        <v>0</v>
      </c>
      <c r="AM72" s="3">
        <f>VLOOKUP(Tableau3[[#This Row],[essence]],Tableau7[],18,FALSE)</f>
        <v>0</v>
      </c>
      <c r="AN72" s="3">
        <f>IF(Tableau3[[#This Row],[priorecol]]="R",1,0)</f>
        <v>0</v>
      </c>
      <c r="AO72" s="3">
        <f>VLOOKUP(Tableau3[[#This Row],[essence]],Tableau7[],19,FALSE)</f>
        <v>0</v>
      </c>
      <c r="AP72" s="3">
        <f>IF(Tableau3[[#This Row],[priorecol]]="S",1,0)</f>
        <v>1</v>
      </c>
      <c r="AQ72" s="3">
        <f>VLOOKUP(Tableau3[[#This Row],[essence]],Tableau7[],21,FALSE)</f>
        <v>0</v>
      </c>
      <c r="AR72" s="3">
        <f>VLOOKUP(Tableau3[[#This Row],[essence]],Tableau7[],16,FALSE)</f>
        <v>0</v>
      </c>
      <c r="AS7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3.9037800000000002</v>
      </c>
      <c r="AT72" s="3">
        <f>Tableau3[[#This Row],[xb_]]+Tableau3[[#This Row],[b_intercept_C]]</f>
        <v>2.1376800000000005</v>
      </c>
      <c r="AU72" s="3">
        <f>Tableau3[[#This Row],[xb_]]+Tableau3[[#This Row],[b_intercept_B]]</f>
        <v>3.3800000000003827E-3</v>
      </c>
      <c r="AV72" s="3">
        <f>1/(1+EXP(-Tableau3[[#This Row],[xb_c]]))</f>
        <v>0.89451189471240544</v>
      </c>
      <c r="AW72" s="3">
        <f>1/(1+EXP(-Tableau3[[#This Row],[xb_b]]))</f>
        <v>0.50084499919553283</v>
      </c>
      <c r="AX72" s="3" t="str">
        <f t="shared" si="2"/>
        <v>NA</v>
      </c>
      <c r="AY72" s="3">
        <f>Tableau3[[#This Row],[prob_b]]</f>
        <v>0.50084499919553283</v>
      </c>
      <c r="AZ72" s="3">
        <f>Tableau3[[#This Row],[prob_c]]-Tableau3[[#This Row],[prob_b]]</f>
        <v>0.39366689551687262</v>
      </c>
      <c r="BA72" s="3">
        <f>1-Tableau3[[#This Row],[prob_c]]</f>
        <v>0.10548810528759456</v>
      </c>
    </row>
    <row r="73" spans="1:53" x14ac:dyDescent="0.25">
      <c r="A73" s="3">
        <v>2</v>
      </c>
      <c r="B73" s="3" t="s">
        <v>10</v>
      </c>
      <c r="C73" s="1">
        <v>2.1</v>
      </c>
      <c r="D73" s="1">
        <v>828</v>
      </c>
      <c r="E73" s="1">
        <v>29</v>
      </c>
      <c r="F73" s="1">
        <v>0</v>
      </c>
      <c r="G73" s="3">
        <v>45</v>
      </c>
      <c r="H73" s="3">
        <v>36</v>
      </c>
      <c r="I73" s="3" t="s">
        <v>25</v>
      </c>
      <c r="J73" s="3" t="s">
        <v>29</v>
      </c>
      <c r="K73" s="3">
        <f>VLOOKUP(Tableau3[[#This Row],[essence]],Tableau7[],2,FALSE)</f>
        <v>-2.9584999999999999</v>
      </c>
      <c r="L73" s="3">
        <f>VLOOKUP(Tableau3[[#This Row],[essence]],Tableau7[],3,FALSE)</f>
        <v>-1.1581999999999999</v>
      </c>
      <c r="M73" s="3">
        <f>VLOOKUP(Tableau3[[#This Row],[essence]],Tableau7[],4,FALSE)</f>
        <v>1.3563000000000001</v>
      </c>
      <c r="N73" s="3">
        <f>IF(Tableau3[[#This Row],[priorecol]]="C",1,0)</f>
        <v>0</v>
      </c>
      <c r="O73" s="3">
        <f>VLOOKUP(Tableau3[[#This Row],[essence]],Tableau7[],5,FALSE)</f>
        <v>2.0564</v>
      </c>
      <c r="P73" s="3">
        <f>IF(Tableau3[[#This Row],[priorecol]]="R",1,0)</f>
        <v>0</v>
      </c>
      <c r="Q73" s="3">
        <f>VLOOKUP(Tableau3[[#This Row],[essence]],Tableau7[],6,FALSE)</f>
        <v>1.3911</v>
      </c>
      <c r="R73" s="3">
        <f>IF(Tableau3[[#This Row],[priorecol]]="S",1,0)</f>
        <v>1</v>
      </c>
      <c r="S73" s="3">
        <f>VLOOKUP(Tableau3[[#This Row],[essence]],Tableau7[],7,FALSE)</f>
        <v>0</v>
      </c>
      <c r="T73" s="3">
        <f>VLOOKUP(Tableau3[[#This Row],[essence]],Tableau7[],15,FALSE)</f>
        <v>0</v>
      </c>
      <c r="U73" s="3">
        <f>VLOOKUP(Tableau3[[#This Row],[essence]],Tableau7[],20,FALSE)</f>
        <v>0</v>
      </c>
      <c r="V73" s="3">
        <f>IF(Tableau3[[#This Row],[sdom]]=1,1,0)</f>
        <v>0</v>
      </c>
      <c r="W73" s="3">
        <f>VLOOKUP(Tableau3[[#This Row],[essence]],Tableau7[],8,FALSE)</f>
        <v>0.19420000000000001</v>
      </c>
      <c r="X73" s="3">
        <f>IF(Tableau3[[#This Row],[sdom]]="2EST",1,0)</f>
        <v>1</v>
      </c>
      <c r="Y73" s="3">
        <f>VLOOKUP(Tableau3[[#This Row],[essence]],Tableau7[],9,FALSE)</f>
        <v>-0.1956</v>
      </c>
      <c r="Z73" s="3">
        <f>IF(Tableau3[[#This Row],[sdom]]="2OUEST",1,0)</f>
        <v>0</v>
      </c>
      <c r="AA73" s="3">
        <f>VLOOKUP(Tableau3[[#This Row],[essence]],Tableau7[],10,FALSE)</f>
        <v>-0.1221</v>
      </c>
      <c r="AB73" s="3">
        <f>IF(Tableau3[[#This Row],[sdom]]="3EST",1,0)</f>
        <v>0</v>
      </c>
      <c r="AC73" s="3">
        <f>VLOOKUP(Tableau3[[#This Row],[essence]],Tableau7[],11,FALSE)</f>
        <v>0.16789999999999999</v>
      </c>
      <c r="AD73" s="3">
        <f>IF(Tableau3[[#This Row],[sdom]]="3OUEST",1,0)</f>
        <v>0</v>
      </c>
      <c r="AE73" s="3">
        <f>VLOOKUP(Tableau3[[#This Row],[essence]],Tableau7[],12,FALSE)</f>
        <v>0</v>
      </c>
      <c r="AF73" s="3">
        <f>IF(Tableau3[[#This Row],[sdom]]="4EST",1,0)</f>
        <v>0</v>
      </c>
      <c r="AG73" s="3">
        <f>VLOOKUP(Tableau3[[#This Row],[essence]],Tableau7[],13,FALSE)</f>
        <v>0</v>
      </c>
      <c r="AH73" s="3">
        <f>IF(Tableau3[[#This Row],[sdom]]="4OUEST",1,0)</f>
        <v>0</v>
      </c>
      <c r="AI73" s="3">
        <f>VLOOKUP(Tableau3[[#This Row],[essence]],Tableau7[],14,FALSE)</f>
        <v>0</v>
      </c>
      <c r="AJ73" s="3">
        <f>IF(Tableau3[[#This Row],[sdom]]="5EST",1,0)</f>
        <v>0</v>
      </c>
      <c r="AK73" s="3">
        <f>VLOOKUP(Tableau3[[#This Row],[essence]],Tableau7[],17,FALSE)</f>
        <v>0</v>
      </c>
      <c r="AL73" s="3">
        <f>IF(Tableau3[[#This Row],[priorecol]]="C",1,0)</f>
        <v>0</v>
      </c>
      <c r="AM73" s="3">
        <f>VLOOKUP(Tableau3[[#This Row],[essence]],Tableau7[],18,FALSE)</f>
        <v>0</v>
      </c>
      <c r="AN73" s="3">
        <f>IF(Tableau3[[#This Row],[priorecol]]="R",1,0)</f>
        <v>0</v>
      </c>
      <c r="AO73" s="3">
        <f>VLOOKUP(Tableau3[[#This Row],[essence]],Tableau7[],19,FALSE)</f>
        <v>0</v>
      </c>
      <c r="AP73" s="3">
        <f>IF(Tableau3[[#This Row],[priorecol]]="S",1,0)</f>
        <v>1</v>
      </c>
      <c r="AQ73" s="3">
        <f>VLOOKUP(Tableau3[[#This Row],[essence]],Tableau7[],21,FALSE)</f>
        <v>0.2979</v>
      </c>
      <c r="AR73" s="3">
        <f>VLOOKUP(Tableau3[[#This Row],[essence]],Tableau7[],16,FALSE)</f>
        <v>0.154</v>
      </c>
      <c r="AS7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1.9087000000000001</v>
      </c>
      <c r="AT73" s="3">
        <f>Tableau3[[#This Row],[xb_]]+Tableau3[[#This Row],[b_intercept_C]]</f>
        <v>0.75050000000000017</v>
      </c>
      <c r="AU73" s="3">
        <f>Tableau3[[#This Row],[xb_]]+Tableau3[[#This Row],[b_intercept_B]]</f>
        <v>-1.0497999999999998</v>
      </c>
      <c r="AV73" s="3">
        <f>1/(1+EXP(-Tableau3[[#This Row],[xb_c]]))</f>
        <v>0.67928763691034366</v>
      </c>
      <c r="AW73" s="3">
        <f>1/(1+EXP(-Tableau3[[#This Row],[xb_b]]))</f>
        <v>0.25926350815680743</v>
      </c>
      <c r="AX73" s="3" t="str">
        <f t="shared" si="2"/>
        <v>NA</v>
      </c>
      <c r="AY73" s="3">
        <f>Tableau3[[#This Row],[prob_b]]</f>
        <v>0.25926350815680743</v>
      </c>
      <c r="AZ73" s="3">
        <f>Tableau3[[#This Row],[prob_c]]-Tableau3[[#This Row],[prob_b]]</f>
        <v>0.42002412875353623</v>
      </c>
      <c r="BA73" s="3">
        <f>1-Tableau3[[#This Row],[prob_c]]</f>
        <v>0.32071236308965634</v>
      </c>
    </row>
    <row r="74" spans="1:53" x14ac:dyDescent="0.25">
      <c r="A74" s="2">
        <v>3</v>
      </c>
      <c r="B74" s="2" t="s">
        <v>11</v>
      </c>
      <c r="C74" s="4">
        <v>2.1</v>
      </c>
      <c r="D74" s="4">
        <v>700</v>
      </c>
      <c r="E74" s="4">
        <v>20</v>
      </c>
      <c r="F74" s="4">
        <v>1</v>
      </c>
      <c r="G74" s="2">
        <v>27</v>
      </c>
      <c r="H74" s="2">
        <v>36</v>
      </c>
      <c r="I74" s="2" t="s">
        <v>19</v>
      </c>
      <c r="J74" s="2" t="s">
        <v>29</v>
      </c>
      <c r="K74" s="2">
        <f>VLOOKUP(Tableau3[[#This Row],[essence]],Tableau7[],2,FALSE)</f>
        <v>-3.7313999999999998</v>
      </c>
      <c r="L74" s="3">
        <f>VLOOKUP(Tableau3[[#This Row],[essence]],Tableau7[],3,FALSE)</f>
        <v>-1.7194</v>
      </c>
      <c r="M74" s="3">
        <f>VLOOKUP(Tableau3[[#This Row],[essence]],Tableau7[],4,FALSE)</f>
        <v>1.5371999999999999</v>
      </c>
      <c r="N74" s="3">
        <f>IF(Tableau3[[#This Row],[priorecol]]="C",1,0)</f>
        <v>0</v>
      </c>
      <c r="O74" s="3">
        <f>VLOOKUP(Tableau3[[#This Row],[essence]],Tableau7[],5,FALSE)</f>
        <v>2.5815000000000001</v>
      </c>
      <c r="P74" s="3">
        <f>IF(Tableau3[[#This Row],[priorecol]]="R",1,0)</f>
        <v>0</v>
      </c>
      <c r="Q74" s="3">
        <f>VLOOKUP(Tableau3[[#This Row],[essence]],Tableau7[],6,FALSE)</f>
        <v>0.96079999999999999</v>
      </c>
      <c r="R74" s="3">
        <f>IF(Tableau3[[#This Row],[priorecol]]="S",1,0)</f>
        <v>1</v>
      </c>
      <c r="S74" s="3">
        <f>VLOOKUP(Tableau3[[#This Row],[essence]],Tableau7[],7,FALSE)</f>
        <v>4.2799999999999998E-2</v>
      </c>
      <c r="T74" s="3">
        <f>VLOOKUP(Tableau3[[#This Row],[essence]],Tableau7[],15,FALSE)</f>
        <v>1.54E-2</v>
      </c>
      <c r="U74" s="3">
        <f>VLOOKUP(Tableau3[[#This Row],[essence]],Tableau7[],20,FALSE)</f>
        <v>0</v>
      </c>
      <c r="V74" s="3">
        <f>IF(Tableau3[[#This Row],[sdom]]=1,1,0)</f>
        <v>0</v>
      </c>
      <c r="W74" s="3">
        <f>VLOOKUP(Tableau3[[#This Row],[essence]],Tableau7[],8,FALSE)</f>
        <v>2.3900000000000001E-2</v>
      </c>
      <c r="X74" s="3">
        <f>IF(Tableau3[[#This Row],[sdom]]="2EST",1,0)</f>
        <v>0</v>
      </c>
      <c r="Y74" s="3">
        <f>VLOOKUP(Tableau3[[#This Row],[essence]],Tableau7[],9,FALSE)</f>
        <v>-0.4793</v>
      </c>
      <c r="Z74" s="3">
        <f>IF(Tableau3[[#This Row],[sdom]]="2OUEST",1,0)</f>
        <v>1</v>
      </c>
      <c r="AA74" s="3">
        <f>VLOOKUP(Tableau3[[#This Row],[essence]],Tableau7[],10,FALSE)</f>
        <v>0.13880000000000001</v>
      </c>
      <c r="AB74" s="3">
        <f>IF(Tableau3[[#This Row],[sdom]]="3EST",1,0)</f>
        <v>0</v>
      </c>
      <c r="AC74" s="3">
        <f>VLOOKUP(Tableau3[[#This Row],[essence]],Tableau7[],11,FALSE)</f>
        <v>0.27039999999999997</v>
      </c>
      <c r="AD74" s="3">
        <f>IF(Tableau3[[#This Row],[sdom]]="3OUEST",1,0)</f>
        <v>0</v>
      </c>
      <c r="AE74" s="3">
        <f>VLOOKUP(Tableau3[[#This Row],[essence]],Tableau7[],12,FALSE)</f>
        <v>4.6600000000000001E-3</v>
      </c>
      <c r="AF74" s="3">
        <f>IF(Tableau3[[#This Row],[sdom]]="4EST",1,0)</f>
        <v>0</v>
      </c>
      <c r="AG74" s="3">
        <f>VLOOKUP(Tableau3[[#This Row],[essence]],Tableau7[],13,FALSE)</f>
        <v>0.1986</v>
      </c>
      <c r="AH74" s="3">
        <f>IF(Tableau3[[#This Row],[sdom]]="4OUEST",1,0)</f>
        <v>0</v>
      </c>
      <c r="AI74" s="3">
        <f>VLOOKUP(Tableau3[[#This Row],[essence]],Tableau7[],14,FALSE)</f>
        <v>-0.2535</v>
      </c>
      <c r="AJ74" s="3">
        <f>IF(Tableau3[[#This Row],[sdom]]="5EST",1,0)</f>
        <v>0</v>
      </c>
      <c r="AK74" s="3">
        <f>VLOOKUP(Tableau3[[#This Row],[essence]],Tableau7[],17,FALSE)</f>
        <v>0</v>
      </c>
      <c r="AL74" s="3">
        <f>IF(Tableau3[[#This Row],[priorecol]]="C",1,0)</f>
        <v>0</v>
      </c>
      <c r="AM74" s="3">
        <f>VLOOKUP(Tableau3[[#This Row],[essence]],Tableau7[],18,FALSE)</f>
        <v>0</v>
      </c>
      <c r="AN74" s="3">
        <f>IF(Tableau3[[#This Row],[priorecol]]="R",1,0)</f>
        <v>0</v>
      </c>
      <c r="AO74" s="3">
        <f>VLOOKUP(Tableau3[[#This Row],[essence]],Tableau7[],19,FALSE)</f>
        <v>0</v>
      </c>
      <c r="AP74" s="3">
        <f>IF(Tableau3[[#This Row],[priorecol]]="S",1,0)</f>
        <v>1</v>
      </c>
      <c r="AQ74" s="3">
        <f>VLOOKUP(Tableau3[[#This Row],[essence]],Tableau7[],21,FALSE)</f>
        <v>0</v>
      </c>
      <c r="AR74" s="3">
        <f>VLOOKUP(Tableau3[[#This Row],[essence]],Tableau7[],16,FALSE)</f>
        <v>0.123</v>
      </c>
      <c r="AS7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2.5886</v>
      </c>
      <c r="AT74" s="3">
        <f>Tableau3[[#This Row],[xb_]]+Tableau3[[#This Row],[b_intercept_C]]</f>
        <v>0.86919999999999997</v>
      </c>
      <c r="AU74" s="3">
        <f>Tableau3[[#This Row],[xb_]]+Tableau3[[#This Row],[b_intercept_B]]</f>
        <v>-1.1427999999999998</v>
      </c>
      <c r="AV74" s="3">
        <f>1/(1+EXP(-Tableau3[[#This Row],[xb_c]]))</f>
        <v>0.70457920737705881</v>
      </c>
      <c r="AW74" s="3">
        <f>1/(1+EXP(-Tableau3[[#This Row],[xb_b]]))</f>
        <v>0.24180664860674503</v>
      </c>
      <c r="AX74" s="3" t="str">
        <f t="shared" si="2"/>
        <v>NA</v>
      </c>
      <c r="AY74" s="3">
        <f>Tableau3[[#This Row],[prob_b]]</f>
        <v>0.24180664860674503</v>
      </c>
      <c r="AZ74" s="3">
        <f>Tableau3[[#This Row],[prob_c]]-Tableau3[[#This Row],[prob_b]]</f>
        <v>0.46277255877031376</v>
      </c>
      <c r="BA74" s="3">
        <f>1-Tableau3[[#This Row],[prob_c]]</f>
        <v>0.29542079262294119</v>
      </c>
    </row>
    <row r="75" spans="1:53" x14ac:dyDescent="0.25">
      <c r="A75" s="3">
        <v>3</v>
      </c>
      <c r="B75" s="3" t="s">
        <v>11</v>
      </c>
      <c r="C75" s="1">
        <v>2.1</v>
      </c>
      <c r="D75" s="1">
        <v>700</v>
      </c>
      <c r="E75" s="1">
        <v>20</v>
      </c>
      <c r="F75" s="1">
        <v>1</v>
      </c>
      <c r="G75" s="3">
        <v>33</v>
      </c>
      <c r="H75" s="3">
        <v>36</v>
      </c>
      <c r="I75" s="3" t="s">
        <v>21</v>
      </c>
      <c r="J75" s="3" t="s">
        <v>29</v>
      </c>
      <c r="K75" s="3">
        <f>VLOOKUP(Tableau3[[#This Row],[essence]],Tableau7[],2,FALSE)</f>
        <v>-0.68799999999999994</v>
      </c>
      <c r="L75" s="3">
        <f>VLOOKUP(Tableau3[[#This Row],[essence]],Tableau7[],3,FALSE)</f>
        <v>1.3924000000000001</v>
      </c>
      <c r="M75" s="3">
        <f>VLOOKUP(Tableau3[[#This Row],[essence]],Tableau7[],4,FALSE)</f>
        <v>0.41599999999999998</v>
      </c>
      <c r="N75" s="3">
        <f>IF(Tableau3[[#This Row],[priorecol]]="C",1,0)</f>
        <v>0</v>
      </c>
      <c r="O75" s="3">
        <f>VLOOKUP(Tableau3[[#This Row],[essence]],Tableau7[],5,FALSE)</f>
        <v>1.5604</v>
      </c>
      <c r="P75" s="3">
        <f>IF(Tableau3[[#This Row],[priorecol]]="R",1,0)</f>
        <v>0</v>
      </c>
      <c r="Q75" s="3">
        <f>VLOOKUP(Tableau3[[#This Row],[essence]],Tableau7[],6,FALSE)</f>
        <v>-0.64770000000000005</v>
      </c>
      <c r="R75" s="3">
        <f>IF(Tableau3[[#This Row],[priorecol]]="S",1,0)</f>
        <v>1</v>
      </c>
      <c r="S75" s="3">
        <f>VLOOKUP(Tableau3[[#This Row],[essence]],Tableau7[],7,FALSE)</f>
        <v>0</v>
      </c>
      <c r="T75" s="3">
        <f>VLOOKUP(Tableau3[[#This Row],[essence]],Tableau7[],15,FALSE)</f>
        <v>-2.4500000000000001E-2</v>
      </c>
      <c r="U75" s="3">
        <f>VLOOKUP(Tableau3[[#This Row],[essence]],Tableau7[],20,FALSE)</f>
        <v>0.15179999999999999</v>
      </c>
      <c r="V75" s="3">
        <f>IF(Tableau3[[#This Row],[sdom]]=1,1,0)</f>
        <v>0</v>
      </c>
      <c r="W75" s="3">
        <f>VLOOKUP(Tableau3[[#This Row],[essence]],Tableau7[],8,FALSE)</f>
        <v>0</v>
      </c>
      <c r="X75" s="3">
        <f>IF(Tableau3[[#This Row],[sdom]]="2EST",1,0)</f>
        <v>0</v>
      </c>
      <c r="Y75" s="3">
        <f>VLOOKUP(Tableau3[[#This Row],[essence]],Tableau7[],9,FALSE)</f>
        <v>-0.27589999999999998</v>
      </c>
      <c r="Z75" s="3">
        <f>IF(Tableau3[[#This Row],[sdom]]="2OUEST",1,0)</f>
        <v>1</v>
      </c>
      <c r="AA75" s="3">
        <f>VLOOKUP(Tableau3[[#This Row],[essence]],Tableau7[],10,FALSE)</f>
        <v>0</v>
      </c>
      <c r="AB75" s="3">
        <f>IF(Tableau3[[#This Row],[sdom]]="3EST",1,0)</f>
        <v>0</v>
      </c>
      <c r="AC75" s="3">
        <f>VLOOKUP(Tableau3[[#This Row],[essence]],Tableau7[],11,FALSE)</f>
        <v>0</v>
      </c>
      <c r="AD75" s="3">
        <f>IF(Tableau3[[#This Row],[sdom]]="3OUEST",1,0)</f>
        <v>0</v>
      </c>
      <c r="AE75" s="3">
        <f>VLOOKUP(Tableau3[[#This Row],[essence]],Tableau7[],12,FALSE)</f>
        <v>0</v>
      </c>
      <c r="AF75" s="3">
        <f>IF(Tableau3[[#This Row],[sdom]]="4EST",1,0)</f>
        <v>0</v>
      </c>
      <c r="AG75" s="3">
        <f>VLOOKUP(Tableau3[[#This Row],[essence]],Tableau7[],13,FALSE)</f>
        <v>0</v>
      </c>
      <c r="AH75" s="3">
        <f>IF(Tableau3[[#This Row],[sdom]]="4OUEST",1,0)</f>
        <v>0</v>
      </c>
      <c r="AI75" s="3">
        <f>VLOOKUP(Tableau3[[#This Row],[essence]],Tableau7[],14,FALSE)</f>
        <v>0</v>
      </c>
      <c r="AJ75" s="3">
        <f>IF(Tableau3[[#This Row],[sdom]]="5EST",1,0)</f>
        <v>0</v>
      </c>
      <c r="AK75" s="3">
        <f>VLOOKUP(Tableau3[[#This Row],[essence]],Tableau7[],17,FALSE)</f>
        <v>6.4199999999999993E-2</v>
      </c>
      <c r="AL75" s="3">
        <f>IF(Tableau3[[#This Row],[priorecol]]="C",1,0)</f>
        <v>0</v>
      </c>
      <c r="AM75" s="3">
        <f>VLOOKUP(Tableau3[[#This Row],[essence]],Tableau7[],18,FALSE)</f>
        <v>6.3399999999999998E-2</v>
      </c>
      <c r="AN75" s="3">
        <f>IF(Tableau3[[#This Row],[priorecol]]="R",1,0)</f>
        <v>0</v>
      </c>
      <c r="AO75" s="3">
        <f>VLOOKUP(Tableau3[[#This Row],[essence]],Tableau7[],19,FALSE)</f>
        <v>8.2400000000000001E-2</v>
      </c>
      <c r="AP75" s="3">
        <f>IF(Tableau3[[#This Row],[priorecol]]="S",1,0)</f>
        <v>1</v>
      </c>
      <c r="AQ75" s="3">
        <f>VLOOKUP(Tableau3[[#This Row],[essence]],Tableau7[],21,FALSE)</f>
        <v>0</v>
      </c>
      <c r="AR75" s="3">
        <f>VLOOKUP(Tableau3[[#This Row],[essence]],Tableau7[],16,FALSE)</f>
        <v>0</v>
      </c>
      <c r="AS7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0.23439999999999994</v>
      </c>
      <c r="AT75" s="3">
        <f>Tableau3[[#This Row],[xb_]]+Tableau3[[#This Row],[b_intercept_C]]</f>
        <v>1.6268</v>
      </c>
      <c r="AU75" s="3">
        <f>Tableau3[[#This Row],[xb_]]+Tableau3[[#This Row],[b_intercept_B]]</f>
        <v>-0.4536</v>
      </c>
      <c r="AV75" s="3">
        <f>1/(1+EXP(-Tableau3[[#This Row],[xb_c]]))</f>
        <v>0.83573079915584836</v>
      </c>
      <c r="AW75" s="3">
        <f>1/(1+EXP(-Tableau3[[#This Row],[xb_b]]))</f>
        <v>0.38850517550191399</v>
      </c>
      <c r="AX75" s="3" t="str">
        <f t="shared" si="2"/>
        <v>NA</v>
      </c>
      <c r="AY75" s="3">
        <f>Tableau3[[#This Row],[prob_b]]</f>
        <v>0.38850517550191399</v>
      </c>
      <c r="AZ75" s="3">
        <f>Tableau3[[#This Row],[prob_c]]-Tableau3[[#This Row],[prob_b]]</f>
        <v>0.44722562365393437</v>
      </c>
      <c r="BA75" s="3">
        <f>1-Tableau3[[#This Row],[prob_c]]</f>
        <v>0.16426920084415164</v>
      </c>
    </row>
    <row r="76" spans="1:53" x14ac:dyDescent="0.25">
      <c r="A76" s="2">
        <v>3</v>
      </c>
      <c r="B76" s="2" t="s">
        <v>11</v>
      </c>
      <c r="C76" s="4">
        <v>2.1</v>
      </c>
      <c r="D76" s="4">
        <v>700</v>
      </c>
      <c r="E76" s="4">
        <v>20</v>
      </c>
      <c r="F76" s="4">
        <v>1</v>
      </c>
      <c r="G76" s="2">
        <v>39</v>
      </c>
      <c r="H76" s="2">
        <v>36</v>
      </c>
      <c r="I76" s="2" t="s">
        <v>23</v>
      </c>
      <c r="J76" s="2" t="s">
        <v>29</v>
      </c>
      <c r="K76" s="2">
        <f>VLOOKUP(Tableau3[[#This Row],[essence]],Tableau7[],2,FALSE)</f>
        <v>-3.9003999999999999</v>
      </c>
      <c r="L76" s="3">
        <f>VLOOKUP(Tableau3[[#This Row],[essence]],Tableau7[],3,FALSE)</f>
        <v>-1.7661</v>
      </c>
      <c r="M76" s="3">
        <f>VLOOKUP(Tableau3[[#This Row],[essence]],Tableau7[],4,FALSE)</f>
        <v>1.9438</v>
      </c>
      <c r="N76" s="3">
        <f>IF(Tableau3[[#This Row],[priorecol]]="C",1,0)</f>
        <v>0</v>
      </c>
      <c r="O76" s="3">
        <f>VLOOKUP(Tableau3[[#This Row],[essence]],Tableau7[],5,FALSE)</f>
        <v>2.9834000000000001</v>
      </c>
      <c r="P76" s="3">
        <f>IF(Tableau3[[#This Row],[priorecol]]="R",1,0)</f>
        <v>0</v>
      </c>
      <c r="Q76" s="3">
        <f>VLOOKUP(Tableau3[[#This Row],[essence]],Tableau7[],6,FALSE)</f>
        <v>1.0873999999999999</v>
      </c>
      <c r="R76" s="3">
        <f>IF(Tableau3[[#This Row],[priorecol]]="S",1,0)</f>
        <v>1</v>
      </c>
      <c r="S76" s="3">
        <f>VLOOKUP(Tableau3[[#This Row],[essence]],Tableau7[],7,FALSE)</f>
        <v>6.4000000000000001E-2</v>
      </c>
      <c r="T76" s="3">
        <f>VLOOKUP(Tableau3[[#This Row],[essence]],Tableau7[],15,FALSE)</f>
        <v>7.5199999999999998E-3</v>
      </c>
      <c r="U76" s="3">
        <f>VLOOKUP(Tableau3[[#This Row],[essence]],Tableau7[],20,FALSE)</f>
        <v>0.17810000000000001</v>
      </c>
      <c r="V76" s="3">
        <f>IF(Tableau3[[#This Row],[sdom]]=1,1,0)</f>
        <v>0</v>
      </c>
      <c r="W76" s="3">
        <f>VLOOKUP(Tableau3[[#This Row],[essence]],Tableau7[],8,FALSE)</f>
        <v>0.29430000000000001</v>
      </c>
      <c r="X76" s="3">
        <f>IF(Tableau3[[#This Row],[sdom]]="2EST",1,0)</f>
        <v>0</v>
      </c>
      <c r="Y76" s="3">
        <f>VLOOKUP(Tableau3[[#This Row],[essence]],Tableau7[],9,FALSE)</f>
        <v>0.11260000000000001</v>
      </c>
      <c r="Z76" s="3">
        <f>IF(Tableau3[[#This Row],[sdom]]="2OUEST",1,0)</f>
        <v>1</v>
      </c>
      <c r="AA76" s="3">
        <f>VLOOKUP(Tableau3[[#This Row],[essence]],Tableau7[],10,FALSE)</f>
        <v>1.2999999999999999E-2</v>
      </c>
      <c r="AB76" s="3">
        <f>IF(Tableau3[[#This Row],[sdom]]="3EST",1,0)</f>
        <v>0</v>
      </c>
      <c r="AC76" s="3">
        <f>VLOOKUP(Tableau3[[#This Row],[essence]],Tableau7[],11,FALSE)</f>
        <v>0.17150000000000001</v>
      </c>
      <c r="AD76" s="3">
        <f>IF(Tableau3[[#This Row],[sdom]]="3OUEST",1,0)</f>
        <v>0</v>
      </c>
      <c r="AE76" s="3">
        <f>VLOOKUP(Tableau3[[#This Row],[essence]],Tableau7[],12,FALSE)</f>
        <v>-0.1308</v>
      </c>
      <c r="AF76" s="3">
        <f>IF(Tableau3[[#This Row],[sdom]]="4EST",1,0)</f>
        <v>0</v>
      </c>
      <c r="AG76" s="3">
        <f>VLOOKUP(Tableau3[[#This Row],[essence]],Tableau7[],13,FALSE)</f>
        <v>-0.2858</v>
      </c>
      <c r="AH76" s="3">
        <f>IF(Tableau3[[#This Row],[sdom]]="4OUEST",1,0)</f>
        <v>0</v>
      </c>
      <c r="AI76" s="3">
        <f>VLOOKUP(Tableau3[[#This Row],[essence]],Tableau7[],14,FALSE)</f>
        <v>0</v>
      </c>
      <c r="AJ76" s="3">
        <f>IF(Tableau3[[#This Row],[sdom]]="5EST",1,0)</f>
        <v>0</v>
      </c>
      <c r="AK76" s="3">
        <f>VLOOKUP(Tableau3[[#This Row],[essence]],Tableau7[],17,FALSE)</f>
        <v>0</v>
      </c>
      <c r="AL76" s="3">
        <f>IF(Tableau3[[#This Row],[priorecol]]="C",1,0)</f>
        <v>0</v>
      </c>
      <c r="AM76" s="3">
        <f>VLOOKUP(Tableau3[[#This Row],[essence]],Tableau7[],18,FALSE)</f>
        <v>0</v>
      </c>
      <c r="AN76" s="3">
        <f>IF(Tableau3[[#This Row],[priorecol]]="R",1,0)</f>
        <v>0</v>
      </c>
      <c r="AO76" s="3">
        <f>VLOOKUP(Tableau3[[#This Row],[essence]],Tableau7[],19,FALSE)</f>
        <v>0</v>
      </c>
      <c r="AP76" s="3">
        <f>IF(Tableau3[[#This Row],[priorecol]]="S",1,0)</f>
        <v>1</v>
      </c>
      <c r="AQ76" s="3">
        <f>VLOOKUP(Tableau3[[#This Row],[essence]],Tableau7[],21,FALSE)</f>
        <v>0</v>
      </c>
      <c r="AR76" s="3">
        <f>VLOOKUP(Tableau3[[#This Row],[essence]],Tableau7[],16,FALSE)</f>
        <v>0</v>
      </c>
      <c r="AS7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3.6543999999999999</v>
      </c>
      <c r="AT76" s="3">
        <f>Tableau3[[#This Row],[xb_]]+Tableau3[[#This Row],[b_intercept_C]]</f>
        <v>1.8882999999999999</v>
      </c>
      <c r="AU76" s="3">
        <f>Tableau3[[#This Row],[xb_]]+Tableau3[[#This Row],[b_intercept_B]]</f>
        <v>-0.246</v>
      </c>
      <c r="AV76" s="3">
        <f>1/(1+EXP(-Tableau3[[#This Row],[xb_c]]))</f>
        <v>0.86856157611141127</v>
      </c>
      <c r="AW76" s="3">
        <f>1/(1+EXP(-Tableau3[[#This Row],[xb_b]]))</f>
        <v>0.43880827905279557</v>
      </c>
      <c r="AX76" s="3" t="str">
        <f t="shared" si="2"/>
        <v>NA</v>
      </c>
      <c r="AY76" s="3">
        <f>Tableau3[[#This Row],[prob_b]]</f>
        <v>0.43880827905279557</v>
      </c>
      <c r="AZ76" s="3">
        <f>Tableau3[[#This Row],[prob_c]]-Tableau3[[#This Row],[prob_b]]</f>
        <v>0.4297532970586157</v>
      </c>
      <c r="BA76" s="3">
        <f>1-Tableau3[[#This Row],[prob_c]]</f>
        <v>0.13143842388858873</v>
      </c>
    </row>
    <row r="77" spans="1:53" x14ac:dyDescent="0.25">
      <c r="A77" s="3">
        <v>3</v>
      </c>
      <c r="B77" s="3" t="s">
        <v>11</v>
      </c>
      <c r="C77" s="1">
        <v>2.1</v>
      </c>
      <c r="D77" s="1">
        <v>700</v>
      </c>
      <c r="E77" s="1">
        <v>20</v>
      </c>
      <c r="F77" s="1">
        <v>1</v>
      </c>
      <c r="G77" s="3">
        <v>45</v>
      </c>
      <c r="H77" s="3">
        <v>36</v>
      </c>
      <c r="I77" s="3" t="s">
        <v>25</v>
      </c>
      <c r="J77" s="3" t="s">
        <v>29</v>
      </c>
      <c r="K77" s="3">
        <f>VLOOKUP(Tableau3[[#This Row],[essence]],Tableau7[],2,FALSE)</f>
        <v>-2.9584999999999999</v>
      </c>
      <c r="L77" s="3">
        <f>VLOOKUP(Tableau3[[#This Row],[essence]],Tableau7[],3,FALSE)</f>
        <v>-1.1581999999999999</v>
      </c>
      <c r="M77" s="3">
        <f>VLOOKUP(Tableau3[[#This Row],[essence]],Tableau7[],4,FALSE)</f>
        <v>1.3563000000000001</v>
      </c>
      <c r="N77" s="3">
        <f>IF(Tableau3[[#This Row],[priorecol]]="C",1,0)</f>
        <v>0</v>
      </c>
      <c r="O77" s="3">
        <f>VLOOKUP(Tableau3[[#This Row],[essence]],Tableau7[],5,FALSE)</f>
        <v>2.0564</v>
      </c>
      <c r="P77" s="3">
        <f>IF(Tableau3[[#This Row],[priorecol]]="R",1,0)</f>
        <v>0</v>
      </c>
      <c r="Q77" s="3">
        <f>VLOOKUP(Tableau3[[#This Row],[essence]],Tableau7[],6,FALSE)</f>
        <v>1.3911</v>
      </c>
      <c r="R77" s="3">
        <f>IF(Tableau3[[#This Row],[priorecol]]="S",1,0)</f>
        <v>1</v>
      </c>
      <c r="S77" s="3">
        <f>VLOOKUP(Tableau3[[#This Row],[essence]],Tableau7[],7,FALSE)</f>
        <v>0</v>
      </c>
      <c r="T77" s="3">
        <f>VLOOKUP(Tableau3[[#This Row],[essence]],Tableau7[],15,FALSE)</f>
        <v>0</v>
      </c>
      <c r="U77" s="3">
        <f>VLOOKUP(Tableau3[[#This Row],[essence]],Tableau7[],20,FALSE)</f>
        <v>0</v>
      </c>
      <c r="V77" s="3">
        <f>IF(Tableau3[[#This Row],[sdom]]=1,1,0)</f>
        <v>0</v>
      </c>
      <c r="W77" s="3">
        <f>VLOOKUP(Tableau3[[#This Row],[essence]],Tableau7[],8,FALSE)</f>
        <v>0.19420000000000001</v>
      </c>
      <c r="X77" s="3">
        <f>IF(Tableau3[[#This Row],[sdom]]="2EST",1,0)</f>
        <v>0</v>
      </c>
      <c r="Y77" s="3">
        <f>VLOOKUP(Tableau3[[#This Row],[essence]],Tableau7[],9,FALSE)</f>
        <v>-0.1956</v>
      </c>
      <c r="Z77" s="3">
        <f>IF(Tableau3[[#This Row],[sdom]]="2OUEST",1,0)</f>
        <v>1</v>
      </c>
      <c r="AA77" s="3">
        <f>VLOOKUP(Tableau3[[#This Row],[essence]],Tableau7[],10,FALSE)</f>
        <v>-0.1221</v>
      </c>
      <c r="AB77" s="3">
        <f>IF(Tableau3[[#This Row],[sdom]]="3EST",1,0)</f>
        <v>0</v>
      </c>
      <c r="AC77" s="3">
        <f>VLOOKUP(Tableau3[[#This Row],[essence]],Tableau7[],11,FALSE)</f>
        <v>0.16789999999999999</v>
      </c>
      <c r="AD77" s="3">
        <f>IF(Tableau3[[#This Row],[sdom]]="3OUEST",1,0)</f>
        <v>0</v>
      </c>
      <c r="AE77" s="3">
        <f>VLOOKUP(Tableau3[[#This Row],[essence]],Tableau7[],12,FALSE)</f>
        <v>0</v>
      </c>
      <c r="AF77" s="3">
        <f>IF(Tableau3[[#This Row],[sdom]]="4EST",1,0)</f>
        <v>0</v>
      </c>
      <c r="AG77" s="3">
        <f>VLOOKUP(Tableau3[[#This Row],[essence]],Tableau7[],13,FALSE)</f>
        <v>0</v>
      </c>
      <c r="AH77" s="3">
        <f>IF(Tableau3[[#This Row],[sdom]]="4OUEST",1,0)</f>
        <v>0</v>
      </c>
      <c r="AI77" s="3">
        <f>VLOOKUP(Tableau3[[#This Row],[essence]],Tableau7[],14,FALSE)</f>
        <v>0</v>
      </c>
      <c r="AJ77" s="3">
        <f>IF(Tableau3[[#This Row],[sdom]]="5EST",1,0)</f>
        <v>0</v>
      </c>
      <c r="AK77" s="3">
        <f>VLOOKUP(Tableau3[[#This Row],[essence]],Tableau7[],17,FALSE)</f>
        <v>0</v>
      </c>
      <c r="AL77" s="3">
        <f>IF(Tableau3[[#This Row],[priorecol]]="C",1,0)</f>
        <v>0</v>
      </c>
      <c r="AM77" s="3">
        <f>VLOOKUP(Tableau3[[#This Row],[essence]],Tableau7[],18,FALSE)</f>
        <v>0</v>
      </c>
      <c r="AN77" s="3">
        <f>IF(Tableau3[[#This Row],[priorecol]]="R",1,0)</f>
        <v>0</v>
      </c>
      <c r="AO77" s="3">
        <f>VLOOKUP(Tableau3[[#This Row],[essence]],Tableau7[],19,FALSE)</f>
        <v>0</v>
      </c>
      <c r="AP77" s="3">
        <f>IF(Tableau3[[#This Row],[priorecol]]="S",1,0)</f>
        <v>1</v>
      </c>
      <c r="AQ77" s="3">
        <f>VLOOKUP(Tableau3[[#This Row],[essence]],Tableau7[],21,FALSE)</f>
        <v>0.2979</v>
      </c>
      <c r="AR77" s="3">
        <f>VLOOKUP(Tableau3[[#This Row],[essence]],Tableau7[],16,FALSE)</f>
        <v>0.154</v>
      </c>
      <c r="AS7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1.8168000000000002</v>
      </c>
      <c r="AT77" s="3">
        <f>Tableau3[[#This Row],[xb_]]+Tableau3[[#This Row],[b_intercept_C]]</f>
        <v>0.6586000000000003</v>
      </c>
      <c r="AU77" s="3">
        <f>Tableau3[[#This Row],[xb_]]+Tableau3[[#This Row],[b_intercept_B]]</f>
        <v>-1.1416999999999997</v>
      </c>
      <c r="AV77" s="3">
        <f>1/(1+EXP(-Tableau3[[#This Row],[xb_c]]))</f>
        <v>0.65894582778675015</v>
      </c>
      <c r="AW77" s="3">
        <f>1/(1+EXP(-Tableau3[[#This Row],[xb_b]]))</f>
        <v>0.24200837569208167</v>
      </c>
      <c r="AX77" s="3" t="str">
        <f t="shared" si="2"/>
        <v>NA</v>
      </c>
      <c r="AY77" s="3">
        <f>Tableau3[[#This Row],[prob_b]]</f>
        <v>0.24200837569208167</v>
      </c>
      <c r="AZ77" s="3">
        <f>Tableau3[[#This Row],[prob_c]]-Tableau3[[#This Row],[prob_b]]</f>
        <v>0.41693745209466848</v>
      </c>
      <c r="BA77" s="3">
        <f>1-Tableau3[[#This Row],[prob_c]]</f>
        <v>0.34105417221324985</v>
      </c>
    </row>
    <row r="78" spans="1:53" x14ac:dyDescent="0.25">
      <c r="A78" s="2">
        <v>4</v>
      </c>
      <c r="B78" s="2" t="s">
        <v>12</v>
      </c>
      <c r="C78" s="4">
        <v>2.1</v>
      </c>
      <c r="D78" s="4">
        <v>700</v>
      </c>
      <c r="E78" s="4">
        <v>20</v>
      </c>
      <c r="F78" s="4">
        <v>1</v>
      </c>
      <c r="G78" s="2">
        <v>27</v>
      </c>
      <c r="H78" s="2">
        <v>36</v>
      </c>
      <c r="I78" s="2" t="s">
        <v>19</v>
      </c>
      <c r="J78" s="2" t="s">
        <v>29</v>
      </c>
      <c r="K78" s="2">
        <f>VLOOKUP(Tableau3[[#This Row],[essence]],Tableau7[],2,FALSE)</f>
        <v>-3.7313999999999998</v>
      </c>
      <c r="L78" s="3">
        <f>VLOOKUP(Tableau3[[#This Row],[essence]],Tableau7[],3,FALSE)</f>
        <v>-1.7194</v>
      </c>
      <c r="M78" s="3">
        <f>VLOOKUP(Tableau3[[#This Row],[essence]],Tableau7[],4,FALSE)</f>
        <v>1.5371999999999999</v>
      </c>
      <c r="N78" s="3">
        <f>IF(Tableau3[[#This Row],[priorecol]]="C",1,0)</f>
        <v>0</v>
      </c>
      <c r="O78" s="3">
        <f>VLOOKUP(Tableau3[[#This Row],[essence]],Tableau7[],5,FALSE)</f>
        <v>2.5815000000000001</v>
      </c>
      <c r="P78" s="3">
        <f>IF(Tableau3[[#This Row],[priorecol]]="R",1,0)</f>
        <v>0</v>
      </c>
      <c r="Q78" s="3">
        <f>VLOOKUP(Tableau3[[#This Row],[essence]],Tableau7[],6,FALSE)</f>
        <v>0.96079999999999999</v>
      </c>
      <c r="R78" s="3">
        <f>IF(Tableau3[[#This Row],[priorecol]]="S",1,0)</f>
        <v>1</v>
      </c>
      <c r="S78" s="3">
        <f>VLOOKUP(Tableau3[[#This Row],[essence]],Tableau7[],7,FALSE)</f>
        <v>4.2799999999999998E-2</v>
      </c>
      <c r="T78" s="3">
        <f>VLOOKUP(Tableau3[[#This Row],[essence]],Tableau7[],15,FALSE)</f>
        <v>1.54E-2</v>
      </c>
      <c r="U78" s="3">
        <f>VLOOKUP(Tableau3[[#This Row],[essence]],Tableau7[],20,FALSE)</f>
        <v>0</v>
      </c>
      <c r="V78" s="3">
        <f>IF(Tableau3[[#This Row],[sdom]]=1,1,0)</f>
        <v>0</v>
      </c>
      <c r="W78" s="3">
        <f>VLOOKUP(Tableau3[[#This Row],[essence]],Tableau7[],8,FALSE)</f>
        <v>2.3900000000000001E-2</v>
      </c>
      <c r="X78" s="3">
        <f>IF(Tableau3[[#This Row],[sdom]]="2EST",1,0)</f>
        <v>0</v>
      </c>
      <c r="Y78" s="3">
        <f>VLOOKUP(Tableau3[[#This Row],[essence]],Tableau7[],9,FALSE)</f>
        <v>-0.4793</v>
      </c>
      <c r="Z78" s="3">
        <f>IF(Tableau3[[#This Row],[sdom]]="2OUEST",1,0)</f>
        <v>0</v>
      </c>
      <c r="AA78" s="3">
        <f>VLOOKUP(Tableau3[[#This Row],[essence]],Tableau7[],10,FALSE)</f>
        <v>0.13880000000000001</v>
      </c>
      <c r="AB78" s="3">
        <f>IF(Tableau3[[#This Row],[sdom]]="3EST",1,0)</f>
        <v>1</v>
      </c>
      <c r="AC78" s="3">
        <f>VLOOKUP(Tableau3[[#This Row],[essence]],Tableau7[],11,FALSE)</f>
        <v>0.27039999999999997</v>
      </c>
      <c r="AD78" s="3">
        <f>IF(Tableau3[[#This Row],[sdom]]="3OUEST",1,0)</f>
        <v>0</v>
      </c>
      <c r="AE78" s="3">
        <f>VLOOKUP(Tableau3[[#This Row],[essence]],Tableau7[],12,FALSE)</f>
        <v>4.6600000000000001E-3</v>
      </c>
      <c r="AF78" s="3">
        <f>IF(Tableau3[[#This Row],[sdom]]="4EST",1,0)</f>
        <v>0</v>
      </c>
      <c r="AG78" s="3">
        <f>VLOOKUP(Tableau3[[#This Row],[essence]],Tableau7[],13,FALSE)</f>
        <v>0.1986</v>
      </c>
      <c r="AH78" s="3">
        <f>IF(Tableau3[[#This Row],[sdom]]="4OUEST",1,0)</f>
        <v>0</v>
      </c>
      <c r="AI78" s="3">
        <f>VLOOKUP(Tableau3[[#This Row],[essence]],Tableau7[],14,FALSE)</f>
        <v>-0.2535</v>
      </c>
      <c r="AJ78" s="3">
        <f>IF(Tableau3[[#This Row],[sdom]]="5EST",1,0)</f>
        <v>0</v>
      </c>
      <c r="AK78" s="3">
        <f>VLOOKUP(Tableau3[[#This Row],[essence]],Tableau7[],17,FALSE)</f>
        <v>0</v>
      </c>
      <c r="AL78" s="3">
        <f>IF(Tableau3[[#This Row],[priorecol]]="C",1,0)</f>
        <v>0</v>
      </c>
      <c r="AM78" s="3">
        <f>VLOOKUP(Tableau3[[#This Row],[essence]],Tableau7[],18,FALSE)</f>
        <v>0</v>
      </c>
      <c r="AN78" s="3">
        <f>IF(Tableau3[[#This Row],[priorecol]]="R",1,0)</f>
        <v>0</v>
      </c>
      <c r="AO78" s="3">
        <f>VLOOKUP(Tableau3[[#This Row],[essence]],Tableau7[],19,FALSE)</f>
        <v>0</v>
      </c>
      <c r="AP78" s="3">
        <f>IF(Tableau3[[#This Row],[priorecol]]="S",1,0)</f>
        <v>1</v>
      </c>
      <c r="AQ78" s="3">
        <f>VLOOKUP(Tableau3[[#This Row],[essence]],Tableau7[],21,FALSE)</f>
        <v>0</v>
      </c>
      <c r="AR78" s="3">
        <f>VLOOKUP(Tableau3[[#This Row],[essence]],Tableau7[],16,FALSE)</f>
        <v>0.123</v>
      </c>
      <c r="AS7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3.2066999999999997</v>
      </c>
      <c r="AT78" s="3">
        <f>Tableau3[[#This Row],[xb_]]+Tableau3[[#This Row],[b_intercept_C]]</f>
        <v>1.4872999999999996</v>
      </c>
      <c r="AU78" s="3">
        <f>Tableau3[[#This Row],[xb_]]+Tableau3[[#This Row],[b_intercept_B]]</f>
        <v>-0.52470000000000017</v>
      </c>
      <c r="AV78" s="3">
        <f>1/(1+EXP(-Tableau3[[#This Row],[xb_c]]))</f>
        <v>0.81567267146318012</v>
      </c>
      <c r="AW78" s="3">
        <f>1/(1+EXP(-Tableau3[[#This Row],[xb_b]]))</f>
        <v>0.37175387488792683</v>
      </c>
      <c r="AX78" s="3" t="str">
        <f t="shared" si="2"/>
        <v>NA</v>
      </c>
      <c r="AY78" s="3">
        <f>Tableau3[[#This Row],[prob_b]]</f>
        <v>0.37175387488792683</v>
      </c>
      <c r="AZ78" s="3">
        <f>Tableau3[[#This Row],[prob_c]]-Tableau3[[#This Row],[prob_b]]</f>
        <v>0.44391879657525329</v>
      </c>
      <c r="BA78" s="3">
        <f>1-Tableau3[[#This Row],[prob_c]]</f>
        <v>0.18432732853681988</v>
      </c>
    </row>
    <row r="79" spans="1:53" x14ac:dyDescent="0.25">
      <c r="A79" s="3">
        <v>4</v>
      </c>
      <c r="B79" s="3" t="s">
        <v>12</v>
      </c>
      <c r="C79" s="1">
        <v>2.1</v>
      </c>
      <c r="D79" s="1">
        <v>700</v>
      </c>
      <c r="E79" s="1">
        <v>20</v>
      </c>
      <c r="F79" s="1">
        <v>1</v>
      </c>
      <c r="G79" s="3">
        <v>33</v>
      </c>
      <c r="H79" s="3">
        <v>36</v>
      </c>
      <c r="I79" s="3" t="s">
        <v>21</v>
      </c>
      <c r="J79" s="3" t="s">
        <v>29</v>
      </c>
      <c r="K79" s="3">
        <f>VLOOKUP(Tableau3[[#This Row],[essence]],Tableau7[],2,FALSE)</f>
        <v>-0.68799999999999994</v>
      </c>
      <c r="L79" s="3">
        <f>VLOOKUP(Tableau3[[#This Row],[essence]],Tableau7[],3,FALSE)</f>
        <v>1.3924000000000001</v>
      </c>
      <c r="M79" s="3">
        <f>VLOOKUP(Tableau3[[#This Row],[essence]],Tableau7[],4,FALSE)</f>
        <v>0.41599999999999998</v>
      </c>
      <c r="N79" s="3">
        <f>IF(Tableau3[[#This Row],[priorecol]]="C",1,0)</f>
        <v>0</v>
      </c>
      <c r="O79" s="3">
        <f>VLOOKUP(Tableau3[[#This Row],[essence]],Tableau7[],5,FALSE)</f>
        <v>1.5604</v>
      </c>
      <c r="P79" s="3">
        <f>IF(Tableau3[[#This Row],[priorecol]]="R",1,0)</f>
        <v>0</v>
      </c>
      <c r="Q79" s="3">
        <f>VLOOKUP(Tableau3[[#This Row],[essence]],Tableau7[],6,FALSE)</f>
        <v>-0.64770000000000005</v>
      </c>
      <c r="R79" s="3">
        <f>IF(Tableau3[[#This Row],[priorecol]]="S",1,0)</f>
        <v>1</v>
      </c>
      <c r="S79" s="3">
        <f>VLOOKUP(Tableau3[[#This Row],[essence]],Tableau7[],7,FALSE)</f>
        <v>0</v>
      </c>
      <c r="T79" s="3">
        <f>VLOOKUP(Tableau3[[#This Row],[essence]],Tableau7[],15,FALSE)</f>
        <v>-2.4500000000000001E-2</v>
      </c>
      <c r="U79" s="3">
        <f>VLOOKUP(Tableau3[[#This Row],[essence]],Tableau7[],20,FALSE)</f>
        <v>0.15179999999999999</v>
      </c>
      <c r="V79" s="3">
        <f>IF(Tableau3[[#This Row],[sdom]]=1,1,0)</f>
        <v>0</v>
      </c>
      <c r="W79" s="3">
        <f>VLOOKUP(Tableau3[[#This Row],[essence]],Tableau7[],8,FALSE)</f>
        <v>0</v>
      </c>
      <c r="X79" s="3">
        <f>IF(Tableau3[[#This Row],[sdom]]="2EST",1,0)</f>
        <v>0</v>
      </c>
      <c r="Y79" s="3">
        <f>VLOOKUP(Tableau3[[#This Row],[essence]],Tableau7[],9,FALSE)</f>
        <v>-0.27589999999999998</v>
      </c>
      <c r="Z79" s="3">
        <f>IF(Tableau3[[#This Row],[sdom]]="2OUEST",1,0)</f>
        <v>0</v>
      </c>
      <c r="AA79" s="3">
        <f>VLOOKUP(Tableau3[[#This Row],[essence]],Tableau7[],10,FALSE)</f>
        <v>0</v>
      </c>
      <c r="AB79" s="3">
        <f>IF(Tableau3[[#This Row],[sdom]]="3EST",1,0)</f>
        <v>1</v>
      </c>
      <c r="AC79" s="3">
        <f>VLOOKUP(Tableau3[[#This Row],[essence]],Tableau7[],11,FALSE)</f>
        <v>0</v>
      </c>
      <c r="AD79" s="3">
        <f>IF(Tableau3[[#This Row],[sdom]]="3OUEST",1,0)</f>
        <v>0</v>
      </c>
      <c r="AE79" s="3">
        <f>VLOOKUP(Tableau3[[#This Row],[essence]],Tableau7[],12,FALSE)</f>
        <v>0</v>
      </c>
      <c r="AF79" s="3">
        <f>IF(Tableau3[[#This Row],[sdom]]="4EST",1,0)</f>
        <v>0</v>
      </c>
      <c r="AG79" s="3">
        <f>VLOOKUP(Tableau3[[#This Row],[essence]],Tableau7[],13,FALSE)</f>
        <v>0</v>
      </c>
      <c r="AH79" s="3">
        <f>IF(Tableau3[[#This Row],[sdom]]="4OUEST",1,0)</f>
        <v>0</v>
      </c>
      <c r="AI79" s="3">
        <f>VLOOKUP(Tableau3[[#This Row],[essence]],Tableau7[],14,FALSE)</f>
        <v>0</v>
      </c>
      <c r="AJ79" s="3">
        <f>IF(Tableau3[[#This Row],[sdom]]="5EST",1,0)</f>
        <v>0</v>
      </c>
      <c r="AK79" s="3">
        <f>VLOOKUP(Tableau3[[#This Row],[essence]],Tableau7[],17,FALSE)</f>
        <v>6.4199999999999993E-2</v>
      </c>
      <c r="AL79" s="3">
        <f>IF(Tableau3[[#This Row],[priorecol]]="C",1,0)</f>
        <v>0</v>
      </c>
      <c r="AM79" s="3">
        <f>VLOOKUP(Tableau3[[#This Row],[essence]],Tableau7[],18,FALSE)</f>
        <v>6.3399999999999998E-2</v>
      </c>
      <c r="AN79" s="3">
        <f>IF(Tableau3[[#This Row],[priorecol]]="R",1,0)</f>
        <v>0</v>
      </c>
      <c r="AO79" s="3">
        <f>VLOOKUP(Tableau3[[#This Row],[essence]],Tableau7[],19,FALSE)</f>
        <v>8.2400000000000001E-2</v>
      </c>
      <c r="AP79" s="3">
        <f>IF(Tableau3[[#This Row],[priorecol]]="S",1,0)</f>
        <v>1</v>
      </c>
      <c r="AQ79" s="3">
        <f>VLOOKUP(Tableau3[[#This Row],[essence]],Tableau7[],21,FALSE)</f>
        <v>0</v>
      </c>
      <c r="AR79" s="3">
        <f>VLOOKUP(Tableau3[[#This Row],[essence]],Tableau7[],16,FALSE)</f>
        <v>0</v>
      </c>
      <c r="AS7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79" s="3">
        <f>Tableau3[[#This Row],[xb_]]+Tableau3[[#This Row],[b_intercept_C]]</f>
        <v>1.9027000000000001</v>
      </c>
      <c r="AU79" s="3">
        <f>Tableau3[[#This Row],[xb_]]+Tableau3[[#This Row],[b_intercept_B]]</f>
        <v>-0.17769999999999997</v>
      </c>
      <c r="AV79" s="3">
        <f>1/(1+EXP(-Tableau3[[#This Row],[xb_c]]))</f>
        <v>0.87019680726461601</v>
      </c>
      <c r="AW79" s="3">
        <f>1/(1+EXP(-Tableau3[[#This Row],[xb_b]]))</f>
        <v>0.45569153379071875</v>
      </c>
      <c r="AX79" s="3" t="str">
        <f t="shared" si="2"/>
        <v>NA</v>
      </c>
      <c r="AY79" s="3">
        <f>Tableau3[[#This Row],[prob_b]]</f>
        <v>0.45569153379071875</v>
      </c>
      <c r="AZ79" s="3">
        <f>Tableau3[[#This Row],[prob_c]]-Tableau3[[#This Row],[prob_b]]</f>
        <v>0.41450527347389726</v>
      </c>
      <c r="BA79" s="3">
        <f>1-Tableau3[[#This Row],[prob_c]]</f>
        <v>0.12980319273538399</v>
      </c>
    </row>
    <row r="80" spans="1:53" x14ac:dyDescent="0.25">
      <c r="A80" s="2">
        <v>4</v>
      </c>
      <c r="B80" s="2" t="s">
        <v>12</v>
      </c>
      <c r="C80" s="4">
        <v>2.1</v>
      </c>
      <c r="D80" s="4">
        <v>700</v>
      </c>
      <c r="E80" s="4">
        <v>20</v>
      </c>
      <c r="F80" s="4">
        <v>1</v>
      </c>
      <c r="G80" s="2">
        <v>39</v>
      </c>
      <c r="H80" s="2">
        <v>36</v>
      </c>
      <c r="I80" s="2" t="s">
        <v>23</v>
      </c>
      <c r="J80" s="2" t="s">
        <v>29</v>
      </c>
      <c r="K80" s="2">
        <f>VLOOKUP(Tableau3[[#This Row],[essence]],Tableau7[],2,FALSE)</f>
        <v>-3.9003999999999999</v>
      </c>
      <c r="L80" s="3">
        <f>VLOOKUP(Tableau3[[#This Row],[essence]],Tableau7[],3,FALSE)</f>
        <v>-1.7661</v>
      </c>
      <c r="M80" s="3">
        <f>VLOOKUP(Tableau3[[#This Row],[essence]],Tableau7[],4,FALSE)</f>
        <v>1.9438</v>
      </c>
      <c r="N80" s="3">
        <f>IF(Tableau3[[#This Row],[priorecol]]="C",1,0)</f>
        <v>0</v>
      </c>
      <c r="O80" s="3">
        <f>VLOOKUP(Tableau3[[#This Row],[essence]],Tableau7[],5,FALSE)</f>
        <v>2.9834000000000001</v>
      </c>
      <c r="P80" s="3">
        <f>IF(Tableau3[[#This Row],[priorecol]]="R",1,0)</f>
        <v>0</v>
      </c>
      <c r="Q80" s="3">
        <f>VLOOKUP(Tableau3[[#This Row],[essence]],Tableau7[],6,FALSE)</f>
        <v>1.0873999999999999</v>
      </c>
      <c r="R80" s="3">
        <f>IF(Tableau3[[#This Row],[priorecol]]="S",1,0)</f>
        <v>1</v>
      </c>
      <c r="S80" s="3">
        <f>VLOOKUP(Tableau3[[#This Row],[essence]],Tableau7[],7,FALSE)</f>
        <v>6.4000000000000001E-2</v>
      </c>
      <c r="T80" s="3">
        <f>VLOOKUP(Tableau3[[#This Row],[essence]],Tableau7[],15,FALSE)</f>
        <v>7.5199999999999998E-3</v>
      </c>
      <c r="U80" s="3">
        <f>VLOOKUP(Tableau3[[#This Row],[essence]],Tableau7[],20,FALSE)</f>
        <v>0.17810000000000001</v>
      </c>
      <c r="V80" s="3">
        <f>IF(Tableau3[[#This Row],[sdom]]=1,1,0)</f>
        <v>0</v>
      </c>
      <c r="W80" s="3">
        <f>VLOOKUP(Tableau3[[#This Row],[essence]],Tableau7[],8,FALSE)</f>
        <v>0.29430000000000001</v>
      </c>
      <c r="X80" s="3">
        <f>IF(Tableau3[[#This Row],[sdom]]="2EST",1,0)</f>
        <v>0</v>
      </c>
      <c r="Y80" s="3">
        <f>VLOOKUP(Tableau3[[#This Row],[essence]],Tableau7[],9,FALSE)</f>
        <v>0.11260000000000001</v>
      </c>
      <c r="Z80" s="3">
        <f>IF(Tableau3[[#This Row],[sdom]]="2OUEST",1,0)</f>
        <v>0</v>
      </c>
      <c r="AA80" s="3">
        <f>VLOOKUP(Tableau3[[#This Row],[essence]],Tableau7[],10,FALSE)</f>
        <v>1.2999999999999999E-2</v>
      </c>
      <c r="AB80" s="3">
        <f>IF(Tableau3[[#This Row],[sdom]]="3EST",1,0)</f>
        <v>1</v>
      </c>
      <c r="AC80" s="3">
        <f>VLOOKUP(Tableau3[[#This Row],[essence]],Tableau7[],11,FALSE)</f>
        <v>0.17150000000000001</v>
      </c>
      <c r="AD80" s="3">
        <f>IF(Tableau3[[#This Row],[sdom]]="3OUEST",1,0)</f>
        <v>0</v>
      </c>
      <c r="AE80" s="3">
        <f>VLOOKUP(Tableau3[[#This Row],[essence]],Tableau7[],12,FALSE)</f>
        <v>-0.1308</v>
      </c>
      <c r="AF80" s="3">
        <f>IF(Tableau3[[#This Row],[sdom]]="4EST",1,0)</f>
        <v>0</v>
      </c>
      <c r="AG80" s="3">
        <f>VLOOKUP(Tableau3[[#This Row],[essence]],Tableau7[],13,FALSE)</f>
        <v>-0.2858</v>
      </c>
      <c r="AH80" s="3">
        <f>IF(Tableau3[[#This Row],[sdom]]="4OUEST",1,0)</f>
        <v>0</v>
      </c>
      <c r="AI80" s="3">
        <f>VLOOKUP(Tableau3[[#This Row],[essence]],Tableau7[],14,FALSE)</f>
        <v>0</v>
      </c>
      <c r="AJ80" s="3">
        <f>IF(Tableau3[[#This Row],[sdom]]="5EST",1,0)</f>
        <v>0</v>
      </c>
      <c r="AK80" s="3">
        <f>VLOOKUP(Tableau3[[#This Row],[essence]],Tableau7[],17,FALSE)</f>
        <v>0</v>
      </c>
      <c r="AL80" s="3">
        <f>IF(Tableau3[[#This Row],[priorecol]]="C",1,0)</f>
        <v>0</v>
      </c>
      <c r="AM80" s="3">
        <f>VLOOKUP(Tableau3[[#This Row],[essence]],Tableau7[],18,FALSE)</f>
        <v>0</v>
      </c>
      <c r="AN80" s="3">
        <f>IF(Tableau3[[#This Row],[priorecol]]="R",1,0)</f>
        <v>0</v>
      </c>
      <c r="AO80" s="3">
        <f>VLOOKUP(Tableau3[[#This Row],[essence]],Tableau7[],19,FALSE)</f>
        <v>0</v>
      </c>
      <c r="AP80" s="3">
        <f>IF(Tableau3[[#This Row],[priorecol]]="S",1,0)</f>
        <v>1</v>
      </c>
      <c r="AQ80" s="3">
        <f>VLOOKUP(Tableau3[[#This Row],[essence]],Tableau7[],21,FALSE)</f>
        <v>0</v>
      </c>
      <c r="AR80" s="3">
        <f>VLOOKUP(Tableau3[[#This Row],[essence]],Tableau7[],16,FALSE)</f>
        <v>0</v>
      </c>
      <c r="AS8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3.5547999999999997</v>
      </c>
      <c r="AT80" s="3">
        <f>Tableau3[[#This Row],[xb_]]+Tableau3[[#This Row],[b_intercept_C]]</f>
        <v>1.7886999999999997</v>
      </c>
      <c r="AU80" s="3">
        <f>Tableau3[[#This Row],[xb_]]+Tableau3[[#This Row],[b_intercept_B]]</f>
        <v>-0.34560000000000013</v>
      </c>
      <c r="AV80" s="3">
        <f>1/(1+EXP(-Tableau3[[#This Row],[xb_c]]))</f>
        <v>0.85676781875804509</v>
      </c>
      <c r="AW80" s="3">
        <f>1/(1+EXP(-Tableau3[[#This Row],[xb_b]]))</f>
        <v>0.41444981470093201</v>
      </c>
      <c r="AX80" s="3" t="str">
        <f t="shared" si="2"/>
        <v>NA</v>
      </c>
      <c r="AY80" s="3">
        <f>Tableau3[[#This Row],[prob_b]]</f>
        <v>0.41444981470093201</v>
      </c>
      <c r="AZ80" s="3">
        <f>Tableau3[[#This Row],[prob_c]]-Tableau3[[#This Row],[prob_b]]</f>
        <v>0.44231800405711308</v>
      </c>
      <c r="BA80" s="3">
        <f>1-Tableau3[[#This Row],[prob_c]]</f>
        <v>0.14323218124195491</v>
      </c>
    </row>
    <row r="81" spans="1:53" x14ac:dyDescent="0.25">
      <c r="A81" s="3">
        <v>4</v>
      </c>
      <c r="B81" s="3" t="s">
        <v>12</v>
      </c>
      <c r="C81" s="1">
        <v>2.1</v>
      </c>
      <c r="D81" s="1">
        <v>700</v>
      </c>
      <c r="E81" s="1">
        <v>20</v>
      </c>
      <c r="F81" s="1">
        <v>1</v>
      </c>
      <c r="G81" s="3">
        <v>45</v>
      </c>
      <c r="H81" s="3">
        <v>36</v>
      </c>
      <c r="I81" s="3" t="s">
        <v>25</v>
      </c>
      <c r="J81" s="3" t="s">
        <v>29</v>
      </c>
      <c r="K81" s="3">
        <f>VLOOKUP(Tableau3[[#This Row],[essence]],Tableau7[],2,FALSE)</f>
        <v>-2.9584999999999999</v>
      </c>
      <c r="L81" s="3">
        <f>VLOOKUP(Tableau3[[#This Row],[essence]],Tableau7[],3,FALSE)</f>
        <v>-1.1581999999999999</v>
      </c>
      <c r="M81" s="3">
        <f>VLOOKUP(Tableau3[[#This Row],[essence]],Tableau7[],4,FALSE)</f>
        <v>1.3563000000000001</v>
      </c>
      <c r="N81" s="3">
        <f>IF(Tableau3[[#This Row],[priorecol]]="C",1,0)</f>
        <v>0</v>
      </c>
      <c r="O81" s="3">
        <f>VLOOKUP(Tableau3[[#This Row],[essence]],Tableau7[],5,FALSE)</f>
        <v>2.0564</v>
      </c>
      <c r="P81" s="3">
        <f>IF(Tableau3[[#This Row],[priorecol]]="R",1,0)</f>
        <v>0</v>
      </c>
      <c r="Q81" s="3">
        <f>VLOOKUP(Tableau3[[#This Row],[essence]],Tableau7[],6,FALSE)</f>
        <v>1.3911</v>
      </c>
      <c r="R81" s="3">
        <f>IF(Tableau3[[#This Row],[priorecol]]="S",1,0)</f>
        <v>1</v>
      </c>
      <c r="S81" s="3">
        <f>VLOOKUP(Tableau3[[#This Row],[essence]],Tableau7[],7,FALSE)</f>
        <v>0</v>
      </c>
      <c r="T81" s="3">
        <f>VLOOKUP(Tableau3[[#This Row],[essence]],Tableau7[],15,FALSE)</f>
        <v>0</v>
      </c>
      <c r="U81" s="3">
        <f>VLOOKUP(Tableau3[[#This Row],[essence]],Tableau7[],20,FALSE)</f>
        <v>0</v>
      </c>
      <c r="V81" s="3">
        <f>IF(Tableau3[[#This Row],[sdom]]=1,1,0)</f>
        <v>0</v>
      </c>
      <c r="W81" s="3">
        <f>VLOOKUP(Tableau3[[#This Row],[essence]],Tableau7[],8,FALSE)</f>
        <v>0.19420000000000001</v>
      </c>
      <c r="X81" s="3">
        <f>IF(Tableau3[[#This Row],[sdom]]="2EST",1,0)</f>
        <v>0</v>
      </c>
      <c r="Y81" s="3">
        <f>VLOOKUP(Tableau3[[#This Row],[essence]],Tableau7[],9,FALSE)</f>
        <v>-0.1956</v>
      </c>
      <c r="Z81" s="3">
        <f>IF(Tableau3[[#This Row],[sdom]]="2OUEST",1,0)</f>
        <v>0</v>
      </c>
      <c r="AA81" s="3">
        <f>VLOOKUP(Tableau3[[#This Row],[essence]],Tableau7[],10,FALSE)</f>
        <v>-0.1221</v>
      </c>
      <c r="AB81" s="3">
        <f>IF(Tableau3[[#This Row],[sdom]]="3EST",1,0)</f>
        <v>1</v>
      </c>
      <c r="AC81" s="3">
        <f>VLOOKUP(Tableau3[[#This Row],[essence]],Tableau7[],11,FALSE)</f>
        <v>0.16789999999999999</v>
      </c>
      <c r="AD81" s="3">
        <f>IF(Tableau3[[#This Row],[sdom]]="3OUEST",1,0)</f>
        <v>0</v>
      </c>
      <c r="AE81" s="3">
        <f>VLOOKUP(Tableau3[[#This Row],[essence]],Tableau7[],12,FALSE)</f>
        <v>0</v>
      </c>
      <c r="AF81" s="3">
        <f>IF(Tableau3[[#This Row],[sdom]]="4EST",1,0)</f>
        <v>0</v>
      </c>
      <c r="AG81" s="3">
        <f>VLOOKUP(Tableau3[[#This Row],[essence]],Tableau7[],13,FALSE)</f>
        <v>0</v>
      </c>
      <c r="AH81" s="3">
        <f>IF(Tableau3[[#This Row],[sdom]]="4OUEST",1,0)</f>
        <v>0</v>
      </c>
      <c r="AI81" s="3">
        <f>VLOOKUP(Tableau3[[#This Row],[essence]],Tableau7[],14,FALSE)</f>
        <v>0</v>
      </c>
      <c r="AJ81" s="3">
        <f>IF(Tableau3[[#This Row],[sdom]]="5EST",1,0)</f>
        <v>0</v>
      </c>
      <c r="AK81" s="3">
        <f>VLOOKUP(Tableau3[[#This Row],[essence]],Tableau7[],17,FALSE)</f>
        <v>0</v>
      </c>
      <c r="AL81" s="3">
        <f>IF(Tableau3[[#This Row],[priorecol]]="C",1,0)</f>
        <v>0</v>
      </c>
      <c r="AM81" s="3">
        <f>VLOOKUP(Tableau3[[#This Row],[essence]],Tableau7[],18,FALSE)</f>
        <v>0</v>
      </c>
      <c r="AN81" s="3">
        <f>IF(Tableau3[[#This Row],[priorecol]]="R",1,0)</f>
        <v>0</v>
      </c>
      <c r="AO81" s="3">
        <f>VLOOKUP(Tableau3[[#This Row],[essence]],Tableau7[],19,FALSE)</f>
        <v>0</v>
      </c>
      <c r="AP81" s="3">
        <f>IF(Tableau3[[#This Row],[priorecol]]="S",1,0)</f>
        <v>1</v>
      </c>
      <c r="AQ81" s="3">
        <f>VLOOKUP(Tableau3[[#This Row],[essence]],Tableau7[],21,FALSE)</f>
        <v>0.2979</v>
      </c>
      <c r="AR81" s="3">
        <f>VLOOKUP(Tableau3[[#This Row],[essence]],Tableau7[],16,FALSE)</f>
        <v>0.154</v>
      </c>
      <c r="AS8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1.8902999999999999</v>
      </c>
      <c r="AT81" s="3">
        <f>Tableau3[[#This Row],[xb_]]+Tableau3[[#This Row],[b_intercept_C]]</f>
        <v>0.73209999999999997</v>
      </c>
      <c r="AU81" s="3">
        <f>Tableau3[[#This Row],[xb_]]+Tableau3[[#This Row],[b_intercept_B]]</f>
        <v>-1.0682</v>
      </c>
      <c r="AV81" s="3">
        <f>1/(1+EXP(-Tableau3[[#This Row],[xb_c]]))</f>
        <v>0.67526593385340306</v>
      </c>
      <c r="AW81" s="3">
        <f>1/(1+EXP(-Tableau3[[#This Row],[xb_b]]))</f>
        <v>0.25574554508463065</v>
      </c>
      <c r="AX81" s="3" t="str">
        <f t="shared" si="2"/>
        <v>NA</v>
      </c>
      <c r="AY81" s="3">
        <f>Tableau3[[#This Row],[prob_b]]</f>
        <v>0.25574554508463065</v>
      </c>
      <c r="AZ81" s="3">
        <f>Tableau3[[#This Row],[prob_c]]-Tableau3[[#This Row],[prob_b]]</f>
        <v>0.4195203887687724</v>
      </c>
      <c r="BA81" s="3">
        <f>1-Tableau3[[#This Row],[prob_c]]</f>
        <v>0.32473406614659694</v>
      </c>
    </row>
    <row r="82" spans="1:53" x14ac:dyDescent="0.25">
      <c r="A82" s="2">
        <v>5</v>
      </c>
      <c r="B82" s="2" t="s">
        <v>13</v>
      </c>
      <c r="C82" s="4">
        <v>2.1</v>
      </c>
      <c r="D82" s="4">
        <v>700</v>
      </c>
      <c r="E82" s="4">
        <v>20</v>
      </c>
      <c r="F82" s="4">
        <v>1</v>
      </c>
      <c r="G82" s="2">
        <v>27</v>
      </c>
      <c r="H82" s="2">
        <v>36</v>
      </c>
      <c r="I82" s="2" t="s">
        <v>19</v>
      </c>
      <c r="J82" s="2" t="s">
        <v>29</v>
      </c>
      <c r="K82" s="2">
        <f>VLOOKUP(Tableau3[[#This Row],[essence]],Tableau7[],2,FALSE)</f>
        <v>-3.7313999999999998</v>
      </c>
      <c r="L82" s="3">
        <f>VLOOKUP(Tableau3[[#This Row],[essence]],Tableau7[],3,FALSE)</f>
        <v>-1.7194</v>
      </c>
      <c r="M82" s="3">
        <f>VLOOKUP(Tableau3[[#This Row],[essence]],Tableau7[],4,FALSE)</f>
        <v>1.5371999999999999</v>
      </c>
      <c r="N82" s="3">
        <f>IF(Tableau3[[#This Row],[priorecol]]="C",1,0)</f>
        <v>0</v>
      </c>
      <c r="O82" s="3">
        <f>VLOOKUP(Tableau3[[#This Row],[essence]],Tableau7[],5,FALSE)</f>
        <v>2.5815000000000001</v>
      </c>
      <c r="P82" s="3">
        <f>IF(Tableau3[[#This Row],[priorecol]]="R",1,0)</f>
        <v>0</v>
      </c>
      <c r="Q82" s="3">
        <f>VLOOKUP(Tableau3[[#This Row],[essence]],Tableau7[],6,FALSE)</f>
        <v>0.96079999999999999</v>
      </c>
      <c r="R82" s="3">
        <f>IF(Tableau3[[#This Row],[priorecol]]="S",1,0)</f>
        <v>1</v>
      </c>
      <c r="S82" s="3">
        <f>VLOOKUP(Tableau3[[#This Row],[essence]],Tableau7[],7,FALSE)</f>
        <v>4.2799999999999998E-2</v>
      </c>
      <c r="T82" s="3">
        <f>VLOOKUP(Tableau3[[#This Row],[essence]],Tableau7[],15,FALSE)</f>
        <v>1.54E-2</v>
      </c>
      <c r="U82" s="3">
        <f>VLOOKUP(Tableau3[[#This Row],[essence]],Tableau7[],20,FALSE)</f>
        <v>0</v>
      </c>
      <c r="V82" s="3">
        <f>IF(Tableau3[[#This Row],[sdom]]=1,1,0)</f>
        <v>0</v>
      </c>
      <c r="W82" s="3">
        <f>VLOOKUP(Tableau3[[#This Row],[essence]],Tableau7[],8,FALSE)</f>
        <v>2.3900000000000001E-2</v>
      </c>
      <c r="X82" s="3">
        <f>IF(Tableau3[[#This Row],[sdom]]="2EST",1,0)</f>
        <v>0</v>
      </c>
      <c r="Y82" s="3">
        <f>VLOOKUP(Tableau3[[#This Row],[essence]],Tableau7[],9,FALSE)</f>
        <v>-0.4793</v>
      </c>
      <c r="Z82" s="3">
        <f>IF(Tableau3[[#This Row],[sdom]]="2OUEST",1,0)</f>
        <v>0</v>
      </c>
      <c r="AA82" s="3">
        <f>VLOOKUP(Tableau3[[#This Row],[essence]],Tableau7[],10,FALSE)</f>
        <v>0.13880000000000001</v>
      </c>
      <c r="AB82" s="3">
        <f>IF(Tableau3[[#This Row],[sdom]]="3EST",1,0)</f>
        <v>0</v>
      </c>
      <c r="AC82" s="3">
        <f>VLOOKUP(Tableau3[[#This Row],[essence]],Tableau7[],11,FALSE)</f>
        <v>0.27039999999999997</v>
      </c>
      <c r="AD82" s="3">
        <f>IF(Tableau3[[#This Row],[sdom]]="3OUEST",1,0)</f>
        <v>1</v>
      </c>
      <c r="AE82" s="3">
        <f>VLOOKUP(Tableau3[[#This Row],[essence]],Tableau7[],12,FALSE)</f>
        <v>4.6600000000000001E-3</v>
      </c>
      <c r="AF82" s="3">
        <f>IF(Tableau3[[#This Row],[sdom]]="4EST",1,0)</f>
        <v>0</v>
      </c>
      <c r="AG82" s="3">
        <f>VLOOKUP(Tableau3[[#This Row],[essence]],Tableau7[],13,FALSE)</f>
        <v>0.1986</v>
      </c>
      <c r="AH82" s="3">
        <f>IF(Tableau3[[#This Row],[sdom]]="4OUEST",1,0)</f>
        <v>0</v>
      </c>
      <c r="AI82" s="3">
        <f>VLOOKUP(Tableau3[[#This Row],[essence]],Tableau7[],14,FALSE)</f>
        <v>-0.2535</v>
      </c>
      <c r="AJ82" s="3">
        <f>IF(Tableau3[[#This Row],[sdom]]="5EST",1,0)</f>
        <v>0</v>
      </c>
      <c r="AK82" s="3">
        <f>VLOOKUP(Tableau3[[#This Row],[essence]],Tableau7[],17,FALSE)</f>
        <v>0</v>
      </c>
      <c r="AL82" s="3">
        <f>IF(Tableau3[[#This Row],[priorecol]]="C",1,0)</f>
        <v>0</v>
      </c>
      <c r="AM82" s="3">
        <f>VLOOKUP(Tableau3[[#This Row],[essence]],Tableau7[],18,FALSE)</f>
        <v>0</v>
      </c>
      <c r="AN82" s="3">
        <f>IF(Tableau3[[#This Row],[priorecol]]="R",1,0)</f>
        <v>0</v>
      </c>
      <c r="AO82" s="3">
        <f>VLOOKUP(Tableau3[[#This Row],[essence]],Tableau7[],19,FALSE)</f>
        <v>0</v>
      </c>
      <c r="AP82" s="3">
        <f>IF(Tableau3[[#This Row],[priorecol]]="S",1,0)</f>
        <v>1</v>
      </c>
      <c r="AQ82" s="3">
        <f>VLOOKUP(Tableau3[[#This Row],[essence]],Tableau7[],21,FALSE)</f>
        <v>0</v>
      </c>
      <c r="AR82" s="3">
        <f>VLOOKUP(Tableau3[[#This Row],[essence]],Tableau7[],16,FALSE)</f>
        <v>0.123</v>
      </c>
      <c r="AS8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3.3382999999999998</v>
      </c>
      <c r="AT82" s="3">
        <f>Tableau3[[#This Row],[xb_]]+Tableau3[[#This Row],[b_intercept_C]]</f>
        <v>1.6188999999999998</v>
      </c>
      <c r="AU82" s="3">
        <f>Tableau3[[#This Row],[xb_]]+Tableau3[[#This Row],[b_intercept_B]]</f>
        <v>-0.3931</v>
      </c>
      <c r="AV82" s="3">
        <f>1/(1+EXP(-Tableau3[[#This Row],[xb_c]]))</f>
        <v>0.83464337049241799</v>
      </c>
      <c r="AW82" s="3">
        <f>1/(1+EXP(-Tableau3[[#This Row],[xb_b]]))</f>
        <v>0.40297126208593143</v>
      </c>
      <c r="AX82" s="3" t="str">
        <f t="shared" si="2"/>
        <v>NA</v>
      </c>
      <c r="AY82" s="3">
        <f>Tableau3[[#This Row],[prob_b]]</f>
        <v>0.40297126208593143</v>
      </c>
      <c r="AZ82" s="3">
        <f>Tableau3[[#This Row],[prob_c]]-Tableau3[[#This Row],[prob_b]]</f>
        <v>0.43167210840648657</v>
      </c>
      <c r="BA82" s="3">
        <f>1-Tableau3[[#This Row],[prob_c]]</f>
        <v>0.16535662950758201</v>
      </c>
    </row>
    <row r="83" spans="1:53" x14ac:dyDescent="0.25">
      <c r="A83" s="3">
        <v>5</v>
      </c>
      <c r="B83" s="3" t="s">
        <v>13</v>
      </c>
      <c r="C83" s="1">
        <v>2.1</v>
      </c>
      <c r="D83" s="1">
        <v>700</v>
      </c>
      <c r="E83" s="1">
        <v>20</v>
      </c>
      <c r="F83" s="1">
        <v>1</v>
      </c>
      <c r="G83" s="3">
        <v>33</v>
      </c>
      <c r="H83" s="3">
        <v>36</v>
      </c>
      <c r="I83" s="3" t="s">
        <v>21</v>
      </c>
      <c r="J83" s="3" t="s">
        <v>29</v>
      </c>
      <c r="K83" s="3">
        <f>VLOOKUP(Tableau3[[#This Row],[essence]],Tableau7[],2,FALSE)</f>
        <v>-0.68799999999999994</v>
      </c>
      <c r="L83" s="3">
        <f>VLOOKUP(Tableau3[[#This Row],[essence]],Tableau7[],3,FALSE)</f>
        <v>1.3924000000000001</v>
      </c>
      <c r="M83" s="3">
        <f>VLOOKUP(Tableau3[[#This Row],[essence]],Tableau7[],4,FALSE)</f>
        <v>0.41599999999999998</v>
      </c>
      <c r="N83" s="3">
        <f>IF(Tableau3[[#This Row],[priorecol]]="C",1,0)</f>
        <v>0</v>
      </c>
      <c r="O83" s="3">
        <f>VLOOKUP(Tableau3[[#This Row],[essence]],Tableau7[],5,FALSE)</f>
        <v>1.5604</v>
      </c>
      <c r="P83" s="3">
        <f>IF(Tableau3[[#This Row],[priorecol]]="R",1,0)</f>
        <v>0</v>
      </c>
      <c r="Q83" s="3">
        <f>VLOOKUP(Tableau3[[#This Row],[essence]],Tableau7[],6,FALSE)</f>
        <v>-0.64770000000000005</v>
      </c>
      <c r="R83" s="3">
        <f>IF(Tableau3[[#This Row],[priorecol]]="S",1,0)</f>
        <v>1</v>
      </c>
      <c r="S83" s="3">
        <f>VLOOKUP(Tableau3[[#This Row],[essence]],Tableau7[],7,FALSE)</f>
        <v>0</v>
      </c>
      <c r="T83" s="3">
        <f>VLOOKUP(Tableau3[[#This Row],[essence]],Tableau7[],15,FALSE)</f>
        <v>-2.4500000000000001E-2</v>
      </c>
      <c r="U83" s="3">
        <f>VLOOKUP(Tableau3[[#This Row],[essence]],Tableau7[],20,FALSE)</f>
        <v>0.15179999999999999</v>
      </c>
      <c r="V83" s="3">
        <f>IF(Tableau3[[#This Row],[sdom]]=1,1,0)</f>
        <v>0</v>
      </c>
      <c r="W83" s="3">
        <f>VLOOKUP(Tableau3[[#This Row],[essence]],Tableau7[],8,FALSE)</f>
        <v>0</v>
      </c>
      <c r="X83" s="3">
        <f>IF(Tableau3[[#This Row],[sdom]]="2EST",1,0)</f>
        <v>0</v>
      </c>
      <c r="Y83" s="3">
        <f>VLOOKUP(Tableau3[[#This Row],[essence]],Tableau7[],9,FALSE)</f>
        <v>-0.27589999999999998</v>
      </c>
      <c r="Z83" s="3">
        <f>IF(Tableau3[[#This Row],[sdom]]="2OUEST",1,0)</f>
        <v>0</v>
      </c>
      <c r="AA83" s="3">
        <f>VLOOKUP(Tableau3[[#This Row],[essence]],Tableau7[],10,FALSE)</f>
        <v>0</v>
      </c>
      <c r="AB83" s="3">
        <f>IF(Tableau3[[#This Row],[sdom]]="3EST",1,0)</f>
        <v>0</v>
      </c>
      <c r="AC83" s="3">
        <f>VLOOKUP(Tableau3[[#This Row],[essence]],Tableau7[],11,FALSE)</f>
        <v>0</v>
      </c>
      <c r="AD83" s="3">
        <f>IF(Tableau3[[#This Row],[sdom]]="3OUEST",1,0)</f>
        <v>1</v>
      </c>
      <c r="AE83" s="3">
        <f>VLOOKUP(Tableau3[[#This Row],[essence]],Tableau7[],12,FALSE)</f>
        <v>0</v>
      </c>
      <c r="AF83" s="3">
        <f>IF(Tableau3[[#This Row],[sdom]]="4EST",1,0)</f>
        <v>0</v>
      </c>
      <c r="AG83" s="3">
        <f>VLOOKUP(Tableau3[[#This Row],[essence]],Tableau7[],13,FALSE)</f>
        <v>0</v>
      </c>
      <c r="AH83" s="3">
        <f>IF(Tableau3[[#This Row],[sdom]]="4OUEST",1,0)</f>
        <v>0</v>
      </c>
      <c r="AI83" s="3">
        <f>VLOOKUP(Tableau3[[#This Row],[essence]],Tableau7[],14,FALSE)</f>
        <v>0</v>
      </c>
      <c r="AJ83" s="3">
        <f>IF(Tableau3[[#This Row],[sdom]]="5EST",1,0)</f>
        <v>0</v>
      </c>
      <c r="AK83" s="3">
        <f>VLOOKUP(Tableau3[[#This Row],[essence]],Tableau7[],17,FALSE)</f>
        <v>6.4199999999999993E-2</v>
      </c>
      <c r="AL83" s="3">
        <f>IF(Tableau3[[#This Row],[priorecol]]="C",1,0)</f>
        <v>0</v>
      </c>
      <c r="AM83" s="3">
        <f>VLOOKUP(Tableau3[[#This Row],[essence]],Tableau7[],18,FALSE)</f>
        <v>6.3399999999999998E-2</v>
      </c>
      <c r="AN83" s="3">
        <f>IF(Tableau3[[#This Row],[priorecol]]="R",1,0)</f>
        <v>0</v>
      </c>
      <c r="AO83" s="3">
        <f>VLOOKUP(Tableau3[[#This Row],[essence]],Tableau7[],19,FALSE)</f>
        <v>8.2400000000000001E-2</v>
      </c>
      <c r="AP83" s="3">
        <f>IF(Tableau3[[#This Row],[priorecol]]="S",1,0)</f>
        <v>1</v>
      </c>
      <c r="AQ83" s="3">
        <f>VLOOKUP(Tableau3[[#This Row],[essence]],Tableau7[],21,FALSE)</f>
        <v>0</v>
      </c>
      <c r="AR83" s="3">
        <f>VLOOKUP(Tableau3[[#This Row],[essence]],Tableau7[],16,FALSE)</f>
        <v>0</v>
      </c>
      <c r="AS8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83" s="3">
        <f>Tableau3[[#This Row],[xb_]]+Tableau3[[#This Row],[b_intercept_C]]</f>
        <v>1.9027000000000001</v>
      </c>
      <c r="AU83" s="3">
        <f>Tableau3[[#This Row],[xb_]]+Tableau3[[#This Row],[b_intercept_B]]</f>
        <v>-0.17769999999999997</v>
      </c>
      <c r="AV83" s="3">
        <f>1/(1+EXP(-Tableau3[[#This Row],[xb_c]]))</f>
        <v>0.87019680726461601</v>
      </c>
      <c r="AW83" s="3">
        <f>1/(1+EXP(-Tableau3[[#This Row],[xb_b]]))</f>
        <v>0.45569153379071875</v>
      </c>
      <c r="AX83" s="3" t="str">
        <f t="shared" si="2"/>
        <v>NA</v>
      </c>
      <c r="AY83" s="3">
        <f>Tableau3[[#This Row],[prob_b]]</f>
        <v>0.45569153379071875</v>
      </c>
      <c r="AZ83" s="3">
        <f>Tableau3[[#This Row],[prob_c]]-Tableau3[[#This Row],[prob_b]]</f>
        <v>0.41450527347389726</v>
      </c>
      <c r="BA83" s="3">
        <f>1-Tableau3[[#This Row],[prob_c]]</f>
        <v>0.12980319273538399</v>
      </c>
    </row>
    <row r="84" spans="1:53" x14ac:dyDescent="0.25">
      <c r="A84" s="2">
        <v>5</v>
      </c>
      <c r="B84" s="2" t="s">
        <v>13</v>
      </c>
      <c r="C84" s="4">
        <v>2.1</v>
      </c>
      <c r="D84" s="4">
        <v>700</v>
      </c>
      <c r="E84" s="4">
        <v>20</v>
      </c>
      <c r="F84" s="4">
        <v>1</v>
      </c>
      <c r="G84" s="2">
        <v>39</v>
      </c>
      <c r="H84" s="2">
        <v>36</v>
      </c>
      <c r="I84" s="2" t="s">
        <v>23</v>
      </c>
      <c r="J84" s="2" t="s">
        <v>29</v>
      </c>
      <c r="K84" s="2">
        <f>VLOOKUP(Tableau3[[#This Row],[essence]],Tableau7[],2,FALSE)</f>
        <v>-3.9003999999999999</v>
      </c>
      <c r="L84" s="3">
        <f>VLOOKUP(Tableau3[[#This Row],[essence]],Tableau7[],3,FALSE)</f>
        <v>-1.7661</v>
      </c>
      <c r="M84" s="3">
        <f>VLOOKUP(Tableau3[[#This Row],[essence]],Tableau7[],4,FALSE)</f>
        <v>1.9438</v>
      </c>
      <c r="N84" s="3">
        <f>IF(Tableau3[[#This Row],[priorecol]]="C",1,0)</f>
        <v>0</v>
      </c>
      <c r="O84" s="3">
        <f>VLOOKUP(Tableau3[[#This Row],[essence]],Tableau7[],5,FALSE)</f>
        <v>2.9834000000000001</v>
      </c>
      <c r="P84" s="3">
        <f>IF(Tableau3[[#This Row],[priorecol]]="R",1,0)</f>
        <v>0</v>
      </c>
      <c r="Q84" s="3">
        <f>VLOOKUP(Tableau3[[#This Row],[essence]],Tableau7[],6,FALSE)</f>
        <v>1.0873999999999999</v>
      </c>
      <c r="R84" s="3">
        <f>IF(Tableau3[[#This Row],[priorecol]]="S",1,0)</f>
        <v>1</v>
      </c>
      <c r="S84" s="3">
        <f>VLOOKUP(Tableau3[[#This Row],[essence]],Tableau7[],7,FALSE)</f>
        <v>6.4000000000000001E-2</v>
      </c>
      <c r="T84" s="3">
        <f>VLOOKUP(Tableau3[[#This Row],[essence]],Tableau7[],15,FALSE)</f>
        <v>7.5199999999999998E-3</v>
      </c>
      <c r="U84" s="3">
        <f>VLOOKUP(Tableau3[[#This Row],[essence]],Tableau7[],20,FALSE)</f>
        <v>0.17810000000000001</v>
      </c>
      <c r="V84" s="3">
        <f>IF(Tableau3[[#This Row],[sdom]]=1,1,0)</f>
        <v>0</v>
      </c>
      <c r="W84" s="3">
        <f>VLOOKUP(Tableau3[[#This Row],[essence]],Tableau7[],8,FALSE)</f>
        <v>0.29430000000000001</v>
      </c>
      <c r="X84" s="3">
        <f>IF(Tableau3[[#This Row],[sdom]]="2EST",1,0)</f>
        <v>0</v>
      </c>
      <c r="Y84" s="3">
        <f>VLOOKUP(Tableau3[[#This Row],[essence]],Tableau7[],9,FALSE)</f>
        <v>0.11260000000000001</v>
      </c>
      <c r="Z84" s="3">
        <f>IF(Tableau3[[#This Row],[sdom]]="2OUEST",1,0)</f>
        <v>0</v>
      </c>
      <c r="AA84" s="3">
        <f>VLOOKUP(Tableau3[[#This Row],[essence]],Tableau7[],10,FALSE)</f>
        <v>1.2999999999999999E-2</v>
      </c>
      <c r="AB84" s="3">
        <f>IF(Tableau3[[#This Row],[sdom]]="3EST",1,0)</f>
        <v>0</v>
      </c>
      <c r="AC84" s="3">
        <f>VLOOKUP(Tableau3[[#This Row],[essence]],Tableau7[],11,FALSE)</f>
        <v>0.17150000000000001</v>
      </c>
      <c r="AD84" s="3">
        <f>IF(Tableau3[[#This Row],[sdom]]="3OUEST",1,0)</f>
        <v>1</v>
      </c>
      <c r="AE84" s="3">
        <f>VLOOKUP(Tableau3[[#This Row],[essence]],Tableau7[],12,FALSE)</f>
        <v>-0.1308</v>
      </c>
      <c r="AF84" s="3">
        <f>IF(Tableau3[[#This Row],[sdom]]="4EST",1,0)</f>
        <v>0</v>
      </c>
      <c r="AG84" s="3">
        <f>VLOOKUP(Tableau3[[#This Row],[essence]],Tableau7[],13,FALSE)</f>
        <v>-0.2858</v>
      </c>
      <c r="AH84" s="3">
        <f>IF(Tableau3[[#This Row],[sdom]]="4OUEST",1,0)</f>
        <v>0</v>
      </c>
      <c r="AI84" s="3">
        <f>VLOOKUP(Tableau3[[#This Row],[essence]],Tableau7[],14,FALSE)</f>
        <v>0</v>
      </c>
      <c r="AJ84" s="3">
        <f>IF(Tableau3[[#This Row],[sdom]]="5EST",1,0)</f>
        <v>0</v>
      </c>
      <c r="AK84" s="3">
        <f>VLOOKUP(Tableau3[[#This Row],[essence]],Tableau7[],17,FALSE)</f>
        <v>0</v>
      </c>
      <c r="AL84" s="3">
        <f>IF(Tableau3[[#This Row],[priorecol]]="C",1,0)</f>
        <v>0</v>
      </c>
      <c r="AM84" s="3">
        <f>VLOOKUP(Tableau3[[#This Row],[essence]],Tableau7[],18,FALSE)</f>
        <v>0</v>
      </c>
      <c r="AN84" s="3">
        <f>IF(Tableau3[[#This Row],[priorecol]]="R",1,0)</f>
        <v>0</v>
      </c>
      <c r="AO84" s="3">
        <f>VLOOKUP(Tableau3[[#This Row],[essence]],Tableau7[],19,FALSE)</f>
        <v>0</v>
      </c>
      <c r="AP84" s="3">
        <f>IF(Tableau3[[#This Row],[priorecol]]="S",1,0)</f>
        <v>1</v>
      </c>
      <c r="AQ84" s="3">
        <f>VLOOKUP(Tableau3[[#This Row],[essence]],Tableau7[],21,FALSE)</f>
        <v>0</v>
      </c>
      <c r="AR84" s="3">
        <f>VLOOKUP(Tableau3[[#This Row],[essence]],Tableau7[],16,FALSE)</f>
        <v>0</v>
      </c>
      <c r="AS8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3.7132999999999998</v>
      </c>
      <c r="AT84" s="3">
        <f>Tableau3[[#This Row],[xb_]]+Tableau3[[#This Row],[b_intercept_C]]</f>
        <v>1.9471999999999998</v>
      </c>
      <c r="AU84" s="3">
        <f>Tableau3[[#This Row],[xb_]]+Tableau3[[#This Row],[b_intercept_B]]</f>
        <v>-0.18710000000000004</v>
      </c>
      <c r="AV84" s="3">
        <f>1/(1+EXP(-Tableau3[[#This Row],[xb_c]]))</f>
        <v>0.87514100922219573</v>
      </c>
      <c r="AW84" s="3">
        <f>1/(1+EXP(-Tableau3[[#This Row],[xb_b]]))</f>
        <v>0.45336097608534914</v>
      </c>
      <c r="AX84" s="3" t="str">
        <f t="shared" si="2"/>
        <v>NA</v>
      </c>
      <c r="AY84" s="3">
        <f>Tableau3[[#This Row],[prob_b]]</f>
        <v>0.45336097608534914</v>
      </c>
      <c r="AZ84" s="3">
        <f>Tableau3[[#This Row],[prob_c]]-Tableau3[[#This Row],[prob_b]]</f>
        <v>0.42178003313684659</v>
      </c>
      <c r="BA84" s="3">
        <f>1-Tableau3[[#This Row],[prob_c]]</f>
        <v>0.12485899077780427</v>
      </c>
    </row>
    <row r="85" spans="1:53" x14ac:dyDescent="0.25">
      <c r="A85" s="3">
        <v>5</v>
      </c>
      <c r="B85" s="3" t="s">
        <v>13</v>
      </c>
      <c r="C85" s="1">
        <v>2.1</v>
      </c>
      <c r="D85" s="1">
        <v>700</v>
      </c>
      <c r="E85" s="1">
        <v>20</v>
      </c>
      <c r="F85" s="1">
        <v>1</v>
      </c>
      <c r="G85" s="3">
        <v>45</v>
      </c>
      <c r="H85" s="3">
        <v>36</v>
      </c>
      <c r="I85" s="3" t="s">
        <v>25</v>
      </c>
      <c r="J85" s="3" t="s">
        <v>29</v>
      </c>
      <c r="K85" s="3">
        <f>VLOOKUP(Tableau3[[#This Row],[essence]],Tableau7[],2,FALSE)</f>
        <v>-2.9584999999999999</v>
      </c>
      <c r="L85" s="3">
        <f>VLOOKUP(Tableau3[[#This Row],[essence]],Tableau7[],3,FALSE)</f>
        <v>-1.1581999999999999</v>
      </c>
      <c r="M85" s="3">
        <f>VLOOKUP(Tableau3[[#This Row],[essence]],Tableau7[],4,FALSE)</f>
        <v>1.3563000000000001</v>
      </c>
      <c r="N85" s="3">
        <f>IF(Tableau3[[#This Row],[priorecol]]="C",1,0)</f>
        <v>0</v>
      </c>
      <c r="O85" s="3">
        <f>VLOOKUP(Tableau3[[#This Row],[essence]],Tableau7[],5,FALSE)</f>
        <v>2.0564</v>
      </c>
      <c r="P85" s="3">
        <f>IF(Tableau3[[#This Row],[priorecol]]="R",1,0)</f>
        <v>0</v>
      </c>
      <c r="Q85" s="3">
        <f>VLOOKUP(Tableau3[[#This Row],[essence]],Tableau7[],6,FALSE)</f>
        <v>1.3911</v>
      </c>
      <c r="R85" s="3">
        <f>IF(Tableau3[[#This Row],[priorecol]]="S",1,0)</f>
        <v>1</v>
      </c>
      <c r="S85" s="3">
        <f>VLOOKUP(Tableau3[[#This Row],[essence]],Tableau7[],7,FALSE)</f>
        <v>0</v>
      </c>
      <c r="T85" s="3">
        <f>VLOOKUP(Tableau3[[#This Row],[essence]],Tableau7[],15,FALSE)</f>
        <v>0</v>
      </c>
      <c r="U85" s="3">
        <f>VLOOKUP(Tableau3[[#This Row],[essence]],Tableau7[],20,FALSE)</f>
        <v>0</v>
      </c>
      <c r="V85" s="3">
        <f>IF(Tableau3[[#This Row],[sdom]]=1,1,0)</f>
        <v>0</v>
      </c>
      <c r="W85" s="3">
        <f>VLOOKUP(Tableau3[[#This Row],[essence]],Tableau7[],8,FALSE)</f>
        <v>0.19420000000000001</v>
      </c>
      <c r="X85" s="3">
        <f>IF(Tableau3[[#This Row],[sdom]]="2EST",1,0)</f>
        <v>0</v>
      </c>
      <c r="Y85" s="3">
        <f>VLOOKUP(Tableau3[[#This Row],[essence]],Tableau7[],9,FALSE)</f>
        <v>-0.1956</v>
      </c>
      <c r="Z85" s="3">
        <f>IF(Tableau3[[#This Row],[sdom]]="2OUEST",1,0)</f>
        <v>0</v>
      </c>
      <c r="AA85" s="3">
        <f>VLOOKUP(Tableau3[[#This Row],[essence]],Tableau7[],10,FALSE)</f>
        <v>-0.1221</v>
      </c>
      <c r="AB85" s="3">
        <f>IF(Tableau3[[#This Row],[sdom]]="3EST",1,0)</f>
        <v>0</v>
      </c>
      <c r="AC85" s="3">
        <f>VLOOKUP(Tableau3[[#This Row],[essence]],Tableau7[],11,FALSE)</f>
        <v>0.16789999999999999</v>
      </c>
      <c r="AD85" s="3">
        <f>IF(Tableau3[[#This Row],[sdom]]="3OUEST",1,0)</f>
        <v>1</v>
      </c>
      <c r="AE85" s="3">
        <f>VLOOKUP(Tableau3[[#This Row],[essence]],Tableau7[],12,FALSE)</f>
        <v>0</v>
      </c>
      <c r="AF85" s="3">
        <f>IF(Tableau3[[#This Row],[sdom]]="4EST",1,0)</f>
        <v>0</v>
      </c>
      <c r="AG85" s="3">
        <f>VLOOKUP(Tableau3[[#This Row],[essence]],Tableau7[],13,FALSE)</f>
        <v>0</v>
      </c>
      <c r="AH85" s="3">
        <f>IF(Tableau3[[#This Row],[sdom]]="4OUEST",1,0)</f>
        <v>0</v>
      </c>
      <c r="AI85" s="3">
        <f>VLOOKUP(Tableau3[[#This Row],[essence]],Tableau7[],14,FALSE)</f>
        <v>0</v>
      </c>
      <c r="AJ85" s="3">
        <f>IF(Tableau3[[#This Row],[sdom]]="5EST",1,0)</f>
        <v>0</v>
      </c>
      <c r="AK85" s="3">
        <f>VLOOKUP(Tableau3[[#This Row],[essence]],Tableau7[],17,FALSE)</f>
        <v>0</v>
      </c>
      <c r="AL85" s="3">
        <f>IF(Tableau3[[#This Row],[priorecol]]="C",1,0)</f>
        <v>0</v>
      </c>
      <c r="AM85" s="3">
        <f>VLOOKUP(Tableau3[[#This Row],[essence]],Tableau7[],18,FALSE)</f>
        <v>0</v>
      </c>
      <c r="AN85" s="3">
        <f>IF(Tableau3[[#This Row],[priorecol]]="R",1,0)</f>
        <v>0</v>
      </c>
      <c r="AO85" s="3">
        <f>VLOOKUP(Tableau3[[#This Row],[essence]],Tableau7[],19,FALSE)</f>
        <v>0</v>
      </c>
      <c r="AP85" s="3">
        <f>IF(Tableau3[[#This Row],[priorecol]]="S",1,0)</f>
        <v>1</v>
      </c>
      <c r="AQ85" s="3">
        <f>VLOOKUP(Tableau3[[#This Row],[essence]],Tableau7[],21,FALSE)</f>
        <v>0.2979</v>
      </c>
      <c r="AR85" s="3">
        <f>VLOOKUP(Tableau3[[#This Row],[essence]],Tableau7[],16,FALSE)</f>
        <v>0.154</v>
      </c>
      <c r="AS8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2.1802999999999999</v>
      </c>
      <c r="AT85" s="3">
        <f>Tableau3[[#This Row],[xb_]]+Tableau3[[#This Row],[b_intercept_C]]</f>
        <v>1.0221</v>
      </c>
      <c r="AU85" s="3">
        <f>Tableau3[[#This Row],[xb_]]+Tableau3[[#This Row],[b_intercept_B]]</f>
        <v>-0.7782</v>
      </c>
      <c r="AV85" s="3">
        <f>1/(1+EXP(-Tableau3[[#This Row],[xb_c]]))</f>
        <v>0.73538145211375971</v>
      </c>
      <c r="AW85" s="3">
        <f>1/(1+EXP(-Tableau3[[#This Row],[xb_b]]))</f>
        <v>0.314707956871143</v>
      </c>
      <c r="AX85" s="3" t="str">
        <f t="shared" si="2"/>
        <v>NA</v>
      </c>
      <c r="AY85" s="3">
        <f>Tableau3[[#This Row],[prob_b]]</f>
        <v>0.314707956871143</v>
      </c>
      <c r="AZ85" s="3">
        <f>Tableau3[[#This Row],[prob_c]]-Tableau3[[#This Row],[prob_b]]</f>
        <v>0.42067349524261671</v>
      </c>
      <c r="BA85" s="3">
        <f>1-Tableau3[[#This Row],[prob_c]]</f>
        <v>0.26461854788624029</v>
      </c>
    </row>
    <row r="86" spans="1:53" x14ac:dyDescent="0.25">
      <c r="A86" s="2">
        <v>6</v>
      </c>
      <c r="B86" s="2" t="s">
        <v>14</v>
      </c>
      <c r="C86" s="4">
        <v>1.2</v>
      </c>
      <c r="D86" s="4">
        <v>1022</v>
      </c>
      <c r="E86" s="4">
        <v>25</v>
      </c>
      <c r="F86" s="4">
        <v>1</v>
      </c>
      <c r="G86" s="2">
        <v>27</v>
      </c>
      <c r="H86" s="2">
        <v>36</v>
      </c>
      <c r="I86" s="2" t="s">
        <v>19</v>
      </c>
      <c r="J86" s="2" t="s">
        <v>29</v>
      </c>
      <c r="K86" s="2">
        <f>VLOOKUP(Tableau3[[#This Row],[essence]],Tableau7[],2,FALSE)</f>
        <v>-3.7313999999999998</v>
      </c>
      <c r="L86" s="3">
        <f>VLOOKUP(Tableau3[[#This Row],[essence]],Tableau7[],3,FALSE)</f>
        <v>-1.7194</v>
      </c>
      <c r="M86" s="3">
        <f>VLOOKUP(Tableau3[[#This Row],[essence]],Tableau7[],4,FALSE)</f>
        <v>1.5371999999999999</v>
      </c>
      <c r="N86" s="3">
        <f>IF(Tableau3[[#This Row],[priorecol]]="C",1,0)</f>
        <v>0</v>
      </c>
      <c r="O86" s="3">
        <f>VLOOKUP(Tableau3[[#This Row],[essence]],Tableau7[],5,FALSE)</f>
        <v>2.5815000000000001</v>
      </c>
      <c r="P86" s="3">
        <f>IF(Tableau3[[#This Row],[priorecol]]="R",1,0)</f>
        <v>0</v>
      </c>
      <c r="Q86" s="3">
        <f>VLOOKUP(Tableau3[[#This Row],[essence]],Tableau7[],6,FALSE)</f>
        <v>0.96079999999999999</v>
      </c>
      <c r="R86" s="3">
        <f>IF(Tableau3[[#This Row],[priorecol]]="S",1,0)</f>
        <v>1</v>
      </c>
      <c r="S86" s="3">
        <f>VLOOKUP(Tableau3[[#This Row],[essence]],Tableau7[],7,FALSE)</f>
        <v>4.2799999999999998E-2</v>
      </c>
      <c r="T86" s="3">
        <f>VLOOKUP(Tableau3[[#This Row],[essence]],Tableau7[],15,FALSE)</f>
        <v>1.54E-2</v>
      </c>
      <c r="U86" s="3">
        <f>VLOOKUP(Tableau3[[#This Row],[essence]],Tableau7[],20,FALSE)</f>
        <v>0</v>
      </c>
      <c r="V86" s="3">
        <f>IF(Tableau3[[#This Row],[sdom]]=1,1,0)</f>
        <v>0</v>
      </c>
      <c r="W86" s="3">
        <f>VLOOKUP(Tableau3[[#This Row],[essence]],Tableau7[],8,FALSE)</f>
        <v>2.3900000000000001E-2</v>
      </c>
      <c r="X86" s="3">
        <f>IF(Tableau3[[#This Row],[sdom]]="2EST",1,0)</f>
        <v>0</v>
      </c>
      <c r="Y86" s="3">
        <f>VLOOKUP(Tableau3[[#This Row],[essence]],Tableau7[],9,FALSE)</f>
        <v>-0.4793</v>
      </c>
      <c r="Z86" s="3">
        <f>IF(Tableau3[[#This Row],[sdom]]="2OUEST",1,0)</f>
        <v>0</v>
      </c>
      <c r="AA86" s="3">
        <f>VLOOKUP(Tableau3[[#This Row],[essence]],Tableau7[],10,FALSE)</f>
        <v>0.13880000000000001</v>
      </c>
      <c r="AB86" s="3">
        <f>IF(Tableau3[[#This Row],[sdom]]="3EST",1,0)</f>
        <v>0</v>
      </c>
      <c r="AC86" s="3">
        <f>VLOOKUP(Tableau3[[#This Row],[essence]],Tableau7[],11,FALSE)</f>
        <v>0.27039999999999997</v>
      </c>
      <c r="AD86" s="3">
        <f>IF(Tableau3[[#This Row],[sdom]]="3OUEST",1,0)</f>
        <v>0</v>
      </c>
      <c r="AE86" s="3">
        <f>VLOOKUP(Tableau3[[#This Row],[essence]],Tableau7[],12,FALSE)</f>
        <v>4.6600000000000001E-3</v>
      </c>
      <c r="AF86" s="3">
        <f>IF(Tableau3[[#This Row],[sdom]]="4EST",1,0)</f>
        <v>1</v>
      </c>
      <c r="AG86" s="3">
        <f>VLOOKUP(Tableau3[[#This Row],[essence]],Tableau7[],13,FALSE)</f>
        <v>0.1986</v>
      </c>
      <c r="AH86" s="3">
        <f>IF(Tableau3[[#This Row],[sdom]]="4OUEST",1,0)</f>
        <v>0</v>
      </c>
      <c r="AI86" s="3">
        <f>VLOOKUP(Tableau3[[#This Row],[essence]],Tableau7[],14,FALSE)</f>
        <v>-0.2535</v>
      </c>
      <c r="AJ86" s="3">
        <f>IF(Tableau3[[#This Row],[sdom]]="5EST",1,0)</f>
        <v>0</v>
      </c>
      <c r="AK86" s="3">
        <f>VLOOKUP(Tableau3[[#This Row],[essence]],Tableau7[],17,FALSE)</f>
        <v>0</v>
      </c>
      <c r="AL86" s="3">
        <f>IF(Tableau3[[#This Row],[priorecol]]="C",1,0)</f>
        <v>0</v>
      </c>
      <c r="AM86" s="3">
        <f>VLOOKUP(Tableau3[[#This Row],[essence]],Tableau7[],18,FALSE)</f>
        <v>0</v>
      </c>
      <c r="AN86" s="3">
        <f>IF(Tableau3[[#This Row],[priorecol]]="R",1,0)</f>
        <v>0</v>
      </c>
      <c r="AO86" s="3">
        <f>VLOOKUP(Tableau3[[#This Row],[essence]],Tableau7[],19,FALSE)</f>
        <v>0</v>
      </c>
      <c r="AP86" s="3">
        <f>IF(Tableau3[[#This Row],[priorecol]]="S",1,0)</f>
        <v>1</v>
      </c>
      <c r="AQ86" s="3">
        <f>VLOOKUP(Tableau3[[#This Row],[essence]],Tableau7[],21,FALSE)</f>
        <v>0</v>
      </c>
      <c r="AR86" s="3">
        <f>VLOOKUP(Tableau3[[#This Row],[essence]],Tableau7[],16,FALSE)</f>
        <v>0.123</v>
      </c>
      <c r="AS8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3.0388599999999997</v>
      </c>
      <c r="AT86" s="3">
        <f>Tableau3[[#This Row],[xb_]]+Tableau3[[#This Row],[b_intercept_C]]</f>
        <v>1.3194599999999996</v>
      </c>
      <c r="AU86" s="3">
        <f>Tableau3[[#This Row],[xb_]]+Tableau3[[#This Row],[b_intercept_B]]</f>
        <v>-0.69254000000000016</v>
      </c>
      <c r="AV86" s="3">
        <f>1/(1+EXP(-Tableau3[[#This Row],[xb_c]]))</f>
        <v>0.78909185056476783</v>
      </c>
      <c r="AW86" s="3">
        <f>1/(1+EXP(-Tableau3[[#This Row],[xb_b]]))</f>
        <v>0.33346827599826923</v>
      </c>
      <c r="AX86" s="3" t="str">
        <f t="shared" si="2"/>
        <v>NA</v>
      </c>
      <c r="AY86" s="3">
        <f>Tableau3[[#This Row],[prob_b]]</f>
        <v>0.33346827599826923</v>
      </c>
      <c r="AZ86" s="3">
        <f>Tableau3[[#This Row],[prob_c]]-Tableau3[[#This Row],[prob_b]]</f>
        <v>0.4556235745664986</v>
      </c>
      <c r="BA86" s="3">
        <f>1-Tableau3[[#This Row],[prob_c]]</f>
        <v>0.21090814943523217</v>
      </c>
    </row>
    <row r="87" spans="1:53" x14ac:dyDescent="0.25">
      <c r="A87" s="3">
        <v>6</v>
      </c>
      <c r="B87" s="3" t="s">
        <v>14</v>
      </c>
      <c r="C87" s="1">
        <v>1.2</v>
      </c>
      <c r="D87" s="1">
        <v>1022</v>
      </c>
      <c r="E87" s="1">
        <v>25</v>
      </c>
      <c r="F87" s="1">
        <v>1</v>
      </c>
      <c r="G87" s="3">
        <v>33</v>
      </c>
      <c r="H87" s="3">
        <v>36</v>
      </c>
      <c r="I87" s="3" t="s">
        <v>21</v>
      </c>
      <c r="J87" s="3" t="s">
        <v>29</v>
      </c>
      <c r="K87" s="3">
        <f>VLOOKUP(Tableau3[[#This Row],[essence]],Tableau7[],2,FALSE)</f>
        <v>-0.68799999999999994</v>
      </c>
      <c r="L87" s="3">
        <f>VLOOKUP(Tableau3[[#This Row],[essence]],Tableau7[],3,FALSE)</f>
        <v>1.3924000000000001</v>
      </c>
      <c r="M87" s="3">
        <f>VLOOKUP(Tableau3[[#This Row],[essence]],Tableau7[],4,FALSE)</f>
        <v>0.41599999999999998</v>
      </c>
      <c r="N87" s="3">
        <f>IF(Tableau3[[#This Row],[priorecol]]="C",1,0)</f>
        <v>0</v>
      </c>
      <c r="O87" s="3">
        <f>VLOOKUP(Tableau3[[#This Row],[essence]],Tableau7[],5,FALSE)</f>
        <v>1.5604</v>
      </c>
      <c r="P87" s="3">
        <f>IF(Tableau3[[#This Row],[priorecol]]="R",1,0)</f>
        <v>0</v>
      </c>
      <c r="Q87" s="3">
        <f>VLOOKUP(Tableau3[[#This Row],[essence]],Tableau7[],6,FALSE)</f>
        <v>-0.64770000000000005</v>
      </c>
      <c r="R87" s="3">
        <f>IF(Tableau3[[#This Row],[priorecol]]="S",1,0)</f>
        <v>1</v>
      </c>
      <c r="S87" s="3">
        <f>VLOOKUP(Tableau3[[#This Row],[essence]],Tableau7[],7,FALSE)</f>
        <v>0</v>
      </c>
      <c r="T87" s="3">
        <f>VLOOKUP(Tableau3[[#This Row],[essence]],Tableau7[],15,FALSE)</f>
        <v>-2.4500000000000001E-2</v>
      </c>
      <c r="U87" s="3">
        <f>VLOOKUP(Tableau3[[#This Row],[essence]],Tableau7[],20,FALSE)</f>
        <v>0.15179999999999999</v>
      </c>
      <c r="V87" s="3">
        <f>IF(Tableau3[[#This Row],[sdom]]=1,1,0)</f>
        <v>0</v>
      </c>
      <c r="W87" s="3">
        <f>VLOOKUP(Tableau3[[#This Row],[essence]],Tableau7[],8,FALSE)</f>
        <v>0</v>
      </c>
      <c r="X87" s="3">
        <f>IF(Tableau3[[#This Row],[sdom]]="2EST",1,0)</f>
        <v>0</v>
      </c>
      <c r="Y87" s="3">
        <f>VLOOKUP(Tableau3[[#This Row],[essence]],Tableau7[],9,FALSE)</f>
        <v>-0.27589999999999998</v>
      </c>
      <c r="Z87" s="3">
        <f>IF(Tableau3[[#This Row],[sdom]]="2OUEST",1,0)</f>
        <v>0</v>
      </c>
      <c r="AA87" s="3">
        <f>VLOOKUP(Tableau3[[#This Row],[essence]],Tableau7[],10,FALSE)</f>
        <v>0</v>
      </c>
      <c r="AB87" s="3">
        <f>IF(Tableau3[[#This Row],[sdom]]="3EST",1,0)</f>
        <v>0</v>
      </c>
      <c r="AC87" s="3">
        <f>VLOOKUP(Tableau3[[#This Row],[essence]],Tableau7[],11,FALSE)</f>
        <v>0</v>
      </c>
      <c r="AD87" s="3">
        <f>IF(Tableau3[[#This Row],[sdom]]="3OUEST",1,0)</f>
        <v>0</v>
      </c>
      <c r="AE87" s="3">
        <f>VLOOKUP(Tableau3[[#This Row],[essence]],Tableau7[],12,FALSE)</f>
        <v>0</v>
      </c>
      <c r="AF87" s="3">
        <f>IF(Tableau3[[#This Row],[sdom]]="4EST",1,0)</f>
        <v>1</v>
      </c>
      <c r="AG87" s="3">
        <f>VLOOKUP(Tableau3[[#This Row],[essence]],Tableau7[],13,FALSE)</f>
        <v>0</v>
      </c>
      <c r="AH87" s="3">
        <f>IF(Tableau3[[#This Row],[sdom]]="4OUEST",1,0)</f>
        <v>0</v>
      </c>
      <c r="AI87" s="3">
        <f>VLOOKUP(Tableau3[[#This Row],[essence]],Tableau7[],14,FALSE)</f>
        <v>0</v>
      </c>
      <c r="AJ87" s="3">
        <f>IF(Tableau3[[#This Row],[sdom]]="5EST",1,0)</f>
        <v>0</v>
      </c>
      <c r="AK87" s="3">
        <f>VLOOKUP(Tableau3[[#This Row],[essence]],Tableau7[],17,FALSE)</f>
        <v>6.4199999999999993E-2</v>
      </c>
      <c r="AL87" s="3">
        <f>IF(Tableau3[[#This Row],[priorecol]]="C",1,0)</f>
        <v>0</v>
      </c>
      <c r="AM87" s="3">
        <f>VLOOKUP(Tableau3[[#This Row],[essence]],Tableau7[],18,FALSE)</f>
        <v>6.3399999999999998E-2</v>
      </c>
      <c r="AN87" s="3">
        <f>IF(Tableau3[[#This Row],[priorecol]]="R",1,0)</f>
        <v>0</v>
      </c>
      <c r="AO87" s="3">
        <f>VLOOKUP(Tableau3[[#This Row],[essence]],Tableau7[],19,FALSE)</f>
        <v>8.2400000000000001E-2</v>
      </c>
      <c r="AP87" s="3">
        <f>IF(Tableau3[[#This Row],[priorecol]]="S",1,0)</f>
        <v>1</v>
      </c>
      <c r="AQ87" s="3">
        <f>VLOOKUP(Tableau3[[#This Row],[essence]],Tableau7[],21,FALSE)</f>
        <v>0</v>
      </c>
      <c r="AR87" s="3">
        <f>VLOOKUP(Tableau3[[#This Row],[essence]],Tableau7[],16,FALSE)</f>
        <v>0</v>
      </c>
      <c r="AS8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0.79979999999999984</v>
      </c>
      <c r="AT87" s="3">
        <f>Tableau3[[#This Row],[xb_]]+Tableau3[[#This Row],[b_intercept_C]]</f>
        <v>2.1921999999999997</v>
      </c>
      <c r="AU87" s="3">
        <f>Tableau3[[#This Row],[xb_]]+Tableau3[[#This Row],[b_intercept_B]]</f>
        <v>0.1117999999999999</v>
      </c>
      <c r="AV87" s="3">
        <f>1/(1+EXP(-Tableau3[[#This Row],[xb_c]]))</f>
        <v>0.89954687829502689</v>
      </c>
      <c r="AW87" s="3">
        <f>1/(1+EXP(-Tableau3[[#This Row],[xb_b]]))</f>
        <v>0.52792092352967068</v>
      </c>
      <c r="AX87" s="3" t="str">
        <f t="shared" si="2"/>
        <v>NA</v>
      </c>
      <c r="AY87" s="3">
        <f>Tableau3[[#This Row],[prob_b]]</f>
        <v>0.52792092352967068</v>
      </c>
      <c r="AZ87" s="3">
        <f>Tableau3[[#This Row],[prob_c]]-Tableau3[[#This Row],[prob_b]]</f>
        <v>0.3716259547653562</v>
      </c>
      <c r="BA87" s="3">
        <f>1-Tableau3[[#This Row],[prob_c]]</f>
        <v>0.10045312170497311</v>
      </c>
    </row>
    <row r="88" spans="1:53" x14ac:dyDescent="0.25">
      <c r="A88" s="2">
        <v>6</v>
      </c>
      <c r="B88" s="2" t="s">
        <v>14</v>
      </c>
      <c r="C88" s="4">
        <v>1.2</v>
      </c>
      <c r="D88" s="4">
        <v>1022</v>
      </c>
      <c r="E88" s="4">
        <v>25</v>
      </c>
      <c r="F88" s="4">
        <v>1</v>
      </c>
      <c r="G88" s="2">
        <v>39</v>
      </c>
      <c r="H88" s="2">
        <v>36</v>
      </c>
      <c r="I88" s="2" t="s">
        <v>23</v>
      </c>
      <c r="J88" s="2" t="s">
        <v>29</v>
      </c>
      <c r="K88" s="2">
        <f>VLOOKUP(Tableau3[[#This Row],[essence]],Tableau7[],2,FALSE)</f>
        <v>-3.9003999999999999</v>
      </c>
      <c r="L88" s="3">
        <f>VLOOKUP(Tableau3[[#This Row],[essence]],Tableau7[],3,FALSE)</f>
        <v>-1.7661</v>
      </c>
      <c r="M88" s="3">
        <f>VLOOKUP(Tableau3[[#This Row],[essence]],Tableau7[],4,FALSE)</f>
        <v>1.9438</v>
      </c>
      <c r="N88" s="3">
        <f>IF(Tableau3[[#This Row],[priorecol]]="C",1,0)</f>
        <v>0</v>
      </c>
      <c r="O88" s="3">
        <f>VLOOKUP(Tableau3[[#This Row],[essence]],Tableau7[],5,FALSE)</f>
        <v>2.9834000000000001</v>
      </c>
      <c r="P88" s="3">
        <f>IF(Tableau3[[#This Row],[priorecol]]="R",1,0)</f>
        <v>0</v>
      </c>
      <c r="Q88" s="3">
        <f>VLOOKUP(Tableau3[[#This Row],[essence]],Tableau7[],6,FALSE)</f>
        <v>1.0873999999999999</v>
      </c>
      <c r="R88" s="3">
        <f>IF(Tableau3[[#This Row],[priorecol]]="S",1,0)</f>
        <v>1</v>
      </c>
      <c r="S88" s="3">
        <f>VLOOKUP(Tableau3[[#This Row],[essence]],Tableau7[],7,FALSE)</f>
        <v>6.4000000000000001E-2</v>
      </c>
      <c r="T88" s="3">
        <f>VLOOKUP(Tableau3[[#This Row],[essence]],Tableau7[],15,FALSE)</f>
        <v>7.5199999999999998E-3</v>
      </c>
      <c r="U88" s="3">
        <f>VLOOKUP(Tableau3[[#This Row],[essence]],Tableau7[],20,FALSE)</f>
        <v>0.17810000000000001</v>
      </c>
      <c r="V88" s="3">
        <f>IF(Tableau3[[#This Row],[sdom]]=1,1,0)</f>
        <v>0</v>
      </c>
      <c r="W88" s="3">
        <f>VLOOKUP(Tableau3[[#This Row],[essence]],Tableau7[],8,FALSE)</f>
        <v>0.29430000000000001</v>
      </c>
      <c r="X88" s="3">
        <f>IF(Tableau3[[#This Row],[sdom]]="2EST",1,0)</f>
        <v>0</v>
      </c>
      <c r="Y88" s="3">
        <f>VLOOKUP(Tableau3[[#This Row],[essence]],Tableau7[],9,FALSE)</f>
        <v>0.11260000000000001</v>
      </c>
      <c r="Z88" s="3">
        <f>IF(Tableau3[[#This Row],[sdom]]="2OUEST",1,0)</f>
        <v>0</v>
      </c>
      <c r="AA88" s="3">
        <f>VLOOKUP(Tableau3[[#This Row],[essence]],Tableau7[],10,FALSE)</f>
        <v>1.2999999999999999E-2</v>
      </c>
      <c r="AB88" s="3">
        <f>IF(Tableau3[[#This Row],[sdom]]="3EST",1,0)</f>
        <v>0</v>
      </c>
      <c r="AC88" s="3">
        <f>VLOOKUP(Tableau3[[#This Row],[essence]],Tableau7[],11,FALSE)</f>
        <v>0.17150000000000001</v>
      </c>
      <c r="AD88" s="3">
        <f>IF(Tableau3[[#This Row],[sdom]]="3OUEST",1,0)</f>
        <v>0</v>
      </c>
      <c r="AE88" s="3">
        <f>VLOOKUP(Tableau3[[#This Row],[essence]],Tableau7[],12,FALSE)</f>
        <v>-0.1308</v>
      </c>
      <c r="AF88" s="3">
        <f>IF(Tableau3[[#This Row],[sdom]]="4EST",1,0)</f>
        <v>1</v>
      </c>
      <c r="AG88" s="3">
        <f>VLOOKUP(Tableau3[[#This Row],[essence]],Tableau7[],13,FALSE)</f>
        <v>-0.2858</v>
      </c>
      <c r="AH88" s="3">
        <f>IF(Tableau3[[#This Row],[sdom]]="4OUEST",1,0)</f>
        <v>0</v>
      </c>
      <c r="AI88" s="3">
        <f>VLOOKUP(Tableau3[[#This Row],[essence]],Tableau7[],14,FALSE)</f>
        <v>0</v>
      </c>
      <c r="AJ88" s="3">
        <f>IF(Tableau3[[#This Row],[sdom]]="5EST",1,0)</f>
        <v>0</v>
      </c>
      <c r="AK88" s="3">
        <f>VLOOKUP(Tableau3[[#This Row],[essence]],Tableau7[],17,FALSE)</f>
        <v>0</v>
      </c>
      <c r="AL88" s="3">
        <f>IF(Tableau3[[#This Row],[priorecol]]="C",1,0)</f>
        <v>0</v>
      </c>
      <c r="AM88" s="3">
        <f>VLOOKUP(Tableau3[[#This Row],[essence]],Tableau7[],18,FALSE)</f>
        <v>0</v>
      </c>
      <c r="AN88" s="3">
        <f>IF(Tableau3[[#This Row],[priorecol]]="R",1,0)</f>
        <v>0</v>
      </c>
      <c r="AO88" s="3">
        <f>VLOOKUP(Tableau3[[#This Row],[essence]],Tableau7[],19,FALSE)</f>
        <v>0</v>
      </c>
      <c r="AP88" s="3">
        <f>IF(Tableau3[[#This Row],[priorecol]]="S",1,0)</f>
        <v>1</v>
      </c>
      <c r="AQ88" s="3">
        <f>VLOOKUP(Tableau3[[#This Row],[essence]],Tableau7[],21,FALSE)</f>
        <v>0</v>
      </c>
      <c r="AR88" s="3">
        <f>VLOOKUP(Tableau3[[#This Row],[essence]],Tableau7[],16,FALSE)</f>
        <v>0</v>
      </c>
      <c r="AS8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3.4486000000000003</v>
      </c>
      <c r="AT88" s="3">
        <f>Tableau3[[#This Row],[xb_]]+Tableau3[[#This Row],[b_intercept_C]]</f>
        <v>1.6825000000000003</v>
      </c>
      <c r="AU88" s="3">
        <f>Tableau3[[#This Row],[xb_]]+Tableau3[[#This Row],[b_intercept_B]]</f>
        <v>-0.45179999999999954</v>
      </c>
      <c r="AV88" s="3">
        <f>1/(1+EXP(-Tableau3[[#This Row],[xb_c]]))</f>
        <v>0.84323528860302688</v>
      </c>
      <c r="AW88" s="3">
        <f>1/(1+EXP(-Tableau3[[#This Row],[xb_b]]))</f>
        <v>0.38893288525119291</v>
      </c>
      <c r="AX88" s="3" t="str">
        <f t="shared" si="2"/>
        <v>NA</v>
      </c>
      <c r="AY88" s="3">
        <f>Tableau3[[#This Row],[prob_b]]</f>
        <v>0.38893288525119291</v>
      </c>
      <c r="AZ88" s="3">
        <f>Tableau3[[#This Row],[prob_c]]-Tableau3[[#This Row],[prob_b]]</f>
        <v>0.45430240335183397</v>
      </c>
      <c r="BA88" s="3">
        <f>1-Tableau3[[#This Row],[prob_c]]</f>
        <v>0.15676471139697312</v>
      </c>
    </row>
    <row r="89" spans="1:53" x14ac:dyDescent="0.25">
      <c r="A89" s="3">
        <v>6</v>
      </c>
      <c r="B89" s="3" t="s">
        <v>14</v>
      </c>
      <c r="C89" s="1">
        <v>1.2</v>
      </c>
      <c r="D89" s="1">
        <v>1022</v>
      </c>
      <c r="E89" s="1">
        <v>25</v>
      </c>
      <c r="F89" s="1">
        <v>1</v>
      </c>
      <c r="G89" s="3">
        <v>45</v>
      </c>
      <c r="H89" s="3">
        <v>36</v>
      </c>
      <c r="I89" s="3" t="s">
        <v>25</v>
      </c>
      <c r="J89" s="3" t="s">
        <v>29</v>
      </c>
      <c r="K89" s="3">
        <f>VLOOKUP(Tableau3[[#This Row],[essence]],Tableau7[],2,FALSE)</f>
        <v>-2.9584999999999999</v>
      </c>
      <c r="L89" s="3">
        <f>VLOOKUP(Tableau3[[#This Row],[essence]],Tableau7[],3,FALSE)</f>
        <v>-1.1581999999999999</v>
      </c>
      <c r="M89" s="3">
        <f>VLOOKUP(Tableau3[[#This Row],[essence]],Tableau7[],4,FALSE)</f>
        <v>1.3563000000000001</v>
      </c>
      <c r="N89" s="3">
        <f>IF(Tableau3[[#This Row],[priorecol]]="C",1,0)</f>
        <v>0</v>
      </c>
      <c r="O89" s="3">
        <f>VLOOKUP(Tableau3[[#This Row],[essence]],Tableau7[],5,FALSE)</f>
        <v>2.0564</v>
      </c>
      <c r="P89" s="3">
        <f>IF(Tableau3[[#This Row],[priorecol]]="R",1,0)</f>
        <v>0</v>
      </c>
      <c r="Q89" s="3">
        <f>VLOOKUP(Tableau3[[#This Row],[essence]],Tableau7[],6,FALSE)</f>
        <v>1.3911</v>
      </c>
      <c r="R89" s="3">
        <f>IF(Tableau3[[#This Row],[priorecol]]="S",1,0)</f>
        <v>1</v>
      </c>
      <c r="S89" s="3">
        <f>VLOOKUP(Tableau3[[#This Row],[essence]],Tableau7[],7,FALSE)</f>
        <v>0</v>
      </c>
      <c r="T89" s="3">
        <f>VLOOKUP(Tableau3[[#This Row],[essence]],Tableau7[],15,FALSE)</f>
        <v>0</v>
      </c>
      <c r="U89" s="3">
        <f>VLOOKUP(Tableau3[[#This Row],[essence]],Tableau7[],20,FALSE)</f>
        <v>0</v>
      </c>
      <c r="V89" s="3">
        <f>IF(Tableau3[[#This Row],[sdom]]=1,1,0)</f>
        <v>0</v>
      </c>
      <c r="W89" s="3">
        <f>VLOOKUP(Tableau3[[#This Row],[essence]],Tableau7[],8,FALSE)</f>
        <v>0.19420000000000001</v>
      </c>
      <c r="X89" s="3">
        <f>IF(Tableau3[[#This Row],[sdom]]="2EST",1,0)</f>
        <v>0</v>
      </c>
      <c r="Y89" s="3">
        <f>VLOOKUP(Tableau3[[#This Row],[essence]],Tableau7[],9,FALSE)</f>
        <v>-0.1956</v>
      </c>
      <c r="Z89" s="3">
        <f>IF(Tableau3[[#This Row],[sdom]]="2OUEST",1,0)</f>
        <v>0</v>
      </c>
      <c r="AA89" s="3">
        <f>VLOOKUP(Tableau3[[#This Row],[essence]],Tableau7[],10,FALSE)</f>
        <v>-0.1221</v>
      </c>
      <c r="AB89" s="3">
        <f>IF(Tableau3[[#This Row],[sdom]]="3EST",1,0)</f>
        <v>0</v>
      </c>
      <c r="AC89" s="3">
        <f>VLOOKUP(Tableau3[[#This Row],[essence]],Tableau7[],11,FALSE)</f>
        <v>0.16789999999999999</v>
      </c>
      <c r="AD89" s="3">
        <f>IF(Tableau3[[#This Row],[sdom]]="3OUEST",1,0)</f>
        <v>0</v>
      </c>
      <c r="AE89" s="3">
        <f>VLOOKUP(Tableau3[[#This Row],[essence]],Tableau7[],12,FALSE)</f>
        <v>0</v>
      </c>
      <c r="AF89" s="3">
        <f>IF(Tableau3[[#This Row],[sdom]]="4EST",1,0)</f>
        <v>1</v>
      </c>
      <c r="AG89" s="3">
        <f>VLOOKUP(Tableau3[[#This Row],[essence]],Tableau7[],13,FALSE)</f>
        <v>0</v>
      </c>
      <c r="AH89" s="3">
        <f>IF(Tableau3[[#This Row],[sdom]]="4OUEST",1,0)</f>
        <v>0</v>
      </c>
      <c r="AI89" s="3">
        <f>VLOOKUP(Tableau3[[#This Row],[essence]],Tableau7[],14,FALSE)</f>
        <v>0</v>
      </c>
      <c r="AJ89" s="3">
        <f>IF(Tableau3[[#This Row],[sdom]]="5EST",1,0)</f>
        <v>0</v>
      </c>
      <c r="AK89" s="3">
        <f>VLOOKUP(Tableau3[[#This Row],[essence]],Tableau7[],17,FALSE)</f>
        <v>0</v>
      </c>
      <c r="AL89" s="3">
        <f>IF(Tableau3[[#This Row],[priorecol]]="C",1,0)</f>
        <v>0</v>
      </c>
      <c r="AM89" s="3">
        <f>VLOOKUP(Tableau3[[#This Row],[essence]],Tableau7[],18,FALSE)</f>
        <v>0</v>
      </c>
      <c r="AN89" s="3">
        <f>IF(Tableau3[[#This Row],[priorecol]]="R",1,0)</f>
        <v>0</v>
      </c>
      <c r="AO89" s="3">
        <f>VLOOKUP(Tableau3[[#This Row],[essence]],Tableau7[],19,FALSE)</f>
        <v>0</v>
      </c>
      <c r="AP89" s="3">
        <f>IF(Tableau3[[#This Row],[priorecol]]="S",1,0)</f>
        <v>1</v>
      </c>
      <c r="AQ89" s="3">
        <f>VLOOKUP(Tableau3[[#This Row],[essence]],Tableau7[],21,FALSE)</f>
        <v>0.2979</v>
      </c>
      <c r="AR89" s="3">
        <f>VLOOKUP(Tableau3[[#This Row],[essence]],Tableau7[],16,FALSE)</f>
        <v>0.154</v>
      </c>
      <c r="AS8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1.8738000000000001</v>
      </c>
      <c r="AT89" s="3">
        <f>Tableau3[[#This Row],[xb_]]+Tableau3[[#This Row],[b_intercept_C]]</f>
        <v>0.71560000000000024</v>
      </c>
      <c r="AU89" s="3">
        <f>Tableau3[[#This Row],[xb_]]+Tableau3[[#This Row],[b_intercept_B]]</f>
        <v>-1.0846999999999998</v>
      </c>
      <c r="AV89" s="3">
        <f>1/(1+EXP(-Tableau3[[#This Row],[xb_c]]))</f>
        <v>0.67163737221739783</v>
      </c>
      <c r="AW89" s="3">
        <f>1/(1+EXP(-Tableau3[[#This Row],[xb_b]]))</f>
        <v>0.25261761616297246</v>
      </c>
      <c r="AX89" s="3" t="str">
        <f t="shared" si="2"/>
        <v>NA</v>
      </c>
      <c r="AY89" s="3">
        <f>Tableau3[[#This Row],[prob_b]]</f>
        <v>0.25261761616297246</v>
      </c>
      <c r="AZ89" s="3">
        <f>Tableau3[[#This Row],[prob_c]]-Tableau3[[#This Row],[prob_b]]</f>
        <v>0.41901975605442537</v>
      </c>
      <c r="BA89" s="3">
        <f>1-Tableau3[[#This Row],[prob_c]]</f>
        <v>0.32836262778260217</v>
      </c>
    </row>
    <row r="90" spans="1:53" x14ac:dyDescent="0.25">
      <c r="A90" s="2">
        <v>7</v>
      </c>
      <c r="B90" s="2" t="s">
        <v>15</v>
      </c>
      <c r="C90" s="4">
        <v>2.1</v>
      </c>
      <c r="D90" s="4">
        <v>700</v>
      </c>
      <c r="E90" s="4">
        <v>20</v>
      </c>
      <c r="F90" s="4">
        <v>1</v>
      </c>
      <c r="G90" s="2">
        <v>27</v>
      </c>
      <c r="H90" s="2">
        <v>36</v>
      </c>
      <c r="I90" s="2" t="s">
        <v>19</v>
      </c>
      <c r="J90" s="2" t="s">
        <v>29</v>
      </c>
      <c r="K90" s="2">
        <f>VLOOKUP(Tableau3[[#This Row],[essence]],Tableau7[],2,FALSE)</f>
        <v>-3.7313999999999998</v>
      </c>
      <c r="L90" s="3">
        <f>VLOOKUP(Tableau3[[#This Row],[essence]],Tableau7[],3,FALSE)</f>
        <v>-1.7194</v>
      </c>
      <c r="M90" s="3">
        <f>VLOOKUP(Tableau3[[#This Row],[essence]],Tableau7[],4,FALSE)</f>
        <v>1.5371999999999999</v>
      </c>
      <c r="N90" s="3">
        <f>IF(Tableau3[[#This Row],[priorecol]]="C",1,0)</f>
        <v>0</v>
      </c>
      <c r="O90" s="3">
        <f>VLOOKUP(Tableau3[[#This Row],[essence]],Tableau7[],5,FALSE)</f>
        <v>2.5815000000000001</v>
      </c>
      <c r="P90" s="3">
        <f>IF(Tableau3[[#This Row],[priorecol]]="R",1,0)</f>
        <v>0</v>
      </c>
      <c r="Q90" s="3">
        <f>VLOOKUP(Tableau3[[#This Row],[essence]],Tableau7[],6,FALSE)</f>
        <v>0.96079999999999999</v>
      </c>
      <c r="R90" s="3">
        <f>IF(Tableau3[[#This Row],[priorecol]]="S",1,0)</f>
        <v>1</v>
      </c>
      <c r="S90" s="3">
        <f>VLOOKUP(Tableau3[[#This Row],[essence]],Tableau7[],7,FALSE)</f>
        <v>4.2799999999999998E-2</v>
      </c>
      <c r="T90" s="3">
        <f>VLOOKUP(Tableau3[[#This Row],[essence]],Tableau7[],15,FALSE)</f>
        <v>1.54E-2</v>
      </c>
      <c r="U90" s="3">
        <f>VLOOKUP(Tableau3[[#This Row],[essence]],Tableau7[],20,FALSE)</f>
        <v>0</v>
      </c>
      <c r="V90" s="3">
        <f>IF(Tableau3[[#This Row],[sdom]]=1,1,0)</f>
        <v>0</v>
      </c>
      <c r="W90" s="3">
        <f>VLOOKUP(Tableau3[[#This Row],[essence]],Tableau7[],8,FALSE)</f>
        <v>2.3900000000000001E-2</v>
      </c>
      <c r="X90" s="3">
        <f>IF(Tableau3[[#This Row],[sdom]]="2EST",1,0)</f>
        <v>0</v>
      </c>
      <c r="Y90" s="3">
        <f>VLOOKUP(Tableau3[[#This Row],[essence]],Tableau7[],9,FALSE)</f>
        <v>-0.4793</v>
      </c>
      <c r="Z90" s="3">
        <f>IF(Tableau3[[#This Row],[sdom]]="2OUEST",1,0)</f>
        <v>0</v>
      </c>
      <c r="AA90" s="3">
        <f>VLOOKUP(Tableau3[[#This Row],[essence]],Tableau7[],10,FALSE)</f>
        <v>0.13880000000000001</v>
      </c>
      <c r="AB90" s="3">
        <f>IF(Tableau3[[#This Row],[sdom]]="3EST",1,0)</f>
        <v>0</v>
      </c>
      <c r="AC90" s="3">
        <f>VLOOKUP(Tableau3[[#This Row],[essence]],Tableau7[],11,FALSE)</f>
        <v>0.27039999999999997</v>
      </c>
      <c r="AD90" s="3">
        <f>IF(Tableau3[[#This Row],[sdom]]="3OUEST",1,0)</f>
        <v>0</v>
      </c>
      <c r="AE90" s="3">
        <f>VLOOKUP(Tableau3[[#This Row],[essence]],Tableau7[],12,FALSE)</f>
        <v>4.6600000000000001E-3</v>
      </c>
      <c r="AF90" s="3">
        <f>IF(Tableau3[[#This Row],[sdom]]="4EST",1,0)</f>
        <v>0</v>
      </c>
      <c r="AG90" s="3">
        <f>VLOOKUP(Tableau3[[#This Row],[essence]],Tableau7[],13,FALSE)</f>
        <v>0.1986</v>
      </c>
      <c r="AH90" s="3">
        <f>IF(Tableau3[[#This Row],[sdom]]="4OUEST",1,0)</f>
        <v>1</v>
      </c>
      <c r="AI90" s="3">
        <f>VLOOKUP(Tableau3[[#This Row],[essence]],Tableau7[],14,FALSE)</f>
        <v>-0.2535</v>
      </c>
      <c r="AJ90" s="3">
        <f>IF(Tableau3[[#This Row],[sdom]]="5EST",1,0)</f>
        <v>0</v>
      </c>
      <c r="AK90" s="3">
        <f>VLOOKUP(Tableau3[[#This Row],[essence]],Tableau7[],17,FALSE)</f>
        <v>0</v>
      </c>
      <c r="AL90" s="3">
        <f>IF(Tableau3[[#This Row],[priorecol]]="C",1,0)</f>
        <v>0</v>
      </c>
      <c r="AM90" s="3">
        <f>VLOOKUP(Tableau3[[#This Row],[essence]],Tableau7[],18,FALSE)</f>
        <v>0</v>
      </c>
      <c r="AN90" s="3">
        <f>IF(Tableau3[[#This Row],[priorecol]]="R",1,0)</f>
        <v>0</v>
      </c>
      <c r="AO90" s="3">
        <f>VLOOKUP(Tableau3[[#This Row],[essence]],Tableau7[],19,FALSE)</f>
        <v>0</v>
      </c>
      <c r="AP90" s="3">
        <f>IF(Tableau3[[#This Row],[priorecol]]="S",1,0)</f>
        <v>1</v>
      </c>
      <c r="AQ90" s="3">
        <f>VLOOKUP(Tableau3[[#This Row],[essence]],Tableau7[],21,FALSE)</f>
        <v>0</v>
      </c>
      <c r="AR90" s="3">
        <f>VLOOKUP(Tableau3[[#This Row],[essence]],Tableau7[],16,FALSE)</f>
        <v>0.123</v>
      </c>
      <c r="AS9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3.2664999999999997</v>
      </c>
      <c r="AT90" s="3">
        <f>Tableau3[[#This Row],[xb_]]+Tableau3[[#This Row],[b_intercept_C]]</f>
        <v>1.5470999999999997</v>
      </c>
      <c r="AU90" s="3">
        <f>Tableau3[[#This Row],[xb_]]+Tableau3[[#This Row],[b_intercept_B]]</f>
        <v>-0.46490000000000009</v>
      </c>
      <c r="AV90" s="3">
        <f>1/(1+EXP(-Tableau3[[#This Row],[xb_c]]))</f>
        <v>0.82449448700250427</v>
      </c>
      <c r="AW90" s="3">
        <f>1/(1+EXP(-Tableau3[[#This Row],[xb_b]]))</f>
        <v>0.3858240533378528</v>
      </c>
      <c r="AX90" s="3" t="str">
        <f t="shared" si="2"/>
        <v>NA</v>
      </c>
      <c r="AY90" s="3">
        <f>Tableau3[[#This Row],[prob_b]]</f>
        <v>0.3858240533378528</v>
      </c>
      <c r="AZ90" s="3">
        <f>Tableau3[[#This Row],[prob_c]]-Tableau3[[#This Row],[prob_b]]</f>
        <v>0.43867043366465147</v>
      </c>
      <c r="BA90" s="3">
        <f>1-Tableau3[[#This Row],[prob_c]]</f>
        <v>0.17550551299749573</v>
      </c>
    </row>
    <row r="91" spans="1:53" x14ac:dyDescent="0.25">
      <c r="A91" s="3">
        <v>7</v>
      </c>
      <c r="B91" s="3" t="s">
        <v>15</v>
      </c>
      <c r="C91" s="1">
        <v>2.1</v>
      </c>
      <c r="D91" s="1">
        <v>700</v>
      </c>
      <c r="E91" s="1">
        <v>20</v>
      </c>
      <c r="F91" s="1">
        <v>1</v>
      </c>
      <c r="G91" s="3">
        <v>33</v>
      </c>
      <c r="H91" s="3">
        <v>36</v>
      </c>
      <c r="I91" s="3" t="s">
        <v>21</v>
      </c>
      <c r="J91" s="3" t="s">
        <v>29</v>
      </c>
      <c r="K91" s="3">
        <f>VLOOKUP(Tableau3[[#This Row],[essence]],Tableau7[],2,FALSE)</f>
        <v>-0.68799999999999994</v>
      </c>
      <c r="L91" s="3">
        <f>VLOOKUP(Tableau3[[#This Row],[essence]],Tableau7[],3,FALSE)</f>
        <v>1.3924000000000001</v>
      </c>
      <c r="M91" s="3">
        <f>VLOOKUP(Tableau3[[#This Row],[essence]],Tableau7[],4,FALSE)</f>
        <v>0.41599999999999998</v>
      </c>
      <c r="N91" s="3">
        <f>IF(Tableau3[[#This Row],[priorecol]]="C",1,0)</f>
        <v>0</v>
      </c>
      <c r="O91" s="3">
        <f>VLOOKUP(Tableau3[[#This Row],[essence]],Tableau7[],5,FALSE)</f>
        <v>1.5604</v>
      </c>
      <c r="P91" s="3">
        <f>IF(Tableau3[[#This Row],[priorecol]]="R",1,0)</f>
        <v>0</v>
      </c>
      <c r="Q91" s="3">
        <f>VLOOKUP(Tableau3[[#This Row],[essence]],Tableau7[],6,FALSE)</f>
        <v>-0.64770000000000005</v>
      </c>
      <c r="R91" s="3">
        <f>IF(Tableau3[[#This Row],[priorecol]]="S",1,0)</f>
        <v>1</v>
      </c>
      <c r="S91" s="3">
        <f>VLOOKUP(Tableau3[[#This Row],[essence]],Tableau7[],7,FALSE)</f>
        <v>0</v>
      </c>
      <c r="T91" s="3">
        <f>VLOOKUP(Tableau3[[#This Row],[essence]],Tableau7[],15,FALSE)</f>
        <v>-2.4500000000000001E-2</v>
      </c>
      <c r="U91" s="3">
        <f>VLOOKUP(Tableau3[[#This Row],[essence]],Tableau7[],20,FALSE)</f>
        <v>0.15179999999999999</v>
      </c>
      <c r="V91" s="3">
        <f>IF(Tableau3[[#This Row],[sdom]]=1,1,0)</f>
        <v>0</v>
      </c>
      <c r="W91" s="3">
        <f>VLOOKUP(Tableau3[[#This Row],[essence]],Tableau7[],8,FALSE)</f>
        <v>0</v>
      </c>
      <c r="X91" s="3">
        <f>IF(Tableau3[[#This Row],[sdom]]="2EST",1,0)</f>
        <v>0</v>
      </c>
      <c r="Y91" s="3">
        <f>VLOOKUP(Tableau3[[#This Row],[essence]],Tableau7[],9,FALSE)</f>
        <v>-0.27589999999999998</v>
      </c>
      <c r="Z91" s="3">
        <f>IF(Tableau3[[#This Row],[sdom]]="2OUEST",1,0)</f>
        <v>0</v>
      </c>
      <c r="AA91" s="3">
        <f>VLOOKUP(Tableau3[[#This Row],[essence]],Tableau7[],10,FALSE)</f>
        <v>0</v>
      </c>
      <c r="AB91" s="3">
        <f>IF(Tableau3[[#This Row],[sdom]]="3EST",1,0)</f>
        <v>0</v>
      </c>
      <c r="AC91" s="3">
        <f>VLOOKUP(Tableau3[[#This Row],[essence]],Tableau7[],11,FALSE)</f>
        <v>0</v>
      </c>
      <c r="AD91" s="3">
        <f>IF(Tableau3[[#This Row],[sdom]]="3OUEST",1,0)</f>
        <v>0</v>
      </c>
      <c r="AE91" s="3">
        <f>VLOOKUP(Tableau3[[#This Row],[essence]],Tableau7[],12,FALSE)</f>
        <v>0</v>
      </c>
      <c r="AF91" s="3">
        <f>IF(Tableau3[[#This Row],[sdom]]="4EST",1,0)</f>
        <v>0</v>
      </c>
      <c r="AG91" s="3">
        <f>VLOOKUP(Tableau3[[#This Row],[essence]],Tableau7[],13,FALSE)</f>
        <v>0</v>
      </c>
      <c r="AH91" s="3">
        <f>IF(Tableau3[[#This Row],[sdom]]="4OUEST",1,0)</f>
        <v>1</v>
      </c>
      <c r="AI91" s="3">
        <f>VLOOKUP(Tableau3[[#This Row],[essence]],Tableau7[],14,FALSE)</f>
        <v>0</v>
      </c>
      <c r="AJ91" s="3">
        <f>IF(Tableau3[[#This Row],[sdom]]="5EST",1,0)</f>
        <v>0</v>
      </c>
      <c r="AK91" s="3">
        <f>VLOOKUP(Tableau3[[#This Row],[essence]],Tableau7[],17,FALSE)</f>
        <v>6.4199999999999993E-2</v>
      </c>
      <c r="AL91" s="3">
        <f>IF(Tableau3[[#This Row],[priorecol]]="C",1,0)</f>
        <v>0</v>
      </c>
      <c r="AM91" s="3">
        <f>VLOOKUP(Tableau3[[#This Row],[essence]],Tableau7[],18,FALSE)</f>
        <v>6.3399999999999998E-2</v>
      </c>
      <c r="AN91" s="3">
        <f>IF(Tableau3[[#This Row],[priorecol]]="R",1,0)</f>
        <v>0</v>
      </c>
      <c r="AO91" s="3">
        <f>VLOOKUP(Tableau3[[#This Row],[essence]],Tableau7[],19,FALSE)</f>
        <v>8.2400000000000001E-2</v>
      </c>
      <c r="AP91" s="3">
        <f>IF(Tableau3[[#This Row],[priorecol]]="S",1,0)</f>
        <v>1</v>
      </c>
      <c r="AQ91" s="3">
        <f>VLOOKUP(Tableau3[[#This Row],[essence]],Tableau7[],21,FALSE)</f>
        <v>0</v>
      </c>
      <c r="AR91" s="3">
        <f>VLOOKUP(Tableau3[[#This Row],[essence]],Tableau7[],16,FALSE)</f>
        <v>0</v>
      </c>
      <c r="AS9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91" s="3">
        <f>Tableau3[[#This Row],[xb_]]+Tableau3[[#This Row],[b_intercept_C]]</f>
        <v>1.9027000000000001</v>
      </c>
      <c r="AU91" s="3">
        <f>Tableau3[[#This Row],[xb_]]+Tableau3[[#This Row],[b_intercept_B]]</f>
        <v>-0.17769999999999997</v>
      </c>
      <c r="AV91" s="3">
        <f>1/(1+EXP(-Tableau3[[#This Row],[xb_c]]))</f>
        <v>0.87019680726461601</v>
      </c>
      <c r="AW91" s="3">
        <f>1/(1+EXP(-Tableau3[[#This Row],[xb_b]]))</f>
        <v>0.45569153379071875</v>
      </c>
      <c r="AX91" s="3" t="str">
        <f t="shared" si="2"/>
        <v>NA</v>
      </c>
      <c r="AY91" s="3">
        <f>Tableau3[[#This Row],[prob_b]]</f>
        <v>0.45569153379071875</v>
      </c>
      <c r="AZ91" s="3">
        <f>Tableau3[[#This Row],[prob_c]]-Tableau3[[#This Row],[prob_b]]</f>
        <v>0.41450527347389726</v>
      </c>
      <c r="BA91" s="3">
        <f>1-Tableau3[[#This Row],[prob_c]]</f>
        <v>0.12980319273538399</v>
      </c>
    </row>
    <row r="92" spans="1:53" x14ac:dyDescent="0.25">
      <c r="A92" s="2">
        <v>7</v>
      </c>
      <c r="B92" s="2" t="s">
        <v>15</v>
      </c>
      <c r="C92" s="4">
        <v>2.1</v>
      </c>
      <c r="D92" s="4">
        <v>700</v>
      </c>
      <c r="E92" s="4">
        <v>20</v>
      </c>
      <c r="F92" s="4">
        <v>1</v>
      </c>
      <c r="G92" s="2">
        <v>39</v>
      </c>
      <c r="H92" s="2">
        <v>36</v>
      </c>
      <c r="I92" s="2" t="s">
        <v>23</v>
      </c>
      <c r="J92" s="2" t="s">
        <v>29</v>
      </c>
      <c r="K92" s="2">
        <f>VLOOKUP(Tableau3[[#This Row],[essence]],Tableau7[],2,FALSE)</f>
        <v>-3.9003999999999999</v>
      </c>
      <c r="L92" s="3">
        <f>VLOOKUP(Tableau3[[#This Row],[essence]],Tableau7[],3,FALSE)</f>
        <v>-1.7661</v>
      </c>
      <c r="M92" s="3">
        <f>VLOOKUP(Tableau3[[#This Row],[essence]],Tableau7[],4,FALSE)</f>
        <v>1.9438</v>
      </c>
      <c r="N92" s="3">
        <f>IF(Tableau3[[#This Row],[priorecol]]="C",1,0)</f>
        <v>0</v>
      </c>
      <c r="O92" s="3">
        <f>VLOOKUP(Tableau3[[#This Row],[essence]],Tableau7[],5,FALSE)</f>
        <v>2.9834000000000001</v>
      </c>
      <c r="P92" s="3">
        <f>IF(Tableau3[[#This Row],[priorecol]]="R",1,0)</f>
        <v>0</v>
      </c>
      <c r="Q92" s="3">
        <f>VLOOKUP(Tableau3[[#This Row],[essence]],Tableau7[],6,FALSE)</f>
        <v>1.0873999999999999</v>
      </c>
      <c r="R92" s="3">
        <f>IF(Tableau3[[#This Row],[priorecol]]="S",1,0)</f>
        <v>1</v>
      </c>
      <c r="S92" s="3">
        <f>VLOOKUP(Tableau3[[#This Row],[essence]],Tableau7[],7,FALSE)</f>
        <v>6.4000000000000001E-2</v>
      </c>
      <c r="T92" s="3">
        <f>VLOOKUP(Tableau3[[#This Row],[essence]],Tableau7[],15,FALSE)</f>
        <v>7.5199999999999998E-3</v>
      </c>
      <c r="U92" s="3">
        <f>VLOOKUP(Tableau3[[#This Row],[essence]],Tableau7[],20,FALSE)</f>
        <v>0.17810000000000001</v>
      </c>
      <c r="V92" s="3">
        <f>IF(Tableau3[[#This Row],[sdom]]=1,1,0)</f>
        <v>0</v>
      </c>
      <c r="W92" s="3">
        <f>VLOOKUP(Tableau3[[#This Row],[essence]],Tableau7[],8,FALSE)</f>
        <v>0.29430000000000001</v>
      </c>
      <c r="X92" s="3">
        <f>IF(Tableau3[[#This Row],[sdom]]="2EST",1,0)</f>
        <v>0</v>
      </c>
      <c r="Y92" s="3">
        <f>VLOOKUP(Tableau3[[#This Row],[essence]],Tableau7[],9,FALSE)</f>
        <v>0.11260000000000001</v>
      </c>
      <c r="Z92" s="3">
        <f>IF(Tableau3[[#This Row],[sdom]]="2OUEST",1,0)</f>
        <v>0</v>
      </c>
      <c r="AA92" s="3">
        <f>VLOOKUP(Tableau3[[#This Row],[essence]],Tableau7[],10,FALSE)</f>
        <v>1.2999999999999999E-2</v>
      </c>
      <c r="AB92" s="3">
        <f>IF(Tableau3[[#This Row],[sdom]]="3EST",1,0)</f>
        <v>0</v>
      </c>
      <c r="AC92" s="3">
        <f>VLOOKUP(Tableau3[[#This Row],[essence]],Tableau7[],11,FALSE)</f>
        <v>0.17150000000000001</v>
      </c>
      <c r="AD92" s="3">
        <f>IF(Tableau3[[#This Row],[sdom]]="3OUEST",1,0)</f>
        <v>0</v>
      </c>
      <c r="AE92" s="3">
        <f>VLOOKUP(Tableau3[[#This Row],[essence]],Tableau7[],12,FALSE)</f>
        <v>-0.1308</v>
      </c>
      <c r="AF92" s="3">
        <f>IF(Tableau3[[#This Row],[sdom]]="4EST",1,0)</f>
        <v>0</v>
      </c>
      <c r="AG92" s="3">
        <f>VLOOKUP(Tableau3[[#This Row],[essence]],Tableau7[],13,FALSE)</f>
        <v>-0.2858</v>
      </c>
      <c r="AH92" s="3">
        <f>IF(Tableau3[[#This Row],[sdom]]="4OUEST",1,0)</f>
        <v>1</v>
      </c>
      <c r="AI92" s="3">
        <f>VLOOKUP(Tableau3[[#This Row],[essence]],Tableau7[],14,FALSE)</f>
        <v>0</v>
      </c>
      <c r="AJ92" s="3">
        <f>IF(Tableau3[[#This Row],[sdom]]="5EST",1,0)</f>
        <v>0</v>
      </c>
      <c r="AK92" s="3">
        <f>VLOOKUP(Tableau3[[#This Row],[essence]],Tableau7[],17,FALSE)</f>
        <v>0</v>
      </c>
      <c r="AL92" s="3">
        <f>IF(Tableau3[[#This Row],[priorecol]]="C",1,0)</f>
        <v>0</v>
      </c>
      <c r="AM92" s="3">
        <f>VLOOKUP(Tableau3[[#This Row],[essence]],Tableau7[],18,FALSE)</f>
        <v>0</v>
      </c>
      <c r="AN92" s="3">
        <f>IF(Tableau3[[#This Row],[priorecol]]="R",1,0)</f>
        <v>0</v>
      </c>
      <c r="AO92" s="3">
        <f>VLOOKUP(Tableau3[[#This Row],[essence]],Tableau7[],19,FALSE)</f>
        <v>0</v>
      </c>
      <c r="AP92" s="3">
        <f>IF(Tableau3[[#This Row],[priorecol]]="S",1,0)</f>
        <v>1</v>
      </c>
      <c r="AQ92" s="3">
        <f>VLOOKUP(Tableau3[[#This Row],[essence]],Tableau7[],21,FALSE)</f>
        <v>0</v>
      </c>
      <c r="AR92" s="3">
        <f>VLOOKUP(Tableau3[[#This Row],[essence]],Tableau7[],16,FALSE)</f>
        <v>0</v>
      </c>
      <c r="AS9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3.2559999999999998</v>
      </c>
      <c r="AT92" s="3">
        <f>Tableau3[[#This Row],[xb_]]+Tableau3[[#This Row],[b_intercept_C]]</f>
        <v>1.4898999999999998</v>
      </c>
      <c r="AU92" s="3">
        <f>Tableau3[[#This Row],[xb_]]+Tableau3[[#This Row],[b_intercept_B]]</f>
        <v>-0.64440000000000008</v>
      </c>
      <c r="AV92" s="3">
        <f>1/(1+EXP(-Tableau3[[#This Row],[xb_c]]))</f>
        <v>0.81606326265351692</v>
      </c>
      <c r="AW92" s="3">
        <f>1/(1+EXP(-Tableau3[[#This Row],[xb_b]]))</f>
        <v>0.34425259177902079</v>
      </c>
      <c r="AX92" s="3" t="str">
        <f t="shared" si="2"/>
        <v>NA</v>
      </c>
      <c r="AY92" s="3">
        <f>Tableau3[[#This Row],[prob_b]]</f>
        <v>0.34425259177902079</v>
      </c>
      <c r="AZ92" s="3">
        <f>Tableau3[[#This Row],[prob_c]]-Tableau3[[#This Row],[prob_b]]</f>
        <v>0.47181067087449613</v>
      </c>
      <c r="BA92" s="3">
        <f>1-Tableau3[[#This Row],[prob_c]]</f>
        <v>0.18393673734648308</v>
      </c>
    </row>
    <row r="93" spans="1:53" x14ac:dyDescent="0.25">
      <c r="A93" s="3">
        <v>7</v>
      </c>
      <c r="B93" s="3" t="s">
        <v>15</v>
      </c>
      <c r="C93" s="1">
        <v>2.1</v>
      </c>
      <c r="D93" s="1">
        <v>700</v>
      </c>
      <c r="E93" s="1">
        <v>20</v>
      </c>
      <c r="F93" s="1">
        <v>1</v>
      </c>
      <c r="G93" s="3">
        <v>45</v>
      </c>
      <c r="H93" s="3">
        <v>36</v>
      </c>
      <c r="I93" s="3" t="s">
        <v>25</v>
      </c>
      <c r="J93" s="3" t="s">
        <v>29</v>
      </c>
      <c r="K93" s="3">
        <f>VLOOKUP(Tableau3[[#This Row],[essence]],Tableau7[],2,FALSE)</f>
        <v>-2.9584999999999999</v>
      </c>
      <c r="L93" s="3">
        <f>VLOOKUP(Tableau3[[#This Row],[essence]],Tableau7[],3,FALSE)</f>
        <v>-1.1581999999999999</v>
      </c>
      <c r="M93" s="3">
        <f>VLOOKUP(Tableau3[[#This Row],[essence]],Tableau7[],4,FALSE)</f>
        <v>1.3563000000000001</v>
      </c>
      <c r="N93" s="3">
        <f>IF(Tableau3[[#This Row],[priorecol]]="C",1,0)</f>
        <v>0</v>
      </c>
      <c r="O93" s="3">
        <f>VLOOKUP(Tableau3[[#This Row],[essence]],Tableau7[],5,FALSE)</f>
        <v>2.0564</v>
      </c>
      <c r="P93" s="3">
        <f>IF(Tableau3[[#This Row],[priorecol]]="R",1,0)</f>
        <v>0</v>
      </c>
      <c r="Q93" s="3">
        <f>VLOOKUP(Tableau3[[#This Row],[essence]],Tableau7[],6,FALSE)</f>
        <v>1.3911</v>
      </c>
      <c r="R93" s="3">
        <f>IF(Tableau3[[#This Row],[priorecol]]="S",1,0)</f>
        <v>1</v>
      </c>
      <c r="S93" s="3">
        <f>VLOOKUP(Tableau3[[#This Row],[essence]],Tableau7[],7,FALSE)</f>
        <v>0</v>
      </c>
      <c r="T93" s="3">
        <f>VLOOKUP(Tableau3[[#This Row],[essence]],Tableau7[],15,FALSE)</f>
        <v>0</v>
      </c>
      <c r="U93" s="3">
        <f>VLOOKUP(Tableau3[[#This Row],[essence]],Tableau7[],20,FALSE)</f>
        <v>0</v>
      </c>
      <c r="V93" s="3">
        <f>IF(Tableau3[[#This Row],[sdom]]=1,1,0)</f>
        <v>0</v>
      </c>
      <c r="W93" s="3">
        <f>VLOOKUP(Tableau3[[#This Row],[essence]],Tableau7[],8,FALSE)</f>
        <v>0.19420000000000001</v>
      </c>
      <c r="X93" s="3">
        <f>IF(Tableau3[[#This Row],[sdom]]="2EST",1,0)</f>
        <v>0</v>
      </c>
      <c r="Y93" s="3">
        <f>VLOOKUP(Tableau3[[#This Row],[essence]],Tableau7[],9,FALSE)</f>
        <v>-0.1956</v>
      </c>
      <c r="Z93" s="3">
        <f>IF(Tableau3[[#This Row],[sdom]]="2OUEST",1,0)</f>
        <v>0</v>
      </c>
      <c r="AA93" s="3">
        <f>VLOOKUP(Tableau3[[#This Row],[essence]],Tableau7[],10,FALSE)</f>
        <v>-0.1221</v>
      </c>
      <c r="AB93" s="3">
        <f>IF(Tableau3[[#This Row],[sdom]]="3EST",1,0)</f>
        <v>0</v>
      </c>
      <c r="AC93" s="3">
        <f>VLOOKUP(Tableau3[[#This Row],[essence]],Tableau7[],11,FALSE)</f>
        <v>0.16789999999999999</v>
      </c>
      <c r="AD93" s="3">
        <f>IF(Tableau3[[#This Row],[sdom]]="3OUEST",1,0)</f>
        <v>0</v>
      </c>
      <c r="AE93" s="3">
        <f>VLOOKUP(Tableau3[[#This Row],[essence]],Tableau7[],12,FALSE)</f>
        <v>0</v>
      </c>
      <c r="AF93" s="3">
        <f>IF(Tableau3[[#This Row],[sdom]]="4EST",1,0)</f>
        <v>0</v>
      </c>
      <c r="AG93" s="3">
        <f>VLOOKUP(Tableau3[[#This Row],[essence]],Tableau7[],13,FALSE)</f>
        <v>0</v>
      </c>
      <c r="AH93" s="3">
        <f>IF(Tableau3[[#This Row],[sdom]]="4OUEST",1,0)</f>
        <v>1</v>
      </c>
      <c r="AI93" s="3">
        <f>VLOOKUP(Tableau3[[#This Row],[essence]],Tableau7[],14,FALSE)</f>
        <v>0</v>
      </c>
      <c r="AJ93" s="3">
        <f>IF(Tableau3[[#This Row],[sdom]]="5EST",1,0)</f>
        <v>0</v>
      </c>
      <c r="AK93" s="3">
        <f>VLOOKUP(Tableau3[[#This Row],[essence]],Tableau7[],17,FALSE)</f>
        <v>0</v>
      </c>
      <c r="AL93" s="3">
        <f>IF(Tableau3[[#This Row],[priorecol]]="C",1,0)</f>
        <v>0</v>
      </c>
      <c r="AM93" s="3">
        <f>VLOOKUP(Tableau3[[#This Row],[essence]],Tableau7[],18,FALSE)</f>
        <v>0</v>
      </c>
      <c r="AN93" s="3">
        <f>IF(Tableau3[[#This Row],[priorecol]]="R",1,0)</f>
        <v>0</v>
      </c>
      <c r="AO93" s="3">
        <f>VLOOKUP(Tableau3[[#This Row],[essence]],Tableau7[],19,FALSE)</f>
        <v>0</v>
      </c>
      <c r="AP93" s="3">
        <f>IF(Tableau3[[#This Row],[priorecol]]="S",1,0)</f>
        <v>1</v>
      </c>
      <c r="AQ93" s="3">
        <f>VLOOKUP(Tableau3[[#This Row],[essence]],Tableau7[],21,FALSE)</f>
        <v>0.2979</v>
      </c>
      <c r="AR93" s="3">
        <f>VLOOKUP(Tableau3[[#This Row],[essence]],Tableau7[],16,FALSE)</f>
        <v>0.154</v>
      </c>
      <c r="AS9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2.0124</v>
      </c>
      <c r="AT93" s="3">
        <f>Tableau3[[#This Row],[xb_]]+Tableau3[[#This Row],[b_intercept_C]]</f>
        <v>0.85420000000000007</v>
      </c>
      <c r="AU93" s="3">
        <f>Tableau3[[#This Row],[xb_]]+Tableau3[[#This Row],[b_intercept_B]]</f>
        <v>-0.94609999999999994</v>
      </c>
      <c r="AV93" s="3">
        <f>1/(1+EXP(-Tableau3[[#This Row],[xb_c]]))</f>
        <v>0.70144744547823523</v>
      </c>
      <c r="AW93" s="3">
        <f>1/(1+EXP(-Tableau3[[#This Row],[xb_b]]))</f>
        <v>0.27966981942845942</v>
      </c>
      <c r="AX93" s="3" t="str">
        <f t="shared" si="2"/>
        <v>NA</v>
      </c>
      <c r="AY93" s="3">
        <f>Tableau3[[#This Row],[prob_b]]</f>
        <v>0.27966981942845942</v>
      </c>
      <c r="AZ93" s="3">
        <f>Tableau3[[#This Row],[prob_c]]-Tableau3[[#This Row],[prob_b]]</f>
        <v>0.42177762604977581</v>
      </c>
      <c r="BA93" s="3">
        <f>1-Tableau3[[#This Row],[prob_c]]</f>
        <v>0.29855255452176477</v>
      </c>
    </row>
    <row r="94" spans="1:53" x14ac:dyDescent="0.25">
      <c r="A94" s="2">
        <v>8</v>
      </c>
      <c r="B94" s="2" t="s">
        <v>16</v>
      </c>
      <c r="C94" s="4">
        <v>2.1</v>
      </c>
      <c r="D94" s="4">
        <v>700</v>
      </c>
      <c r="E94" s="4">
        <v>20</v>
      </c>
      <c r="F94" s="4">
        <v>1</v>
      </c>
      <c r="G94" s="2">
        <v>27</v>
      </c>
      <c r="H94" s="2">
        <v>36</v>
      </c>
      <c r="I94" s="2" t="s">
        <v>19</v>
      </c>
      <c r="J94" s="2" t="s">
        <v>29</v>
      </c>
      <c r="K94" s="2">
        <f>VLOOKUP(Tableau3[[#This Row],[essence]],Tableau7[],2,FALSE)</f>
        <v>-3.7313999999999998</v>
      </c>
      <c r="L94" s="3">
        <f>VLOOKUP(Tableau3[[#This Row],[essence]],Tableau7[],3,FALSE)</f>
        <v>-1.7194</v>
      </c>
      <c r="M94" s="3">
        <f>VLOOKUP(Tableau3[[#This Row],[essence]],Tableau7[],4,FALSE)</f>
        <v>1.5371999999999999</v>
      </c>
      <c r="N94" s="3">
        <f>IF(Tableau3[[#This Row],[priorecol]]="C",1,0)</f>
        <v>0</v>
      </c>
      <c r="O94" s="3">
        <f>VLOOKUP(Tableau3[[#This Row],[essence]],Tableau7[],5,FALSE)</f>
        <v>2.5815000000000001</v>
      </c>
      <c r="P94" s="3">
        <f>IF(Tableau3[[#This Row],[priorecol]]="R",1,0)</f>
        <v>0</v>
      </c>
      <c r="Q94" s="3">
        <f>VLOOKUP(Tableau3[[#This Row],[essence]],Tableau7[],6,FALSE)</f>
        <v>0.96079999999999999</v>
      </c>
      <c r="R94" s="3">
        <f>IF(Tableau3[[#This Row],[priorecol]]="S",1,0)</f>
        <v>1</v>
      </c>
      <c r="S94" s="3">
        <f>VLOOKUP(Tableau3[[#This Row],[essence]],Tableau7[],7,FALSE)</f>
        <v>4.2799999999999998E-2</v>
      </c>
      <c r="T94" s="3">
        <f>VLOOKUP(Tableau3[[#This Row],[essence]],Tableau7[],15,FALSE)</f>
        <v>1.54E-2</v>
      </c>
      <c r="U94" s="3">
        <f>VLOOKUP(Tableau3[[#This Row],[essence]],Tableau7[],20,FALSE)</f>
        <v>0</v>
      </c>
      <c r="V94" s="3">
        <f>IF(Tableau3[[#This Row],[sdom]]=1,1,0)</f>
        <v>0</v>
      </c>
      <c r="W94" s="3">
        <f>VLOOKUP(Tableau3[[#This Row],[essence]],Tableau7[],8,FALSE)</f>
        <v>2.3900000000000001E-2</v>
      </c>
      <c r="X94" s="3">
        <f>IF(Tableau3[[#This Row],[sdom]]="2EST",1,0)</f>
        <v>0</v>
      </c>
      <c r="Y94" s="3">
        <f>VLOOKUP(Tableau3[[#This Row],[essence]],Tableau7[],9,FALSE)</f>
        <v>-0.4793</v>
      </c>
      <c r="Z94" s="3">
        <f>IF(Tableau3[[#This Row],[sdom]]="2OUEST",1,0)</f>
        <v>0</v>
      </c>
      <c r="AA94" s="3">
        <f>VLOOKUP(Tableau3[[#This Row],[essence]],Tableau7[],10,FALSE)</f>
        <v>0.13880000000000001</v>
      </c>
      <c r="AB94" s="3">
        <f>IF(Tableau3[[#This Row],[sdom]]="3EST",1,0)</f>
        <v>0</v>
      </c>
      <c r="AC94" s="3">
        <f>VLOOKUP(Tableau3[[#This Row],[essence]],Tableau7[],11,FALSE)</f>
        <v>0.27039999999999997</v>
      </c>
      <c r="AD94" s="3">
        <f>IF(Tableau3[[#This Row],[sdom]]="3OUEST",1,0)</f>
        <v>0</v>
      </c>
      <c r="AE94" s="3">
        <f>VLOOKUP(Tableau3[[#This Row],[essence]],Tableau7[],12,FALSE)</f>
        <v>4.6600000000000001E-3</v>
      </c>
      <c r="AF94" s="3">
        <f>IF(Tableau3[[#This Row],[sdom]]="4EST",1,0)</f>
        <v>0</v>
      </c>
      <c r="AG94" s="3">
        <f>VLOOKUP(Tableau3[[#This Row],[essence]],Tableau7[],13,FALSE)</f>
        <v>0.1986</v>
      </c>
      <c r="AH94" s="3">
        <f>IF(Tableau3[[#This Row],[sdom]]="4OUEST",1,0)</f>
        <v>0</v>
      </c>
      <c r="AI94" s="3">
        <f>VLOOKUP(Tableau3[[#This Row],[essence]],Tableau7[],14,FALSE)</f>
        <v>-0.2535</v>
      </c>
      <c r="AJ94" s="3">
        <f>IF(Tableau3[[#This Row],[sdom]]="5EST",1,0)</f>
        <v>1</v>
      </c>
      <c r="AK94" s="3">
        <f>VLOOKUP(Tableau3[[#This Row],[essence]],Tableau7[],17,FALSE)</f>
        <v>0</v>
      </c>
      <c r="AL94" s="3">
        <f>IF(Tableau3[[#This Row],[priorecol]]="C",1,0)</f>
        <v>0</v>
      </c>
      <c r="AM94" s="3">
        <f>VLOOKUP(Tableau3[[#This Row],[essence]],Tableau7[],18,FALSE)</f>
        <v>0</v>
      </c>
      <c r="AN94" s="3">
        <f>IF(Tableau3[[#This Row],[priorecol]]="R",1,0)</f>
        <v>0</v>
      </c>
      <c r="AO94" s="3">
        <f>VLOOKUP(Tableau3[[#This Row],[essence]],Tableau7[],19,FALSE)</f>
        <v>0</v>
      </c>
      <c r="AP94" s="3">
        <f>IF(Tableau3[[#This Row],[priorecol]]="S",1,0)</f>
        <v>1</v>
      </c>
      <c r="AQ94" s="3">
        <f>VLOOKUP(Tableau3[[#This Row],[essence]],Tableau7[],21,FALSE)</f>
        <v>0</v>
      </c>
      <c r="AR94" s="3">
        <f>VLOOKUP(Tableau3[[#This Row],[essence]],Tableau7[],16,FALSE)</f>
        <v>0.123</v>
      </c>
      <c r="AS9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2.8144</v>
      </c>
      <c r="AT94" s="3">
        <f>Tableau3[[#This Row],[xb_]]+Tableau3[[#This Row],[b_intercept_C]]</f>
        <v>1.095</v>
      </c>
      <c r="AU94" s="3">
        <f>Tableau3[[#This Row],[xb_]]+Tableau3[[#This Row],[b_intercept_B]]</f>
        <v>-0.91699999999999982</v>
      </c>
      <c r="AV94" s="3">
        <f>1/(1+EXP(-Tableau3[[#This Row],[xb_c]]))</f>
        <v>0.74932208440517967</v>
      </c>
      <c r="AW94" s="3">
        <f>1/(1+EXP(-Tableau3[[#This Row],[xb_b]]))</f>
        <v>0.28556955911966186</v>
      </c>
      <c r="AX94" s="3" t="str">
        <f t="shared" si="2"/>
        <v>NA</v>
      </c>
      <c r="AY94" s="3">
        <f>Tableau3[[#This Row],[prob_b]]</f>
        <v>0.28556955911966186</v>
      </c>
      <c r="AZ94" s="3">
        <f>Tableau3[[#This Row],[prob_c]]-Tableau3[[#This Row],[prob_b]]</f>
        <v>0.4637525252855178</v>
      </c>
      <c r="BA94" s="3">
        <f>1-Tableau3[[#This Row],[prob_c]]</f>
        <v>0.25067791559482033</v>
      </c>
    </row>
    <row r="95" spans="1:53" x14ac:dyDescent="0.25">
      <c r="A95" s="3">
        <v>8</v>
      </c>
      <c r="B95" s="3" t="s">
        <v>16</v>
      </c>
      <c r="C95" s="1">
        <v>2.1</v>
      </c>
      <c r="D95" s="1">
        <v>700</v>
      </c>
      <c r="E95" s="1">
        <v>20</v>
      </c>
      <c r="F95" s="1">
        <v>1</v>
      </c>
      <c r="G95" s="3">
        <v>33</v>
      </c>
      <c r="H95" s="3">
        <v>36</v>
      </c>
      <c r="I95" s="3" t="s">
        <v>21</v>
      </c>
      <c r="J95" s="3" t="s">
        <v>29</v>
      </c>
      <c r="K95" s="3">
        <f>VLOOKUP(Tableau3[[#This Row],[essence]],Tableau7[],2,FALSE)</f>
        <v>-0.68799999999999994</v>
      </c>
      <c r="L95" s="3">
        <f>VLOOKUP(Tableau3[[#This Row],[essence]],Tableau7[],3,FALSE)</f>
        <v>1.3924000000000001</v>
      </c>
      <c r="M95" s="3">
        <f>VLOOKUP(Tableau3[[#This Row],[essence]],Tableau7[],4,FALSE)</f>
        <v>0.41599999999999998</v>
      </c>
      <c r="N95" s="3">
        <f>IF(Tableau3[[#This Row],[priorecol]]="C",1,0)</f>
        <v>0</v>
      </c>
      <c r="O95" s="3">
        <f>VLOOKUP(Tableau3[[#This Row],[essence]],Tableau7[],5,FALSE)</f>
        <v>1.5604</v>
      </c>
      <c r="P95" s="3">
        <f>IF(Tableau3[[#This Row],[priorecol]]="R",1,0)</f>
        <v>0</v>
      </c>
      <c r="Q95" s="3">
        <f>VLOOKUP(Tableau3[[#This Row],[essence]],Tableau7[],6,FALSE)</f>
        <v>-0.64770000000000005</v>
      </c>
      <c r="R95" s="3">
        <f>IF(Tableau3[[#This Row],[priorecol]]="S",1,0)</f>
        <v>1</v>
      </c>
      <c r="S95" s="3">
        <f>VLOOKUP(Tableau3[[#This Row],[essence]],Tableau7[],7,FALSE)</f>
        <v>0</v>
      </c>
      <c r="T95" s="3">
        <f>VLOOKUP(Tableau3[[#This Row],[essence]],Tableau7[],15,FALSE)</f>
        <v>-2.4500000000000001E-2</v>
      </c>
      <c r="U95" s="3">
        <f>VLOOKUP(Tableau3[[#This Row],[essence]],Tableau7[],20,FALSE)</f>
        <v>0.15179999999999999</v>
      </c>
      <c r="V95" s="3">
        <f>IF(Tableau3[[#This Row],[sdom]]=1,1,0)</f>
        <v>0</v>
      </c>
      <c r="W95" s="3">
        <f>VLOOKUP(Tableau3[[#This Row],[essence]],Tableau7[],8,FALSE)</f>
        <v>0</v>
      </c>
      <c r="X95" s="3">
        <f>IF(Tableau3[[#This Row],[sdom]]="2EST",1,0)</f>
        <v>0</v>
      </c>
      <c r="Y95" s="3">
        <f>VLOOKUP(Tableau3[[#This Row],[essence]],Tableau7[],9,FALSE)</f>
        <v>-0.27589999999999998</v>
      </c>
      <c r="Z95" s="3">
        <f>IF(Tableau3[[#This Row],[sdom]]="2OUEST",1,0)</f>
        <v>0</v>
      </c>
      <c r="AA95" s="3">
        <f>VLOOKUP(Tableau3[[#This Row],[essence]],Tableau7[],10,FALSE)</f>
        <v>0</v>
      </c>
      <c r="AB95" s="3">
        <f>IF(Tableau3[[#This Row],[sdom]]="3EST",1,0)</f>
        <v>0</v>
      </c>
      <c r="AC95" s="3">
        <f>VLOOKUP(Tableau3[[#This Row],[essence]],Tableau7[],11,FALSE)</f>
        <v>0</v>
      </c>
      <c r="AD95" s="3">
        <f>IF(Tableau3[[#This Row],[sdom]]="3OUEST",1,0)</f>
        <v>0</v>
      </c>
      <c r="AE95" s="3">
        <f>VLOOKUP(Tableau3[[#This Row],[essence]],Tableau7[],12,FALSE)</f>
        <v>0</v>
      </c>
      <c r="AF95" s="3">
        <f>IF(Tableau3[[#This Row],[sdom]]="4EST",1,0)</f>
        <v>0</v>
      </c>
      <c r="AG95" s="3">
        <f>VLOOKUP(Tableau3[[#This Row],[essence]],Tableau7[],13,FALSE)</f>
        <v>0</v>
      </c>
      <c r="AH95" s="3">
        <f>IF(Tableau3[[#This Row],[sdom]]="4OUEST",1,0)</f>
        <v>0</v>
      </c>
      <c r="AI95" s="3">
        <f>VLOOKUP(Tableau3[[#This Row],[essence]],Tableau7[],14,FALSE)</f>
        <v>0</v>
      </c>
      <c r="AJ95" s="3">
        <f>IF(Tableau3[[#This Row],[sdom]]="5EST",1,0)</f>
        <v>1</v>
      </c>
      <c r="AK95" s="3">
        <f>VLOOKUP(Tableau3[[#This Row],[essence]],Tableau7[],17,FALSE)</f>
        <v>6.4199999999999993E-2</v>
      </c>
      <c r="AL95" s="3">
        <f>IF(Tableau3[[#This Row],[priorecol]]="C",1,0)</f>
        <v>0</v>
      </c>
      <c r="AM95" s="3">
        <f>VLOOKUP(Tableau3[[#This Row],[essence]],Tableau7[],18,FALSE)</f>
        <v>6.3399999999999998E-2</v>
      </c>
      <c r="AN95" s="3">
        <f>IF(Tableau3[[#This Row],[priorecol]]="R",1,0)</f>
        <v>0</v>
      </c>
      <c r="AO95" s="3">
        <f>VLOOKUP(Tableau3[[#This Row],[essence]],Tableau7[],19,FALSE)</f>
        <v>8.2400000000000001E-2</v>
      </c>
      <c r="AP95" s="3">
        <f>IF(Tableau3[[#This Row],[priorecol]]="S",1,0)</f>
        <v>1</v>
      </c>
      <c r="AQ95" s="3">
        <f>VLOOKUP(Tableau3[[#This Row],[essence]],Tableau7[],21,FALSE)</f>
        <v>0</v>
      </c>
      <c r="AR95" s="3">
        <f>VLOOKUP(Tableau3[[#This Row],[essence]],Tableau7[],16,FALSE)</f>
        <v>0</v>
      </c>
      <c r="AS9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0.51029999999999998</v>
      </c>
      <c r="AT95" s="3">
        <f>Tableau3[[#This Row],[xb_]]+Tableau3[[#This Row],[b_intercept_C]]</f>
        <v>1.9027000000000001</v>
      </c>
      <c r="AU95" s="3">
        <f>Tableau3[[#This Row],[xb_]]+Tableau3[[#This Row],[b_intercept_B]]</f>
        <v>-0.17769999999999997</v>
      </c>
      <c r="AV95" s="3">
        <f>1/(1+EXP(-Tableau3[[#This Row],[xb_c]]))</f>
        <v>0.87019680726461601</v>
      </c>
      <c r="AW95" s="3">
        <f>1/(1+EXP(-Tableau3[[#This Row],[xb_b]]))</f>
        <v>0.45569153379071875</v>
      </c>
      <c r="AX95" s="3" t="str">
        <f t="shared" si="2"/>
        <v>NA</v>
      </c>
      <c r="AY95" s="3">
        <f>Tableau3[[#This Row],[prob_b]]</f>
        <v>0.45569153379071875</v>
      </c>
      <c r="AZ95" s="3">
        <f>Tableau3[[#This Row],[prob_c]]-Tableau3[[#This Row],[prob_b]]</f>
        <v>0.41450527347389726</v>
      </c>
      <c r="BA95" s="3">
        <f>1-Tableau3[[#This Row],[prob_c]]</f>
        <v>0.12980319273538399</v>
      </c>
    </row>
    <row r="96" spans="1:53" x14ac:dyDescent="0.25">
      <c r="A96" s="2">
        <v>8</v>
      </c>
      <c r="B96" s="2" t="s">
        <v>16</v>
      </c>
      <c r="C96" s="4">
        <v>2.1</v>
      </c>
      <c r="D96" s="4">
        <v>700</v>
      </c>
      <c r="E96" s="4">
        <v>20</v>
      </c>
      <c r="F96" s="4">
        <v>1</v>
      </c>
      <c r="G96" s="2">
        <v>39</v>
      </c>
      <c r="H96" s="2">
        <v>36</v>
      </c>
      <c r="I96" s="2" t="s">
        <v>23</v>
      </c>
      <c r="J96" s="2" t="s">
        <v>29</v>
      </c>
      <c r="K96" s="2">
        <f>VLOOKUP(Tableau3[[#This Row],[essence]],Tableau7[],2,FALSE)</f>
        <v>-3.9003999999999999</v>
      </c>
      <c r="L96" s="3">
        <f>VLOOKUP(Tableau3[[#This Row],[essence]],Tableau7[],3,FALSE)</f>
        <v>-1.7661</v>
      </c>
      <c r="M96" s="3">
        <f>VLOOKUP(Tableau3[[#This Row],[essence]],Tableau7[],4,FALSE)</f>
        <v>1.9438</v>
      </c>
      <c r="N96" s="3">
        <f>IF(Tableau3[[#This Row],[priorecol]]="C",1,0)</f>
        <v>0</v>
      </c>
      <c r="O96" s="3">
        <f>VLOOKUP(Tableau3[[#This Row],[essence]],Tableau7[],5,FALSE)</f>
        <v>2.9834000000000001</v>
      </c>
      <c r="P96" s="3">
        <f>IF(Tableau3[[#This Row],[priorecol]]="R",1,0)</f>
        <v>0</v>
      </c>
      <c r="Q96" s="3">
        <f>VLOOKUP(Tableau3[[#This Row],[essence]],Tableau7[],6,FALSE)</f>
        <v>1.0873999999999999</v>
      </c>
      <c r="R96" s="3">
        <f>IF(Tableau3[[#This Row],[priorecol]]="S",1,0)</f>
        <v>1</v>
      </c>
      <c r="S96" s="3">
        <f>VLOOKUP(Tableau3[[#This Row],[essence]],Tableau7[],7,FALSE)</f>
        <v>6.4000000000000001E-2</v>
      </c>
      <c r="T96" s="3">
        <f>VLOOKUP(Tableau3[[#This Row],[essence]],Tableau7[],15,FALSE)</f>
        <v>7.5199999999999998E-3</v>
      </c>
      <c r="U96" s="3">
        <f>VLOOKUP(Tableau3[[#This Row],[essence]],Tableau7[],20,FALSE)</f>
        <v>0.17810000000000001</v>
      </c>
      <c r="V96" s="3">
        <f>IF(Tableau3[[#This Row],[sdom]]=1,1,0)</f>
        <v>0</v>
      </c>
      <c r="W96" s="3">
        <f>VLOOKUP(Tableau3[[#This Row],[essence]],Tableau7[],8,FALSE)</f>
        <v>0.29430000000000001</v>
      </c>
      <c r="X96" s="3">
        <f>IF(Tableau3[[#This Row],[sdom]]="2EST",1,0)</f>
        <v>0</v>
      </c>
      <c r="Y96" s="3">
        <f>VLOOKUP(Tableau3[[#This Row],[essence]],Tableau7[],9,FALSE)</f>
        <v>0.11260000000000001</v>
      </c>
      <c r="Z96" s="3">
        <f>IF(Tableau3[[#This Row],[sdom]]="2OUEST",1,0)</f>
        <v>0</v>
      </c>
      <c r="AA96" s="3">
        <f>VLOOKUP(Tableau3[[#This Row],[essence]],Tableau7[],10,FALSE)</f>
        <v>1.2999999999999999E-2</v>
      </c>
      <c r="AB96" s="3">
        <f>IF(Tableau3[[#This Row],[sdom]]="3EST",1,0)</f>
        <v>0</v>
      </c>
      <c r="AC96" s="3">
        <f>VLOOKUP(Tableau3[[#This Row],[essence]],Tableau7[],11,FALSE)</f>
        <v>0.17150000000000001</v>
      </c>
      <c r="AD96" s="3">
        <f>IF(Tableau3[[#This Row],[sdom]]="3OUEST",1,0)</f>
        <v>0</v>
      </c>
      <c r="AE96" s="3">
        <f>VLOOKUP(Tableau3[[#This Row],[essence]],Tableau7[],12,FALSE)</f>
        <v>-0.1308</v>
      </c>
      <c r="AF96" s="3">
        <f>IF(Tableau3[[#This Row],[sdom]]="4EST",1,0)</f>
        <v>0</v>
      </c>
      <c r="AG96" s="3">
        <f>VLOOKUP(Tableau3[[#This Row],[essence]],Tableau7[],13,FALSE)</f>
        <v>-0.2858</v>
      </c>
      <c r="AH96" s="3">
        <f>IF(Tableau3[[#This Row],[sdom]]="4OUEST",1,0)</f>
        <v>0</v>
      </c>
      <c r="AI96" s="3">
        <f>VLOOKUP(Tableau3[[#This Row],[essence]],Tableau7[],14,FALSE)</f>
        <v>0</v>
      </c>
      <c r="AJ96" s="3">
        <f>IF(Tableau3[[#This Row],[sdom]]="5EST",1,0)</f>
        <v>1</v>
      </c>
      <c r="AK96" s="3">
        <f>VLOOKUP(Tableau3[[#This Row],[essence]],Tableau7[],17,FALSE)</f>
        <v>0</v>
      </c>
      <c r="AL96" s="3">
        <f>IF(Tableau3[[#This Row],[priorecol]]="C",1,0)</f>
        <v>0</v>
      </c>
      <c r="AM96" s="3">
        <f>VLOOKUP(Tableau3[[#This Row],[essence]],Tableau7[],18,FALSE)</f>
        <v>0</v>
      </c>
      <c r="AN96" s="3">
        <f>IF(Tableau3[[#This Row],[priorecol]]="R",1,0)</f>
        <v>0</v>
      </c>
      <c r="AO96" s="3">
        <f>VLOOKUP(Tableau3[[#This Row],[essence]],Tableau7[],19,FALSE)</f>
        <v>0</v>
      </c>
      <c r="AP96" s="3">
        <f>IF(Tableau3[[#This Row],[priorecol]]="S",1,0)</f>
        <v>1</v>
      </c>
      <c r="AQ96" s="3">
        <f>VLOOKUP(Tableau3[[#This Row],[essence]],Tableau7[],21,FALSE)</f>
        <v>0</v>
      </c>
      <c r="AR96" s="3">
        <f>VLOOKUP(Tableau3[[#This Row],[essence]],Tableau7[],16,FALSE)</f>
        <v>0</v>
      </c>
      <c r="AS9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3.5417999999999998</v>
      </c>
      <c r="AT96" s="3">
        <f>Tableau3[[#This Row],[xb_]]+Tableau3[[#This Row],[b_intercept_C]]</f>
        <v>1.7756999999999998</v>
      </c>
      <c r="AU96" s="3">
        <f>Tableau3[[#This Row],[xb_]]+Tableau3[[#This Row],[b_intercept_B]]</f>
        <v>-0.35860000000000003</v>
      </c>
      <c r="AV96" s="3">
        <f>1/(1+EXP(-Tableau3[[#This Row],[xb_c]]))</f>
        <v>0.85516509050001499</v>
      </c>
      <c r="AW96" s="3">
        <f>1/(1+EXP(-Tableau3[[#This Row],[xb_b]]))</f>
        <v>0.41129850865896733</v>
      </c>
      <c r="AX96" s="3" t="str">
        <f t="shared" si="2"/>
        <v>NA</v>
      </c>
      <c r="AY96" s="3">
        <f>Tableau3[[#This Row],[prob_b]]</f>
        <v>0.41129850865896733</v>
      </c>
      <c r="AZ96" s="3">
        <f>Tableau3[[#This Row],[prob_c]]-Tableau3[[#This Row],[prob_b]]</f>
        <v>0.44386658184104766</v>
      </c>
      <c r="BA96" s="3">
        <f>1-Tableau3[[#This Row],[prob_c]]</f>
        <v>0.14483490949998501</v>
      </c>
    </row>
    <row r="97" spans="1:53" x14ac:dyDescent="0.25">
      <c r="A97" s="3">
        <v>8</v>
      </c>
      <c r="B97" s="3" t="s">
        <v>16</v>
      </c>
      <c r="C97" s="1">
        <v>2.1</v>
      </c>
      <c r="D97" s="1">
        <v>700</v>
      </c>
      <c r="E97" s="1">
        <v>20</v>
      </c>
      <c r="F97" s="1">
        <v>1</v>
      </c>
      <c r="G97" s="3">
        <v>45</v>
      </c>
      <c r="H97" s="3">
        <v>36</v>
      </c>
      <c r="I97" s="3" t="s">
        <v>25</v>
      </c>
      <c r="J97" s="3" t="s">
        <v>29</v>
      </c>
      <c r="K97" s="3">
        <f>VLOOKUP(Tableau3[[#This Row],[essence]],Tableau7[],2,FALSE)</f>
        <v>-2.9584999999999999</v>
      </c>
      <c r="L97" s="3">
        <f>VLOOKUP(Tableau3[[#This Row],[essence]],Tableau7[],3,FALSE)</f>
        <v>-1.1581999999999999</v>
      </c>
      <c r="M97" s="3">
        <f>VLOOKUP(Tableau3[[#This Row],[essence]],Tableau7[],4,FALSE)</f>
        <v>1.3563000000000001</v>
      </c>
      <c r="N97" s="3">
        <f>IF(Tableau3[[#This Row],[priorecol]]="C",1,0)</f>
        <v>0</v>
      </c>
      <c r="O97" s="3">
        <f>VLOOKUP(Tableau3[[#This Row],[essence]],Tableau7[],5,FALSE)</f>
        <v>2.0564</v>
      </c>
      <c r="P97" s="3">
        <f>IF(Tableau3[[#This Row],[priorecol]]="R",1,0)</f>
        <v>0</v>
      </c>
      <c r="Q97" s="3">
        <f>VLOOKUP(Tableau3[[#This Row],[essence]],Tableau7[],6,FALSE)</f>
        <v>1.3911</v>
      </c>
      <c r="R97" s="3">
        <f>IF(Tableau3[[#This Row],[priorecol]]="S",1,0)</f>
        <v>1</v>
      </c>
      <c r="S97" s="3">
        <f>VLOOKUP(Tableau3[[#This Row],[essence]],Tableau7[],7,FALSE)</f>
        <v>0</v>
      </c>
      <c r="T97" s="3">
        <f>VLOOKUP(Tableau3[[#This Row],[essence]],Tableau7[],15,FALSE)</f>
        <v>0</v>
      </c>
      <c r="U97" s="3">
        <f>VLOOKUP(Tableau3[[#This Row],[essence]],Tableau7[],20,FALSE)</f>
        <v>0</v>
      </c>
      <c r="V97" s="3">
        <f>IF(Tableau3[[#This Row],[sdom]]=1,1,0)</f>
        <v>0</v>
      </c>
      <c r="W97" s="3">
        <f>VLOOKUP(Tableau3[[#This Row],[essence]],Tableau7[],8,FALSE)</f>
        <v>0.19420000000000001</v>
      </c>
      <c r="X97" s="3">
        <f>IF(Tableau3[[#This Row],[sdom]]="2EST",1,0)</f>
        <v>0</v>
      </c>
      <c r="Y97" s="3">
        <f>VLOOKUP(Tableau3[[#This Row],[essence]],Tableau7[],9,FALSE)</f>
        <v>-0.1956</v>
      </c>
      <c r="Z97" s="3">
        <f>IF(Tableau3[[#This Row],[sdom]]="2OUEST",1,0)</f>
        <v>0</v>
      </c>
      <c r="AA97" s="3">
        <f>VLOOKUP(Tableau3[[#This Row],[essence]],Tableau7[],10,FALSE)</f>
        <v>-0.1221</v>
      </c>
      <c r="AB97" s="3">
        <f>IF(Tableau3[[#This Row],[sdom]]="3EST",1,0)</f>
        <v>0</v>
      </c>
      <c r="AC97" s="3">
        <f>VLOOKUP(Tableau3[[#This Row],[essence]],Tableau7[],11,FALSE)</f>
        <v>0.16789999999999999</v>
      </c>
      <c r="AD97" s="3">
        <f>IF(Tableau3[[#This Row],[sdom]]="3OUEST",1,0)</f>
        <v>0</v>
      </c>
      <c r="AE97" s="3">
        <f>VLOOKUP(Tableau3[[#This Row],[essence]],Tableau7[],12,FALSE)</f>
        <v>0</v>
      </c>
      <c r="AF97" s="3">
        <f>IF(Tableau3[[#This Row],[sdom]]="4EST",1,0)</f>
        <v>0</v>
      </c>
      <c r="AG97" s="3">
        <f>VLOOKUP(Tableau3[[#This Row],[essence]],Tableau7[],13,FALSE)</f>
        <v>0</v>
      </c>
      <c r="AH97" s="3">
        <f>IF(Tableau3[[#This Row],[sdom]]="4OUEST",1,0)</f>
        <v>0</v>
      </c>
      <c r="AI97" s="3">
        <f>VLOOKUP(Tableau3[[#This Row],[essence]],Tableau7[],14,FALSE)</f>
        <v>0</v>
      </c>
      <c r="AJ97" s="3">
        <f>IF(Tableau3[[#This Row],[sdom]]="5EST",1,0)</f>
        <v>1</v>
      </c>
      <c r="AK97" s="3">
        <f>VLOOKUP(Tableau3[[#This Row],[essence]],Tableau7[],17,FALSE)</f>
        <v>0</v>
      </c>
      <c r="AL97" s="3">
        <f>IF(Tableau3[[#This Row],[priorecol]]="C",1,0)</f>
        <v>0</v>
      </c>
      <c r="AM97" s="3">
        <f>VLOOKUP(Tableau3[[#This Row],[essence]],Tableau7[],18,FALSE)</f>
        <v>0</v>
      </c>
      <c r="AN97" s="3">
        <f>IF(Tableau3[[#This Row],[priorecol]]="R",1,0)</f>
        <v>0</v>
      </c>
      <c r="AO97" s="3">
        <f>VLOOKUP(Tableau3[[#This Row],[essence]],Tableau7[],19,FALSE)</f>
        <v>0</v>
      </c>
      <c r="AP97" s="3">
        <f>IF(Tableau3[[#This Row],[priorecol]]="S",1,0)</f>
        <v>1</v>
      </c>
      <c r="AQ97" s="3">
        <f>VLOOKUP(Tableau3[[#This Row],[essence]],Tableau7[],21,FALSE)</f>
        <v>0.2979</v>
      </c>
      <c r="AR97" s="3">
        <f>VLOOKUP(Tableau3[[#This Row],[essence]],Tableau7[],16,FALSE)</f>
        <v>0.154</v>
      </c>
      <c r="AS9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2.0124</v>
      </c>
      <c r="AT97" s="3">
        <f>Tableau3[[#This Row],[xb_]]+Tableau3[[#This Row],[b_intercept_C]]</f>
        <v>0.85420000000000007</v>
      </c>
      <c r="AU97" s="3">
        <f>Tableau3[[#This Row],[xb_]]+Tableau3[[#This Row],[b_intercept_B]]</f>
        <v>-0.94609999999999994</v>
      </c>
      <c r="AV97" s="3">
        <f>1/(1+EXP(-Tableau3[[#This Row],[xb_c]]))</f>
        <v>0.70144744547823523</v>
      </c>
      <c r="AW97" s="3">
        <f>1/(1+EXP(-Tableau3[[#This Row],[xb_b]]))</f>
        <v>0.27966981942845942</v>
      </c>
      <c r="AX97" s="3" t="str">
        <f t="shared" si="2"/>
        <v>NA</v>
      </c>
      <c r="AY97" s="3">
        <f>Tableau3[[#This Row],[prob_b]]</f>
        <v>0.27966981942845942</v>
      </c>
      <c r="AZ97" s="3">
        <f>Tableau3[[#This Row],[prob_c]]-Tableau3[[#This Row],[prob_b]]</f>
        <v>0.42177762604977581</v>
      </c>
      <c r="BA97" s="3">
        <f>1-Tableau3[[#This Row],[prob_c]]</f>
        <v>0.29855255452176477</v>
      </c>
    </row>
    <row r="98" spans="1:53" x14ac:dyDescent="0.25">
      <c r="A98" s="2">
        <v>1</v>
      </c>
      <c r="B98" s="2">
        <v>1</v>
      </c>
      <c r="C98" s="4">
        <v>2.1</v>
      </c>
      <c r="D98" s="4">
        <v>700</v>
      </c>
      <c r="E98" s="4">
        <v>20</v>
      </c>
      <c r="F98" s="4">
        <v>1</v>
      </c>
      <c r="G98" s="2">
        <v>28</v>
      </c>
      <c r="H98" s="2">
        <v>37</v>
      </c>
      <c r="I98" s="2" t="s">
        <v>20</v>
      </c>
      <c r="J98" s="2" t="s">
        <v>27</v>
      </c>
      <c r="K98" s="2">
        <f>VLOOKUP(Tableau3[[#This Row],[essence]],Tableau7[],2,FALSE)</f>
        <v>-0.80379999999999996</v>
      </c>
      <c r="L98" s="3">
        <f>VLOOKUP(Tableau3[[#This Row],[essence]],Tableau7[],3,FALSE)</f>
        <v>0.88800000000000001</v>
      </c>
      <c r="M98" s="3">
        <f>VLOOKUP(Tableau3[[#This Row],[essence]],Tableau7[],4,FALSE)</f>
        <v>1.5212000000000001</v>
      </c>
      <c r="N98" s="3">
        <f>IF(Tableau3[[#This Row],[priorecol]]="C",1,0)</f>
        <v>1</v>
      </c>
      <c r="O98" s="3">
        <f>VLOOKUP(Tableau3[[#This Row],[essence]],Tableau7[],5,FALSE)</f>
        <v>1.8714999999999999</v>
      </c>
      <c r="P98" s="3">
        <f>IF(Tableau3[[#This Row],[priorecol]]="R",1,0)</f>
        <v>0</v>
      </c>
      <c r="Q98" s="3">
        <f>VLOOKUP(Tableau3[[#This Row],[essence]],Tableau7[],6,FALSE)</f>
        <v>0.51549999999999996</v>
      </c>
      <c r="R98" s="3">
        <f>IF(Tableau3[[#This Row],[priorecol]]="S",1,0)</f>
        <v>0</v>
      </c>
      <c r="S98" s="3">
        <f>VLOOKUP(Tableau3[[#This Row],[essence]],Tableau7[],7,FALSE)</f>
        <v>0</v>
      </c>
      <c r="T98" s="3">
        <f>VLOOKUP(Tableau3[[#This Row],[essence]],Tableau7[],15,FALSE)</f>
        <v>9.0500000000000008E-3</v>
      </c>
      <c r="U98" s="3">
        <f>VLOOKUP(Tableau3[[#This Row],[essence]],Tableau7[],20,FALSE)</f>
        <v>0</v>
      </c>
      <c r="V98" s="3">
        <f>IF(Tableau3[[#This Row],[sdom]]=1,1,0)</f>
        <v>1</v>
      </c>
      <c r="W98" s="3">
        <f>VLOOKUP(Tableau3[[#This Row],[essence]],Tableau7[],8,FALSE)</f>
        <v>0</v>
      </c>
      <c r="X98" s="3">
        <f>IF(Tableau3[[#This Row],[sdom]]="2EST",1,0)</f>
        <v>0</v>
      </c>
      <c r="Y98" s="3">
        <f>VLOOKUP(Tableau3[[#This Row],[essence]],Tableau7[],9,FALSE)</f>
        <v>-4.5199999999999997E-2</v>
      </c>
      <c r="Z98" s="3">
        <f>IF(Tableau3[[#This Row],[sdom]]="2OUEST",1,0)</f>
        <v>0</v>
      </c>
      <c r="AA98" s="3">
        <f>VLOOKUP(Tableau3[[#This Row],[essence]],Tableau7[],10,FALSE)</f>
        <v>1.15E-2</v>
      </c>
      <c r="AB98" s="3">
        <f>IF(Tableau3[[#This Row],[sdom]]="3EST",1,0)</f>
        <v>0</v>
      </c>
      <c r="AC98" s="3">
        <f>VLOOKUP(Tableau3[[#This Row],[essence]],Tableau7[],11,FALSE)</f>
        <v>0.1169</v>
      </c>
      <c r="AD98" s="3">
        <f>IF(Tableau3[[#This Row],[sdom]]="3OUEST",1,0)</f>
        <v>0</v>
      </c>
      <c r="AE98" s="3">
        <f>VLOOKUP(Tableau3[[#This Row],[essence]],Tableau7[],12,FALSE)</f>
        <v>-0.1686</v>
      </c>
      <c r="AF98" s="3">
        <f>IF(Tableau3[[#This Row],[sdom]]="4EST",1,0)</f>
        <v>0</v>
      </c>
      <c r="AG98" s="3">
        <f>VLOOKUP(Tableau3[[#This Row],[essence]],Tableau7[],13,FALSE)</f>
        <v>0.11940000000000001</v>
      </c>
      <c r="AH98" s="3">
        <f>IF(Tableau3[[#This Row],[sdom]]="4OUEST",1,0)</f>
        <v>0</v>
      </c>
      <c r="AI98" s="3">
        <f>VLOOKUP(Tableau3[[#This Row],[essence]],Tableau7[],14,FALSE)</f>
        <v>-0.13100000000000001</v>
      </c>
      <c r="AJ98" s="3">
        <f>IF(Tableau3[[#This Row],[sdom]]="5EST",1,0)</f>
        <v>0</v>
      </c>
      <c r="AK98" s="3">
        <f>VLOOKUP(Tableau3[[#This Row],[essence]],Tableau7[],17,FALSE)</f>
        <v>-1.8599999999999998E-2</v>
      </c>
      <c r="AL98" s="3">
        <f>IF(Tableau3[[#This Row],[priorecol]]="C",1,0)</f>
        <v>1</v>
      </c>
      <c r="AM98" s="3">
        <f>VLOOKUP(Tableau3[[#This Row],[essence]],Tableau7[],18,FALSE)</f>
        <v>-8.5500000000000003E-3</v>
      </c>
      <c r="AN98" s="3">
        <f>IF(Tableau3[[#This Row],[priorecol]]="R",1,0)</f>
        <v>0</v>
      </c>
      <c r="AO98" s="3">
        <f>VLOOKUP(Tableau3[[#This Row],[essence]],Tableau7[],19,FALSE)</f>
        <v>1.54E-2</v>
      </c>
      <c r="AP98" s="3">
        <f>IF(Tableau3[[#This Row],[priorecol]]="S",1,0)</f>
        <v>0</v>
      </c>
      <c r="AQ98" s="3">
        <f>VLOOKUP(Tableau3[[#This Row],[essence]],Tableau7[],21,FALSE)</f>
        <v>0</v>
      </c>
      <c r="AR98" s="3">
        <f>VLOOKUP(Tableau3[[#This Row],[essence]],Tableau7[],16,FALSE)</f>
        <v>0</v>
      </c>
      <c r="AS9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1.3302</v>
      </c>
      <c r="AT98" s="3">
        <f>Tableau3[[#This Row],[xb_]]+Tableau3[[#This Row],[b_intercept_C]]</f>
        <v>2.2181999999999999</v>
      </c>
      <c r="AU98" s="3">
        <f>Tableau3[[#This Row],[xb_]]+Tableau3[[#This Row],[b_intercept_B]]</f>
        <v>0.52640000000000009</v>
      </c>
      <c r="AV98" s="3">
        <f>1/(1+EXP(-Tableau3[[#This Row],[xb_c]]))</f>
        <v>0.90187201289998342</v>
      </c>
      <c r="AW98" s="3">
        <f>1/(1+EXP(-Tableau3[[#This Row],[xb_b]]))</f>
        <v>0.62864307845670475</v>
      </c>
      <c r="AX98" s="3" t="str">
        <f t="shared" ref="AX98:AX129" si="3">"NA"</f>
        <v>NA</v>
      </c>
      <c r="AY98" s="3">
        <f>Tableau3[[#This Row],[prob_b]]</f>
        <v>0.62864307845670475</v>
      </c>
      <c r="AZ98" s="3">
        <f>Tableau3[[#This Row],[prob_c]]-Tableau3[[#This Row],[prob_b]]</f>
        <v>0.27322893444327867</v>
      </c>
      <c r="BA98" s="3">
        <f>1-Tableau3[[#This Row],[prob_c]]</f>
        <v>9.8127987100016578E-2</v>
      </c>
    </row>
    <row r="99" spans="1:53" x14ac:dyDescent="0.25">
      <c r="A99" s="3">
        <v>1</v>
      </c>
      <c r="B99" s="3">
        <v>1</v>
      </c>
      <c r="C99" s="1">
        <v>2.1</v>
      </c>
      <c r="D99" s="1">
        <v>700</v>
      </c>
      <c r="E99" s="1">
        <v>20</v>
      </c>
      <c r="F99" s="1">
        <v>1</v>
      </c>
      <c r="G99" s="3">
        <v>34</v>
      </c>
      <c r="H99" s="3">
        <v>37</v>
      </c>
      <c r="I99" s="3" t="s">
        <v>22</v>
      </c>
      <c r="J99" s="3" t="s">
        <v>27</v>
      </c>
      <c r="K99" s="3">
        <f>VLOOKUP(Tableau3[[#This Row],[essence]],Tableau7[],2,FALSE)</f>
        <v>-1.8420000000000001</v>
      </c>
      <c r="L99" s="3">
        <f>VLOOKUP(Tableau3[[#This Row],[essence]],Tableau7[],3,FALSE)</f>
        <v>0.2177</v>
      </c>
      <c r="M99" s="3">
        <f>VLOOKUP(Tableau3[[#This Row],[essence]],Tableau7[],4,FALSE)</f>
        <v>1.9473</v>
      </c>
      <c r="N99" s="3">
        <f>IF(Tableau3[[#This Row],[priorecol]]="C",1,0)</f>
        <v>1</v>
      </c>
      <c r="O99" s="3">
        <f>VLOOKUP(Tableau3[[#This Row],[essence]],Tableau7[],5,FALSE)</f>
        <v>3.0630999999999999</v>
      </c>
      <c r="P99" s="3">
        <f>IF(Tableau3[[#This Row],[priorecol]]="R",1,0)</f>
        <v>0</v>
      </c>
      <c r="Q99" s="3">
        <f>VLOOKUP(Tableau3[[#This Row],[essence]],Tableau7[],6,FALSE)</f>
        <v>1.5014000000000001</v>
      </c>
      <c r="R99" s="3">
        <f>IF(Tableau3[[#This Row],[priorecol]]="S",1,0)</f>
        <v>0</v>
      </c>
      <c r="S99" s="3">
        <f>VLOOKUP(Tableau3[[#This Row],[essence]],Tableau7[],7,FALSE)</f>
        <v>0</v>
      </c>
      <c r="T99" s="3">
        <f>VLOOKUP(Tableau3[[#This Row],[essence]],Tableau7[],15,FALSE)</f>
        <v>0</v>
      </c>
      <c r="U99" s="3">
        <f>VLOOKUP(Tableau3[[#This Row],[essence]],Tableau7[],20,FALSE)</f>
        <v>0.49399999999999999</v>
      </c>
      <c r="V99" s="3">
        <f>IF(Tableau3[[#This Row],[sdom]]=1,1,0)</f>
        <v>1</v>
      </c>
      <c r="W99" s="3">
        <f>VLOOKUP(Tableau3[[#This Row],[essence]],Tableau7[],8,FALSE)</f>
        <v>0.42420000000000002</v>
      </c>
      <c r="X99" s="3">
        <f>IF(Tableau3[[#This Row],[sdom]]="2EST",1,0)</f>
        <v>0</v>
      </c>
      <c r="Y99" s="3">
        <f>VLOOKUP(Tableau3[[#This Row],[essence]],Tableau7[],9,FALSE)</f>
        <v>7.4300000000000005E-2</v>
      </c>
      <c r="Z99" s="3">
        <f>IF(Tableau3[[#This Row],[sdom]]="2OUEST",1,0)</f>
        <v>0</v>
      </c>
      <c r="AA99" s="3">
        <f>VLOOKUP(Tableau3[[#This Row],[essence]],Tableau7[],10,FALSE)</f>
        <v>-6.7000000000000004E-2</v>
      </c>
      <c r="AB99" s="3">
        <f>IF(Tableau3[[#This Row],[sdom]]="3EST",1,0)</f>
        <v>0</v>
      </c>
      <c r="AC99" s="3">
        <f>VLOOKUP(Tableau3[[#This Row],[essence]],Tableau7[],11,FALSE)</f>
        <v>-8.3400000000000002E-2</v>
      </c>
      <c r="AD99" s="3">
        <f>IF(Tableau3[[#This Row],[sdom]]="3OUEST",1,0)</f>
        <v>0</v>
      </c>
      <c r="AE99" s="3">
        <f>VLOOKUP(Tableau3[[#This Row],[essence]],Tableau7[],12,FALSE)</f>
        <v>-0.26840000000000003</v>
      </c>
      <c r="AF99" s="3">
        <f>IF(Tableau3[[#This Row],[sdom]]="4EST",1,0)</f>
        <v>0</v>
      </c>
      <c r="AG99" s="3">
        <f>VLOOKUP(Tableau3[[#This Row],[essence]],Tableau7[],13,FALSE)</f>
        <v>0</v>
      </c>
      <c r="AH99" s="3">
        <f>IF(Tableau3[[#This Row],[sdom]]="4OUEST",1,0)</f>
        <v>0</v>
      </c>
      <c r="AI99" s="3">
        <f>VLOOKUP(Tableau3[[#This Row],[essence]],Tableau7[],14,FALSE)</f>
        <v>0</v>
      </c>
      <c r="AJ99" s="3">
        <f>IF(Tableau3[[#This Row],[sdom]]="5EST",1,0)</f>
        <v>0</v>
      </c>
      <c r="AK99" s="3">
        <f>VLOOKUP(Tableau3[[#This Row],[essence]],Tableau7[],17,FALSE)</f>
        <v>0</v>
      </c>
      <c r="AL99" s="3">
        <f>IF(Tableau3[[#This Row],[priorecol]]="C",1,0)</f>
        <v>1</v>
      </c>
      <c r="AM99" s="3">
        <f>VLOOKUP(Tableau3[[#This Row],[essence]],Tableau7[],18,FALSE)</f>
        <v>0</v>
      </c>
      <c r="AN99" s="3">
        <f>IF(Tableau3[[#This Row],[priorecol]]="R",1,0)</f>
        <v>0</v>
      </c>
      <c r="AO99" s="3">
        <f>VLOOKUP(Tableau3[[#This Row],[essence]],Tableau7[],19,FALSE)</f>
        <v>0</v>
      </c>
      <c r="AP99" s="3">
        <f>IF(Tableau3[[#This Row],[priorecol]]="S",1,0)</f>
        <v>0</v>
      </c>
      <c r="AQ99" s="3">
        <f>VLOOKUP(Tableau3[[#This Row],[essence]],Tableau7[],21,FALSE)</f>
        <v>0</v>
      </c>
      <c r="AR99" s="3">
        <f>VLOOKUP(Tableau3[[#This Row],[essence]],Tableau7[],16,FALSE)</f>
        <v>0</v>
      </c>
      <c r="AS9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2.4413</v>
      </c>
      <c r="AT99" s="3">
        <f>Tableau3[[#This Row],[xb_]]+Tableau3[[#This Row],[b_intercept_C]]</f>
        <v>2.6589999999999998</v>
      </c>
      <c r="AU99" s="3">
        <f>Tableau3[[#This Row],[xb_]]+Tableau3[[#This Row],[b_intercept_B]]</f>
        <v>0.59929999999999994</v>
      </c>
      <c r="AV99" s="3">
        <f>1/(1+EXP(-Tableau3[[#This Row],[xb_c]]))</f>
        <v>0.93456353861259633</v>
      </c>
      <c r="AW99" s="3">
        <f>1/(1+EXP(-Tableau3[[#This Row],[xb_b]]))</f>
        <v>0.64549614093365648</v>
      </c>
      <c r="AX99" s="3" t="str">
        <f t="shared" si="3"/>
        <v>NA</v>
      </c>
      <c r="AY99" s="3">
        <f>Tableau3[[#This Row],[prob_b]]</f>
        <v>0.64549614093365648</v>
      </c>
      <c r="AZ99" s="3">
        <f>Tableau3[[#This Row],[prob_c]]-Tableau3[[#This Row],[prob_b]]</f>
        <v>0.28906739767893985</v>
      </c>
      <c r="BA99" s="3">
        <f>1-Tableau3[[#This Row],[prob_c]]</f>
        <v>6.5436461387403666E-2</v>
      </c>
    </row>
    <row r="100" spans="1:53" x14ac:dyDescent="0.25">
      <c r="A100" s="2">
        <v>1</v>
      </c>
      <c r="B100" s="2">
        <v>1</v>
      </c>
      <c r="C100" s="4">
        <v>2.1</v>
      </c>
      <c r="D100" s="4">
        <v>700</v>
      </c>
      <c r="E100" s="4">
        <v>20</v>
      </c>
      <c r="F100" s="4">
        <v>1</v>
      </c>
      <c r="G100" s="2">
        <v>40</v>
      </c>
      <c r="H100" s="2">
        <v>37</v>
      </c>
      <c r="I100" s="2" t="s">
        <v>24</v>
      </c>
      <c r="J100" s="2" t="s">
        <v>27</v>
      </c>
      <c r="K100" s="2">
        <f>VLOOKUP(Tableau3[[#This Row],[essence]],Tableau7[],2,FALSE)</f>
        <v>-0.84530000000000005</v>
      </c>
      <c r="L100" s="3">
        <f>VLOOKUP(Tableau3[[#This Row],[essence]],Tableau7[],3,FALSE)</f>
        <v>0.93089999999999995</v>
      </c>
      <c r="M100" s="3">
        <f>VLOOKUP(Tableau3[[#This Row],[essence]],Tableau7[],4,FALSE)</f>
        <v>1.4276</v>
      </c>
      <c r="N100" s="3">
        <f>IF(Tableau3[[#This Row],[priorecol]]="C",1,0)</f>
        <v>1</v>
      </c>
      <c r="O100" s="3">
        <f>VLOOKUP(Tableau3[[#This Row],[essence]],Tableau7[],5,FALSE)</f>
        <v>2.468</v>
      </c>
      <c r="P100" s="3">
        <f>IF(Tableau3[[#This Row],[priorecol]]="R",1,0)</f>
        <v>0</v>
      </c>
      <c r="Q100" s="3">
        <f>VLOOKUP(Tableau3[[#This Row],[essence]],Tableau7[],6,FALSE)</f>
        <v>0.86019999999999996</v>
      </c>
      <c r="R100" s="3">
        <f>IF(Tableau3[[#This Row],[priorecol]]="S",1,0)</f>
        <v>0</v>
      </c>
      <c r="S100" s="3">
        <f>VLOOKUP(Tableau3[[#This Row],[essence]],Tableau7[],7,FALSE)</f>
        <v>0</v>
      </c>
      <c r="T100" s="3">
        <f>VLOOKUP(Tableau3[[#This Row],[essence]],Tableau7[],15,FALSE)</f>
        <v>1.7299999999999999E-2</v>
      </c>
      <c r="U100" s="3">
        <f>VLOOKUP(Tableau3[[#This Row],[essence]],Tableau7[],20,FALSE)</f>
        <v>-0.28799999999999998</v>
      </c>
      <c r="V100" s="3">
        <f>IF(Tableau3[[#This Row],[sdom]]=1,1,0)</f>
        <v>1</v>
      </c>
      <c r="W100" s="3">
        <f>VLOOKUP(Tableau3[[#This Row],[essence]],Tableau7[],8,FALSE)</f>
        <v>-0.18859999999999999</v>
      </c>
      <c r="X100" s="3">
        <f>IF(Tableau3[[#This Row],[sdom]]="2EST",1,0)</f>
        <v>0</v>
      </c>
      <c r="Y100" s="3">
        <f>VLOOKUP(Tableau3[[#This Row],[essence]],Tableau7[],9,FALSE)</f>
        <v>1.2699999999999999E-2</v>
      </c>
      <c r="Z100" s="3">
        <f>IF(Tableau3[[#This Row],[sdom]]="2OUEST",1,0)</f>
        <v>0</v>
      </c>
      <c r="AA100" s="3">
        <f>VLOOKUP(Tableau3[[#This Row],[essence]],Tableau7[],10,FALSE)</f>
        <v>0</v>
      </c>
      <c r="AB100" s="3">
        <f>IF(Tableau3[[#This Row],[sdom]]="3EST",1,0)</f>
        <v>0</v>
      </c>
      <c r="AC100" s="3">
        <f>VLOOKUP(Tableau3[[#This Row],[essence]],Tableau7[],11,FALSE)</f>
        <v>0.30009999999999998</v>
      </c>
      <c r="AD100" s="3">
        <f>IF(Tableau3[[#This Row],[sdom]]="3OUEST",1,0)</f>
        <v>0</v>
      </c>
      <c r="AE100" s="3">
        <f>VLOOKUP(Tableau3[[#This Row],[essence]],Tableau7[],12,FALSE)</f>
        <v>0</v>
      </c>
      <c r="AF100" s="3">
        <f>IF(Tableau3[[#This Row],[sdom]]="4EST",1,0)</f>
        <v>0</v>
      </c>
      <c r="AG100" s="3">
        <f>VLOOKUP(Tableau3[[#This Row],[essence]],Tableau7[],13,FALSE)</f>
        <v>0</v>
      </c>
      <c r="AH100" s="3">
        <f>IF(Tableau3[[#This Row],[sdom]]="4OUEST",1,0)</f>
        <v>0</v>
      </c>
      <c r="AI100" s="3">
        <f>VLOOKUP(Tableau3[[#This Row],[essence]],Tableau7[],14,FALSE)</f>
        <v>0</v>
      </c>
      <c r="AJ100" s="3">
        <f>IF(Tableau3[[#This Row],[sdom]]="5EST",1,0)</f>
        <v>0</v>
      </c>
      <c r="AK100" s="3">
        <f>VLOOKUP(Tableau3[[#This Row],[essence]],Tableau7[],17,FALSE)</f>
        <v>0</v>
      </c>
      <c r="AL100" s="3">
        <f>IF(Tableau3[[#This Row],[priorecol]]="C",1,0)</f>
        <v>1</v>
      </c>
      <c r="AM100" s="3">
        <f>VLOOKUP(Tableau3[[#This Row],[essence]],Tableau7[],18,FALSE)</f>
        <v>0</v>
      </c>
      <c r="AN100" s="3">
        <f>IF(Tableau3[[#This Row],[priorecol]]="R",1,0)</f>
        <v>0</v>
      </c>
      <c r="AO100" s="3">
        <f>VLOOKUP(Tableau3[[#This Row],[essence]],Tableau7[],19,FALSE)</f>
        <v>0</v>
      </c>
      <c r="AP100" s="3">
        <f>IF(Tableau3[[#This Row],[priorecol]]="S",1,0)</f>
        <v>0</v>
      </c>
      <c r="AQ100" s="3">
        <f>VLOOKUP(Tableau3[[#This Row],[essence]],Tableau7[],21,FALSE)</f>
        <v>0</v>
      </c>
      <c r="AR100" s="3">
        <f>VLOOKUP(Tableau3[[#This Row],[essence]],Tableau7[],16,FALSE)</f>
        <v>0</v>
      </c>
      <c r="AS10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1.4856</v>
      </c>
      <c r="AT100" s="3">
        <f>Tableau3[[#This Row],[xb_]]+Tableau3[[#This Row],[b_intercept_C]]</f>
        <v>2.4165000000000001</v>
      </c>
      <c r="AU100" s="3">
        <f>Tableau3[[#This Row],[xb_]]+Tableau3[[#This Row],[b_intercept_B]]</f>
        <v>0.64029999999999998</v>
      </c>
      <c r="AV100" s="3">
        <f>1/(1+EXP(-Tableau3[[#This Row],[xb_c]]))</f>
        <v>0.91807688843220214</v>
      </c>
      <c r="AW100" s="3">
        <f>1/(1+EXP(-Tableau3[[#This Row],[xb_b]]))</f>
        <v>0.65482127286748504</v>
      </c>
      <c r="AX100" s="3" t="str">
        <f t="shared" si="3"/>
        <v>NA</v>
      </c>
      <c r="AY100" s="3">
        <f>Tableau3[[#This Row],[prob_b]]</f>
        <v>0.65482127286748504</v>
      </c>
      <c r="AZ100" s="3">
        <f>Tableau3[[#This Row],[prob_c]]-Tableau3[[#This Row],[prob_b]]</f>
        <v>0.2632556155647171</v>
      </c>
      <c r="BA100" s="3">
        <f>1-Tableau3[[#This Row],[prob_c]]</f>
        <v>8.1923111567797857E-2</v>
      </c>
    </row>
    <row r="101" spans="1:53" x14ac:dyDescent="0.25">
      <c r="A101" s="3">
        <v>1</v>
      </c>
      <c r="B101" s="3">
        <v>1</v>
      </c>
      <c r="C101" s="1">
        <v>2.1</v>
      </c>
      <c r="D101" s="1">
        <v>700</v>
      </c>
      <c r="E101" s="1">
        <v>20</v>
      </c>
      <c r="F101" s="1">
        <v>1</v>
      </c>
      <c r="G101" s="3">
        <v>46</v>
      </c>
      <c r="H101" s="3">
        <v>37</v>
      </c>
      <c r="I101" s="3" t="s">
        <v>26</v>
      </c>
      <c r="J101" s="3" t="s">
        <v>27</v>
      </c>
      <c r="K101" s="3">
        <f>VLOOKUP(Tableau3[[#This Row],[essence]],Tableau7[],2,FALSE)</f>
        <v>-1.7838000000000001</v>
      </c>
      <c r="L101" s="3">
        <f>VLOOKUP(Tableau3[[#This Row],[essence]],Tableau7[],3,FALSE)</f>
        <v>-7.3400000000000007E-2</v>
      </c>
      <c r="M101" s="3">
        <f>VLOOKUP(Tableau3[[#This Row],[essence]],Tableau7[],4,FALSE)</f>
        <v>1.5893999999999999</v>
      </c>
      <c r="N101" s="3">
        <f>IF(Tableau3[[#This Row],[priorecol]]="C",1,0)</f>
        <v>1</v>
      </c>
      <c r="O101" s="3">
        <f>VLOOKUP(Tableau3[[#This Row],[essence]],Tableau7[],5,FALSE)</f>
        <v>2.1800000000000002</v>
      </c>
      <c r="P101" s="3">
        <f>IF(Tableau3[[#This Row],[priorecol]]="R",1,0)</f>
        <v>0</v>
      </c>
      <c r="Q101" s="3">
        <f>VLOOKUP(Tableau3[[#This Row],[essence]],Tableau7[],6,FALSE)</f>
        <v>0.91710000000000003</v>
      </c>
      <c r="R101" s="3">
        <f>IF(Tableau3[[#This Row],[priorecol]]="S",1,0)</f>
        <v>0</v>
      </c>
      <c r="S101" s="3">
        <f>VLOOKUP(Tableau3[[#This Row],[essence]],Tableau7[],7,FALSE)</f>
        <v>0</v>
      </c>
      <c r="T101" s="3">
        <f>VLOOKUP(Tableau3[[#This Row],[essence]],Tableau7[],15,FALSE)</f>
        <v>0</v>
      </c>
      <c r="U101" s="3">
        <f>VLOOKUP(Tableau3[[#This Row],[essence]],Tableau7[],20,FALSE)</f>
        <v>0</v>
      </c>
      <c r="V101" s="3">
        <f>IF(Tableau3[[#This Row],[sdom]]=1,1,0)</f>
        <v>1</v>
      </c>
      <c r="W101" s="3">
        <f>VLOOKUP(Tableau3[[#This Row],[essence]],Tableau7[],8,FALSE)</f>
        <v>0</v>
      </c>
      <c r="X101" s="3">
        <f>IF(Tableau3[[#This Row],[sdom]]="2EST",1,0)</f>
        <v>0</v>
      </c>
      <c r="Y101" s="3">
        <f>VLOOKUP(Tableau3[[#This Row],[essence]],Tableau7[],9,FALSE)</f>
        <v>-0.22550000000000001</v>
      </c>
      <c r="Z101" s="3">
        <f>IF(Tableau3[[#This Row],[sdom]]="2OUEST",1,0)</f>
        <v>0</v>
      </c>
      <c r="AA101" s="3">
        <f>VLOOKUP(Tableau3[[#This Row],[essence]],Tableau7[],10,FALSE)</f>
        <v>0</v>
      </c>
      <c r="AB101" s="3">
        <f>IF(Tableau3[[#This Row],[sdom]]="3EST",1,0)</f>
        <v>0</v>
      </c>
      <c r="AC101" s="3">
        <f>VLOOKUP(Tableau3[[#This Row],[essence]],Tableau7[],11,FALSE)</f>
        <v>0.3513</v>
      </c>
      <c r="AD101" s="3">
        <f>IF(Tableau3[[#This Row],[sdom]]="3OUEST",1,0)</f>
        <v>0</v>
      </c>
      <c r="AE101" s="3">
        <f>VLOOKUP(Tableau3[[#This Row],[essence]],Tableau7[],12,FALSE)</f>
        <v>-0.42259999999999998</v>
      </c>
      <c r="AF101" s="3">
        <f>IF(Tableau3[[#This Row],[sdom]]="4EST",1,0)</f>
        <v>0</v>
      </c>
      <c r="AG101" s="3">
        <f>VLOOKUP(Tableau3[[#This Row],[essence]],Tableau7[],13,FALSE)</f>
        <v>0.25390000000000001</v>
      </c>
      <c r="AH101" s="3">
        <f>IF(Tableau3[[#This Row],[sdom]]="4OUEST",1,0)</f>
        <v>0</v>
      </c>
      <c r="AI101" s="3">
        <f>VLOOKUP(Tableau3[[#This Row],[essence]],Tableau7[],14,FALSE)</f>
        <v>4.6199999999999998E-2</v>
      </c>
      <c r="AJ101" s="3">
        <f>IF(Tableau3[[#This Row],[sdom]]="5EST",1,0)</f>
        <v>0</v>
      </c>
      <c r="AK101" s="3">
        <f>VLOOKUP(Tableau3[[#This Row],[essence]],Tableau7[],17,FALSE)</f>
        <v>0</v>
      </c>
      <c r="AL101" s="3">
        <f>IF(Tableau3[[#This Row],[priorecol]]="C",1,0)</f>
        <v>1</v>
      </c>
      <c r="AM101" s="3">
        <f>VLOOKUP(Tableau3[[#This Row],[essence]],Tableau7[],18,FALSE)</f>
        <v>0</v>
      </c>
      <c r="AN101" s="3">
        <f>IF(Tableau3[[#This Row],[priorecol]]="R",1,0)</f>
        <v>0</v>
      </c>
      <c r="AO101" s="3">
        <f>VLOOKUP(Tableau3[[#This Row],[essence]],Tableau7[],19,FALSE)</f>
        <v>0</v>
      </c>
      <c r="AP101" s="3">
        <f>IF(Tableau3[[#This Row],[priorecol]]="S",1,0)</f>
        <v>0</v>
      </c>
      <c r="AQ101" s="3">
        <f>VLOOKUP(Tableau3[[#This Row],[essence]],Tableau7[],21,FALSE)</f>
        <v>0</v>
      </c>
      <c r="AR101" s="3">
        <f>VLOOKUP(Tableau3[[#This Row],[essence]],Tableau7[],16,FALSE)</f>
        <v>0.24340000000000001</v>
      </c>
      <c r="AS10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2.1005400000000001</v>
      </c>
      <c r="AT101" s="3">
        <f>Tableau3[[#This Row],[xb_]]+Tableau3[[#This Row],[b_intercept_C]]</f>
        <v>2.0271400000000002</v>
      </c>
      <c r="AU101" s="3">
        <f>Tableau3[[#This Row],[xb_]]+Tableau3[[#This Row],[b_intercept_B]]</f>
        <v>0.31674000000000002</v>
      </c>
      <c r="AV101" s="3">
        <f>1/(1+EXP(-Tableau3[[#This Row],[xb_c]]))</f>
        <v>0.88361728441726106</v>
      </c>
      <c r="AW101" s="3">
        <f>1/(1+EXP(-Tableau3[[#This Row],[xb_b]]))</f>
        <v>0.57852956036614611</v>
      </c>
      <c r="AX101" s="3" t="str">
        <f t="shared" si="3"/>
        <v>NA</v>
      </c>
      <c r="AY101" s="3">
        <f>Tableau3[[#This Row],[prob_b]]</f>
        <v>0.57852956036614611</v>
      </c>
      <c r="AZ101" s="3">
        <f>Tableau3[[#This Row],[prob_c]]-Tableau3[[#This Row],[prob_b]]</f>
        <v>0.30508772405111495</v>
      </c>
      <c r="BA101" s="3">
        <f>1-Tableau3[[#This Row],[prob_c]]</f>
        <v>0.11638271558273894</v>
      </c>
    </row>
    <row r="102" spans="1:53" x14ac:dyDescent="0.25">
      <c r="A102" s="2">
        <v>2</v>
      </c>
      <c r="B102" s="2" t="s">
        <v>10</v>
      </c>
      <c r="C102" s="4">
        <v>2.1</v>
      </c>
      <c r="D102" s="4">
        <v>828</v>
      </c>
      <c r="E102" s="4">
        <v>29</v>
      </c>
      <c r="F102" s="4">
        <v>0</v>
      </c>
      <c r="G102" s="2">
        <v>28</v>
      </c>
      <c r="H102" s="2">
        <v>37</v>
      </c>
      <c r="I102" s="2" t="s">
        <v>20</v>
      </c>
      <c r="J102" s="2" t="s">
        <v>27</v>
      </c>
      <c r="K102" s="2">
        <f>VLOOKUP(Tableau3[[#This Row],[essence]],Tableau7[],2,FALSE)</f>
        <v>-0.80379999999999996</v>
      </c>
      <c r="L102" s="3">
        <f>VLOOKUP(Tableau3[[#This Row],[essence]],Tableau7[],3,FALSE)</f>
        <v>0.88800000000000001</v>
      </c>
      <c r="M102" s="3">
        <f>VLOOKUP(Tableau3[[#This Row],[essence]],Tableau7[],4,FALSE)</f>
        <v>1.5212000000000001</v>
      </c>
      <c r="N102" s="3">
        <f>IF(Tableau3[[#This Row],[priorecol]]="C",1,0)</f>
        <v>1</v>
      </c>
      <c r="O102" s="3">
        <f>VLOOKUP(Tableau3[[#This Row],[essence]],Tableau7[],5,FALSE)</f>
        <v>1.8714999999999999</v>
      </c>
      <c r="P102" s="3">
        <f>IF(Tableau3[[#This Row],[priorecol]]="R",1,0)</f>
        <v>0</v>
      </c>
      <c r="Q102" s="3">
        <f>VLOOKUP(Tableau3[[#This Row],[essence]],Tableau7[],6,FALSE)</f>
        <v>0.51549999999999996</v>
      </c>
      <c r="R102" s="3">
        <f>IF(Tableau3[[#This Row],[priorecol]]="S",1,0)</f>
        <v>0</v>
      </c>
      <c r="S102" s="3">
        <f>VLOOKUP(Tableau3[[#This Row],[essence]],Tableau7[],7,FALSE)</f>
        <v>0</v>
      </c>
      <c r="T102" s="3">
        <f>VLOOKUP(Tableau3[[#This Row],[essence]],Tableau7[],15,FALSE)</f>
        <v>9.0500000000000008E-3</v>
      </c>
      <c r="U102" s="3">
        <f>VLOOKUP(Tableau3[[#This Row],[essence]],Tableau7[],20,FALSE)</f>
        <v>0</v>
      </c>
      <c r="V102" s="3">
        <f>IF(Tableau3[[#This Row],[sdom]]=1,1,0)</f>
        <v>0</v>
      </c>
      <c r="W102" s="3">
        <f>VLOOKUP(Tableau3[[#This Row],[essence]],Tableau7[],8,FALSE)</f>
        <v>0</v>
      </c>
      <c r="X102" s="3">
        <f>IF(Tableau3[[#This Row],[sdom]]="2EST",1,0)</f>
        <v>1</v>
      </c>
      <c r="Y102" s="3">
        <f>VLOOKUP(Tableau3[[#This Row],[essence]],Tableau7[],9,FALSE)</f>
        <v>-4.5199999999999997E-2</v>
      </c>
      <c r="Z102" s="3">
        <f>IF(Tableau3[[#This Row],[sdom]]="2OUEST",1,0)</f>
        <v>0</v>
      </c>
      <c r="AA102" s="3">
        <f>VLOOKUP(Tableau3[[#This Row],[essence]],Tableau7[],10,FALSE)</f>
        <v>1.15E-2</v>
      </c>
      <c r="AB102" s="3">
        <f>IF(Tableau3[[#This Row],[sdom]]="3EST",1,0)</f>
        <v>0</v>
      </c>
      <c r="AC102" s="3">
        <f>VLOOKUP(Tableau3[[#This Row],[essence]],Tableau7[],11,FALSE)</f>
        <v>0.1169</v>
      </c>
      <c r="AD102" s="3">
        <f>IF(Tableau3[[#This Row],[sdom]]="3OUEST",1,0)</f>
        <v>0</v>
      </c>
      <c r="AE102" s="3">
        <f>VLOOKUP(Tableau3[[#This Row],[essence]],Tableau7[],12,FALSE)</f>
        <v>-0.1686</v>
      </c>
      <c r="AF102" s="3">
        <f>IF(Tableau3[[#This Row],[sdom]]="4EST",1,0)</f>
        <v>0</v>
      </c>
      <c r="AG102" s="3">
        <f>VLOOKUP(Tableau3[[#This Row],[essence]],Tableau7[],13,FALSE)</f>
        <v>0.11940000000000001</v>
      </c>
      <c r="AH102" s="3">
        <f>IF(Tableau3[[#This Row],[sdom]]="4OUEST",1,0)</f>
        <v>0</v>
      </c>
      <c r="AI102" s="3">
        <f>VLOOKUP(Tableau3[[#This Row],[essence]],Tableau7[],14,FALSE)</f>
        <v>-0.13100000000000001</v>
      </c>
      <c r="AJ102" s="3">
        <f>IF(Tableau3[[#This Row],[sdom]]="5EST",1,0)</f>
        <v>0</v>
      </c>
      <c r="AK102" s="3">
        <f>VLOOKUP(Tableau3[[#This Row],[essence]],Tableau7[],17,FALSE)</f>
        <v>-1.8599999999999998E-2</v>
      </c>
      <c r="AL102" s="3">
        <f>IF(Tableau3[[#This Row],[priorecol]]="C",1,0)</f>
        <v>1</v>
      </c>
      <c r="AM102" s="3">
        <f>VLOOKUP(Tableau3[[#This Row],[essence]],Tableau7[],18,FALSE)</f>
        <v>-8.5500000000000003E-3</v>
      </c>
      <c r="AN102" s="3">
        <f>IF(Tableau3[[#This Row],[priorecol]]="R",1,0)</f>
        <v>0</v>
      </c>
      <c r="AO102" s="3">
        <f>VLOOKUP(Tableau3[[#This Row],[essence]],Tableau7[],19,FALSE)</f>
        <v>1.54E-2</v>
      </c>
      <c r="AP102" s="3">
        <f>IF(Tableau3[[#This Row],[priorecol]]="S",1,0)</f>
        <v>0</v>
      </c>
      <c r="AQ102" s="3">
        <f>VLOOKUP(Tableau3[[#This Row],[essence]],Tableau7[],21,FALSE)</f>
        <v>0</v>
      </c>
      <c r="AR102" s="3">
        <f>VLOOKUP(Tableau3[[#This Row],[essence]],Tableau7[],16,FALSE)</f>
        <v>0</v>
      </c>
      <c r="AS10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1.2442500000000001</v>
      </c>
      <c r="AT102" s="3">
        <f>Tableau3[[#This Row],[xb_]]+Tableau3[[#This Row],[b_intercept_C]]</f>
        <v>2.13225</v>
      </c>
      <c r="AU102" s="3">
        <f>Tableau3[[#This Row],[xb_]]+Tableau3[[#This Row],[b_intercept_B]]</f>
        <v>0.44045000000000012</v>
      </c>
      <c r="AV102" s="3">
        <f>1/(1+EXP(-Tableau3[[#This Row],[xb_c]]))</f>
        <v>0.89399841922550372</v>
      </c>
      <c r="AW102" s="3">
        <f>1/(1+EXP(-Tableau3[[#This Row],[xb_b]]))</f>
        <v>0.6083662515132956</v>
      </c>
      <c r="AX102" s="3" t="str">
        <f t="shared" si="3"/>
        <v>NA</v>
      </c>
      <c r="AY102" s="3">
        <f>Tableau3[[#This Row],[prob_b]]</f>
        <v>0.6083662515132956</v>
      </c>
      <c r="AZ102" s="3">
        <f>Tableau3[[#This Row],[prob_c]]-Tableau3[[#This Row],[prob_b]]</f>
        <v>0.28563216771220812</v>
      </c>
      <c r="BA102" s="3">
        <f>1-Tableau3[[#This Row],[prob_c]]</f>
        <v>0.10600158077449628</v>
      </c>
    </row>
    <row r="103" spans="1:53" x14ac:dyDescent="0.25">
      <c r="A103" s="3">
        <v>2</v>
      </c>
      <c r="B103" s="3" t="s">
        <v>10</v>
      </c>
      <c r="C103" s="1">
        <v>2.1</v>
      </c>
      <c r="D103" s="1">
        <v>828</v>
      </c>
      <c r="E103" s="1">
        <v>29</v>
      </c>
      <c r="F103" s="1">
        <v>0</v>
      </c>
      <c r="G103" s="3">
        <v>34</v>
      </c>
      <c r="H103" s="3">
        <v>37</v>
      </c>
      <c r="I103" s="3" t="s">
        <v>22</v>
      </c>
      <c r="J103" s="3" t="s">
        <v>27</v>
      </c>
      <c r="K103" s="3">
        <f>VLOOKUP(Tableau3[[#This Row],[essence]],Tableau7[],2,FALSE)</f>
        <v>-1.8420000000000001</v>
      </c>
      <c r="L103" s="3">
        <f>VLOOKUP(Tableau3[[#This Row],[essence]],Tableau7[],3,FALSE)</f>
        <v>0.2177</v>
      </c>
      <c r="M103" s="3">
        <f>VLOOKUP(Tableau3[[#This Row],[essence]],Tableau7[],4,FALSE)</f>
        <v>1.9473</v>
      </c>
      <c r="N103" s="3">
        <f>IF(Tableau3[[#This Row],[priorecol]]="C",1,0)</f>
        <v>1</v>
      </c>
      <c r="O103" s="3">
        <f>VLOOKUP(Tableau3[[#This Row],[essence]],Tableau7[],5,FALSE)</f>
        <v>3.0630999999999999</v>
      </c>
      <c r="P103" s="3">
        <f>IF(Tableau3[[#This Row],[priorecol]]="R",1,0)</f>
        <v>0</v>
      </c>
      <c r="Q103" s="3">
        <f>VLOOKUP(Tableau3[[#This Row],[essence]],Tableau7[],6,FALSE)</f>
        <v>1.5014000000000001</v>
      </c>
      <c r="R103" s="3">
        <f>IF(Tableau3[[#This Row],[priorecol]]="S",1,0)</f>
        <v>0</v>
      </c>
      <c r="S103" s="3">
        <f>VLOOKUP(Tableau3[[#This Row],[essence]],Tableau7[],7,FALSE)</f>
        <v>0</v>
      </c>
      <c r="T103" s="3">
        <f>VLOOKUP(Tableau3[[#This Row],[essence]],Tableau7[],15,FALSE)</f>
        <v>0</v>
      </c>
      <c r="U103" s="3">
        <f>VLOOKUP(Tableau3[[#This Row],[essence]],Tableau7[],20,FALSE)</f>
        <v>0.49399999999999999</v>
      </c>
      <c r="V103" s="3">
        <f>IF(Tableau3[[#This Row],[sdom]]=1,1,0)</f>
        <v>0</v>
      </c>
      <c r="W103" s="3">
        <f>VLOOKUP(Tableau3[[#This Row],[essence]],Tableau7[],8,FALSE)</f>
        <v>0.42420000000000002</v>
      </c>
      <c r="X103" s="3">
        <f>IF(Tableau3[[#This Row],[sdom]]="2EST",1,0)</f>
        <v>1</v>
      </c>
      <c r="Y103" s="3">
        <f>VLOOKUP(Tableau3[[#This Row],[essence]],Tableau7[],9,FALSE)</f>
        <v>7.4300000000000005E-2</v>
      </c>
      <c r="Z103" s="3">
        <f>IF(Tableau3[[#This Row],[sdom]]="2OUEST",1,0)</f>
        <v>0</v>
      </c>
      <c r="AA103" s="3">
        <f>VLOOKUP(Tableau3[[#This Row],[essence]],Tableau7[],10,FALSE)</f>
        <v>-6.7000000000000004E-2</v>
      </c>
      <c r="AB103" s="3">
        <f>IF(Tableau3[[#This Row],[sdom]]="3EST",1,0)</f>
        <v>0</v>
      </c>
      <c r="AC103" s="3">
        <f>VLOOKUP(Tableau3[[#This Row],[essence]],Tableau7[],11,FALSE)</f>
        <v>-8.3400000000000002E-2</v>
      </c>
      <c r="AD103" s="3">
        <f>IF(Tableau3[[#This Row],[sdom]]="3OUEST",1,0)</f>
        <v>0</v>
      </c>
      <c r="AE103" s="3">
        <f>VLOOKUP(Tableau3[[#This Row],[essence]],Tableau7[],12,FALSE)</f>
        <v>-0.26840000000000003</v>
      </c>
      <c r="AF103" s="3">
        <f>IF(Tableau3[[#This Row],[sdom]]="4EST",1,0)</f>
        <v>0</v>
      </c>
      <c r="AG103" s="3">
        <f>VLOOKUP(Tableau3[[#This Row],[essence]],Tableau7[],13,FALSE)</f>
        <v>0</v>
      </c>
      <c r="AH103" s="3">
        <f>IF(Tableau3[[#This Row],[sdom]]="4OUEST",1,0)</f>
        <v>0</v>
      </c>
      <c r="AI103" s="3">
        <f>VLOOKUP(Tableau3[[#This Row],[essence]],Tableau7[],14,FALSE)</f>
        <v>0</v>
      </c>
      <c r="AJ103" s="3">
        <f>IF(Tableau3[[#This Row],[sdom]]="5EST",1,0)</f>
        <v>0</v>
      </c>
      <c r="AK103" s="3">
        <f>VLOOKUP(Tableau3[[#This Row],[essence]],Tableau7[],17,FALSE)</f>
        <v>0</v>
      </c>
      <c r="AL103" s="3">
        <f>IF(Tableau3[[#This Row],[priorecol]]="C",1,0)</f>
        <v>1</v>
      </c>
      <c r="AM103" s="3">
        <f>VLOOKUP(Tableau3[[#This Row],[essence]],Tableau7[],18,FALSE)</f>
        <v>0</v>
      </c>
      <c r="AN103" s="3">
        <f>IF(Tableau3[[#This Row],[priorecol]]="R",1,0)</f>
        <v>0</v>
      </c>
      <c r="AO103" s="3">
        <f>VLOOKUP(Tableau3[[#This Row],[essence]],Tableau7[],19,FALSE)</f>
        <v>0</v>
      </c>
      <c r="AP103" s="3">
        <f>IF(Tableau3[[#This Row],[priorecol]]="S",1,0)</f>
        <v>0</v>
      </c>
      <c r="AQ103" s="3">
        <f>VLOOKUP(Tableau3[[#This Row],[essence]],Tableau7[],21,FALSE)</f>
        <v>0</v>
      </c>
      <c r="AR103" s="3">
        <f>VLOOKUP(Tableau3[[#This Row],[essence]],Tableau7[],16,FALSE)</f>
        <v>0</v>
      </c>
      <c r="AS10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2.3715000000000002</v>
      </c>
      <c r="AT103" s="3">
        <f>Tableau3[[#This Row],[xb_]]+Tableau3[[#This Row],[b_intercept_C]]</f>
        <v>2.5891999999999999</v>
      </c>
      <c r="AU103" s="3">
        <f>Tableau3[[#This Row],[xb_]]+Tableau3[[#This Row],[b_intercept_B]]</f>
        <v>0.52950000000000008</v>
      </c>
      <c r="AV103" s="3">
        <f>1/(1+EXP(-Tableau3[[#This Row],[xb_c]]))</f>
        <v>0.93016326735296084</v>
      </c>
      <c r="AW103" s="3">
        <f>1/(1+EXP(-Tableau3[[#This Row],[xb_b]]))</f>
        <v>0.62936648735750822</v>
      </c>
      <c r="AX103" s="3" t="str">
        <f t="shared" si="3"/>
        <v>NA</v>
      </c>
      <c r="AY103" s="3">
        <f>Tableau3[[#This Row],[prob_b]]</f>
        <v>0.62936648735750822</v>
      </c>
      <c r="AZ103" s="3">
        <f>Tableau3[[#This Row],[prob_c]]-Tableau3[[#This Row],[prob_b]]</f>
        <v>0.30079677999545262</v>
      </c>
      <c r="BA103" s="3">
        <f>1-Tableau3[[#This Row],[prob_c]]</f>
        <v>6.9836732647039157E-2</v>
      </c>
    </row>
    <row r="104" spans="1:53" x14ac:dyDescent="0.25">
      <c r="A104" s="2">
        <v>2</v>
      </c>
      <c r="B104" s="2" t="s">
        <v>10</v>
      </c>
      <c r="C104" s="4">
        <v>2.1</v>
      </c>
      <c r="D104" s="4">
        <v>828</v>
      </c>
      <c r="E104" s="4">
        <v>29</v>
      </c>
      <c r="F104" s="4">
        <v>0</v>
      </c>
      <c r="G104" s="2">
        <v>40</v>
      </c>
      <c r="H104" s="2">
        <v>37</v>
      </c>
      <c r="I104" s="2" t="s">
        <v>24</v>
      </c>
      <c r="J104" s="2" t="s">
        <v>27</v>
      </c>
      <c r="K104" s="2">
        <f>VLOOKUP(Tableau3[[#This Row],[essence]],Tableau7[],2,FALSE)</f>
        <v>-0.84530000000000005</v>
      </c>
      <c r="L104" s="3">
        <f>VLOOKUP(Tableau3[[#This Row],[essence]],Tableau7[],3,FALSE)</f>
        <v>0.93089999999999995</v>
      </c>
      <c r="M104" s="3">
        <f>VLOOKUP(Tableau3[[#This Row],[essence]],Tableau7[],4,FALSE)</f>
        <v>1.4276</v>
      </c>
      <c r="N104" s="3">
        <f>IF(Tableau3[[#This Row],[priorecol]]="C",1,0)</f>
        <v>1</v>
      </c>
      <c r="O104" s="3">
        <f>VLOOKUP(Tableau3[[#This Row],[essence]],Tableau7[],5,FALSE)</f>
        <v>2.468</v>
      </c>
      <c r="P104" s="3">
        <f>IF(Tableau3[[#This Row],[priorecol]]="R",1,0)</f>
        <v>0</v>
      </c>
      <c r="Q104" s="3">
        <f>VLOOKUP(Tableau3[[#This Row],[essence]],Tableau7[],6,FALSE)</f>
        <v>0.86019999999999996</v>
      </c>
      <c r="R104" s="3">
        <f>IF(Tableau3[[#This Row],[priorecol]]="S",1,0)</f>
        <v>0</v>
      </c>
      <c r="S104" s="3">
        <f>VLOOKUP(Tableau3[[#This Row],[essence]],Tableau7[],7,FALSE)</f>
        <v>0</v>
      </c>
      <c r="T104" s="3">
        <f>VLOOKUP(Tableau3[[#This Row],[essence]],Tableau7[],15,FALSE)</f>
        <v>1.7299999999999999E-2</v>
      </c>
      <c r="U104" s="3">
        <f>VLOOKUP(Tableau3[[#This Row],[essence]],Tableau7[],20,FALSE)</f>
        <v>-0.28799999999999998</v>
      </c>
      <c r="V104" s="3">
        <f>IF(Tableau3[[#This Row],[sdom]]=1,1,0)</f>
        <v>0</v>
      </c>
      <c r="W104" s="3">
        <f>VLOOKUP(Tableau3[[#This Row],[essence]],Tableau7[],8,FALSE)</f>
        <v>-0.18859999999999999</v>
      </c>
      <c r="X104" s="3">
        <f>IF(Tableau3[[#This Row],[sdom]]="2EST",1,0)</f>
        <v>1</v>
      </c>
      <c r="Y104" s="3">
        <f>VLOOKUP(Tableau3[[#This Row],[essence]],Tableau7[],9,FALSE)</f>
        <v>1.2699999999999999E-2</v>
      </c>
      <c r="Z104" s="3">
        <f>IF(Tableau3[[#This Row],[sdom]]="2OUEST",1,0)</f>
        <v>0</v>
      </c>
      <c r="AA104" s="3">
        <f>VLOOKUP(Tableau3[[#This Row],[essence]],Tableau7[],10,FALSE)</f>
        <v>0</v>
      </c>
      <c r="AB104" s="3">
        <f>IF(Tableau3[[#This Row],[sdom]]="3EST",1,0)</f>
        <v>0</v>
      </c>
      <c r="AC104" s="3">
        <f>VLOOKUP(Tableau3[[#This Row],[essence]],Tableau7[],11,FALSE)</f>
        <v>0.30009999999999998</v>
      </c>
      <c r="AD104" s="3">
        <f>IF(Tableau3[[#This Row],[sdom]]="3OUEST",1,0)</f>
        <v>0</v>
      </c>
      <c r="AE104" s="3">
        <f>VLOOKUP(Tableau3[[#This Row],[essence]],Tableau7[],12,FALSE)</f>
        <v>0</v>
      </c>
      <c r="AF104" s="3">
        <f>IF(Tableau3[[#This Row],[sdom]]="4EST",1,0)</f>
        <v>0</v>
      </c>
      <c r="AG104" s="3">
        <f>VLOOKUP(Tableau3[[#This Row],[essence]],Tableau7[],13,FALSE)</f>
        <v>0</v>
      </c>
      <c r="AH104" s="3">
        <f>IF(Tableau3[[#This Row],[sdom]]="4OUEST",1,0)</f>
        <v>0</v>
      </c>
      <c r="AI104" s="3">
        <f>VLOOKUP(Tableau3[[#This Row],[essence]],Tableau7[],14,FALSE)</f>
        <v>0</v>
      </c>
      <c r="AJ104" s="3">
        <f>IF(Tableau3[[#This Row],[sdom]]="5EST",1,0)</f>
        <v>0</v>
      </c>
      <c r="AK104" s="3">
        <f>VLOOKUP(Tableau3[[#This Row],[essence]],Tableau7[],17,FALSE)</f>
        <v>0</v>
      </c>
      <c r="AL104" s="3">
        <f>IF(Tableau3[[#This Row],[priorecol]]="C",1,0)</f>
        <v>1</v>
      </c>
      <c r="AM104" s="3">
        <f>VLOOKUP(Tableau3[[#This Row],[essence]],Tableau7[],18,FALSE)</f>
        <v>0</v>
      </c>
      <c r="AN104" s="3">
        <f>IF(Tableau3[[#This Row],[priorecol]]="R",1,0)</f>
        <v>0</v>
      </c>
      <c r="AO104" s="3">
        <f>VLOOKUP(Tableau3[[#This Row],[essence]],Tableau7[],19,FALSE)</f>
        <v>0</v>
      </c>
      <c r="AP104" s="3">
        <f>IF(Tableau3[[#This Row],[priorecol]]="S",1,0)</f>
        <v>0</v>
      </c>
      <c r="AQ104" s="3">
        <f>VLOOKUP(Tableau3[[#This Row],[essence]],Tableau7[],21,FALSE)</f>
        <v>0</v>
      </c>
      <c r="AR104" s="3">
        <f>VLOOKUP(Tableau3[[#This Row],[essence]],Tableau7[],16,FALSE)</f>
        <v>0</v>
      </c>
      <c r="AS10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1.7406999999999999</v>
      </c>
      <c r="AT104" s="3">
        <f>Tableau3[[#This Row],[xb_]]+Tableau3[[#This Row],[b_intercept_C]]</f>
        <v>2.6715999999999998</v>
      </c>
      <c r="AU104" s="3">
        <f>Tableau3[[#This Row],[xb_]]+Tableau3[[#This Row],[b_intercept_B]]</f>
        <v>0.89539999999999986</v>
      </c>
      <c r="AV104" s="3">
        <f>1/(1+EXP(-Tableau3[[#This Row],[xb_c]]))</f>
        <v>0.93532987946360158</v>
      </c>
      <c r="AW104" s="3">
        <f>1/(1+EXP(-Tableau3[[#This Row],[xb_b]]))</f>
        <v>0.71000328470040397</v>
      </c>
      <c r="AX104" s="3" t="str">
        <f t="shared" si="3"/>
        <v>NA</v>
      </c>
      <c r="AY104" s="3">
        <f>Tableau3[[#This Row],[prob_b]]</f>
        <v>0.71000328470040397</v>
      </c>
      <c r="AZ104" s="3">
        <f>Tableau3[[#This Row],[prob_c]]-Tableau3[[#This Row],[prob_b]]</f>
        <v>0.22532659476319761</v>
      </c>
      <c r="BA104" s="3">
        <f>1-Tableau3[[#This Row],[prob_c]]</f>
        <v>6.4670120536398423E-2</v>
      </c>
    </row>
    <row r="105" spans="1:53" x14ac:dyDescent="0.25">
      <c r="A105" s="3">
        <v>2</v>
      </c>
      <c r="B105" s="3" t="s">
        <v>10</v>
      </c>
      <c r="C105" s="1">
        <v>2.1</v>
      </c>
      <c r="D105" s="1">
        <v>828</v>
      </c>
      <c r="E105" s="1">
        <v>29</v>
      </c>
      <c r="F105" s="1">
        <v>0</v>
      </c>
      <c r="G105" s="3">
        <v>46</v>
      </c>
      <c r="H105" s="3">
        <v>37</v>
      </c>
      <c r="I105" s="3" t="s">
        <v>26</v>
      </c>
      <c r="J105" s="3" t="s">
        <v>27</v>
      </c>
      <c r="K105" s="3">
        <f>VLOOKUP(Tableau3[[#This Row],[essence]],Tableau7[],2,FALSE)</f>
        <v>-1.7838000000000001</v>
      </c>
      <c r="L105" s="3">
        <f>VLOOKUP(Tableau3[[#This Row],[essence]],Tableau7[],3,FALSE)</f>
        <v>-7.3400000000000007E-2</v>
      </c>
      <c r="M105" s="3">
        <f>VLOOKUP(Tableau3[[#This Row],[essence]],Tableau7[],4,FALSE)</f>
        <v>1.5893999999999999</v>
      </c>
      <c r="N105" s="3">
        <f>IF(Tableau3[[#This Row],[priorecol]]="C",1,0)</f>
        <v>1</v>
      </c>
      <c r="O105" s="3">
        <f>VLOOKUP(Tableau3[[#This Row],[essence]],Tableau7[],5,FALSE)</f>
        <v>2.1800000000000002</v>
      </c>
      <c r="P105" s="3">
        <f>IF(Tableau3[[#This Row],[priorecol]]="R",1,0)</f>
        <v>0</v>
      </c>
      <c r="Q105" s="3">
        <f>VLOOKUP(Tableau3[[#This Row],[essence]],Tableau7[],6,FALSE)</f>
        <v>0.91710000000000003</v>
      </c>
      <c r="R105" s="3">
        <f>IF(Tableau3[[#This Row],[priorecol]]="S",1,0)</f>
        <v>0</v>
      </c>
      <c r="S105" s="3">
        <f>VLOOKUP(Tableau3[[#This Row],[essence]],Tableau7[],7,FALSE)</f>
        <v>0</v>
      </c>
      <c r="T105" s="3">
        <f>VLOOKUP(Tableau3[[#This Row],[essence]],Tableau7[],15,FALSE)</f>
        <v>0</v>
      </c>
      <c r="U105" s="3">
        <f>VLOOKUP(Tableau3[[#This Row],[essence]],Tableau7[],20,FALSE)</f>
        <v>0</v>
      </c>
      <c r="V105" s="3">
        <f>IF(Tableau3[[#This Row],[sdom]]=1,1,0)</f>
        <v>0</v>
      </c>
      <c r="W105" s="3">
        <f>VLOOKUP(Tableau3[[#This Row],[essence]],Tableau7[],8,FALSE)</f>
        <v>0</v>
      </c>
      <c r="X105" s="3">
        <f>IF(Tableau3[[#This Row],[sdom]]="2EST",1,0)</f>
        <v>1</v>
      </c>
      <c r="Y105" s="3">
        <f>VLOOKUP(Tableau3[[#This Row],[essence]],Tableau7[],9,FALSE)</f>
        <v>-0.22550000000000001</v>
      </c>
      <c r="Z105" s="3">
        <f>IF(Tableau3[[#This Row],[sdom]]="2OUEST",1,0)</f>
        <v>0</v>
      </c>
      <c r="AA105" s="3">
        <f>VLOOKUP(Tableau3[[#This Row],[essence]],Tableau7[],10,FALSE)</f>
        <v>0</v>
      </c>
      <c r="AB105" s="3">
        <f>IF(Tableau3[[#This Row],[sdom]]="3EST",1,0)</f>
        <v>0</v>
      </c>
      <c r="AC105" s="3">
        <f>VLOOKUP(Tableau3[[#This Row],[essence]],Tableau7[],11,FALSE)</f>
        <v>0.3513</v>
      </c>
      <c r="AD105" s="3">
        <f>IF(Tableau3[[#This Row],[sdom]]="3OUEST",1,0)</f>
        <v>0</v>
      </c>
      <c r="AE105" s="3">
        <f>VLOOKUP(Tableau3[[#This Row],[essence]],Tableau7[],12,FALSE)</f>
        <v>-0.42259999999999998</v>
      </c>
      <c r="AF105" s="3">
        <f>IF(Tableau3[[#This Row],[sdom]]="4EST",1,0)</f>
        <v>0</v>
      </c>
      <c r="AG105" s="3">
        <f>VLOOKUP(Tableau3[[#This Row],[essence]],Tableau7[],13,FALSE)</f>
        <v>0.25390000000000001</v>
      </c>
      <c r="AH105" s="3">
        <f>IF(Tableau3[[#This Row],[sdom]]="4OUEST",1,0)</f>
        <v>0</v>
      </c>
      <c r="AI105" s="3">
        <f>VLOOKUP(Tableau3[[#This Row],[essence]],Tableau7[],14,FALSE)</f>
        <v>4.6199999999999998E-2</v>
      </c>
      <c r="AJ105" s="3">
        <f>IF(Tableau3[[#This Row],[sdom]]="5EST",1,0)</f>
        <v>0</v>
      </c>
      <c r="AK105" s="3">
        <f>VLOOKUP(Tableau3[[#This Row],[essence]],Tableau7[],17,FALSE)</f>
        <v>0</v>
      </c>
      <c r="AL105" s="3">
        <f>IF(Tableau3[[#This Row],[priorecol]]="C",1,0)</f>
        <v>1</v>
      </c>
      <c r="AM105" s="3">
        <f>VLOOKUP(Tableau3[[#This Row],[essence]],Tableau7[],18,FALSE)</f>
        <v>0</v>
      </c>
      <c r="AN105" s="3">
        <f>IF(Tableau3[[#This Row],[priorecol]]="R",1,0)</f>
        <v>0</v>
      </c>
      <c r="AO105" s="3">
        <f>VLOOKUP(Tableau3[[#This Row],[essence]],Tableau7[],19,FALSE)</f>
        <v>0</v>
      </c>
      <c r="AP105" s="3">
        <f>IF(Tableau3[[#This Row],[priorecol]]="S",1,0)</f>
        <v>0</v>
      </c>
      <c r="AQ105" s="3">
        <f>VLOOKUP(Tableau3[[#This Row],[essence]],Tableau7[],21,FALSE)</f>
        <v>0</v>
      </c>
      <c r="AR105" s="3">
        <f>VLOOKUP(Tableau3[[#This Row],[essence]],Tableau7[],16,FALSE)</f>
        <v>0.24340000000000001</v>
      </c>
      <c r="AS10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2.1005400000000001</v>
      </c>
      <c r="AT105" s="3">
        <f>Tableau3[[#This Row],[xb_]]+Tableau3[[#This Row],[b_intercept_C]]</f>
        <v>2.0271400000000002</v>
      </c>
      <c r="AU105" s="3">
        <f>Tableau3[[#This Row],[xb_]]+Tableau3[[#This Row],[b_intercept_B]]</f>
        <v>0.31674000000000002</v>
      </c>
      <c r="AV105" s="3">
        <f>1/(1+EXP(-Tableau3[[#This Row],[xb_c]]))</f>
        <v>0.88361728441726106</v>
      </c>
      <c r="AW105" s="3">
        <f>1/(1+EXP(-Tableau3[[#This Row],[xb_b]]))</f>
        <v>0.57852956036614611</v>
      </c>
      <c r="AX105" s="3" t="str">
        <f t="shared" si="3"/>
        <v>NA</v>
      </c>
      <c r="AY105" s="3">
        <f>Tableau3[[#This Row],[prob_b]]</f>
        <v>0.57852956036614611</v>
      </c>
      <c r="AZ105" s="3">
        <f>Tableau3[[#This Row],[prob_c]]-Tableau3[[#This Row],[prob_b]]</f>
        <v>0.30508772405111495</v>
      </c>
      <c r="BA105" s="3">
        <f>1-Tableau3[[#This Row],[prob_c]]</f>
        <v>0.11638271558273894</v>
      </c>
    </row>
    <row r="106" spans="1:53" x14ac:dyDescent="0.25">
      <c r="A106" s="2">
        <v>3</v>
      </c>
      <c r="B106" s="2" t="s">
        <v>11</v>
      </c>
      <c r="C106" s="4">
        <v>2.1</v>
      </c>
      <c r="D106" s="4">
        <v>700</v>
      </c>
      <c r="E106" s="4">
        <v>20</v>
      </c>
      <c r="F106" s="4">
        <v>1</v>
      </c>
      <c r="G106" s="2">
        <v>28</v>
      </c>
      <c r="H106" s="2">
        <v>37</v>
      </c>
      <c r="I106" s="2" t="s">
        <v>20</v>
      </c>
      <c r="J106" s="2" t="s">
        <v>27</v>
      </c>
      <c r="K106" s="2">
        <f>VLOOKUP(Tableau3[[#This Row],[essence]],Tableau7[],2,FALSE)</f>
        <v>-0.80379999999999996</v>
      </c>
      <c r="L106" s="3">
        <f>VLOOKUP(Tableau3[[#This Row],[essence]],Tableau7[],3,FALSE)</f>
        <v>0.88800000000000001</v>
      </c>
      <c r="M106" s="3">
        <f>VLOOKUP(Tableau3[[#This Row],[essence]],Tableau7[],4,FALSE)</f>
        <v>1.5212000000000001</v>
      </c>
      <c r="N106" s="3">
        <f>IF(Tableau3[[#This Row],[priorecol]]="C",1,0)</f>
        <v>1</v>
      </c>
      <c r="O106" s="3">
        <f>VLOOKUP(Tableau3[[#This Row],[essence]],Tableau7[],5,FALSE)</f>
        <v>1.8714999999999999</v>
      </c>
      <c r="P106" s="3">
        <f>IF(Tableau3[[#This Row],[priorecol]]="R",1,0)</f>
        <v>0</v>
      </c>
      <c r="Q106" s="3">
        <f>VLOOKUP(Tableau3[[#This Row],[essence]],Tableau7[],6,FALSE)</f>
        <v>0.51549999999999996</v>
      </c>
      <c r="R106" s="3">
        <f>IF(Tableau3[[#This Row],[priorecol]]="S",1,0)</f>
        <v>0</v>
      </c>
      <c r="S106" s="3">
        <f>VLOOKUP(Tableau3[[#This Row],[essence]],Tableau7[],7,FALSE)</f>
        <v>0</v>
      </c>
      <c r="T106" s="3">
        <f>VLOOKUP(Tableau3[[#This Row],[essence]],Tableau7[],15,FALSE)</f>
        <v>9.0500000000000008E-3</v>
      </c>
      <c r="U106" s="3">
        <f>VLOOKUP(Tableau3[[#This Row],[essence]],Tableau7[],20,FALSE)</f>
        <v>0</v>
      </c>
      <c r="V106" s="3">
        <f>IF(Tableau3[[#This Row],[sdom]]=1,1,0)</f>
        <v>0</v>
      </c>
      <c r="W106" s="3">
        <f>VLOOKUP(Tableau3[[#This Row],[essence]],Tableau7[],8,FALSE)</f>
        <v>0</v>
      </c>
      <c r="X106" s="3">
        <f>IF(Tableau3[[#This Row],[sdom]]="2EST",1,0)</f>
        <v>0</v>
      </c>
      <c r="Y106" s="3">
        <f>VLOOKUP(Tableau3[[#This Row],[essence]],Tableau7[],9,FALSE)</f>
        <v>-4.5199999999999997E-2</v>
      </c>
      <c r="Z106" s="3">
        <f>IF(Tableau3[[#This Row],[sdom]]="2OUEST",1,0)</f>
        <v>1</v>
      </c>
      <c r="AA106" s="3">
        <f>VLOOKUP(Tableau3[[#This Row],[essence]],Tableau7[],10,FALSE)</f>
        <v>1.15E-2</v>
      </c>
      <c r="AB106" s="3">
        <f>IF(Tableau3[[#This Row],[sdom]]="3EST",1,0)</f>
        <v>0</v>
      </c>
      <c r="AC106" s="3">
        <f>VLOOKUP(Tableau3[[#This Row],[essence]],Tableau7[],11,FALSE)</f>
        <v>0.1169</v>
      </c>
      <c r="AD106" s="3">
        <f>IF(Tableau3[[#This Row],[sdom]]="3OUEST",1,0)</f>
        <v>0</v>
      </c>
      <c r="AE106" s="3">
        <f>VLOOKUP(Tableau3[[#This Row],[essence]],Tableau7[],12,FALSE)</f>
        <v>-0.1686</v>
      </c>
      <c r="AF106" s="3">
        <f>IF(Tableau3[[#This Row],[sdom]]="4EST",1,0)</f>
        <v>0</v>
      </c>
      <c r="AG106" s="3">
        <f>VLOOKUP(Tableau3[[#This Row],[essence]],Tableau7[],13,FALSE)</f>
        <v>0.11940000000000001</v>
      </c>
      <c r="AH106" s="3">
        <f>IF(Tableau3[[#This Row],[sdom]]="4OUEST",1,0)</f>
        <v>0</v>
      </c>
      <c r="AI106" s="3">
        <f>VLOOKUP(Tableau3[[#This Row],[essence]],Tableau7[],14,FALSE)</f>
        <v>-0.13100000000000001</v>
      </c>
      <c r="AJ106" s="3">
        <f>IF(Tableau3[[#This Row],[sdom]]="5EST",1,0)</f>
        <v>0</v>
      </c>
      <c r="AK106" s="3">
        <f>VLOOKUP(Tableau3[[#This Row],[essence]],Tableau7[],17,FALSE)</f>
        <v>-1.8599999999999998E-2</v>
      </c>
      <c r="AL106" s="3">
        <f>IF(Tableau3[[#This Row],[priorecol]]="C",1,0)</f>
        <v>1</v>
      </c>
      <c r="AM106" s="3">
        <f>VLOOKUP(Tableau3[[#This Row],[essence]],Tableau7[],18,FALSE)</f>
        <v>-8.5500000000000003E-3</v>
      </c>
      <c r="AN106" s="3">
        <f>IF(Tableau3[[#This Row],[priorecol]]="R",1,0)</f>
        <v>0</v>
      </c>
      <c r="AO106" s="3">
        <f>VLOOKUP(Tableau3[[#This Row],[essence]],Tableau7[],19,FALSE)</f>
        <v>1.54E-2</v>
      </c>
      <c r="AP106" s="3">
        <f>IF(Tableau3[[#This Row],[priorecol]]="S",1,0)</f>
        <v>0</v>
      </c>
      <c r="AQ106" s="3">
        <f>VLOOKUP(Tableau3[[#This Row],[essence]],Tableau7[],21,FALSE)</f>
        <v>0</v>
      </c>
      <c r="AR106" s="3">
        <f>VLOOKUP(Tableau3[[#This Row],[essence]],Tableau7[],16,FALSE)</f>
        <v>0</v>
      </c>
      <c r="AS10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1.2850000000000001</v>
      </c>
      <c r="AT106" s="3">
        <f>Tableau3[[#This Row],[xb_]]+Tableau3[[#This Row],[b_intercept_C]]</f>
        <v>2.173</v>
      </c>
      <c r="AU106" s="3">
        <f>Tableau3[[#This Row],[xb_]]+Tableau3[[#This Row],[b_intercept_B]]</f>
        <v>0.48120000000000018</v>
      </c>
      <c r="AV106" s="3">
        <f>1/(1+EXP(-Tableau3[[#This Row],[xb_c]]))</f>
        <v>0.89779856415326276</v>
      </c>
      <c r="AW106" s="3">
        <f>1/(1+EXP(-Tableau3[[#This Row],[xb_b]]))</f>
        <v>0.61803119722809419</v>
      </c>
      <c r="AX106" s="3" t="str">
        <f t="shared" si="3"/>
        <v>NA</v>
      </c>
      <c r="AY106" s="3">
        <f>Tableau3[[#This Row],[prob_b]]</f>
        <v>0.61803119722809419</v>
      </c>
      <c r="AZ106" s="3">
        <f>Tableau3[[#This Row],[prob_c]]-Tableau3[[#This Row],[prob_b]]</f>
        <v>0.27976736692516857</v>
      </c>
      <c r="BA106" s="3">
        <f>1-Tableau3[[#This Row],[prob_c]]</f>
        <v>0.10220143584673724</v>
      </c>
    </row>
    <row r="107" spans="1:53" x14ac:dyDescent="0.25">
      <c r="A107" s="3">
        <v>3</v>
      </c>
      <c r="B107" s="3" t="s">
        <v>11</v>
      </c>
      <c r="C107" s="1">
        <v>2.1</v>
      </c>
      <c r="D107" s="1">
        <v>700</v>
      </c>
      <c r="E107" s="1">
        <v>20</v>
      </c>
      <c r="F107" s="1">
        <v>1</v>
      </c>
      <c r="G107" s="3">
        <v>34</v>
      </c>
      <c r="H107" s="3">
        <v>37</v>
      </c>
      <c r="I107" s="3" t="s">
        <v>22</v>
      </c>
      <c r="J107" s="3" t="s">
        <v>27</v>
      </c>
      <c r="K107" s="3">
        <f>VLOOKUP(Tableau3[[#This Row],[essence]],Tableau7[],2,FALSE)</f>
        <v>-1.8420000000000001</v>
      </c>
      <c r="L107" s="3">
        <f>VLOOKUP(Tableau3[[#This Row],[essence]],Tableau7[],3,FALSE)</f>
        <v>0.2177</v>
      </c>
      <c r="M107" s="3">
        <f>VLOOKUP(Tableau3[[#This Row],[essence]],Tableau7[],4,FALSE)</f>
        <v>1.9473</v>
      </c>
      <c r="N107" s="3">
        <f>IF(Tableau3[[#This Row],[priorecol]]="C",1,0)</f>
        <v>1</v>
      </c>
      <c r="O107" s="3">
        <f>VLOOKUP(Tableau3[[#This Row],[essence]],Tableau7[],5,FALSE)</f>
        <v>3.0630999999999999</v>
      </c>
      <c r="P107" s="3">
        <f>IF(Tableau3[[#This Row],[priorecol]]="R",1,0)</f>
        <v>0</v>
      </c>
      <c r="Q107" s="3">
        <f>VLOOKUP(Tableau3[[#This Row],[essence]],Tableau7[],6,FALSE)</f>
        <v>1.5014000000000001</v>
      </c>
      <c r="R107" s="3">
        <f>IF(Tableau3[[#This Row],[priorecol]]="S",1,0)</f>
        <v>0</v>
      </c>
      <c r="S107" s="3">
        <f>VLOOKUP(Tableau3[[#This Row],[essence]],Tableau7[],7,FALSE)</f>
        <v>0</v>
      </c>
      <c r="T107" s="3">
        <f>VLOOKUP(Tableau3[[#This Row],[essence]],Tableau7[],15,FALSE)</f>
        <v>0</v>
      </c>
      <c r="U107" s="3">
        <f>VLOOKUP(Tableau3[[#This Row],[essence]],Tableau7[],20,FALSE)</f>
        <v>0.49399999999999999</v>
      </c>
      <c r="V107" s="3">
        <f>IF(Tableau3[[#This Row],[sdom]]=1,1,0)</f>
        <v>0</v>
      </c>
      <c r="W107" s="3">
        <f>VLOOKUP(Tableau3[[#This Row],[essence]],Tableau7[],8,FALSE)</f>
        <v>0.42420000000000002</v>
      </c>
      <c r="X107" s="3">
        <f>IF(Tableau3[[#This Row],[sdom]]="2EST",1,0)</f>
        <v>0</v>
      </c>
      <c r="Y107" s="3">
        <f>VLOOKUP(Tableau3[[#This Row],[essence]],Tableau7[],9,FALSE)</f>
        <v>7.4300000000000005E-2</v>
      </c>
      <c r="Z107" s="3">
        <f>IF(Tableau3[[#This Row],[sdom]]="2OUEST",1,0)</f>
        <v>1</v>
      </c>
      <c r="AA107" s="3">
        <f>VLOOKUP(Tableau3[[#This Row],[essence]],Tableau7[],10,FALSE)</f>
        <v>-6.7000000000000004E-2</v>
      </c>
      <c r="AB107" s="3">
        <f>IF(Tableau3[[#This Row],[sdom]]="3EST",1,0)</f>
        <v>0</v>
      </c>
      <c r="AC107" s="3">
        <f>VLOOKUP(Tableau3[[#This Row],[essence]],Tableau7[],11,FALSE)</f>
        <v>-8.3400000000000002E-2</v>
      </c>
      <c r="AD107" s="3">
        <f>IF(Tableau3[[#This Row],[sdom]]="3OUEST",1,0)</f>
        <v>0</v>
      </c>
      <c r="AE107" s="3">
        <f>VLOOKUP(Tableau3[[#This Row],[essence]],Tableau7[],12,FALSE)</f>
        <v>-0.26840000000000003</v>
      </c>
      <c r="AF107" s="3">
        <f>IF(Tableau3[[#This Row],[sdom]]="4EST",1,0)</f>
        <v>0</v>
      </c>
      <c r="AG107" s="3">
        <f>VLOOKUP(Tableau3[[#This Row],[essence]],Tableau7[],13,FALSE)</f>
        <v>0</v>
      </c>
      <c r="AH107" s="3">
        <f>IF(Tableau3[[#This Row],[sdom]]="4OUEST",1,0)</f>
        <v>0</v>
      </c>
      <c r="AI107" s="3">
        <f>VLOOKUP(Tableau3[[#This Row],[essence]],Tableau7[],14,FALSE)</f>
        <v>0</v>
      </c>
      <c r="AJ107" s="3">
        <f>IF(Tableau3[[#This Row],[sdom]]="5EST",1,0)</f>
        <v>0</v>
      </c>
      <c r="AK107" s="3">
        <f>VLOOKUP(Tableau3[[#This Row],[essence]],Tableau7[],17,FALSE)</f>
        <v>0</v>
      </c>
      <c r="AL107" s="3">
        <f>IF(Tableau3[[#This Row],[priorecol]]="C",1,0)</f>
        <v>1</v>
      </c>
      <c r="AM107" s="3">
        <f>VLOOKUP(Tableau3[[#This Row],[essence]],Tableau7[],18,FALSE)</f>
        <v>0</v>
      </c>
      <c r="AN107" s="3">
        <f>IF(Tableau3[[#This Row],[priorecol]]="R",1,0)</f>
        <v>0</v>
      </c>
      <c r="AO107" s="3">
        <f>VLOOKUP(Tableau3[[#This Row],[essence]],Tableau7[],19,FALSE)</f>
        <v>0</v>
      </c>
      <c r="AP107" s="3">
        <f>IF(Tableau3[[#This Row],[priorecol]]="S",1,0)</f>
        <v>0</v>
      </c>
      <c r="AQ107" s="3">
        <f>VLOOKUP(Tableau3[[#This Row],[essence]],Tableau7[],21,FALSE)</f>
        <v>0</v>
      </c>
      <c r="AR107" s="3">
        <f>VLOOKUP(Tableau3[[#This Row],[essence]],Tableau7[],16,FALSE)</f>
        <v>0</v>
      </c>
      <c r="AS10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2.0215999999999998</v>
      </c>
      <c r="AT107" s="3">
        <f>Tableau3[[#This Row],[xb_]]+Tableau3[[#This Row],[b_intercept_C]]</f>
        <v>2.2393000000000001</v>
      </c>
      <c r="AU107" s="3">
        <f>Tableau3[[#This Row],[xb_]]+Tableau3[[#This Row],[b_intercept_B]]</f>
        <v>0.17959999999999976</v>
      </c>
      <c r="AV107" s="3">
        <f>1/(1+EXP(-Tableau3[[#This Row],[xb_c]]))</f>
        <v>0.90372357040401541</v>
      </c>
      <c r="AW107" s="3">
        <f>1/(1+EXP(-Tableau3[[#This Row],[xb_b]]))</f>
        <v>0.54477969624016975</v>
      </c>
      <c r="AX107" s="3" t="str">
        <f t="shared" si="3"/>
        <v>NA</v>
      </c>
      <c r="AY107" s="3">
        <f>Tableau3[[#This Row],[prob_b]]</f>
        <v>0.54477969624016975</v>
      </c>
      <c r="AZ107" s="3">
        <f>Tableau3[[#This Row],[prob_c]]-Tableau3[[#This Row],[prob_b]]</f>
        <v>0.35894387416384566</v>
      </c>
      <c r="BA107" s="3">
        <f>1-Tableau3[[#This Row],[prob_c]]</f>
        <v>9.6276429595984592E-2</v>
      </c>
    </row>
    <row r="108" spans="1:53" x14ac:dyDescent="0.25">
      <c r="A108" s="2">
        <v>3</v>
      </c>
      <c r="B108" s="2" t="s">
        <v>11</v>
      </c>
      <c r="C108" s="4">
        <v>2.1</v>
      </c>
      <c r="D108" s="4">
        <v>700</v>
      </c>
      <c r="E108" s="4">
        <v>20</v>
      </c>
      <c r="F108" s="4">
        <v>1</v>
      </c>
      <c r="G108" s="2">
        <v>40</v>
      </c>
      <c r="H108" s="2">
        <v>37</v>
      </c>
      <c r="I108" s="2" t="s">
        <v>24</v>
      </c>
      <c r="J108" s="2" t="s">
        <v>27</v>
      </c>
      <c r="K108" s="2">
        <f>VLOOKUP(Tableau3[[#This Row],[essence]],Tableau7[],2,FALSE)</f>
        <v>-0.84530000000000005</v>
      </c>
      <c r="L108" s="3">
        <f>VLOOKUP(Tableau3[[#This Row],[essence]],Tableau7[],3,FALSE)</f>
        <v>0.93089999999999995</v>
      </c>
      <c r="M108" s="3">
        <f>VLOOKUP(Tableau3[[#This Row],[essence]],Tableau7[],4,FALSE)</f>
        <v>1.4276</v>
      </c>
      <c r="N108" s="3">
        <f>IF(Tableau3[[#This Row],[priorecol]]="C",1,0)</f>
        <v>1</v>
      </c>
      <c r="O108" s="3">
        <f>VLOOKUP(Tableau3[[#This Row],[essence]],Tableau7[],5,FALSE)</f>
        <v>2.468</v>
      </c>
      <c r="P108" s="3">
        <f>IF(Tableau3[[#This Row],[priorecol]]="R",1,0)</f>
        <v>0</v>
      </c>
      <c r="Q108" s="3">
        <f>VLOOKUP(Tableau3[[#This Row],[essence]],Tableau7[],6,FALSE)</f>
        <v>0.86019999999999996</v>
      </c>
      <c r="R108" s="3">
        <f>IF(Tableau3[[#This Row],[priorecol]]="S",1,0)</f>
        <v>0</v>
      </c>
      <c r="S108" s="3">
        <f>VLOOKUP(Tableau3[[#This Row],[essence]],Tableau7[],7,FALSE)</f>
        <v>0</v>
      </c>
      <c r="T108" s="3">
        <f>VLOOKUP(Tableau3[[#This Row],[essence]],Tableau7[],15,FALSE)</f>
        <v>1.7299999999999999E-2</v>
      </c>
      <c r="U108" s="3">
        <f>VLOOKUP(Tableau3[[#This Row],[essence]],Tableau7[],20,FALSE)</f>
        <v>-0.28799999999999998</v>
      </c>
      <c r="V108" s="3">
        <f>IF(Tableau3[[#This Row],[sdom]]=1,1,0)</f>
        <v>0</v>
      </c>
      <c r="W108" s="3">
        <f>VLOOKUP(Tableau3[[#This Row],[essence]],Tableau7[],8,FALSE)</f>
        <v>-0.18859999999999999</v>
      </c>
      <c r="X108" s="3">
        <f>IF(Tableau3[[#This Row],[sdom]]="2EST",1,0)</f>
        <v>0</v>
      </c>
      <c r="Y108" s="3">
        <f>VLOOKUP(Tableau3[[#This Row],[essence]],Tableau7[],9,FALSE)</f>
        <v>1.2699999999999999E-2</v>
      </c>
      <c r="Z108" s="3">
        <f>IF(Tableau3[[#This Row],[sdom]]="2OUEST",1,0)</f>
        <v>1</v>
      </c>
      <c r="AA108" s="3">
        <f>VLOOKUP(Tableau3[[#This Row],[essence]],Tableau7[],10,FALSE)</f>
        <v>0</v>
      </c>
      <c r="AB108" s="3">
        <f>IF(Tableau3[[#This Row],[sdom]]="3EST",1,0)</f>
        <v>0</v>
      </c>
      <c r="AC108" s="3">
        <f>VLOOKUP(Tableau3[[#This Row],[essence]],Tableau7[],11,FALSE)</f>
        <v>0.30009999999999998</v>
      </c>
      <c r="AD108" s="3">
        <f>IF(Tableau3[[#This Row],[sdom]]="3OUEST",1,0)</f>
        <v>0</v>
      </c>
      <c r="AE108" s="3">
        <f>VLOOKUP(Tableau3[[#This Row],[essence]],Tableau7[],12,FALSE)</f>
        <v>0</v>
      </c>
      <c r="AF108" s="3">
        <f>IF(Tableau3[[#This Row],[sdom]]="4EST",1,0)</f>
        <v>0</v>
      </c>
      <c r="AG108" s="3">
        <f>VLOOKUP(Tableau3[[#This Row],[essence]],Tableau7[],13,FALSE)</f>
        <v>0</v>
      </c>
      <c r="AH108" s="3">
        <f>IF(Tableau3[[#This Row],[sdom]]="4OUEST",1,0)</f>
        <v>0</v>
      </c>
      <c r="AI108" s="3">
        <f>VLOOKUP(Tableau3[[#This Row],[essence]],Tableau7[],14,FALSE)</f>
        <v>0</v>
      </c>
      <c r="AJ108" s="3">
        <f>IF(Tableau3[[#This Row],[sdom]]="5EST",1,0)</f>
        <v>0</v>
      </c>
      <c r="AK108" s="3">
        <f>VLOOKUP(Tableau3[[#This Row],[essence]],Tableau7[],17,FALSE)</f>
        <v>0</v>
      </c>
      <c r="AL108" s="3">
        <f>IF(Tableau3[[#This Row],[priorecol]]="C",1,0)</f>
        <v>1</v>
      </c>
      <c r="AM108" s="3">
        <f>VLOOKUP(Tableau3[[#This Row],[essence]],Tableau7[],18,FALSE)</f>
        <v>0</v>
      </c>
      <c r="AN108" s="3">
        <f>IF(Tableau3[[#This Row],[priorecol]]="R",1,0)</f>
        <v>0</v>
      </c>
      <c r="AO108" s="3">
        <f>VLOOKUP(Tableau3[[#This Row],[essence]],Tableau7[],19,FALSE)</f>
        <v>0</v>
      </c>
      <c r="AP108" s="3">
        <f>IF(Tableau3[[#This Row],[priorecol]]="S",1,0)</f>
        <v>0</v>
      </c>
      <c r="AQ108" s="3">
        <f>VLOOKUP(Tableau3[[#This Row],[essence]],Tableau7[],21,FALSE)</f>
        <v>0</v>
      </c>
      <c r="AR108" s="3">
        <f>VLOOKUP(Tableau3[[#This Row],[essence]],Tableau7[],16,FALSE)</f>
        <v>0</v>
      </c>
      <c r="AS10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1.7863</v>
      </c>
      <c r="AT108" s="3">
        <f>Tableau3[[#This Row],[xb_]]+Tableau3[[#This Row],[b_intercept_C]]</f>
        <v>2.7172000000000001</v>
      </c>
      <c r="AU108" s="3">
        <f>Tableau3[[#This Row],[xb_]]+Tableau3[[#This Row],[b_intercept_B]]</f>
        <v>0.94099999999999995</v>
      </c>
      <c r="AV108" s="3">
        <f>1/(1+EXP(-Tableau3[[#This Row],[xb_c]]))</f>
        <v>0.93803397976306802</v>
      </c>
      <c r="AW108" s="3">
        <f>1/(1+EXP(-Tableau3[[#This Row],[xb_b]]))</f>
        <v>0.7193016084922631</v>
      </c>
      <c r="AX108" s="3" t="str">
        <f t="shared" si="3"/>
        <v>NA</v>
      </c>
      <c r="AY108" s="3">
        <f>Tableau3[[#This Row],[prob_b]]</f>
        <v>0.7193016084922631</v>
      </c>
      <c r="AZ108" s="3">
        <f>Tableau3[[#This Row],[prob_c]]-Tableau3[[#This Row],[prob_b]]</f>
        <v>0.21873237127080492</v>
      </c>
      <c r="BA108" s="3">
        <f>1-Tableau3[[#This Row],[prob_c]]</f>
        <v>6.1966020236931985E-2</v>
      </c>
    </row>
    <row r="109" spans="1:53" x14ac:dyDescent="0.25">
      <c r="A109" s="3">
        <v>3</v>
      </c>
      <c r="B109" s="3" t="s">
        <v>11</v>
      </c>
      <c r="C109" s="1">
        <v>2.1</v>
      </c>
      <c r="D109" s="1">
        <v>700</v>
      </c>
      <c r="E109" s="1">
        <v>20</v>
      </c>
      <c r="F109" s="1">
        <v>1</v>
      </c>
      <c r="G109" s="3">
        <v>46</v>
      </c>
      <c r="H109" s="3">
        <v>37</v>
      </c>
      <c r="I109" s="3" t="s">
        <v>26</v>
      </c>
      <c r="J109" s="3" t="s">
        <v>27</v>
      </c>
      <c r="K109" s="3">
        <f>VLOOKUP(Tableau3[[#This Row],[essence]],Tableau7[],2,FALSE)</f>
        <v>-1.7838000000000001</v>
      </c>
      <c r="L109" s="3">
        <f>VLOOKUP(Tableau3[[#This Row],[essence]],Tableau7[],3,FALSE)</f>
        <v>-7.3400000000000007E-2</v>
      </c>
      <c r="M109" s="3">
        <f>VLOOKUP(Tableau3[[#This Row],[essence]],Tableau7[],4,FALSE)</f>
        <v>1.5893999999999999</v>
      </c>
      <c r="N109" s="3">
        <f>IF(Tableau3[[#This Row],[priorecol]]="C",1,0)</f>
        <v>1</v>
      </c>
      <c r="O109" s="3">
        <f>VLOOKUP(Tableau3[[#This Row],[essence]],Tableau7[],5,FALSE)</f>
        <v>2.1800000000000002</v>
      </c>
      <c r="P109" s="3">
        <f>IF(Tableau3[[#This Row],[priorecol]]="R",1,0)</f>
        <v>0</v>
      </c>
      <c r="Q109" s="3">
        <f>VLOOKUP(Tableau3[[#This Row],[essence]],Tableau7[],6,FALSE)</f>
        <v>0.91710000000000003</v>
      </c>
      <c r="R109" s="3">
        <f>IF(Tableau3[[#This Row],[priorecol]]="S",1,0)</f>
        <v>0</v>
      </c>
      <c r="S109" s="3">
        <f>VLOOKUP(Tableau3[[#This Row],[essence]],Tableau7[],7,FALSE)</f>
        <v>0</v>
      </c>
      <c r="T109" s="3">
        <f>VLOOKUP(Tableau3[[#This Row],[essence]],Tableau7[],15,FALSE)</f>
        <v>0</v>
      </c>
      <c r="U109" s="3">
        <f>VLOOKUP(Tableau3[[#This Row],[essence]],Tableau7[],20,FALSE)</f>
        <v>0</v>
      </c>
      <c r="V109" s="3">
        <f>IF(Tableau3[[#This Row],[sdom]]=1,1,0)</f>
        <v>0</v>
      </c>
      <c r="W109" s="3">
        <f>VLOOKUP(Tableau3[[#This Row],[essence]],Tableau7[],8,FALSE)</f>
        <v>0</v>
      </c>
      <c r="X109" s="3">
        <f>IF(Tableau3[[#This Row],[sdom]]="2EST",1,0)</f>
        <v>0</v>
      </c>
      <c r="Y109" s="3">
        <f>VLOOKUP(Tableau3[[#This Row],[essence]],Tableau7[],9,FALSE)</f>
        <v>-0.22550000000000001</v>
      </c>
      <c r="Z109" s="3">
        <f>IF(Tableau3[[#This Row],[sdom]]="2OUEST",1,0)</f>
        <v>1</v>
      </c>
      <c r="AA109" s="3">
        <f>VLOOKUP(Tableau3[[#This Row],[essence]],Tableau7[],10,FALSE)</f>
        <v>0</v>
      </c>
      <c r="AB109" s="3">
        <f>IF(Tableau3[[#This Row],[sdom]]="3EST",1,0)</f>
        <v>0</v>
      </c>
      <c r="AC109" s="3">
        <f>VLOOKUP(Tableau3[[#This Row],[essence]],Tableau7[],11,FALSE)</f>
        <v>0.3513</v>
      </c>
      <c r="AD109" s="3">
        <f>IF(Tableau3[[#This Row],[sdom]]="3OUEST",1,0)</f>
        <v>0</v>
      </c>
      <c r="AE109" s="3">
        <f>VLOOKUP(Tableau3[[#This Row],[essence]],Tableau7[],12,FALSE)</f>
        <v>-0.42259999999999998</v>
      </c>
      <c r="AF109" s="3">
        <f>IF(Tableau3[[#This Row],[sdom]]="4EST",1,0)</f>
        <v>0</v>
      </c>
      <c r="AG109" s="3">
        <f>VLOOKUP(Tableau3[[#This Row],[essence]],Tableau7[],13,FALSE)</f>
        <v>0.25390000000000001</v>
      </c>
      <c r="AH109" s="3">
        <f>IF(Tableau3[[#This Row],[sdom]]="4OUEST",1,0)</f>
        <v>0</v>
      </c>
      <c r="AI109" s="3">
        <f>VLOOKUP(Tableau3[[#This Row],[essence]],Tableau7[],14,FALSE)</f>
        <v>4.6199999999999998E-2</v>
      </c>
      <c r="AJ109" s="3">
        <f>IF(Tableau3[[#This Row],[sdom]]="5EST",1,0)</f>
        <v>0</v>
      </c>
      <c r="AK109" s="3">
        <f>VLOOKUP(Tableau3[[#This Row],[essence]],Tableau7[],17,FALSE)</f>
        <v>0</v>
      </c>
      <c r="AL109" s="3">
        <f>IF(Tableau3[[#This Row],[priorecol]]="C",1,0)</f>
        <v>1</v>
      </c>
      <c r="AM109" s="3">
        <f>VLOOKUP(Tableau3[[#This Row],[essence]],Tableau7[],18,FALSE)</f>
        <v>0</v>
      </c>
      <c r="AN109" s="3">
        <f>IF(Tableau3[[#This Row],[priorecol]]="R",1,0)</f>
        <v>0</v>
      </c>
      <c r="AO109" s="3">
        <f>VLOOKUP(Tableau3[[#This Row],[essence]],Tableau7[],19,FALSE)</f>
        <v>0</v>
      </c>
      <c r="AP109" s="3">
        <f>IF(Tableau3[[#This Row],[priorecol]]="S",1,0)</f>
        <v>0</v>
      </c>
      <c r="AQ109" s="3">
        <f>VLOOKUP(Tableau3[[#This Row],[essence]],Tableau7[],21,FALSE)</f>
        <v>0</v>
      </c>
      <c r="AR109" s="3">
        <f>VLOOKUP(Tableau3[[#This Row],[essence]],Tableau7[],16,FALSE)</f>
        <v>0.24340000000000001</v>
      </c>
      <c r="AS10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1.8750399999999998</v>
      </c>
      <c r="AT109" s="3">
        <f>Tableau3[[#This Row],[xb_]]+Tableau3[[#This Row],[b_intercept_C]]</f>
        <v>1.8016399999999999</v>
      </c>
      <c r="AU109" s="3">
        <f>Tableau3[[#This Row],[xb_]]+Tableau3[[#This Row],[b_intercept_B]]</f>
        <v>9.1239999999999766E-2</v>
      </c>
      <c r="AV109" s="3">
        <f>1/(1+EXP(-Tableau3[[#This Row],[xb_c]]))</f>
        <v>0.8583484539826044</v>
      </c>
      <c r="AW109" s="3">
        <f>1/(1+EXP(-Tableau3[[#This Row],[xb_b]]))</f>
        <v>0.52279418922320497</v>
      </c>
      <c r="AX109" s="3" t="str">
        <f t="shared" si="3"/>
        <v>NA</v>
      </c>
      <c r="AY109" s="3">
        <f>Tableau3[[#This Row],[prob_b]]</f>
        <v>0.52279418922320497</v>
      </c>
      <c r="AZ109" s="3">
        <f>Tableau3[[#This Row],[prob_c]]-Tableau3[[#This Row],[prob_b]]</f>
        <v>0.33555426475939942</v>
      </c>
      <c r="BA109" s="3">
        <f>1-Tableau3[[#This Row],[prob_c]]</f>
        <v>0.1416515460173956</v>
      </c>
    </row>
    <row r="110" spans="1:53" x14ac:dyDescent="0.25">
      <c r="A110" s="2">
        <v>4</v>
      </c>
      <c r="B110" s="2" t="s">
        <v>12</v>
      </c>
      <c r="C110" s="4">
        <v>2.1</v>
      </c>
      <c r="D110" s="4">
        <v>700</v>
      </c>
      <c r="E110" s="4">
        <v>20</v>
      </c>
      <c r="F110" s="4">
        <v>1</v>
      </c>
      <c r="G110" s="2">
        <v>28</v>
      </c>
      <c r="H110" s="2">
        <v>37</v>
      </c>
      <c r="I110" s="2" t="s">
        <v>20</v>
      </c>
      <c r="J110" s="2" t="s">
        <v>27</v>
      </c>
      <c r="K110" s="2">
        <f>VLOOKUP(Tableau3[[#This Row],[essence]],Tableau7[],2,FALSE)</f>
        <v>-0.80379999999999996</v>
      </c>
      <c r="L110" s="3">
        <f>VLOOKUP(Tableau3[[#This Row],[essence]],Tableau7[],3,FALSE)</f>
        <v>0.88800000000000001</v>
      </c>
      <c r="M110" s="3">
        <f>VLOOKUP(Tableau3[[#This Row],[essence]],Tableau7[],4,FALSE)</f>
        <v>1.5212000000000001</v>
      </c>
      <c r="N110" s="3">
        <f>IF(Tableau3[[#This Row],[priorecol]]="C",1,0)</f>
        <v>1</v>
      </c>
      <c r="O110" s="3">
        <f>VLOOKUP(Tableau3[[#This Row],[essence]],Tableau7[],5,FALSE)</f>
        <v>1.8714999999999999</v>
      </c>
      <c r="P110" s="3">
        <f>IF(Tableau3[[#This Row],[priorecol]]="R",1,0)</f>
        <v>0</v>
      </c>
      <c r="Q110" s="3">
        <f>VLOOKUP(Tableau3[[#This Row],[essence]],Tableau7[],6,FALSE)</f>
        <v>0.51549999999999996</v>
      </c>
      <c r="R110" s="3">
        <f>IF(Tableau3[[#This Row],[priorecol]]="S",1,0)</f>
        <v>0</v>
      </c>
      <c r="S110" s="3">
        <f>VLOOKUP(Tableau3[[#This Row],[essence]],Tableau7[],7,FALSE)</f>
        <v>0</v>
      </c>
      <c r="T110" s="3">
        <f>VLOOKUP(Tableau3[[#This Row],[essence]],Tableau7[],15,FALSE)</f>
        <v>9.0500000000000008E-3</v>
      </c>
      <c r="U110" s="3">
        <f>VLOOKUP(Tableau3[[#This Row],[essence]],Tableau7[],20,FALSE)</f>
        <v>0</v>
      </c>
      <c r="V110" s="3">
        <f>IF(Tableau3[[#This Row],[sdom]]=1,1,0)</f>
        <v>0</v>
      </c>
      <c r="W110" s="3">
        <f>VLOOKUP(Tableau3[[#This Row],[essence]],Tableau7[],8,FALSE)</f>
        <v>0</v>
      </c>
      <c r="X110" s="3">
        <f>IF(Tableau3[[#This Row],[sdom]]="2EST",1,0)</f>
        <v>0</v>
      </c>
      <c r="Y110" s="3">
        <f>VLOOKUP(Tableau3[[#This Row],[essence]],Tableau7[],9,FALSE)</f>
        <v>-4.5199999999999997E-2</v>
      </c>
      <c r="Z110" s="3">
        <f>IF(Tableau3[[#This Row],[sdom]]="2OUEST",1,0)</f>
        <v>0</v>
      </c>
      <c r="AA110" s="3">
        <f>VLOOKUP(Tableau3[[#This Row],[essence]],Tableau7[],10,FALSE)</f>
        <v>1.15E-2</v>
      </c>
      <c r="AB110" s="3">
        <f>IF(Tableau3[[#This Row],[sdom]]="3EST",1,0)</f>
        <v>1</v>
      </c>
      <c r="AC110" s="3">
        <f>VLOOKUP(Tableau3[[#This Row],[essence]],Tableau7[],11,FALSE)</f>
        <v>0.1169</v>
      </c>
      <c r="AD110" s="3">
        <f>IF(Tableau3[[#This Row],[sdom]]="3OUEST",1,0)</f>
        <v>0</v>
      </c>
      <c r="AE110" s="3">
        <f>VLOOKUP(Tableau3[[#This Row],[essence]],Tableau7[],12,FALSE)</f>
        <v>-0.1686</v>
      </c>
      <c r="AF110" s="3">
        <f>IF(Tableau3[[#This Row],[sdom]]="4EST",1,0)</f>
        <v>0</v>
      </c>
      <c r="AG110" s="3">
        <f>VLOOKUP(Tableau3[[#This Row],[essence]],Tableau7[],13,FALSE)</f>
        <v>0.11940000000000001</v>
      </c>
      <c r="AH110" s="3">
        <f>IF(Tableau3[[#This Row],[sdom]]="4OUEST",1,0)</f>
        <v>0</v>
      </c>
      <c r="AI110" s="3">
        <f>VLOOKUP(Tableau3[[#This Row],[essence]],Tableau7[],14,FALSE)</f>
        <v>-0.13100000000000001</v>
      </c>
      <c r="AJ110" s="3">
        <f>IF(Tableau3[[#This Row],[sdom]]="5EST",1,0)</f>
        <v>0</v>
      </c>
      <c r="AK110" s="3">
        <f>VLOOKUP(Tableau3[[#This Row],[essence]],Tableau7[],17,FALSE)</f>
        <v>-1.8599999999999998E-2</v>
      </c>
      <c r="AL110" s="3">
        <f>IF(Tableau3[[#This Row],[priorecol]]="C",1,0)</f>
        <v>1</v>
      </c>
      <c r="AM110" s="3">
        <f>VLOOKUP(Tableau3[[#This Row],[essence]],Tableau7[],18,FALSE)</f>
        <v>-8.5500000000000003E-3</v>
      </c>
      <c r="AN110" s="3">
        <f>IF(Tableau3[[#This Row],[priorecol]]="R",1,0)</f>
        <v>0</v>
      </c>
      <c r="AO110" s="3">
        <f>VLOOKUP(Tableau3[[#This Row],[essence]],Tableau7[],19,FALSE)</f>
        <v>1.54E-2</v>
      </c>
      <c r="AP110" s="3">
        <f>IF(Tableau3[[#This Row],[priorecol]]="S",1,0)</f>
        <v>0</v>
      </c>
      <c r="AQ110" s="3">
        <f>VLOOKUP(Tableau3[[#This Row],[essence]],Tableau7[],21,FALSE)</f>
        <v>0</v>
      </c>
      <c r="AR110" s="3">
        <f>VLOOKUP(Tableau3[[#This Row],[essence]],Tableau7[],16,FALSE)</f>
        <v>0</v>
      </c>
      <c r="AS11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1.3417000000000003</v>
      </c>
      <c r="AT110" s="3">
        <f>Tableau3[[#This Row],[xb_]]+Tableau3[[#This Row],[b_intercept_C]]</f>
        <v>2.2297000000000002</v>
      </c>
      <c r="AU110" s="3">
        <f>Tableau3[[#This Row],[xb_]]+Tableau3[[#This Row],[b_intercept_B]]</f>
        <v>0.53790000000000038</v>
      </c>
      <c r="AV110" s="3">
        <f>1/(1+EXP(-Tableau3[[#This Row],[xb_c]]))</f>
        <v>0.90288505710346356</v>
      </c>
      <c r="AW110" s="3">
        <f>1/(1+EXP(-Tableau3[[#This Row],[xb_b]]))</f>
        <v>0.63132376913306287</v>
      </c>
      <c r="AX110" s="3" t="str">
        <f t="shared" si="3"/>
        <v>NA</v>
      </c>
      <c r="AY110" s="3">
        <f>Tableau3[[#This Row],[prob_b]]</f>
        <v>0.63132376913306287</v>
      </c>
      <c r="AZ110" s="3">
        <f>Tableau3[[#This Row],[prob_c]]-Tableau3[[#This Row],[prob_b]]</f>
        <v>0.27156128797040069</v>
      </c>
      <c r="BA110" s="3">
        <f>1-Tableau3[[#This Row],[prob_c]]</f>
        <v>9.7114942896536438E-2</v>
      </c>
    </row>
    <row r="111" spans="1:53" x14ac:dyDescent="0.25">
      <c r="A111" s="3">
        <v>4</v>
      </c>
      <c r="B111" s="3" t="s">
        <v>12</v>
      </c>
      <c r="C111" s="1">
        <v>2.1</v>
      </c>
      <c r="D111" s="1">
        <v>700</v>
      </c>
      <c r="E111" s="1">
        <v>20</v>
      </c>
      <c r="F111" s="1">
        <v>1</v>
      </c>
      <c r="G111" s="3">
        <v>34</v>
      </c>
      <c r="H111" s="3">
        <v>37</v>
      </c>
      <c r="I111" s="3" t="s">
        <v>22</v>
      </c>
      <c r="J111" s="3" t="s">
        <v>27</v>
      </c>
      <c r="K111" s="3">
        <f>VLOOKUP(Tableau3[[#This Row],[essence]],Tableau7[],2,FALSE)</f>
        <v>-1.8420000000000001</v>
      </c>
      <c r="L111" s="3">
        <f>VLOOKUP(Tableau3[[#This Row],[essence]],Tableau7[],3,FALSE)</f>
        <v>0.2177</v>
      </c>
      <c r="M111" s="3">
        <f>VLOOKUP(Tableau3[[#This Row],[essence]],Tableau7[],4,FALSE)</f>
        <v>1.9473</v>
      </c>
      <c r="N111" s="3">
        <f>IF(Tableau3[[#This Row],[priorecol]]="C",1,0)</f>
        <v>1</v>
      </c>
      <c r="O111" s="3">
        <f>VLOOKUP(Tableau3[[#This Row],[essence]],Tableau7[],5,FALSE)</f>
        <v>3.0630999999999999</v>
      </c>
      <c r="P111" s="3">
        <f>IF(Tableau3[[#This Row],[priorecol]]="R",1,0)</f>
        <v>0</v>
      </c>
      <c r="Q111" s="3">
        <f>VLOOKUP(Tableau3[[#This Row],[essence]],Tableau7[],6,FALSE)</f>
        <v>1.5014000000000001</v>
      </c>
      <c r="R111" s="3">
        <f>IF(Tableau3[[#This Row],[priorecol]]="S",1,0)</f>
        <v>0</v>
      </c>
      <c r="S111" s="3">
        <f>VLOOKUP(Tableau3[[#This Row],[essence]],Tableau7[],7,FALSE)</f>
        <v>0</v>
      </c>
      <c r="T111" s="3">
        <f>VLOOKUP(Tableau3[[#This Row],[essence]],Tableau7[],15,FALSE)</f>
        <v>0</v>
      </c>
      <c r="U111" s="3">
        <f>VLOOKUP(Tableau3[[#This Row],[essence]],Tableau7[],20,FALSE)</f>
        <v>0.49399999999999999</v>
      </c>
      <c r="V111" s="3">
        <f>IF(Tableau3[[#This Row],[sdom]]=1,1,0)</f>
        <v>0</v>
      </c>
      <c r="W111" s="3">
        <f>VLOOKUP(Tableau3[[#This Row],[essence]],Tableau7[],8,FALSE)</f>
        <v>0.42420000000000002</v>
      </c>
      <c r="X111" s="3">
        <f>IF(Tableau3[[#This Row],[sdom]]="2EST",1,0)</f>
        <v>0</v>
      </c>
      <c r="Y111" s="3">
        <f>VLOOKUP(Tableau3[[#This Row],[essence]],Tableau7[],9,FALSE)</f>
        <v>7.4300000000000005E-2</v>
      </c>
      <c r="Z111" s="3">
        <f>IF(Tableau3[[#This Row],[sdom]]="2OUEST",1,0)</f>
        <v>0</v>
      </c>
      <c r="AA111" s="3">
        <f>VLOOKUP(Tableau3[[#This Row],[essence]],Tableau7[],10,FALSE)</f>
        <v>-6.7000000000000004E-2</v>
      </c>
      <c r="AB111" s="3">
        <f>IF(Tableau3[[#This Row],[sdom]]="3EST",1,0)</f>
        <v>1</v>
      </c>
      <c r="AC111" s="3">
        <f>VLOOKUP(Tableau3[[#This Row],[essence]],Tableau7[],11,FALSE)</f>
        <v>-8.3400000000000002E-2</v>
      </c>
      <c r="AD111" s="3">
        <f>IF(Tableau3[[#This Row],[sdom]]="3OUEST",1,0)</f>
        <v>0</v>
      </c>
      <c r="AE111" s="3">
        <f>VLOOKUP(Tableau3[[#This Row],[essence]],Tableau7[],12,FALSE)</f>
        <v>-0.26840000000000003</v>
      </c>
      <c r="AF111" s="3">
        <f>IF(Tableau3[[#This Row],[sdom]]="4EST",1,0)</f>
        <v>0</v>
      </c>
      <c r="AG111" s="3">
        <f>VLOOKUP(Tableau3[[#This Row],[essence]],Tableau7[],13,FALSE)</f>
        <v>0</v>
      </c>
      <c r="AH111" s="3">
        <f>IF(Tableau3[[#This Row],[sdom]]="4OUEST",1,0)</f>
        <v>0</v>
      </c>
      <c r="AI111" s="3">
        <f>VLOOKUP(Tableau3[[#This Row],[essence]],Tableau7[],14,FALSE)</f>
        <v>0</v>
      </c>
      <c r="AJ111" s="3">
        <f>IF(Tableau3[[#This Row],[sdom]]="5EST",1,0)</f>
        <v>0</v>
      </c>
      <c r="AK111" s="3">
        <f>VLOOKUP(Tableau3[[#This Row],[essence]],Tableau7[],17,FALSE)</f>
        <v>0</v>
      </c>
      <c r="AL111" s="3">
        <f>IF(Tableau3[[#This Row],[priorecol]]="C",1,0)</f>
        <v>1</v>
      </c>
      <c r="AM111" s="3">
        <f>VLOOKUP(Tableau3[[#This Row],[essence]],Tableau7[],18,FALSE)</f>
        <v>0</v>
      </c>
      <c r="AN111" s="3">
        <f>IF(Tableau3[[#This Row],[priorecol]]="R",1,0)</f>
        <v>0</v>
      </c>
      <c r="AO111" s="3">
        <f>VLOOKUP(Tableau3[[#This Row],[essence]],Tableau7[],19,FALSE)</f>
        <v>0</v>
      </c>
      <c r="AP111" s="3">
        <f>IF(Tableau3[[#This Row],[priorecol]]="S",1,0)</f>
        <v>0</v>
      </c>
      <c r="AQ111" s="3">
        <f>VLOOKUP(Tableau3[[#This Row],[essence]],Tableau7[],21,FALSE)</f>
        <v>0</v>
      </c>
      <c r="AR111" s="3">
        <f>VLOOKUP(Tableau3[[#This Row],[essence]],Tableau7[],16,FALSE)</f>
        <v>0</v>
      </c>
      <c r="AS11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1.8803000000000001</v>
      </c>
      <c r="AT111" s="3">
        <f>Tableau3[[#This Row],[xb_]]+Tableau3[[#This Row],[b_intercept_C]]</f>
        <v>2.0979999999999999</v>
      </c>
      <c r="AU111" s="3">
        <f>Tableau3[[#This Row],[xb_]]+Tableau3[[#This Row],[b_intercept_B]]</f>
        <v>3.8300000000000001E-2</v>
      </c>
      <c r="AV111" s="3">
        <f>1/(1+EXP(-Tableau3[[#This Row],[xb_c]]))</f>
        <v>0.89070863736589956</v>
      </c>
      <c r="AW111" s="3">
        <f>1/(1+EXP(-Tableau3[[#This Row],[xb_b]]))</f>
        <v>0.50957382971568843</v>
      </c>
      <c r="AX111" s="3" t="str">
        <f t="shared" si="3"/>
        <v>NA</v>
      </c>
      <c r="AY111" s="3">
        <f>Tableau3[[#This Row],[prob_b]]</f>
        <v>0.50957382971568843</v>
      </c>
      <c r="AZ111" s="3">
        <f>Tableau3[[#This Row],[prob_c]]-Tableau3[[#This Row],[prob_b]]</f>
        <v>0.38113480765021113</v>
      </c>
      <c r="BA111" s="3">
        <f>1-Tableau3[[#This Row],[prob_c]]</f>
        <v>0.10929136263410044</v>
      </c>
    </row>
    <row r="112" spans="1:53" x14ac:dyDescent="0.25">
      <c r="A112" s="2">
        <v>4</v>
      </c>
      <c r="B112" s="2" t="s">
        <v>12</v>
      </c>
      <c r="C112" s="4">
        <v>2.1</v>
      </c>
      <c r="D112" s="4">
        <v>700</v>
      </c>
      <c r="E112" s="4">
        <v>20</v>
      </c>
      <c r="F112" s="4">
        <v>1</v>
      </c>
      <c r="G112" s="2">
        <v>40</v>
      </c>
      <c r="H112" s="2">
        <v>37</v>
      </c>
      <c r="I112" s="2" t="s">
        <v>24</v>
      </c>
      <c r="J112" s="2" t="s">
        <v>27</v>
      </c>
      <c r="K112" s="2">
        <f>VLOOKUP(Tableau3[[#This Row],[essence]],Tableau7[],2,FALSE)</f>
        <v>-0.84530000000000005</v>
      </c>
      <c r="L112" s="3">
        <f>VLOOKUP(Tableau3[[#This Row],[essence]],Tableau7[],3,FALSE)</f>
        <v>0.93089999999999995</v>
      </c>
      <c r="M112" s="3">
        <f>VLOOKUP(Tableau3[[#This Row],[essence]],Tableau7[],4,FALSE)</f>
        <v>1.4276</v>
      </c>
      <c r="N112" s="3">
        <f>IF(Tableau3[[#This Row],[priorecol]]="C",1,0)</f>
        <v>1</v>
      </c>
      <c r="O112" s="3">
        <f>VLOOKUP(Tableau3[[#This Row],[essence]],Tableau7[],5,FALSE)</f>
        <v>2.468</v>
      </c>
      <c r="P112" s="3">
        <f>IF(Tableau3[[#This Row],[priorecol]]="R",1,0)</f>
        <v>0</v>
      </c>
      <c r="Q112" s="3">
        <f>VLOOKUP(Tableau3[[#This Row],[essence]],Tableau7[],6,FALSE)</f>
        <v>0.86019999999999996</v>
      </c>
      <c r="R112" s="3">
        <f>IF(Tableau3[[#This Row],[priorecol]]="S",1,0)</f>
        <v>0</v>
      </c>
      <c r="S112" s="3">
        <f>VLOOKUP(Tableau3[[#This Row],[essence]],Tableau7[],7,FALSE)</f>
        <v>0</v>
      </c>
      <c r="T112" s="3">
        <f>VLOOKUP(Tableau3[[#This Row],[essence]],Tableau7[],15,FALSE)</f>
        <v>1.7299999999999999E-2</v>
      </c>
      <c r="U112" s="3">
        <f>VLOOKUP(Tableau3[[#This Row],[essence]],Tableau7[],20,FALSE)</f>
        <v>-0.28799999999999998</v>
      </c>
      <c r="V112" s="3">
        <f>IF(Tableau3[[#This Row],[sdom]]=1,1,0)</f>
        <v>0</v>
      </c>
      <c r="W112" s="3">
        <f>VLOOKUP(Tableau3[[#This Row],[essence]],Tableau7[],8,FALSE)</f>
        <v>-0.18859999999999999</v>
      </c>
      <c r="X112" s="3">
        <f>IF(Tableau3[[#This Row],[sdom]]="2EST",1,0)</f>
        <v>0</v>
      </c>
      <c r="Y112" s="3">
        <f>VLOOKUP(Tableau3[[#This Row],[essence]],Tableau7[],9,FALSE)</f>
        <v>1.2699999999999999E-2</v>
      </c>
      <c r="Z112" s="3">
        <f>IF(Tableau3[[#This Row],[sdom]]="2OUEST",1,0)</f>
        <v>0</v>
      </c>
      <c r="AA112" s="3">
        <f>VLOOKUP(Tableau3[[#This Row],[essence]],Tableau7[],10,FALSE)</f>
        <v>0</v>
      </c>
      <c r="AB112" s="3">
        <f>IF(Tableau3[[#This Row],[sdom]]="3EST",1,0)</f>
        <v>1</v>
      </c>
      <c r="AC112" s="3">
        <f>VLOOKUP(Tableau3[[#This Row],[essence]],Tableau7[],11,FALSE)</f>
        <v>0.30009999999999998</v>
      </c>
      <c r="AD112" s="3">
        <f>IF(Tableau3[[#This Row],[sdom]]="3OUEST",1,0)</f>
        <v>0</v>
      </c>
      <c r="AE112" s="3">
        <f>VLOOKUP(Tableau3[[#This Row],[essence]],Tableau7[],12,FALSE)</f>
        <v>0</v>
      </c>
      <c r="AF112" s="3">
        <f>IF(Tableau3[[#This Row],[sdom]]="4EST",1,0)</f>
        <v>0</v>
      </c>
      <c r="AG112" s="3">
        <f>VLOOKUP(Tableau3[[#This Row],[essence]],Tableau7[],13,FALSE)</f>
        <v>0</v>
      </c>
      <c r="AH112" s="3">
        <f>IF(Tableau3[[#This Row],[sdom]]="4OUEST",1,0)</f>
        <v>0</v>
      </c>
      <c r="AI112" s="3">
        <f>VLOOKUP(Tableau3[[#This Row],[essence]],Tableau7[],14,FALSE)</f>
        <v>0</v>
      </c>
      <c r="AJ112" s="3">
        <f>IF(Tableau3[[#This Row],[sdom]]="5EST",1,0)</f>
        <v>0</v>
      </c>
      <c r="AK112" s="3">
        <f>VLOOKUP(Tableau3[[#This Row],[essence]],Tableau7[],17,FALSE)</f>
        <v>0</v>
      </c>
      <c r="AL112" s="3">
        <f>IF(Tableau3[[#This Row],[priorecol]]="C",1,0)</f>
        <v>1</v>
      </c>
      <c r="AM112" s="3">
        <f>VLOOKUP(Tableau3[[#This Row],[essence]],Tableau7[],18,FALSE)</f>
        <v>0</v>
      </c>
      <c r="AN112" s="3">
        <f>IF(Tableau3[[#This Row],[priorecol]]="R",1,0)</f>
        <v>0</v>
      </c>
      <c r="AO112" s="3">
        <f>VLOOKUP(Tableau3[[#This Row],[essence]],Tableau7[],19,FALSE)</f>
        <v>0</v>
      </c>
      <c r="AP112" s="3">
        <f>IF(Tableau3[[#This Row],[priorecol]]="S",1,0)</f>
        <v>0</v>
      </c>
      <c r="AQ112" s="3">
        <f>VLOOKUP(Tableau3[[#This Row],[essence]],Tableau7[],21,FALSE)</f>
        <v>0</v>
      </c>
      <c r="AR112" s="3">
        <f>VLOOKUP(Tableau3[[#This Row],[essence]],Tableau7[],16,FALSE)</f>
        <v>0</v>
      </c>
      <c r="AS11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1.7736000000000001</v>
      </c>
      <c r="AT112" s="3">
        <f>Tableau3[[#This Row],[xb_]]+Tableau3[[#This Row],[b_intercept_C]]</f>
        <v>2.7044999999999999</v>
      </c>
      <c r="AU112" s="3">
        <f>Tableau3[[#This Row],[xb_]]+Tableau3[[#This Row],[b_intercept_B]]</f>
        <v>0.92830000000000001</v>
      </c>
      <c r="AV112" s="3">
        <f>1/(1+EXP(-Tableau3[[#This Row],[xb_c]]))</f>
        <v>0.93729165702197736</v>
      </c>
      <c r="AW112" s="3">
        <f>1/(1+EXP(-Tableau3[[#This Row],[xb_b]]))</f>
        <v>0.71673026510916005</v>
      </c>
      <c r="AX112" s="3" t="str">
        <f t="shared" si="3"/>
        <v>NA</v>
      </c>
      <c r="AY112" s="3">
        <f>Tableau3[[#This Row],[prob_b]]</f>
        <v>0.71673026510916005</v>
      </c>
      <c r="AZ112" s="3">
        <f>Tableau3[[#This Row],[prob_c]]-Tableau3[[#This Row],[prob_b]]</f>
        <v>0.22056139191281732</v>
      </c>
      <c r="BA112" s="3">
        <f>1-Tableau3[[#This Row],[prob_c]]</f>
        <v>6.2708342978022635E-2</v>
      </c>
    </row>
    <row r="113" spans="1:53" x14ac:dyDescent="0.25">
      <c r="A113" s="3">
        <v>4</v>
      </c>
      <c r="B113" s="3" t="s">
        <v>12</v>
      </c>
      <c r="C113" s="1">
        <v>2.1</v>
      </c>
      <c r="D113" s="1">
        <v>700</v>
      </c>
      <c r="E113" s="1">
        <v>20</v>
      </c>
      <c r="F113" s="1">
        <v>1</v>
      </c>
      <c r="G113" s="3">
        <v>46</v>
      </c>
      <c r="H113" s="3">
        <v>37</v>
      </c>
      <c r="I113" s="3" t="s">
        <v>26</v>
      </c>
      <c r="J113" s="3" t="s">
        <v>27</v>
      </c>
      <c r="K113" s="3">
        <f>VLOOKUP(Tableau3[[#This Row],[essence]],Tableau7[],2,FALSE)</f>
        <v>-1.7838000000000001</v>
      </c>
      <c r="L113" s="3">
        <f>VLOOKUP(Tableau3[[#This Row],[essence]],Tableau7[],3,FALSE)</f>
        <v>-7.3400000000000007E-2</v>
      </c>
      <c r="M113" s="3">
        <f>VLOOKUP(Tableau3[[#This Row],[essence]],Tableau7[],4,FALSE)</f>
        <v>1.5893999999999999</v>
      </c>
      <c r="N113" s="3">
        <f>IF(Tableau3[[#This Row],[priorecol]]="C",1,0)</f>
        <v>1</v>
      </c>
      <c r="O113" s="3">
        <f>VLOOKUP(Tableau3[[#This Row],[essence]],Tableau7[],5,FALSE)</f>
        <v>2.1800000000000002</v>
      </c>
      <c r="P113" s="3">
        <f>IF(Tableau3[[#This Row],[priorecol]]="R",1,0)</f>
        <v>0</v>
      </c>
      <c r="Q113" s="3">
        <f>VLOOKUP(Tableau3[[#This Row],[essence]],Tableau7[],6,FALSE)</f>
        <v>0.91710000000000003</v>
      </c>
      <c r="R113" s="3">
        <f>IF(Tableau3[[#This Row],[priorecol]]="S",1,0)</f>
        <v>0</v>
      </c>
      <c r="S113" s="3">
        <f>VLOOKUP(Tableau3[[#This Row],[essence]],Tableau7[],7,FALSE)</f>
        <v>0</v>
      </c>
      <c r="T113" s="3">
        <f>VLOOKUP(Tableau3[[#This Row],[essence]],Tableau7[],15,FALSE)</f>
        <v>0</v>
      </c>
      <c r="U113" s="3">
        <f>VLOOKUP(Tableau3[[#This Row],[essence]],Tableau7[],20,FALSE)</f>
        <v>0</v>
      </c>
      <c r="V113" s="3">
        <f>IF(Tableau3[[#This Row],[sdom]]=1,1,0)</f>
        <v>0</v>
      </c>
      <c r="W113" s="3">
        <f>VLOOKUP(Tableau3[[#This Row],[essence]],Tableau7[],8,FALSE)</f>
        <v>0</v>
      </c>
      <c r="X113" s="3">
        <f>IF(Tableau3[[#This Row],[sdom]]="2EST",1,0)</f>
        <v>0</v>
      </c>
      <c r="Y113" s="3">
        <f>VLOOKUP(Tableau3[[#This Row],[essence]],Tableau7[],9,FALSE)</f>
        <v>-0.22550000000000001</v>
      </c>
      <c r="Z113" s="3">
        <f>IF(Tableau3[[#This Row],[sdom]]="2OUEST",1,0)</f>
        <v>0</v>
      </c>
      <c r="AA113" s="3">
        <f>VLOOKUP(Tableau3[[#This Row],[essence]],Tableau7[],10,FALSE)</f>
        <v>0</v>
      </c>
      <c r="AB113" s="3">
        <f>IF(Tableau3[[#This Row],[sdom]]="3EST",1,0)</f>
        <v>1</v>
      </c>
      <c r="AC113" s="3">
        <f>VLOOKUP(Tableau3[[#This Row],[essence]],Tableau7[],11,FALSE)</f>
        <v>0.3513</v>
      </c>
      <c r="AD113" s="3">
        <f>IF(Tableau3[[#This Row],[sdom]]="3OUEST",1,0)</f>
        <v>0</v>
      </c>
      <c r="AE113" s="3">
        <f>VLOOKUP(Tableau3[[#This Row],[essence]],Tableau7[],12,FALSE)</f>
        <v>-0.42259999999999998</v>
      </c>
      <c r="AF113" s="3">
        <f>IF(Tableau3[[#This Row],[sdom]]="4EST",1,0)</f>
        <v>0</v>
      </c>
      <c r="AG113" s="3">
        <f>VLOOKUP(Tableau3[[#This Row],[essence]],Tableau7[],13,FALSE)</f>
        <v>0.25390000000000001</v>
      </c>
      <c r="AH113" s="3">
        <f>IF(Tableau3[[#This Row],[sdom]]="4OUEST",1,0)</f>
        <v>0</v>
      </c>
      <c r="AI113" s="3">
        <f>VLOOKUP(Tableau3[[#This Row],[essence]],Tableau7[],14,FALSE)</f>
        <v>4.6199999999999998E-2</v>
      </c>
      <c r="AJ113" s="3">
        <f>IF(Tableau3[[#This Row],[sdom]]="5EST",1,0)</f>
        <v>0</v>
      </c>
      <c r="AK113" s="3">
        <f>VLOOKUP(Tableau3[[#This Row],[essence]],Tableau7[],17,FALSE)</f>
        <v>0</v>
      </c>
      <c r="AL113" s="3">
        <f>IF(Tableau3[[#This Row],[priorecol]]="C",1,0)</f>
        <v>1</v>
      </c>
      <c r="AM113" s="3">
        <f>VLOOKUP(Tableau3[[#This Row],[essence]],Tableau7[],18,FALSE)</f>
        <v>0</v>
      </c>
      <c r="AN113" s="3">
        <f>IF(Tableau3[[#This Row],[priorecol]]="R",1,0)</f>
        <v>0</v>
      </c>
      <c r="AO113" s="3">
        <f>VLOOKUP(Tableau3[[#This Row],[essence]],Tableau7[],19,FALSE)</f>
        <v>0</v>
      </c>
      <c r="AP113" s="3">
        <f>IF(Tableau3[[#This Row],[priorecol]]="S",1,0)</f>
        <v>0</v>
      </c>
      <c r="AQ113" s="3">
        <f>VLOOKUP(Tableau3[[#This Row],[essence]],Tableau7[],21,FALSE)</f>
        <v>0</v>
      </c>
      <c r="AR113" s="3">
        <f>VLOOKUP(Tableau3[[#This Row],[essence]],Tableau7[],16,FALSE)</f>
        <v>0.24340000000000001</v>
      </c>
      <c r="AS11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2.1005400000000001</v>
      </c>
      <c r="AT113" s="3">
        <f>Tableau3[[#This Row],[xb_]]+Tableau3[[#This Row],[b_intercept_C]]</f>
        <v>2.0271400000000002</v>
      </c>
      <c r="AU113" s="3">
        <f>Tableau3[[#This Row],[xb_]]+Tableau3[[#This Row],[b_intercept_B]]</f>
        <v>0.31674000000000002</v>
      </c>
      <c r="AV113" s="3">
        <f>1/(1+EXP(-Tableau3[[#This Row],[xb_c]]))</f>
        <v>0.88361728441726106</v>
      </c>
      <c r="AW113" s="3">
        <f>1/(1+EXP(-Tableau3[[#This Row],[xb_b]]))</f>
        <v>0.57852956036614611</v>
      </c>
      <c r="AX113" s="3" t="str">
        <f t="shared" si="3"/>
        <v>NA</v>
      </c>
      <c r="AY113" s="3">
        <f>Tableau3[[#This Row],[prob_b]]</f>
        <v>0.57852956036614611</v>
      </c>
      <c r="AZ113" s="3">
        <f>Tableau3[[#This Row],[prob_c]]-Tableau3[[#This Row],[prob_b]]</f>
        <v>0.30508772405111495</v>
      </c>
      <c r="BA113" s="3">
        <f>1-Tableau3[[#This Row],[prob_c]]</f>
        <v>0.11638271558273894</v>
      </c>
    </row>
    <row r="114" spans="1:53" x14ac:dyDescent="0.25">
      <c r="A114" s="2">
        <v>5</v>
      </c>
      <c r="B114" s="2" t="s">
        <v>13</v>
      </c>
      <c r="C114" s="4">
        <v>2.1</v>
      </c>
      <c r="D114" s="4">
        <v>700</v>
      </c>
      <c r="E114" s="4">
        <v>20</v>
      </c>
      <c r="F114" s="4">
        <v>1</v>
      </c>
      <c r="G114" s="2">
        <v>28</v>
      </c>
      <c r="H114" s="2">
        <v>37</v>
      </c>
      <c r="I114" s="2" t="s">
        <v>20</v>
      </c>
      <c r="J114" s="2" t="s">
        <v>27</v>
      </c>
      <c r="K114" s="2">
        <f>VLOOKUP(Tableau3[[#This Row],[essence]],Tableau7[],2,FALSE)</f>
        <v>-0.80379999999999996</v>
      </c>
      <c r="L114" s="3">
        <f>VLOOKUP(Tableau3[[#This Row],[essence]],Tableau7[],3,FALSE)</f>
        <v>0.88800000000000001</v>
      </c>
      <c r="M114" s="3">
        <f>VLOOKUP(Tableau3[[#This Row],[essence]],Tableau7[],4,FALSE)</f>
        <v>1.5212000000000001</v>
      </c>
      <c r="N114" s="3">
        <f>IF(Tableau3[[#This Row],[priorecol]]="C",1,0)</f>
        <v>1</v>
      </c>
      <c r="O114" s="3">
        <f>VLOOKUP(Tableau3[[#This Row],[essence]],Tableau7[],5,FALSE)</f>
        <v>1.8714999999999999</v>
      </c>
      <c r="P114" s="3">
        <f>IF(Tableau3[[#This Row],[priorecol]]="R",1,0)</f>
        <v>0</v>
      </c>
      <c r="Q114" s="3">
        <f>VLOOKUP(Tableau3[[#This Row],[essence]],Tableau7[],6,FALSE)</f>
        <v>0.51549999999999996</v>
      </c>
      <c r="R114" s="3">
        <f>IF(Tableau3[[#This Row],[priorecol]]="S",1,0)</f>
        <v>0</v>
      </c>
      <c r="S114" s="3">
        <f>VLOOKUP(Tableau3[[#This Row],[essence]],Tableau7[],7,FALSE)</f>
        <v>0</v>
      </c>
      <c r="T114" s="3">
        <f>VLOOKUP(Tableau3[[#This Row],[essence]],Tableau7[],15,FALSE)</f>
        <v>9.0500000000000008E-3</v>
      </c>
      <c r="U114" s="3">
        <f>VLOOKUP(Tableau3[[#This Row],[essence]],Tableau7[],20,FALSE)</f>
        <v>0</v>
      </c>
      <c r="V114" s="3">
        <f>IF(Tableau3[[#This Row],[sdom]]=1,1,0)</f>
        <v>0</v>
      </c>
      <c r="W114" s="3">
        <f>VLOOKUP(Tableau3[[#This Row],[essence]],Tableau7[],8,FALSE)</f>
        <v>0</v>
      </c>
      <c r="X114" s="3">
        <f>IF(Tableau3[[#This Row],[sdom]]="2EST",1,0)</f>
        <v>0</v>
      </c>
      <c r="Y114" s="3">
        <f>VLOOKUP(Tableau3[[#This Row],[essence]],Tableau7[],9,FALSE)</f>
        <v>-4.5199999999999997E-2</v>
      </c>
      <c r="Z114" s="3">
        <f>IF(Tableau3[[#This Row],[sdom]]="2OUEST",1,0)</f>
        <v>0</v>
      </c>
      <c r="AA114" s="3">
        <f>VLOOKUP(Tableau3[[#This Row],[essence]],Tableau7[],10,FALSE)</f>
        <v>1.15E-2</v>
      </c>
      <c r="AB114" s="3">
        <f>IF(Tableau3[[#This Row],[sdom]]="3EST",1,0)</f>
        <v>0</v>
      </c>
      <c r="AC114" s="3">
        <f>VLOOKUP(Tableau3[[#This Row],[essence]],Tableau7[],11,FALSE)</f>
        <v>0.1169</v>
      </c>
      <c r="AD114" s="3">
        <f>IF(Tableau3[[#This Row],[sdom]]="3OUEST",1,0)</f>
        <v>1</v>
      </c>
      <c r="AE114" s="3">
        <f>VLOOKUP(Tableau3[[#This Row],[essence]],Tableau7[],12,FALSE)</f>
        <v>-0.1686</v>
      </c>
      <c r="AF114" s="3">
        <f>IF(Tableau3[[#This Row],[sdom]]="4EST",1,0)</f>
        <v>0</v>
      </c>
      <c r="AG114" s="3">
        <f>VLOOKUP(Tableau3[[#This Row],[essence]],Tableau7[],13,FALSE)</f>
        <v>0.11940000000000001</v>
      </c>
      <c r="AH114" s="3">
        <f>IF(Tableau3[[#This Row],[sdom]]="4OUEST",1,0)</f>
        <v>0</v>
      </c>
      <c r="AI114" s="3">
        <f>VLOOKUP(Tableau3[[#This Row],[essence]],Tableau7[],14,FALSE)</f>
        <v>-0.13100000000000001</v>
      </c>
      <c r="AJ114" s="3">
        <f>IF(Tableau3[[#This Row],[sdom]]="5EST",1,0)</f>
        <v>0</v>
      </c>
      <c r="AK114" s="3">
        <f>VLOOKUP(Tableau3[[#This Row],[essence]],Tableau7[],17,FALSE)</f>
        <v>-1.8599999999999998E-2</v>
      </c>
      <c r="AL114" s="3">
        <f>IF(Tableau3[[#This Row],[priorecol]]="C",1,0)</f>
        <v>1</v>
      </c>
      <c r="AM114" s="3">
        <f>VLOOKUP(Tableau3[[#This Row],[essence]],Tableau7[],18,FALSE)</f>
        <v>-8.5500000000000003E-3</v>
      </c>
      <c r="AN114" s="3">
        <f>IF(Tableau3[[#This Row],[priorecol]]="R",1,0)</f>
        <v>0</v>
      </c>
      <c r="AO114" s="3">
        <f>VLOOKUP(Tableau3[[#This Row],[essence]],Tableau7[],19,FALSE)</f>
        <v>1.54E-2</v>
      </c>
      <c r="AP114" s="3">
        <f>IF(Tableau3[[#This Row],[priorecol]]="S",1,0)</f>
        <v>0</v>
      </c>
      <c r="AQ114" s="3">
        <f>VLOOKUP(Tableau3[[#This Row],[essence]],Tableau7[],21,FALSE)</f>
        <v>0</v>
      </c>
      <c r="AR114" s="3">
        <f>VLOOKUP(Tableau3[[#This Row],[essence]],Tableau7[],16,FALSE)</f>
        <v>0</v>
      </c>
      <c r="AS11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1.4471000000000003</v>
      </c>
      <c r="AT114" s="3">
        <f>Tableau3[[#This Row],[xb_]]+Tableau3[[#This Row],[b_intercept_C]]</f>
        <v>2.3351000000000002</v>
      </c>
      <c r="AU114" s="3">
        <f>Tableau3[[#This Row],[xb_]]+Tableau3[[#This Row],[b_intercept_B]]</f>
        <v>0.64330000000000032</v>
      </c>
      <c r="AV114" s="3">
        <f>1/(1+EXP(-Tableau3[[#This Row],[xb_c]]))</f>
        <v>0.91174258644864126</v>
      </c>
      <c r="AW114" s="3">
        <f>1/(1+EXP(-Tableau3[[#This Row],[xb_b]]))</f>
        <v>0.65549904867721576</v>
      </c>
      <c r="AX114" s="3" t="str">
        <f t="shared" si="3"/>
        <v>NA</v>
      </c>
      <c r="AY114" s="3">
        <f>Tableau3[[#This Row],[prob_b]]</f>
        <v>0.65549904867721576</v>
      </c>
      <c r="AZ114" s="3">
        <f>Tableau3[[#This Row],[prob_c]]-Tableau3[[#This Row],[prob_b]]</f>
        <v>0.2562435377714255</v>
      </c>
      <c r="BA114" s="3">
        <f>1-Tableau3[[#This Row],[prob_c]]</f>
        <v>8.8257413551358743E-2</v>
      </c>
    </row>
    <row r="115" spans="1:53" x14ac:dyDescent="0.25">
      <c r="A115" s="3">
        <v>5</v>
      </c>
      <c r="B115" s="3" t="s">
        <v>13</v>
      </c>
      <c r="C115" s="1">
        <v>2.1</v>
      </c>
      <c r="D115" s="1">
        <v>700</v>
      </c>
      <c r="E115" s="1">
        <v>20</v>
      </c>
      <c r="F115" s="1">
        <v>1</v>
      </c>
      <c r="G115" s="3">
        <v>34</v>
      </c>
      <c r="H115" s="3">
        <v>37</v>
      </c>
      <c r="I115" s="3" t="s">
        <v>22</v>
      </c>
      <c r="J115" s="3" t="s">
        <v>27</v>
      </c>
      <c r="K115" s="3">
        <f>VLOOKUP(Tableau3[[#This Row],[essence]],Tableau7[],2,FALSE)</f>
        <v>-1.8420000000000001</v>
      </c>
      <c r="L115" s="3">
        <f>VLOOKUP(Tableau3[[#This Row],[essence]],Tableau7[],3,FALSE)</f>
        <v>0.2177</v>
      </c>
      <c r="M115" s="3">
        <f>VLOOKUP(Tableau3[[#This Row],[essence]],Tableau7[],4,FALSE)</f>
        <v>1.9473</v>
      </c>
      <c r="N115" s="3">
        <f>IF(Tableau3[[#This Row],[priorecol]]="C",1,0)</f>
        <v>1</v>
      </c>
      <c r="O115" s="3">
        <f>VLOOKUP(Tableau3[[#This Row],[essence]],Tableau7[],5,FALSE)</f>
        <v>3.0630999999999999</v>
      </c>
      <c r="P115" s="3">
        <f>IF(Tableau3[[#This Row],[priorecol]]="R",1,0)</f>
        <v>0</v>
      </c>
      <c r="Q115" s="3">
        <f>VLOOKUP(Tableau3[[#This Row],[essence]],Tableau7[],6,FALSE)</f>
        <v>1.5014000000000001</v>
      </c>
      <c r="R115" s="3">
        <f>IF(Tableau3[[#This Row],[priorecol]]="S",1,0)</f>
        <v>0</v>
      </c>
      <c r="S115" s="3">
        <f>VLOOKUP(Tableau3[[#This Row],[essence]],Tableau7[],7,FALSE)</f>
        <v>0</v>
      </c>
      <c r="T115" s="3">
        <f>VLOOKUP(Tableau3[[#This Row],[essence]],Tableau7[],15,FALSE)</f>
        <v>0</v>
      </c>
      <c r="U115" s="3">
        <f>VLOOKUP(Tableau3[[#This Row],[essence]],Tableau7[],20,FALSE)</f>
        <v>0.49399999999999999</v>
      </c>
      <c r="V115" s="3">
        <f>IF(Tableau3[[#This Row],[sdom]]=1,1,0)</f>
        <v>0</v>
      </c>
      <c r="W115" s="3">
        <f>VLOOKUP(Tableau3[[#This Row],[essence]],Tableau7[],8,FALSE)</f>
        <v>0.42420000000000002</v>
      </c>
      <c r="X115" s="3">
        <f>IF(Tableau3[[#This Row],[sdom]]="2EST",1,0)</f>
        <v>0</v>
      </c>
      <c r="Y115" s="3">
        <f>VLOOKUP(Tableau3[[#This Row],[essence]],Tableau7[],9,FALSE)</f>
        <v>7.4300000000000005E-2</v>
      </c>
      <c r="Z115" s="3">
        <f>IF(Tableau3[[#This Row],[sdom]]="2OUEST",1,0)</f>
        <v>0</v>
      </c>
      <c r="AA115" s="3">
        <f>VLOOKUP(Tableau3[[#This Row],[essence]],Tableau7[],10,FALSE)</f>
        <v>-6.7000000000000004E-2</v>
      </c>
      <c r="AB115" s="3">
        <f>IF(Tableau3[[#This Row],[sdom]]="3EST",1,0)</f>
        <v>0</v>
      </c>
      <c r="AC115" s="3">
        <f>VLOOKUP(Tableau3[[#This Row],[essence]],Tableau7[],11,FALSE)</f>
        <v>-8.3400000000000002E-2</v>
      </c>
      <c r="AD115" s="3">
        <f>IF(Tableau3[[#This Row],[sdom]]="3OUEST",1,0)</f>
        <v>1</v>
      </c>
      <c r="AE115" s="3">
        <f>VLOOKUP(Tableau3[[#This Row],[essence]],Tableau7[],12,FALSE)</f>
        <v>-0.26840000000000003</v>
      </c>
      <c r="AF115" s="3">
        <f>IF(Tableau3[[#This Row],[sdom]]="4EST",1,0)</f>
        <v>0</v>
      </c>
      <c r="AG115" s="3">
        <f>VLOOKUP(Tableau3[[#This Row],[essence]],Tableau7[],13,FALSE)</f>
        <v>0</v>
      </c>
      <c r="AH115" s="3">
        <f>IF(Tableau3[[#This Row],[sdom]]="4OUEST",1,0)</f>
        <v>0</v>
      </c>
      <c r="AI115" s="3">
        <f>VLOOKUP(Tableau3[[#This Row],[essence]],Tableau7[],14,FALSE)</f>
        <v>0</v>
      </c>
      <c r="AJ115" s="3">
        <f>IF(Tableau3[[#This Row],[sdom]]="5EST",1,0)</f>
        <v>0</v>
      </c>
      <c r="AK115" s="3">
        <f>VLOOKUP(Tableau3[[#This Row],[essence]],Tableau7[],17,FALSE)</f>
        <v>0</v>
      </c>
      <c r="AL115" s="3">
        <f>IF(Tableau3[[#This Row],[priorecol]]="C",1,0)</f>
        <v>1</v>
      </c>
      <c r="AM115" s="3">
        <f>VLOOKUP(Tableau3[[#This Row],[essence]],Tableau7[],18,FALSE)</f>
        <v>0</v>
      </c>
      <c r="AN115" s="3">
        <f>IF(Tableau3[[#This Row],[priorecol]]="R",1,0)</f>
        <v>0</v>
      </c>
      <c r="AO115" s="3">
        <f>VLOOKUP(Tableau3[[#This Row],[essence]],Tableau7[],19,FALSE)</f>
        <v>0</v>
      </c>
      <c r="AP115" s="3">
        <f>IF(Tableau3[[#This Row],[priorecol]]="S",1,0)</f>
        <v>0</v>
      </c>
      <c r="AQ115" s="3">
        <f>VLOOKUP(Tableau3[[#This Row],[essence]],Tableau7[],21,FALSE)</f>
        <v>0</v>
      </c>
      <c r="AR115" s="3">
        <f>VLOOKUP(Tableau3[[#This Row],[essence]],Tableau7[],16,FALSE)</f>
        <v>0</v>
      </c>
      <c r="AS11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1.8639000000000001</v>
      </c>
      <c r="AT115" s="3">
        <f>Tableau3[[#This Row],[xb_]]+Tableau3[[#This Row],[b_intercept_C]]</f>
        <v>2.0815999999999999</v>
      </c>
      <c r="AU115" s="3">
        <f>Tableau3[[#This Row],[xb_]]+Tableau3[[#This Row],[b_intercept_B]]</f>
        <v>2.1900000000000031E-2</v>
      </c>
      <c r="AV115" s="3">
        <f>1/(1+EXP(-Tableau3[[#This Row],[xb_c]]))</f>
        <v>0.88910189108071269</v>
      </c>
      <c r="AW115" s="3">
        <f>1/(1+EXP(-Tableau3[[#This Row],[xb_b]]))</f>
        <v>0.50547478118843192</v>
      </c>
      <c r="AX115" s="3" t="str">
        <f t="shared" si="3"/>
        <v>NA</v>
      </c>
      <c r="AY115" s="3">
        <f>Tableau3[[#This Row],[prob_b]]</f>
        <v>0.50547478118843192</v>
      </c>
      <c r="AZ115" s="3">
        <f>Tableau3[[#This Row],[prob_c]]-Tableau3[[#This Row],[prob_b]]</f>
        <v>0.38362710989228077</v>
      </c>
      <c r="BA115" s="3">
        <f>1-Tableau3[[#This Row],[prob_c]]</f>
        <v>0.11089810891928731</v>
      </c>
    </row>
    <row r="116" spans="1:53" x14ac:dyDescent="0.25">
      <c r="A116" s="2">
        <v>5</v>
      </c>
      <c r="B116" s="2" t="s">
        <v>13</v>
      </c>
      <c r="C116" s="4">
        <v>2.1</v>
      </c>
      <c r="D116" s="4">
        <v>700</v>
      </c>
      <c r="E116" s="4">
        <v>20</v>
      </c>
      <c r="F116" s="4">
        <v>1</v>
      </c>
      <c r="G116" s="2">
        <v>40</v>
      </c>
      <c r="H116" s="2">
        <v>37</v>
      </c>
      <c r="I116" s="2" t="s">
        <v>24</v>
      </c>
      <c r="J116" s="2" t="s">
        <v>27</v>
      </c>
      <c r="K116" s="2">
        <f>VLOOKUP(Tableau3[[#This Row],[essence]],Tableau7[],2,FALSE)</f>
        <v>-0.84530000000000005</v>
      </c>
      <c r="L116" s="3">
        <f>VLOOKUP(Tableau3[[#This Row],[essence]],Tableau7[],3,FALSE)</f>
        <v>0.93089999999999995</v>
      </c>
      <c r="M116" s="3">
        <f>VLOOKUP(Tableau3[[#This Row],[essence]],Tableau7[],4,FALSE)</f>
        <v>1.4276</v>
      </c>
      <c r="N116" s="3">
        <f>IF(Tableau3[[#This Row],[priorecol]]="C",1,0)</f>
        <v>1</v>
      </c>
      <c r="O116" s="3">
        <f>VLOOKUP(Tableau3[[#This Row],[essence]],Tableau7[],5,FALSE)</f>
        <v>2.468</v>
      </c>
      <c r="P116" s="3">
        <f>IF(Tableau3[[#This Row],[priorecol]]="R",1,0)</f>
        <v>0</v>
      </c>
      <c r="Q116" s="3">
        <f>VLOOKUP(Tableau3[[#This Row],[essence]],Tableau7[],6,FALSE)</f>
        <v>0.86019999999999996</v>
      </c>
      <c r="R116" s="3">
        <f>IF(Tableau3[[#This Row],[priorecol]]="S",1,0)</f>
        <v>0</v>
      </c>
      <c r="S116" s="3">
        <f>VLOOKUP(Tableau3[[#This Row],[essence]],Tableau7[],7,FALSE)</f>
        <v>0</v>
      </c>
      <c r="T116" s="3">
        <f>VLOOKUP(Tableau3[[#This Row],[essence]],Tableau7[],15,FALSE)</f>
        <v>1.7299999999999999E-2</v>
      </c>
      <c r="U116" s="3">
        <f>VLOOKUP(Tableau3[[#This Row],[essence]],Tableau7[],20,FALSE)</f>
        <v>-0.28799999999999998</v>
      </c>
      <c r="V116" s="3">
        <f>IF(Tableau3[[#This Row],[sdom]]=1,1,0)</f>
        <v>0</v>
      </c>
      <c r="W116" s="3">
        <f>VLOOKUP(Tableau3[[#This Row],[essence]],Tableau7[],8,FALSE)</f>
        <v>-0.18859999999999999</v>
      </c>
      <c r="X116" s="3">
        <f>IF(Tableau3[[#This Row],[sdom]]="2EST",1,0)</f>
        <v>0</v>
      </c>
      <c r="Y116" s="3">
        <f>VLOOKUP(Tableau3[[#This Row],[essence]],Tableau7[],9,FALSE)</f>
        <v>1.2699999999999999E-2</v>
      </c>
      <c r="Z116" s="3">
        <f>IF(Tableau3[[#This Row],[sdom]]="2OUEST",1,0)</f>
        <v>0</v>
      </c>
      <c r="AA116" s="3">
        <f>VLOOKUP(Tableau3[[#This Row],[essence]],Tableau7[],10,FALSE)</f>
        <v>0</v>
      </c>
      <c r="AB116" s="3">
        <f>IF(Tableau3[[#This Row],[sdom]]="3EST",1,0)</f>
        <v>0</v>
      </c>
      <c r="AC116" s="3">
        <f>VLOOKUP(Tableau3[[#This Row],[essence]],Tableau7[],11,FALSE)</f>
        <v>0.30009999999999998</v>
      </c>
      <c r="AD116" s="3">
        <f>IF(Tableau3[[#This Row],[sdom]]="3OUEST",1,0)</f>
        <v>1</v>
      </c>
      <c r="AE116" s="3">
        <f>VLOOKUP(Tableau3[[#This Row],[essence]],Tableau7[],12,FALSE)</f>
        <v>0</v>
      </c>
      <c r="AF116" s="3">
        <f>IF(Tableau3[[#This Row],[sdom]]="4EST",1,0)</f>
        <v>0</v>
      </c>
      <c r="AG116" s="3">
        <f>VLOOKUP(Tableau3[[#This Row],[essence]],Tableau7[],13,FALSE)</f>
        <v>0</v>
      </c>
      <c r="AH116" s="3">
        <f>IF(Tableau3[[#This Row],[sdom]]="4OUEST",1,0)</f>
        <v>0</v>
      </c>
      <c r="AI116" s="3">
        <f>VLOOKUP(Tableau3[[#This Row],[essence]],Tableau7[],14,FALSE)</f>
        <v>0</v>
      </c>
      <c r="AJ116" s="3">
        <f>IF(Tableau3[[#This Row],[sdom]]="5EST",1,0)</f>
        <v>0</v>
      </c>
      <c r="AK116" s="3">
        <f>VLOOKUP(Tableau3[[#This Row],[essence]],Tableau7[],17,FALSE)</f>
        <v>0</v>
      </c>
      <c r="AL116" s="3">
        <f>IF(Tableau3[[#This Row],[priorecol]]="C",1,0)</f>
        <v>1</v>
      </c>
      <c r="AM116" s="3">
        <f>VLOOKUP(Tableau3[[#This Row],[essence]],Tableau7[],18,FALSE)</f>
        <v>0</v>
      </c>
      <c r="AN116" s="3">
        <f>IF(Tableau3[[#This Row],[priorecol]]="R",1,0)</f>
        <v>0</v>
      </c>
      <c r="AO116" s="3">
        <f>VLOOKUP(Tableau3[[#This Row],[essence]],Tableau7[],19,FALSE)</f>
        <v>0</v>
      </c>
      <c r="AP116" s="3">
        <f>IF(Tableau3[[#This Row],[priorecol]]="S",1,0)</f>
        <v>0</v>
      </c>
      <c r="AQ116" s="3">
        <f>VLOOKUP(Tableau3[[#This Row],[essence]],Tableau7[],21,FALSE)</f>
        <v>0</v>
      </c>
      <c r="AR116" s="3">
        <f>VLOOKUP(Tableau3[[#This Row],[essence]],Tableau7[],16,FALSE)</f>
        <v>0</v>
      </c>
      <c r="AS11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2.0737000000000001</v>
      </c>
      <c r="AT116" s="3">
        <f>Tableau3[[#This Row],[xb_]]+Tableau3[[#This Row],[b_intercept_C]]</f>
        <v>3.0045999999999999</v>
      </c>
      <c r="AU116" s="3">
        <f>Tableau3[[#This Row],[xb_]]+Tableau3[[#This Row],[b_intercept_B]]</f>
        <v>1.2284000000000002</v>
      </c>
      <c r="AV116" s="3">
        <f>1/(1+EXP(-Tableau3[[#This Row],[xb_c]]))</f>
        <v>0.95278150735821598</v>
      </c>
      <c r="AW116" s="3">
        <f>1/(1+EXP(-Tableau3[[#This Row],[xb_b]]))</f>
        <v>0.77353841416694147</v>
      </c>
      <c r="AX116" s="3" t="str">
        <f t="shared" si="3"/>
        <v>NA</v>
      </c>
      <c r="AY116" s="3">
        <f>Tableau3[[#This Row],[prob_b]]</f>
        <v>0.77353841416694147</v>
      </c>
      <c r="AZ116" s="3">
        <f>Tableau3[[#This Row],[prob_c]]-Tableau3[[#This Row],[prob_b]]</f>
        <v>0.17924309319127452</v>
      </c>
      <c r="BA116" s="3">
        <f>1-Tableau3[[#This Row],[prob_c]]</f>
        <v>4.7218492641784016E-2</v>
      </c>
    </row>
    <row r="117" spans="1:53" x14ac:dyDescent="0.25">
      <c r="A117" s="3">
        <v>5</v>
      </c>
      <c r="B117" s="3" t="s">
        <v>13</v>
      </c>
      <c r="C117" s="1">
        <v>2.1</v>
      </c>
      <c r="D117" s="1">
        <v>700</v>
      </c>
      <c r="E117" s="1">
        <v>20</v>
      </c>
      <c r="F117" s="1">
        <v>1</v>
      </c>
      <c r="G117" s="3">
        <v>46</v>
      </c>
      <c r="H117" s="3">
        <v>37</v>
      </c>
      <c r="I117" s="3" t="s">
        <v>26</v>
      </c>
      <c r="J117" s="3" t="s">
        <v>27</v>
      </c>
      <c r="K117" s="3">
        <f>VLOOKUP(Tableau3[[#This Row],[essence]],Tableau7[],2,FALSE)</f>
        <v>-1.7838000000000001</v>
      </c>
      <c r="L117" s="3">
        <f>VLOOKUP(Tableau3[[#This Row],[essence]],Tableau7[],3,FALSE)</f>
        <v>-7.3400000000000007E-2</v>
      </c>
      <c r="M117" s="3">
        <f>VLOOKUP(Tableau3[[#This Row],[essence]],Tableau7[],4,FALSE)</f>
        <v>1.5893999999999999</v>
      </c>
      <c r="N117" s="3">
        <f>IF(Tableau3[[#This Row],[priorecol]]="C",1,0)</f>
        <v>1</v>
      </c>
      <c r="O117" s="3">
        <f>VLOOKUP(Tableau3[[#This Row],[essence]],Tableau7[],5,FALSE)</f>
        <v>2.1800000000000002</v>
      </c>
      <c r="P117" s="3">
        <f>IF(Tableau3[[#This Row],[priorecol]]="R",1,0)</f>
        <v>0</v>
      </c>
      <c r="Q117" s="3">
        <f>VLOOKUP(Tableau3[[#This Row],[essence]],Tableau7[],6,FALSE)</f>
        <v>0.91710000000000003</v>
      </c>
      <c r="R117" s="3">
        <f>IF(Tableau3[[#This Row],[priorecol]]="S",1,0)</f>
        <v>0</v>
      </c>
      <c r="S117" s="3">
        <f>VLOOKUP(Tableau3[[#This Row],[essence]],Tableau7[],7,FALSE)</f>
        <v>0</v>
      </c>
      <c r="T117" s="3">
        <f>VLOOKUP(Tableau3[[#This Row],[essence]],Tableau7[],15,FALSE)</f>
        <v>0</v>
      </c>
      <c r="U117" s="3">
        <f>VLOOKUP(Tableau3[[#This Row],[essence]],Tableau7[],20,FALSE)</f>
        <v>0</v>
      </c>
      <c r="V117" s="3">
        <f>IF(Tableau3[[#This Row],[sdom]]=1,1,0)</f>
        <v>0</v>
      </c>
      <c r="W117" s="3">
        <f>VLOOKUP(Tableau3[[#This Row],[essence]],Tableau7[],8,FALSE)</f>
        <v>0</v>
      </c>
      <c r="X117" s="3">
        <f>IF(Tableau3[[#This Row],[sdom]]="2EST",1,0)</f>
        <v>0</v>
      </c>
      <c r="Y117" s="3">
        <f>VLOOKUP(Tableau3[[#This Row],[essence]],Tableau7[],9,FALSE)</f>
        <v>-0.22550000000000001</v>
      </c>
      <c r="Z117" s="3">
        <f>IF(Tableau3[[#This Row],[sdom]]="2OUEST",1,0)</f>
        <v>0</v>
      </c>
      <c r="AA117" s="3">
        <f>VLOOKUP(Tableau3[[#This Row],[essence]],Tableau7[],10,FALSE)</f>
        <v>0</v>
      </c>
      <c r="AB117" s="3">
        <f>IF(Tableau3[[#This Row],[sdom]]="3EST",1,0)</f>
        <v>0</v>
      </c>
      <c r="AC117" s="3">
        <f>VLOOKUP(Tableau3[[#This Row],[essence]],Tableau7[],11,FALSE)</f>
        <v>0.3513</v>
      </c>
      <c r="AD117" s="3">
        <f>IF(Tableau3[[#This Row],[sdom]]="3OUEST",1,0)</f>
        <v>1</v>
      </c>
      <c r="AE117" s="3">
        <f>VLOOKUP(Tableau3[[#This Row],[essence]],Tableau7[],12,FALSE)</f>
        <v>-0.42259999999999998</v>
      </c>
      <c r="AF117" s="3">
        <f>IF(Tableau3[[#This Row],[sdom]]="4EST",1,0)</f>
        <v>0</v>
      </c>
      <c r="AG117" s="3">
        <f>VLOOKUP(Tableau3[[#This Row],[essence]],Tableau7[],13,FALSE)</f>
        <v>0.25390000000000001</v>
      </c>
      <c r="AH117" s="3">
        <f>IF(Tableau3[[#This Row],[sdom]]="4OUEST",1,0)</f>
        <v>0</v>
      </c>
      <c r="AI117" s="3">
        <f>VLOOKUP(Tableau3[[#This Row],[essence]],Tableau7[],14,FALSE)</f>
        <v>4.6199999999999998E-2</v>
      </c>
      <c r="AJ117" s="3">
        <f>IF(Tableau3[[#This Row],[sdom]]="5EST",1,0)</f>
        <v>0</v>
      </c>
      <c r="AK117" s="3">
        <f>VLOOKUP(Tableau3[[#This Row],[essence]],Tableau7[],17,FALSE)</f>
        <v>0</v>
      </c>
      <c r="AL117" s="3">
        <f>IF(Tableau3[[#This Row],[priorecol]]="C",1,0)</f>
        <v>1</v>
      </c>
      <c r="AM117" s="3">
        <f>VLOOKUP(Tableau3[[#This Row],[essence]],Tableau7[],18,FALSE)</f>
        <v>0</v>
      </c>
      <c r="AN117" s="3">
        <f>IF(Tableau3[[#This Row],[priorecol]]="R",1,0)</f>
        <v>0</v>
      </c>
      <c r="AO117" s="3">
        <f>VLOOKUP(Tableau3[[#This Row],[essence]],Tableau7[],19,FALSE)</f>
        <v>0</v>
      </c>
      <c r="AP117" s="3">
        <f>IF(Tableau3[[#This Row],[priorecol]]="S",1,0)</f>
        <v>0</v>
      </c>
      <c r="AQ117" s="3">
        <f>VLOOKUP(Tableau3[[#This Row],[essence]],Tableau7[],21,FALSE)</f>
        <v>0</v>
      </c>
      <c r="AR117" s="3">
        <f>VLOOKUP(Tableau3[[#This Row],[essence]],Tableau7[],16,FALSE)</f>
        <v>0.24340000000000001</v>
      </c>
      <c r="AS11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2.4518399999999998</v>
      </c>
      <c r="AT117" s="3">
        <f>Tableau3[[#This Row],[xb_]]+Tableau3[[#This Row],[b_intercept_C]]</f>
        <v>2.3784399999999999</v>
      </c>
      <c r="AU117" s="3">
        <f>Tableau3[[#This Row],[xb_]]+Tableau3[[#This Row],[b_intercept_B]]</f>
        <v>0.66803999999999975</v>
      </c>
      <c r="AV117" s="3">
        <f>1/(1+EXP(-Tableau3[[#This Row],[xb_c]]))</f>
        <v>0.9151684017728996</v>
      </c>
      <c r="AW117" s="3">
        <f>1/(1+EXP(-Tableau3[[#This Row],[xb_b]]))</f>
        <v>0.66106414358482146</v>
      </c>
      <c r="AX117" s="3" t="str">
        <f t="shared" si="3"/>
        <v>NA</v>
      </c>
      <c r="AY117" s="3">
        <f>Tableau3[[#This Row],[prob_b]]</f>
        <v>0.66106414358482146</v>
      </c>
      <c r="AZ117" s="3">
        <f>Tableau3[[#This Row],[prob_c]]-Tableau3[[#This Row],[prob_b]]</f>
        <v>0.25410425818807814</v>
      </c>
      <c r="BA117" s="3">
        <f>1-Tableau3[[#This Row],[prob_c]]</f>
        <v>8.4831598227100402E-2</v>
      </c>
    </row>
    <row r="118" spans="1:53" x14ac:dyDescent="0.25">
      <c r="A118" s="2">
        <v>6</v>
      </c>
      <c r="B118" s="2" t="s">
        <v>14</v>
      </c>
      <c r="C118" s="4">
        <v>1.2</v>
      </c>
      <c r="D118" s="4">
        <v>1022</v>
      </c>
      <c r="E118" s="4">
        <v>25</v>
      </c>
      <c r="F118" s="4">
        <v>1</v>
      </c>
      <c r="G118" s="2">
        <v>28</v>
      </c>
      <c r="H118" s="2">
        <v>37</v>
      </c>
      <c r="I118" s="2" t="s">
        <v>20</v>
      </c>
      <c r="J118" s="2" t="s">
        <v>27</v>
      </c>
      <c r="K118" s="2">
        <f>VLOOKUP(Tableau3[[#This Row],[essence]],Tableau7[],2,FALSE)</f>
        <v>-0.80379999999999996</v>
      </c>
      <c r="L118" s="3">
        <f>VLOOKUP(Tableau3[[#This Row],[essence]],Tableau7[],3,FALSE)</f>
        <v>0.88800000000000001</v>
      </c>
      <c r="M118" s="3">
        <f>VLOOKUP(Tableau3[[#This Row],[essence]],Tableau7[],4,FALSE)</f>
        <v>1.5212000000000001</v>
      </c>
      <c r="N118" s="3">
        <f>IF(Tableau3[[#This Row],[priorecol]]="C",1,0)</f>
        <v>1</v>
      </c>
      <c r="O118" s="3">
        <f>VLOOKUP(Tableau3[[#This Row],[essence]],Tableau7[],5,FALSE)</f>
        <v>1.8714999999999999</v>
      </c>
      <c r="P118" s="3">
        <f>IF(Tableau3[[#This Row],[priorecol]]="R",1,0)</f>
        <v>0</v>
      </c>
      <c r="Q118" s="3">
        <f>VLOOKUP(Tableau3[[#This Row],[essence]],Tableau7[],6,FALSE)</f>
        <v>0.51549999999999996</v>
      </c>
      <c r="R118" s="3">
        <f>IF(Tableau3[[#This Row],[priorecol]]="S",1,0)</f>
        <v>0</v>
      </c>
      <c r="S118" s="3">
        <f>VLOOKUP(Tableau3[[#This Row],[essence]],Tableau7[],7,FALSE)</f>
        <v>0</v>
      </c>
      <c r="T118" s="3">
        <f>VLOOKUP(Tableau3[[#This Row],[essence]],Tableau7[],15,FALSE)</f>
        <v>9.0500000000000008E-3</v>
      </c>
      <c r="U118" s="3">
        <f>VLOOKUP(Tableau3[[#This Row],[essence]],Tableau7[],20,FALSE)</f>
        <v>0</v>
      </c>
      <c r="V118" s="3">
        <f>IF(Tableau3[[#This Row],[sdom]]=1,1,0)</f>
        <v>0</v>
      </c>
      <c r="W118" s="3">
        <f>VLOOKUP(Tableau3[[#This Row],[essence]],Tableau7[],8,FALSE)</f>
        <v>0</v>
      </c>
      <c r="X118" s="3">
        <f>IF(Tableau3[[#This Row],[sdom]]="2EST",1,0)</f>
        <v>0</v>
      </c>
      <c r="Y118" s="3">
        <f>VLOOKUP(Tableau3[[#This Row],[essence]],Tableau7[],9,FALSE)</f>
        <v>-4.5199999999999997E-2</v>
      </c>
      <c r="Z118" s="3">
        <f>IF(Tableau3[[#This Row],[sdom]]="2OUEST",1,0)</f>
        <v>0</v>
      </c>
      <c r="AA118" s="3">
        <f>VLOOKUP(Tableau3[[#This Row],[essence]],Tableau7[],10,FALSE)</f>
        <v>1.15E-2</v>
      </c>
      <c r="AB118" s="3">
        <f>IF(Tableau3[[#This Row],[sdom]]="3EST",1,0)</f>
        <v>0</v>
      </c>
      <c r="AC118" s="3">
        <f>VLOOKUP(Tableau3[[#This Row],[essence]],Tableau7[],11,FALSE)</f>
        <v>0.1169</v>
      </c>
      <c r="AD118" s="3">
        <f>IF(Tableau3[[#This Row],[sdom]]="3OUEST",1,0)</f>
        <v>0</v>
      </c>
      <c r="AE118" s="3">
        <f>VLOOKUP(Tableau3[[#This Row],[essence]],Tableau7[],12,FALSE)</f>
        <v>-0.1686</v>
      </c>
      <c r="AF118" s="3">
        <f>IF(Tableau3[[#This Row],[sdom]]="4EST",1,0)</f>
        <v>1</v>
      </c>
      <c r="AG118" s="3">
        <f>VLOOKUP(Tableau3[[#This Row],[essence]],Tableau7[],13,FALSE)</f>
        <v>0.11940000000000001</v>
      </c>
      <c r="AH118" s="3">
        <f>IF(Tableau3[[#This Row],[sdom]]="4OUEST",1,0)</f>
        <v>0</v>
      </c>
      <c r="AI118" s="3">
        <f>VLOOKUP(Tableau3[[#This Row],[essence]],Tableau7[],14,FALSE)</f>
        <v>-0.13100000000000001</v>
      </c>
      <c r="AJ118" s="3">
        <f>IF(Tableau3[[#This Row],[sdom]]="5EST",1,0)</f>
        <v>0</v>
      </c>
      <c r="AK118" s="3">
        <f>VLOOKUP(Tableau3[[#This Row],[essence]],Tableau7[],17,FALSE)</f>
        <v>-1.8599999999999998E-2</v>
      </c>
      <c r="AL118" s="3">
        <f>IF(Tableau3[[#This Row],[priorecol]]="C",1,0)</f>
        <v>1</v>
      </c>
      <c r="AM118" s="3">
        <f>VLOOKUP(Tableau3[[#This Row],[essence]],Tableau7[],18,FALSE)</f>
        <v>-8.5500000000000003E-3</v>
      </c>
      <c r="AN118" s="3">
        <f>IF(Tableau3[[#This Row],[priorecol]]="R",1,0)</f>
        <v>0</v>
      </c>
      <c r="AO118" s="3">
        <f>VLOOKUP(Tableau3[[#This Row],[essence]],Tableau7[],19,FALSE)</f>
        <v>1.54E-2</v>
      </c>
      <c r="AP118" s="3">
        <f>IF(Tableau3[[#This Row],[priorecol]]="S",1,0)</f>
        <v>0</v>
      </c>
      <c r="AQ118" s="3">
        <f>VLOOKUP(Tableau3[[#This Row],[essence]],Tableau7[],21,FALSE)</f>
        <v>0</v>
      </c>
      <c r="AR118" s="3">
        <f>VLOOKUP(Tableau3[[#This Row],[essence]],Tableau7[],16,FALSE)</f>
        <v>0</v>
      </c>
      <c r="AS11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1.1138500000000002</v>
      </c>
      <c r="AT118" s="3">
        <f>Tableau3[[#This Row],[xb_]]+Tableau3[[#This Row],[b_intercept_C]]</f>
        <v>2.0018500000000001</v>
      </c>
      <c r="AU118" s="3">
        <f>Tableau3[[#This Row],[xb_]]+Tableau3[[#This Row],[b_intercept_B]]</f>
        <v>0.31005000000000027</v>
      </c>
      <c r="AV118" s="3">
        <f>1/(1+EXP(-Tableau3[[#This Row],[xb_c]]))</f>
        <v>0.88099117931605819</v>
      </c>
      <c r="AW118" s="3">
        <f>1/(1+EXP(-Tableau3[[#This Row],[xb_b]]))</f>
        <v>0.57689746551795795</v>
      </c>
      <c r="AX118" s="3" t="str">
        <f t="shared" si="3"/>
        <v>NA</v>
      </c>
      <c r="AY118" s="3">
        <f>Tableau3[[#This Row],[prob_b]]</f>
        <v>0.57689746551795795</v>
      </c>
      <c r="AZ118" s="3">
        <f>Tableau3[[#This Row],[prob_c]]-Tableau3[[#This Row],[prob_b]]</f>
        <v>0.30409371379810024</v>
      </c>
      <c r="BA118" s="3">
        <f>1-Tableau3[[#This Row],[prob_c]]</f>
        <v>0.11900882068394181</v>
      </c>
    </row>
    <row r="119" spans="1:53" x14ac:dyDescent="0.25">
      <c r="A119" s="3">
        <v>6</v>
      </c>
      <c r="B119" s="3" t="s">
        <v>14</v>
      </c>
      <c r="C119" s="1">
        <v>1.2</v>
      </c>
      <c r="D119" s="1">
        <v>1022</v>
      </c>
      <c r="E119" s="1">
        <v>25</v>
      </c>
      <c r="F119" s="1">
        <v>1</v>
      </c>
      <c r="G119" s="3">
        <v>34</v>
      </c>
      <c r="H119" s="3">
        <v>37</v>
      </c>
      <c r="I119" s="3" t="s">
        <v>22</v>
      </c>
      <c r="J119" s="3" t="s">
        <v>27</v>
      </c>
      <c r="K119" s="3">
        <f>VLOOKUP(Tableau3[[#This Row],[essence]],Tableau7[],2,FALSE)</f>
        <v>-1.8420000000000001</v>
      </c>
      <c r="L119" s="3">
        <f>VLOOKUP(Tableau3[[#This Row],[essence]],Tableau7[],3,FALSE)</f>
        <v>0.2177</v>
      </c>
      <c r="M119" s="3">
        <f>VLOOKUP(Tableau3[[#This Row],[essence]],Tableau7[],4,FALSE)</f>
        <v>1.9473</v>
      </c>
      <c r="N119" s="3">
        <f>IF(Tableau3[[#This Row],[priorecol]]="C",1,0)</f>
        <v>1</v>
      </c>
      <c r="O119" s="3">
        <f>VLOOKUP(Tableau3[[#This Row],[essence]],Tableau7[],5,FALSE)</f>
        <v>3.0630999999999999</v>
      </c>
      <c r="P119" s="3">
        <f>IF(Tableau3[[#This Row],[priorecol]]="R",1,0)</f>
        <v>0</v>
      </c>
      <c r="Q119" s="3">
        <f>VLOOKUP(Tableau3[[#This Row],[essence]],Tableau7[],6,FALSE)</f>
        <v>1.5014000000000001</v>
      </c>
      <c r="R119" s="3">
        <f>IF(Tableau3[[#This Row],[priorecol]]="S",1,0)</f>
        <v>0</v>
      </c>
      <c r="S119" s="3">
        <f>VLOOKUP(Tableau3[[#This Row],[essence]],Tableau7[],7,FALSE)</f>
        <v>0</v>
      </c>
      <c r="T119" s="3">
        <f>VLOOKUP(Tableau3[[#This Row],[essence]],Tableau7[],15,FALSE)</f>
        <v>0</v>
      </c>
      <c r="U119" s="3">
        <f>VLOOKUP(Tableau3[[#This Row],[essence]],Tableau7[],20,FALSE)</f>
        <v>0.49399999999999999</v>
      </c>
      <c r="V119" s="3">
        <f>IF(Tableau3[[#This Row],[sdom]]=1,1,0)</f>
        <v>0</v>
      </c>
      <c r="W119" s="3">
        <f>VLOOKUP(Tableau3[[#This Row],[essence]],Tableau7[],8,FALSE)</f>
        <v>0.42420000000000002</v>
      </c>
      <c r="X119" s="3">
        <f>IF(Tableau3[[#This Row],[sdom]]="2EST",1,0)</f>
        <v>0</v>
      </c>
      <c r="Y119" s="3">
        <f>VLOOKUP(Tableau3[[#This Row],[essence]],Tableau7[],9,FALSE)</f>
        <v>7.4300000000000005E-2</v>
      </c>
      <c r="Z119" s="3">
        <f>IF(Tableau3[[#This Row],[sdom]]="2OUEST",1,0)</f>
        <v>0</v>
      </c>
      <c r="AA119" s="3">
        <f>VLOOKUP(Tableau3[[#This Row],[essence]],Tableau7[],10,FALSE)</f>
        <v>-6.7000000000000004E-2</v>
      </c>
      <c r="AB119" s="3">
        <f>IF(Tableau3[[#This Row],[sdom]]="3EST",1,0)</f>
        <v>0</v>
      </c>
      <c r="AC119" s="3">
        <f>VLOOKUP(Tableau3[[#This Row],[essence]],Tableau7[],11,FALSE)</f>
        <v>-8.3400000000000002E-2</v>
      </c>
      <c r="AD119" s="3">
        <f>IF(Tableau3[[#This Row],[sdom]]="3OUEST",1,0)</f>
        <v>0</v>
      </c>
      <c r="AE119" s="3">
        <f>VLOOKUP(Tableau3[[#This Row],[essence]],Tableau7[],12,FALSE)</f>
        <v>-0.26840000000000003</v>
      </c>
      <c r="AF119" s="3">
        <f>IF(Tableau3[[#This Row],[sdom]]="4EST",1,0)</f>
        <v>1</v>
      </c>
      <c r="AG119" s="3">
        <f>VLOOKUP(Tableau3[[#This Row],[essence]],Tableau7[],13,FALSE)</f>
        <v>0</v>
      </c>
      <c r="AH119" s="3">
        <f>IF(Tableau3[[#This Row],[sdom]]="4OUEST",1,0)</f>
        <v>0</v>
      </c>
      <c r="AI119" s="3">
        <f>VLOOKUP(Tableau3[[#This Row],[essence]],Tableau7[],14,FALSE)</f>
        <v>0</v>
      </c>
      <c r="AJ119" s="3">
        <f>IF(Tableau3[[#This Row],[sdom]]="5EST",1,0)</f>
        <v>0</v>
      </c>
      <c r="AK119" s="3">
        <f>VLOOKUP(Tableau3[[#This Row],[essence]],Tableau7[],17,FALSE)</f>
        <v>0</v>
      </c>
      <c r="AL119" s="3">
        <f>IF(Tableau3[[#This Row],[priorecol]]="C",1,0)</f>
        <v>1</v>
      </c>
      <c r="AM119" s="3">
        <f>VLOOKUP(Tableau3[[#This Row],[essence]],Tableau7[],18,FALSE)</f>
        <v>0</v>
      </c>
      <c r="AN119" s="3">
        <f>IF(Tableau3[[#This Row],[priorecol]]="R",1,0)</f>
        <v>0</v>
      </c>
      <c r="AO119" s="3">
        <f>VLOOKUP(Tableau3[[#This Row],[essence]],Tableau7[],19,FALSE)</f>
        <v>0</v>
      </c>
      <c r="AP119" s="3">
        <f>IF(Tableau3[[#This Row],[priorecol]]="S",1,0)</f>
        <v>0</v>
      </c>
      <c r="AQ119" s="3">
        <f>VLOOKUP(Tableau3[[#This Row],[essence]],Tableau7[],21,FALSE)</f>
        <v>0</v>
      </c>
      <c r="AR119" s="3">
        <f>VLOOKUP(Tableau3[[#This Row],[essence]],Tableau7[],16,FALSE)</f>
        <v>0</v>
      </c>
      <c r="AS11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1.6789000000000001</v>
      </c>
      <c r="AT119" s="3">
        <f>Tableau3[[#This Row],[xb_]]+Tableau3[[#This Row],[b_intercept_C]]</f>
        <v>1.8966000000000001</v>
      </c>
      <c r="AU119" s="3">
        <f>Tableau3[[#This Row],[xb_]]+Tableau3[[#This Row],[b_intercept_B]]</f>
        <v>-0.16310000000000002</v>
      </c>
      <c r="AV119" s="3">
        <f>1/(1+EXP(-Tableau3[[#This Row],[xb_c]]))</f>
        <v>0.8695062285650671</v>
      </c>
      <c r="AW119" s="3">
        <f>1/(1+EXP(-Tableau3[[#This Row],[xb_b]]))</f>
        <v>0.45931515024739922</v>
      </c>
      <c r="AX119" s="3" t="str">
        <f t="shared" si="3"/>
        <v>NA</v>
      </c>
      <c r="AY119" s="3">
        <f>Tableau3[[#This Row],[prob_b]]</f>
        <v>0.45931515024739922</v>
      </c>
      <c r="AZ119" s="3">
        <f>Tableau3[[#This Row],[prob_c]]-Tableau3[[#This Row],[prob_b]]</f>
        <v>0.41019107831766788</v>
      </c>
      <c r="BA119" s="3">
        <f>1-Tableau3[[#This Row],[prob_c]]</f>
        <v>0.1304937714349329</v>
      </c>
    </row>
    <row r="120" spans="1:53" x14ac:dyDescent="0.25">
      <c r="A120" s="2">
        <v>6</v>
      </c>
      <c r="B120" s="2" t="s">
        <v>14</v>
      </c>
      <c r="C120" s="4">
        <v>1.2</v>
      </c>
      <c r="D120" s="4">
        <v>1022</v>
      </c>
      <c r="E120" s="4">
        <v>25</v>
      </c>
      <c r="F120" s="4">
        <v>1</v>
      </c>
      <c r="G120" s="2">
        <v>40</v>
      </c>
      <c r="H120" s="2">
        <v>37</v>
      </c>
      <c r="I120" s="2" t="s">
        <v>24</v>
      </c>
      <c r="J120" s="2" t="s">
        <v>27</v>
      </c>
      <c r="K120" s="2">
        <f>VLOOKUP(Tableau3[[#This Row],[essence]],Tableau7[],2,FALSE)</f>
        <v>-0.84530000000000005</v>
      </c>
      <c r="L120" s="3">
        <f>VLOOKUP(Tableau3[[#This Row],[essence]],Tableau7[],3,FALSE)</f>
        <v>0.93089999999999995</v>
      </c>
      <c r="M120" s="3">
        <f>VLOOKUP(Tableau3[[#This Row],[essence]],Tableau7[],4,FALSE)</f>
        <v>1.4276</v>
      </c>
      <c r="N120" s="3">
        <f>IF(Tableau3[[#This Row],[priorecol]]="C",1,0)</f>
        <v>1</v>
      </c>
      <c r="O120" s="3">
        <f>VLOOKUP(Tableau3[[#This Row],[essence]],Tableau7[],5,FALSE)</f>
        <v>2.468</v>
      </c>
      <c r="P120" s="3">
        <f>IF(Tableau3[[#This Row],[priorecol]]="R",1,0)</f>
        <v>0</v>
      </c>
      <c r="Q120" s="3">
        <f>VLOOKUP(Tableau3[[#This Row],[essence]],Tableau7[],6,FALSE)</f>
        <v>0.86019999999999996</v>
      </c>
      <c r="R120" s="3">
        <f>IF(Tableau3[[#This Row],[priorecol]]="S",1,0)</f>
        <v>0</v>
      </c>
      <c r="S120" s="3">
        <f>VLOOKUP(Tableau3[[#This Row],[essence]],Tableau7[],7,FALSE)</f>
        <v>0</v>
      </c>
      <c r="T120" s="3">
        <f>VLOOKUP(Tableau3[[#This Row],[essence]],Tableau7[],15,FALSE)</f>
        <v>1.7299999999999999E-2</v>
      </c>
      <c r="U120" s="3">
        <f>VLOOKUP(Tableau3[[#This Row],[essence]],Tableau7[],20,FALSE)</f>
        <v>-0.28799999999999998</v>
      </c>
      <c r="V120" s="3">
        <f>IF(Tableau3[[#This Row],[sdom]]=1,1,0)</f>
        <v>0</v>
      </c>
      <c r="W120" s="3">
        <f>VLOOKUP(Tableau3[[#This Row],[essence]],Tableau7[],8,FALSE)</f>
        <v>-0.18859999999999999</v>
      </c>
      <c r="X120" s="3">
        <f>IF(Tableau3[[#This Row],[sdom]]="2EST",1,0)</f>
        <v>0</v>
      </c>
      <c r="Y120" s="3">
        <f>VLOOKUP(Tableau3[[#This Row],[essence]],Tableau7[],9,FALSE)</f>
        <v>1.2699999999999999E-2</v>
      </c>
      <c r="Z120" s="3">
        <f>IF(Tableau3[[#This Row],[sdom]]="2OUEST",1,0)</f>
        <v>0</v>
      </c>
      <c r="AA120" s="3">
        <f>VLOOKUP(Tableau3[[#This Row],[essence]],Tableau7[],10,FALSE)</f>
        <v>0</v>
      </c>
      <c r="AB120" s="3">
        <f>IF(Tableau3[[#This Row],[sdom]]="3EST",1,0)</f>
        <v>0</v>
      </c>
      <c r="AC120" s="3">
        <f>VLOOKUP(Tableau3[[#This Row],[essence]],Tableau7[],11,FALSE)</f>
        <v>0.30009999999999998</v>
      </c>
      <c r="AD120" s="3">
        <f>IF(Tableau3[[#This Row],[sdom]]="3OUEST",1,0)</f>
        <v>0</v>
      </c>
      <c r="AE120" s="3">
        <f>VLOOKUP(Tableau3[[#This Row],[essence]],Tableau7[],12,FALSE)</f>
        <v>0</v>
      </c>
      <c r="AF120" s="3">
        <f>IF(Tableau3[[#This Row],[sdom]]="4EST",1,0)</f>
        <v>1</v>
      </c>
      <c r="AG120" s="3">
        <f>VLOOKUP(Tableau3[[#This Row],[essence]],Tableau7[],13,FALSE)</f>
        <v>0</v>
      </c>
      <c r="AH120" s="3">
        <f>IF(Tableau3[[#This Row],[sdom]]="4OUEST",1,0)</f>
        <v>0</v>
      </c>
      <c r="AI120" s="3">
        <f>VLOOKUP(Tableau3[[#This Row],[essence]],Tableau7[],14,FALSE)</f>
        <v>0</v>
      </c>
      <c r="AJ120" s="3">
        <f>IF(Tableau3[[#This Row],[sdom]]="5EST",1,0)</f>
        <v>0</v>
      </c>
      <c r="AK120" s="3">
        <f>VLOOKUP(Tableau3[[#This Row],[essence]],Tableau7[],17,FALSE)</f>
        <v>0</v>
      </c>
      <c r="AL120" s="3">
        <f>IF(Tableau3[[#This Row],[priorecol]]="C",1,0)</f>
        <v>1</v>
      </c>
      <c r="AM120" s="3">
        <f>VLOOKUP(Tableau3[[#This Row],[essence]],Tableau7[],18,FALSE)</f>
        <v>0</v>
      </c>
      <c r="AN120" s="3">
        <f>IF(Tableau3[[#This Row],[priorecol]]="R",1,0)</f>
        <v>0</v>
      </c>
      <c r="AO120" s="3">
        <f>VLOOKUP(Tableau3[[#This Row],[essence]],Tableau7[],19,FALSE)</f>
        <v>0</v>
      </c>
      <c r="AP120" s="3">
        <f>IF(Tableau3[[#This Row],[priorecol]]="S",1,0)</f>
        <v>0</v>
      </c>
      <c r="AQ120" s="3">
        <f>VLOOKUP(Tableau3[[#This Row],[essence]],Tableau7[],21,FALSE)</f>
        <v>0</v>
      </c>
      <c r="AR120" s="3">
        <f>VLOOKUP(Tableau3[[#This Row],[essence]],Tableau7[],16,FALSE)</f>
        <v>0</v>
      </c>
      <c r="AS12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1.8601000000000001</v>
      </c>
      <c r="AT120" s="3">
        <f>Tableau3[[#This Row],[xb_]]+Tableau3[[#This Row],[b_intercept_C]]</f>
        <v>2.7909999999999999</v>
      </c>
      <c r="AU120" s="3">
        <f>Tableau3[[#This Row],[xb_]]+Tableau3[[#This Row],[b_intercept_B]]</f>
        <v>1.0148000000000001</v>
      </c>
      <c r="AV120" s="3">
        <f>1/(1+EXP(-Tableau3[[#This Row],[xb_c]]))</f>
        <v>0.94218753899614249</v>
      </c>
      <c r="AW120" s="3">
        <f>1/(1+EXP(-Tableau3[[#This Row],[xb_b]]))</f>
        <v>0.73395846566168665</v>
      </c>
      <c r="AX120" s="3" t="str">
        <f t="shared" si="3"/>
        <v>NA</v>
      </c>
      <c r="AY120" s="3">
        <f>Tableau3[[#This Row],[prob_b]]</f>
        <v>0.73395846566168665</v>
      </c>
      <c r="AZ120" s="3">
        <f>Tableau3[[#This Row],[prob_c]]-Tableau3[[#This Row],[prob_b]]</f>
        <v>0.20822907333445584</v>
      </c>
      <c r="BA120" s="3">
        <f>1-Tableau3[[#This Row],[prob_c]]</f>
        <v>5.7812461003857507E-2</v>
      </c>
    </row>
    <row r="121" spans="1:53" x14ac:dyDescent="0.25">
      <c r="A121" s="3">
        <v>6</v>
      </c>
      <c r="B121" s="3" t="s">
        <v>14</v>
      </c>
      <c r="C121" s="1">
        <v>1.2</v>
      </c>
      <c r="D121" s="1">
        <v>1022</v>
      </c>
      <c r="E121" s="1">
        <v>25</v>
      </c>
      <c r="F121" s="1">
        <v>1</v>
      </c>
      <c r="G121" s="3">
        <v>46</v>
      </c>
      <c r="H121" s="3">
        <v>37</v>
      </c>
      <c r="I121" s="3" t="s">
        <v>26</v>
      </c>
      <c r="J121" s="3" t="s">
        <v>27</v>
      </c>
      <c r="K121" s="3">
        <f>VLOOKUP(Tableau3[[#This Row],[essence]],Tableau7[],2,FALSE)</f>
        <v>-1.7838000000000001</v>
      </c>
      <c r="L121" s="3">
        <f>VLOOKUP(Tableau3[[#This Row],[essence]],Tableau7[],3,FALSE)</f>
        <v>-7.3400000000000007E-2</v>
      </c>
      <c r="M121" s="3">
        <f>VLOOKUP(Tableau3[[#This Row],[essence]],Tableau7[],4,FALSE)</f>
        <v>1.5893999999999999</v>
      </c>
      <c r="N121" s="3">
        <f>IF(Tableau3[[#This Row],[priorecol]]="C",1,0)</f>
        <v>1</v>
      </c>
      <c r="O121" s="3">
        <f>VLOOKUP(Tableau3[[#This Row],[essence]],Tableau7[],5,FALSE)</f>
        <v>2.1800000000000002</v>
      </c>
      <c r="P121" s="3">
        <f>IF(Tableau3[[#This Row],[priorecol]]="R",1,0)</f>
        <v>0</v>
      </c>
      <c r="Q121" s="3">
        <f>VLOOKUP(Tableau3[[#This Row],[essence]],Tableau7[],6,FALSE)</f>
        <v>0.91710000000000003</v>
      </c>
      <c r="R121" s="3">
        <f>IF(Tableau3[[#This Row],[priorecol]]="S",1,0)</f>
        <v>0</v>
      </c>
      <c r="S121" s="3">
        <f>VLOOKUP(Tableau3[[#This Row],[essence]],Tableau7[],7,FALSE)</f>
        <v>0</v>
      </c>
      <c r="T121" s="3">
        <f>VLOOKUP(Tableau3[[#This Row],[essence]],Tableau7[],15,FALSE)</f>
        <v>0</v>
      </c>
      <c r="U121" s="3">
        <f>VLOOKUP(Tableau3[[#This Row],[essence]],Tableau7[],20,FALSE)</f>
        <v>0</v>
      </c>
      <c r="V121" s="3">
        <f>IF(Tableau3[[#This Row],[sdom]]=1,1,0)</f>
        <v>0</v>
      </c>
      <c r="W121" s="3">
        <f>VLOOKUP(Tableau3[[#This Row],[essence]],Tableau7[],8,FALSE)</f>
        <v>0</v>
      </c>
      <c r="X121" s="3">
        <f>IF(Tableau3[[#This Row],[sdom]]="2EST",1,0)</f>
        <v>0</v>
      </c>
      <c r="Y121" s="3">
        <f>VLOOKUP(Tableau3[[#This Row],[essence]],Tableau7[],9,FALSE)</f>
        <v>-0.22550000000000001</v>
      </c>
      <c r="Z121" s="3">
        <f>IF(Tableau3[[#This Row],[sdom]]="2OUEST",1,0)</f>
        <v>0</v>
      </c>
      <c r="AA121" s="3">
        <f>VLOOKUP(Tableau3[[#This Row],[essence]],Tableau7[],10,FALSE)</f>
        <v>0</v>
      </c>
      <c r="AB121" s="3">
        <f>IF(Tableau3[[#This Row],[sdom]]="3EST",1,0)</f>
        <v>0</v>
      </c>
      <c r="AC121" s="3">
        <f>VLOOKUP(Tableau3[[#This Row],[essence]],Tableau7[],11,FALSE)</f>
        <v>0.3513</v>
      </c>
      <c r="AD121" s="3">
        <f>IF(Tableau3[[#This Row],[sdom]]="3OUEST",1,0)</f>
        <v>0</v>
      </c>
      <c r="AE121" s="3">
        <f>VLOOKUP(Tableau3[[#This Row],[essence]],Tableau7[],12,FALSE)</f>
        <v>-0.42259999999999998</v>
      </c>
      <c r="AF121" s="3">
        <f>IF(Tableau3[[#This Row],[sdom]]="4EST",1,0)</f>
        <v>1</v>
      </c>
      <c r="AG121" s="3">
        <f>VLOOKUP(Tableau3[[#This Row],[essence]],Tableau7[],13,FALSE)</f>
        <v>0.25390000000000001</v>
      </c>
      <c r="AH121" s="3">
        <f>IF(Tableau3[[#This Row],[sdom]]="4OUEST",1,0)</f>
        <v>0</v>
      </c>
      <c r="AI121" s="3">
        <f>VLOOKUP(Tableau3[[#This Row],[essence]],Tableau7[],14,FALSE)</f>
        <v>4.6199999999999998E-2</v>
      </c>
      <c r="AJ121" s="3">
        <f>IF(Tableau3[[#This Row],[sdom]]="5EST",1,0)</f>
        <v>0</v>
      </c>
      <c r="AK121" s="3">
        <f>VLOOKUP(Tableau3[[#This Row],[essence]],Tableau7[],17,FALSE)</f>
        <v>0</v>
      </c>
      <c r="AL121" s="3">
        <f>IF(Tableau3[[#This Row],[priorecol]]="C",1,0)</f>
        <v>1</v>
      </c>
      <c r="AM121" s="3">
        <f>VLOOKUP(Tableau3[[#This Row],[essence]],Tableau7[],18,FALSE)</f>
        <v>0</v>
      </c>
      <c r="AN121" s="3">
        <f>IF(Tableau3[[#This Row],[priorecol]]="R",1,0)</f>
        <v>0</v>
      </c>
      <c r="AO121" s="3">
        <f>VLOOKUP(Tableau3[[#This Row],[essence]],Tableau7[],19,FALSE)</f>
        <v>0</v>
      </c>
      <c r="AP121" s="3">
        <f>IF(Tableau3[[#This Row],[priorecol]]="S",1,0)</f>
        <v>0</v>
      </c>
      <c r="AQ121" s="3">
        <f>VLOOKUP(Tableau3[[#This Row],[essence]],Tableau7[],21,FALSE)</f>
        <v>0</v>
      </c>
      <c r="AR121" s="3">
        <f>VLOOKUP(Tableau3[[#This Row],[essence]],Tableau7[],16,FALSE)</f>
        <v>0.24340000000000001</v>
      </c>
      <c r="AS12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1.4588799999999997</v>
      </c>
      <c r="AT121" s="3">
        <f>Tableau3[[#This Row],[xb_]]+Tableau3[[#This Row],[b_intercept_C]]</f>
        <v>1.3854799999999998</v>
      </c>
      <c r="AU121" s="3">
        <f>Tableau3[[#This Row],[xb_]]+Tableau3[[#This Row],[b_intercept_B]]</f>
        <v>-0.32492000000000032</v>
      </c>
      <c r="AV121" s="3">
        <f>1/(1+EXP(-Tableau3[[#This Row],[xb_c]]))</f>
        <v>0.79986967038740941</v>
      </c>
      <c r="AW121" s="3">
        <f>1/(1+EXP(-Tableau3[[#This Row],[xb_b]]))</f>
        <v>0.41947717633982529</v>
      </c>
      <c r="AX121" s="3" t="str">
        <f t="shared" si="3"/>
        <v>NA</v>
      </c>
      <c r="AY121" s="3">
        <f>Tableau3[[#This Row],[prob_b]]</f>
        <v>0.41947717633982529</v>
      </c>
      <c r="AZ121" s="3">
        <f>Tableau3[[#This Row],[prob_c]]-Tableau3[[#This Row],[prob_b]]</f>
        <v>0.38039249404758413</v>
      </c>
      <c r="BA121" s="3">
        <f>1-Tableau3[[#This Row],[prob_c]]</f>
        <v>0.20013032961259059</v>
      </c>
    </row>
    <row r="122" spans="1:53" x14ac:dyDescent="0.25">
      <c r="A122" s="2">
        <v>7</v>
      </c>
      <c r="B122" s="2" t="s">
        <v>15</v>
      </c>
      <c r="C122" s="4">
        <v>2.1</v>
      </c>
      <c r="D122" s="4">
        <v>700</v>
      </c>
      <c r="E122" s="4">
        <v>20</v>
      </c>
      <c r="F122" s="4">
        <v>1</v>
      </c>
      <c r="G122" s="2">
        <v>28</v>
      </c>
      <c r="H122" s="2">
        <v>37</v>
      </c>
      <c r="I122" s="2" t="s">
        <v>20</v>
      </c>
      <c r="J122" s="2" t="s">
        <v>27</v>
      </c>
      <c r="K122" s="2">
        <f>VLOOKUP(Tableau3[[#This Row],[essence]],Tableau7[],2,FALSE)</f>
        <v>-0.80379999999999996</v>
      </c>
      <c r="L122" s="3">
        <f>VLOOKUP(Tableau3[[#This Row],[essence]],Tableau7[],3,FALSE)</f>
        <v>0.88800000000000001</v>
      </c>
      <c r="M122" s="3">
        <f>VLOOKUP(Tableau3[[#This Row],[essence]],Tableau7[],4,FALSE)</f>
        <v>1.5212000000000001</v>
      </c>
      <c r="N122" s="3">
        <f>IF(Tableau3[[#This Row],[priorecol]]="C",1,0)</f>
        <v>1</v>
      </c>
      <c r="O122" s="3">
        <f>VLOOKUP(Tableau3[[#This Row],[essence]],Tableau7[],5,FALSE)</f>
        <v>1.8714999999999999</v>
      </c>
      <c r="P122" s="3">
        <f>IF(Tableau3[[#This Row],[priorecol]]="R",1,0)</f>
        <v>0</v>
      </c>
      <c r="Q122" s="3">
        <f>VLOOKUP(Tableau3[[#This Row],[essence]],Tableau7[],6,FALSE)</f>
        <v>0.51549999999999996</v>
      </c>
      <c r="R122" s="3">
        <f>IF(Tableau3[[#This Row],[priorecol]]="S",1,0)</f>
        <v>0</v>
      </c>
      <c r="S122" s="3">
        <f>VLOOKUP(Tableau3[[#This Row],[essence]],Tableau7[],7,FALSE)</f>
        <v>0</v>
      </c>
      <c r="T122" s="3">
        <f>VLOOKUP(Tableau3[[#This Row],[essence]],Tableau7[],15,FALSE)</f>
        <v>9.0500000000000008E-3</v>
      </c>
      <c r="U122" s="3">
        <f>VLOOKUP(Tableau3[[#This Row],[essence]],Tableau7[],20,FALSE)</f>
        <v>0</v>
      </c>
      <c r="V122" s="3">
        <f>IF(Tableau3[[#This Row],[sdom]]=1,1,0)</f>
        <v>0</v>
      </c>
      <c r="W122" s="3">
        <f>VLOOKUP(Tableau3[[#This Row],[essence]],Tableau7[],8,FALSE)</f>
        <v>0</v>
      </c>
      <c r="X122" s="3">
        <f>IF(Tableau3[[#This Row],[sdom]]="2EST",1,0)</f>
        <v>0</v>
      </c>
      <c r="Y122" s="3">
        <f>VLOOKUP(Tableau3[[#This Row],[essence]],Tableau7[],9,FALSE)</f>
        <v>-4.5199999999999997E-2</v>
      </c>
      <c r="Z122" s="3">
        <f>IF(Tableau3[[#This Row],[sdom]]="2OUEST",1,0)</f>
        <v>0</v>
      </c>
      <c r="AA122" s="3">
        <f>VLOOKUP(Tableau3[[#This Row],[essence]],Tableau7[],10,FALSE)</f>
        <v>1.15E-2</v>
      </c>
      <c r="AB122" s="3">
        <f>IF(Tableau3[[#This Row],[sdom]]="3EST",1,0)</f>
        <v>0</v>
      </c>
      <c r="AC122" s="3">
        <f>VLOOKUP(Tableau3[[#This Row],[essence]],Tableau7[],11,FALSE)</f>
        <v>0.1169</v>
      </c>
      <c r="AD122" s="3">
        <f>IF(Tableau3[[#This Row],[sdom]]="3OUEST",1,0)</f>
        <v>0</v>
      </c>
      <c r="AE122" s="3">
        <f>VLOOKUP(Tableau3[[#This Row],[essence]],Tableau7[],12,FALSE)</f>
        <v>-0.1686</v>
      </c>
      <c r="AF122" s="3">
        <f>IF(Tableau3[[#This Row],[sdom]]="4EST",1,0)</f>
        <v>0</v>
      </c>
      <c r="AG122" s="3">
        <f>VLOOKUP(Tableau3[[#This Row],[essence]],Tableau7[],13,FALSE)</f>
        <v>0.11940000000000001</v>
      </c>
      <c r="AH122" s="3">
        <f>IF(Tableau3[[#This Row],[sdom]]="4OUEST",1,0)</f>
        <v>1</v>
      </c>
      <c r="AI122" s="3">
        <f>VLOOKUP(Tableau3[[#This Row],[essence]],Tableau7[],14,FALSE)</f>
        <v>-0.13100000000000001</v>
      </c>
      <c r="AJ122" s="3">
        <f>IF(Tableau3[[#This Row],[sdom]]="5EST",1,0)</f>
        <v>0</v>
      </c>
      <c r="AK122" s="3">
        <f>VLOOKUP(Tableau3[[#This Row],[essence]],Tableau7[],17,FALSE)</f>
        <v>-1.8599999999999998E-2</v>
      </c>
      <c r="AL122" s="3">
        <f>IF(Tableau3[[#This Row],[priorecol]]="C",1,0)</f>
        <v>1</v>
      </c>
      <c r="AM122" s="3">
        <f>VLOOKUP(Tableau3[[#This Row],[essence]],Tableau7[],18,FALSE)</f>
        <v>-8.5500000000000003E-3</v>
      </c>
      <c r="AN122" s="3">
        <f>IF(Tableau3[[#This Row],[priorecol]]="R",1,0)</f>
        <v>0</v>
      </c>
      <c r="AO122" s="3">
        <f>VLOOKUP(Tableau3[[#This Row],[essence]],Tableau7[],19,FALSE)</f>
        <v>1.54E-2</v>
      </c>
      <c r="AP122" s="3">
        <f>IF(Tableau3[[#This Row],[priorecol]]="S",1,0)</f>
        <v>0</v>
      </c>
      <c r="AQ122" s="3">
        <f>VLOOKUP(Tableau3[[#This Row],[essence]],Tableau7[],21,FALSE)</f>
        <v>0</v>
      </c>
      <c r="AR122" s="3">
        <f>VLOOKUP(Tableau3[[#This Row],[essence]],Tableau7[],16,FALSE)</f>
        <v>0</v>
      </c>
      <c r="AS12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1.4496000000000002</v>
      </c>
      <c r="AT122" s="3">
        <f>Tableau3[[#This Row],[xb_]]+Tableau3[[#This Row],[b_intercept_C]]</f>
        <v>2.3376000000000001</v>
      </c>
      <c r="AU122" s="3">
        <f>Tableau3[[#This Row],[xb_]]+Tableau3[[#This Row],[b_intercept_B]]</f>
        <v>0.64580000000000026</v>
      </c>
      <c r="AV122" s="3">
        <f>1/(1+EXP(-Tableau3[[#This Row],[xb_c]]))</f>
        <v>0.91194354958752777</v>
      </c>
      <c r="AW122" s="3">
        <f>1/(1+EXP(-Tableau3[[#This Row],[xb_b]]))</f>
        <v>0.65606337911582902</v>
      </c>
      <c r="AX122" s="3" t="str">
        <f t="shared" si="3"/>
        <v>NA</v>
      </c>
      <c r="AY122" s="3">
        <f>Tableau3[[#This Row],[prob_b]]</f>
        <v>0.65606337911582902</v>
      </c>
      <c r="AZ122" s="3">
        <f>Tableau3[[#This Row],[prob_c]]-Tableau3[[#This Row],[prob_b]]</f>
        <v>0.25588017047169875</v>
      </c>
      <c r="BA122" s="3">
        <f>1-Tableau3[[#This Row],[prob_c]]</f>
        <v>8.8056450412472231E-2</v>
      </c>
    </row>
    <row r="123" spans="1:53" x14ac:dyDescent="0.25">
      <c r="A123" s="3">
        <v>7</v>
      </c>
      <c r="B123" s="3" t="s">
        <v>15</v>
      </c>
      <c r="C123" s="1">
        <v>2.1</v>
      </c>
      <c r="D123" s="1">
        <v>700</v>
      </c>
      <c r="E123" s="1">
        <v>20</v>
      </c>
      <c r="F123" s="1">
        <v>1</v>
      </c>
      <c r="G123" s="3">
        <v>34</v>
      </c>
      <c r="H123" s="3">
        <v>37</v>
      </c>
      <c r="I123" s="3" t="s">
        <v>22</v>
      </c>
      <c r="J123" s="3" t="s">
        <v>27</v>
      </c>
      <c r="K123" s="3">
        <f>VLOOKUP(Tableau3[[#This Row],[essence]],Tableau7[],2,FALSE)</f>
        <v>-1.8420000000000001</v>
      </c>
      <c r="L123" s="3">
        <f>VLOOKUP(Tableau3[[#This Row],[essence]],Tableau7[],3,FALSE)</f>
        <v>0.2177</v>
      </c>
      <c r="M123" s="3">
        <f>VLOOKUP(Tableau3[[#This Row],[essence]],Tableau7[],4,FALSE)</f>
        <v>1.9473</v>
      </c>
      <c r="N123" s="3">
        <f>IF(Tableau3[[#This Row],[priorecol]]="C",1,0)</f>
        <v>1</v>
      </c>
      <c r="O123" s="3">
        <f>VLOOKUP(Tableau3[[#This Row],[essence]],Tableau7[],5,FALSE)</f>
        <v>3.0630999999999999</v>
      </c>
      <c r="P123" s="3">
        <f>IF(Tableau3[[#This Row],[priorecol]]="R",1,0)</f>
        <v>0</v>
      </c>
      <c r="Q123" s="3">
        <f>VLOOKUP(Tableau3[[#This Row],[essence]],Tableau7[],6,FALSE)</f>
        <v>1.5014000000000001</v>
      </c>
      <c r="R123" s="3">
        <f>IF(Tableau3[[#This Row],[priorecol]]="S",1,0)</f>
        <v>0</v>
      </c>
      <c r="S123" s="3">
        <f>VLOOKUP(Tableau3[[#This Row],[essence]],Tableau7[],7,FALSE)</f>
        <v>0</v>
      </c>
      <c r="T123" s="3">
        <f>VLOOKUP(Tableau3[[#This Row],[essence]],Tableau7[],15,FALSE)</f>
        <v>0</v>
      </c>
      <c r="U123" s="3">
        <f>VLOOKUP(Tableau3[[#This Row],[essence]],Tableau7[],20,FALSE)</f>
        <v>0.49399999999999999</v>
      </c>
      <c r="V123" s="3">
        <f>IF(Tableau3[[#This Row],[sdom]]=1,1,0)</f>
        <v>0</v>
      </c>
      <c r="W123" s="3">
        <f>VLOOKUP(Tableau3[[#This Row],[essence]],Tableau7[],8,FALSE)</f>
        <v>0.42420000000000002</v>
      </c>
      <c r="X123" s="3">
        <f>IF(Tableau3[[#This Row],[sdom]]="2EST",1,0)</f>
        <v>0</v>
      </c>
      <c r="Y123" s="3">
        <f>VLOOKUP(Tableau3[[#This Row],[essence]],Tableau7[],9,FALSE)</f>
        <v>7.4300000000000005E-2</v>
      </c>
      <c r="Z123" s="3">
        <f>IF(Tableau3[[#This Row],[sdom]]="2OUEST",1,0)</f>
        <v>0</v>
      </c>
      <c r="AA123" s="3">
        <f>VLOOKUP(Tableau3[[#This Row],[essence]],Tableau7[],10,FALSE)</f>
        <v>-6.7000000000000004E-2</v>
      </c>
      <c r="AB123" s="3">
        <f>IF(Tableau3[[#This Row],[sdom]]="3EST",1,0)</f>
        <v>0</v>
      </c>
      <c r="AC123" s="3">
        <f>VLOOKUP(Tableau3[[#This Row],[essence]],Tableau7[],11,FALSE)</f>
        <v>-8.3400000000000002E-2</v>
      </c>
      <c r="AD123" s="3">
        <f>IF(Tableau3[[#This Row],[sdom]]="3OUEST",1,0)</f>
        <v>0</v>
      </c>
      <c r="AE123" s="3">
        <f>VLOOKUP(Tableau3[[#This Row],[essence]],Tableau7[],12,FALSE)</f>
        <v>-0.26840000000000003</v>
      </c>
      <c r="AF123" s="3">
        <f>IF(Tableau3[[#This Row],[sdom]]="4EST",1,0)</f>
        <v>0</v>
      </c>
      <c r="AG123" s="3">
        <f>VLOOKUP(Tableau3[[#This Row],[essence]],Tableau7[],13,FALSE)</f>
        <v>0</v>
      </c>
      <c r="AH123" s="3">
        <f>IF(Tableau3[[#This Row],[sdom]]="4OUEST",1,0)</f>
        <v>1</v>
      </c>
      <c r="AI123" s="3">
        <f>VLOOKUP(Tableau3[[#This Row],[essence]],Tableau7[],14,FALSE)</f>
        <v>0</v>
      </c>
      <c r="AJ123" s="3">
        <f>IF(Tableau3[[#This Row],[sdom]]="5EST",1,0)</f>
        <v>0</v>
      </c>
      <c r="AK123" s="3">
        <f>VLOOKUP(Tableau3[[#This Row],[essence]],Tableau7[],17,FALSE)</f>
        <v>0</v>
      </c>
      <c r="AL123" s="3">
        <f>IF(Tableau3[[#This Row],[priorecol]]="C",1,0)</f>
        <v>1</v>
      </c>
      <c r="AM123" s="3">
        <f>VLOOKUP(Tableau3[[#This Row],[essence]],Tableau7[],18,FALSE)</f>
        <v>0</v>
      </c>
      <c r="AN123" s="3">
        <f>IF(Tableau3[[#This Row],[priorecol]]="R",1,0)</f>
        <v>0</v>
      </c>
      <c r="AO123" s="3">
        <f>VLOOKUP(Tableau3[[#This Row],[essence]],Tableau7[],19,FALSE)</f>
        <v>0</v>
      </c>
      <c r="AP123" s="3">
        <f>IF(Tableau3[[#This Row],[priorecol]]="S",1,0)</f>
        <v>0</v>
      </c>
      <c r="AQ123" s="3">
        <f>VLOOKUP(Tableau3[[#This Row],[essence]],Tableau7[],21,FALSE)</f>
        <v>0</v>
      </c>
      <c r="AR123" s="3">
        <f>VLOOKUP(Tableau3[[#This Row],[essence]],Tableau7[],16,FALSE)</f>
        <v>0</v>
      </c>
      <c r="AS12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1.9473</v>
      </c>
      <c r="AT123" s="3">
        <f>Tableau3[[#This Row],[xb_]]+Tableau3[[#This Row],[b_intercept_C]]</f>
        <v>2.165</v>
      </c>
      <c r="AU123" s="3">
        <f>Tableau3[[#This Row],[xb_]]+Tableau3[[#This Row],[b_intercept_B]]</f>
        <v>0.10529999999999995</v>
      </c>
      <c r="AV123" s="3">
        <f>1/(1+EXP(-Tableau3[[#This Row],[xb_c]]))</f>
        <v>0.89706217418282785</v>
      </c>
      <c r="AW123" s="3">
        <f>1/(1+EXP(-Tableau3[[#This Row],[xb_b]]))</f>
        <v>0.5263007024435562</v>
      </c>
      <c r="AX123" s="3" t="str">
        <f t="shared" si="3"/>
        <v>NA</v>
      </c>
      <c r="AY123" s="3">
        <f>Tableau3[[#This Row],[prob_b]]</f>
        <v>0.5263007024435562</v>
      </c>
      <c r="AZ123" s="3">
        <f>Tableau3[[#This Row],[prob_c]]-Tableau3[[#This Row],[prob_b]]</f>
        <v>0.37076147173927165</v>
      </c>
      <c r="BA123" s="3">
        <f>1-Tableau3[[#This Row],[prob_c]]</f>
        <v>0.10293782581717215</v>
      </c>
    </row>
    <row r="124" spans="1:53" x14ac:dyDescent="0.25">
      <c r="A124" s="2">
        <v>7</v>
      </c>
      <c r="B124" s="2" t="s">
        <v>15</v>
      </c>
      <c r="C124" s="4">
        <v>2.1</v>
      </c>
      <c r="D124" s="4">
        <v>700</v>
      </c>
      <c r="E124" s="4">
        <v>20</v>
      </c>
      <c r="F124" s="4">
        <v>1</v>
      </c>
      <c r="G124" s="2">
        <v>40</v>
      </c>
      <c r="H124" s="2">
        <v>37</v>
      </c>
      <c r="I124" s="2" t="s">
        <v>24</v>
      </c>
      <c r="J124" s="2" t="s">
        <v>27</v>
      </c>
      <c r="K124" s="2">
        <f>VLOOKUP(Tableau3[[#This Row],[essence]],Tableau7[],2,FALSE)</f>
        <v>-0.84530000000000005</v>
      </c>
      <c r="L124" s="3">
        <f>VLOOKUP(Tableau3[[#This Row],[essence]],Tableau7[],3,FALSE)</f>
        <v>0.93089999999999995</v>
      </c>
      <c r="M124" s="3">
        <f>VLOOKUP(Tableau3[[#This Row],[essence]],Tableau7[],4,FALSE)</f>
        <v>1.4276</v>
      </c>
      <c r="N124" s="3">
        <f>IF(Tableau3[[#This Row],[priorecol]]="C",1,0)</f>
        <v>1</v>
      </c>
      <c r="O124" s="3">
        <f>VLOOKUP(Tableau3[[#This Row],[essence]],Tableau7[],5,FALSE)</f>
        <v>2.468</v>
      </c>
      <c r="P124" s="3">
        <f>IF(Tableau3[[#This Row],[priorecol]]="R",1,0)</f>
        <v>0</v>
      </c>
      <c r="Q124" s="3">
        <f>VLOOKUP(Tableau3[[#This Row],[essence]],Tableau7[],6,FALSE)</f>
        <v>0.86019999999999996</v>
      </c>
      <c r="R124" s="3">
        <f>IF(Tableau3[[#This Row],[priorecol]]="S",1,0)</f>
        <v>0</v>
      </c>
      <c r="S124" s="3">
        <f>VLOOKUP(Tableau3[[#This Row],[essence]],Tableau7[],7,FALSE)</f>
        <v>0</v>
      </c>
      <c r="T124" s="3">
        <f>VLOOKUP(Tableau3[[#This Row],[essence]],Tableau7[],15,FALSE)</f>
        <v>1.7299999999999999E-2</v>
      </c>
      <c r="U124" s="3">
        <f>VLOOKUP(Tableau3[[#This Row],[essence]],Tableau7[],20,FALSE)</f>
        <v>-0.28799999999999998</v>
      </c>
      <c r="V124" s="3">
        <f>IF(Tableau3[[#This Row],[sdom]]=1,1,0)</f>
        <v>0</v>
      </c>
      <c r="W124" s="3">
        <f>VLOOKUP(Tableau3[[#This Row],[essence]],Tableau7[],8,FALSE)</f>
        <v>-0.18859999999999999</v>
      </c>
      <c r="X124" s="3">
        <f>IF(Tableau3[[#This Row],[sdom]]="2EST",1,0)</f>
        <v>0</v>
      </c>
      <c r="Y124" s="3">
        <f>VLOOKUP(Tableau3[[#This Row],[essence]],Tableau7[],9,FALSE)</f>
        <v>1.2699999999999999E-2</v>
      </c>
      <c r="Z124" s="3">
        <f>IF(Tableau3[[#This Row],[sdom]]="2OUEST",1,0)</f>
        <v>0</v>
      </c>
      <c r="AA124" s="3">
        <f>VLOOKUP(Tableau3[[#This Row],[essence]],Tableau7[],10,FALSE)</f>
        <v>0</v>
      </c>
      <c r="AB124" s="3">
        <f>IF(Tableau3[[#This Row],[sdom]]="3EST",1,0)</f>
        <v>0</v>
      </c>
      <c r="AC124" s="3">
        <f>VLOOKUP(Tableau3[[#This Row],[essence]],Tableau7[],11,FALSE)</f>
        <v>0.30009999999999998</v>
      </c>
      <c r="AD124" s="3">
        <f>IF(Tableau3[[#This Row],[sdom]]="3OUEST",1,0)</f>
        <v>0</v>
      </c>
      <c r="AE124" s="3">
        <f>VLOOKUP(Tableau3[[#This Row],[essence]],Tableau7[],12,FALSE)</f>
        <v>0</v>
      </c>
      <c r="AF124" s="3">
        <f>IF(Tableau3[[#This Row],[sdom]]="4EST",1,0)</f>
        <v>0</v>
      </c>
      <c r="AG124" s="3">
        <f>VLOOKUP(Tableau3[[#This Row],[essence]],Tableau7[],13,FALSE)</f>
        <v>0</v>
      </c>
      <c r="AH124" s="3">
        <f>IF(Tableau3[[#This Row],[sdom]]="4OUEST",1,0)</f>
        <v>1</v>
      </c>
      <c r="AI124" s="3">
        <f>VLOOKUP(Tableau3[[#This Row],[essence]],Tableau7[],14,FALSE)</f>
        <v>0</v>
      </c>
      <c r="AJ124" s="3">
        <f>IF(Tableau3[[#This Row],[sdom]]="5EST",1,0)</f>
        <v>0</v>
      </c>
      <c r="AK124" s="3">
        <f>VLOOKUP(Tableau3[[#This Row],[essence]],Tableau7[],17,FALSE)</f>
        <v>0</v>
      </c>
      <c r="AL124" s="3">
        <f>IF(Tableau3[[#This Row],[priorecol]]="C",1,0)</f>
        <v>1</v>
      </c>
      <c r="AM124" s="3">
        <f>VLOOKUP(Tableau3[[#This Row],[essence]],Tableau7[],18,FALSE)</f>
        <v>0</v>
      </c>
      <c r="AN124" s="3">
        <f>IF(Tableau3[[#This Row],[priorecol]]="R",1,0)</f>
        <v>0</v>
      </c>
      <c r="AO124" s="3">
        <f>VLOOKUP(Tableau3[[#This Row],[essence]],Tableau7[],19,FALSE)</f>
        <v>0</v>
      </c>
      <c r="AP124" s="3">
        <f>IF(Tableau3[[#This Row],[priorecol]]="S",1,0)</f>
        <v>0</v>
      </c>
      <c r="AQ124" s="3">
        <f>VLOOKUP(Tableau3[[#This Row],[essence]],Tableau7[],21,FALSE)</f>
        <v>0</v>
      </c>
      <c r="AR124" s="3">
        <f>VLOOKUP(Tableau3[[#This Row],[essence]],Tableau7[],16,FALSE)</f>
        <v>0</v>
      </c>
      <c r="AS12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1.7736000000000001</v>
      </c>
      <c r="AT124" s="3">
        <f>Tableau3[[#This Row],[xb_]]+Tableau3[[#This Row],[b_intercept_C]]</f>
        <v>2.7044999999999999</v>
      </c>
      <c r="AU124" s="3">
        <f>Tableau3[[#This Row],[xb_]]+Tableau3[[#This Row],[b_intercept_B]]</f>
        <v>0.92830000000000001</v>
      </c>
      <c r="AV124" s="3">
        <f>1/(1+EXP(-Tableau3[[#This Row],[xb_c]]))</f>
        <v>0.93729165702197736</v>
      </c>
      <c r="AW124" s="3">
        <f>1/(1+EXP(-Tableau3[[#This Row],[xb_b]]))</f>
        <v>0.71673026510916005</v>
      </c>
      <c r="AX124" s="3" t="str">
        <f t="shared" si="3"/>
        <v>NA</v>
      </c>
      <c r="AY124" s="3">
        <f>Tableau3[[#This Row],[prob_b]]</f>
        <v>0.71673026510916005</v>
      </c>
      <c r="AZ124" s="3">
        <f>Tableau3[[#This Row],[prob_c]]-Tableau3[[#This Row],[prob_b]]</f>
        <v>0.22056139191281732</v>
      </c>
      <c r="BA124" s="3">
        <f>1-Tableau3[[#This Row],[prob_c]]</f>
        <v>6.2708342978022635E-2</v>
      </c>
    </row>
    <row r="125" spans="1:53" x14ac:dyDescent="0.25">
      <c r="A125" s="3">
        <v>7</v>
      </c>
      <c r="B125" s="3" t="s">
        <v>15</v>
      </c>
      <c r="C125" s="1">
        <v>2.1</v>
      </c>
      <c r="D125" s="1">
        <v>700</v>
      </c>
      <c r="E125" s="1">
        <v>20</v>
      </c>
      <c r="F125" s="1">
        <v>1</v>
      </c>
      <c r="G125" s="3">
        <v>46</v>
      </c>
      <c r="H125" s="3">
        <v>37</v>
      </c>
      <c r="I125" s="3" t="s">
        <v>26</v>
      </c>
      <c r="J125" s="3" t="s">
        <v>27</v>
      </c>
      <c r="K125" s="3">
        <f>VLOOKUP(Tableau3[[#This Row],[essence]],Tableau7[],2,FALSE)</f>
        <v>-1.7838000000000001</v>
      </c>
      <c r="L125" s="3">
        <f>VLOOKUP(Tableau3[[#This Row],[essence]],Tableau7[],3,FALSE)</f>
        <v>-7.3400000000000007E-2</v>
      </c>
      <c r="M125" s="3">
        <f>VLOOKUP(Tableau3[[#This Row],[essence]],Tableau7[],4,FALSE)</f>
        <v>1.5893999999999999</v>
      </c>
      <c r="N125" s="3">
        <f>IF(Tableau3[[#This Row],[priorecol]]="C",1,0)</f>
        <v>1</v>
      </c>
      <c r="O125" s="3">
        <f>VLOOKUP(Tableau3[[#This Row],[essence]],Tableau7[],5,FALSE)</f>
        <v>2.1800000000000002</v>
      </c>
      <c r="P125" s="3">
        <f>IF(Tableau3[[#This Row],[priorecol]]="R",1,0)</f>
        <v>0</v>
      </c>
      <c r="Q125" s="3">
        <f>VLOOKUP(Tableau3[[#This Row],[essence]],Tableau7[],6,FALSE)</f>
        <v>0.91710000000000003</v>
      </c>
      <c r="R125" s="3">
        <f>IF(Tableau3[[#This Row],[priorecol]]="S",1,0)</f>
        <v>0</v>
      </c>
      <c r="S125" s="3">
        <f>VLOOKUP(Tableau3[[#This Row],[essence]],Tableau7[],7,FALSE)</f>
        <v>0</v>
      </c>
      <c r="T125" s="3">
        <f>VLOOKUP(Tableau3[[#This Row],[essence]],Tableau7[],15,FALSE)</f>
        <v>0</v>
      </c>
      <c r="U125" s="3">
        <f>VLOOKUP(Tableau3[[#This Row],[essence]],Tableau7[],20,FALSE)</f>
        <v>0</v>
      </c>
      <c r="V125" s="3">
        <f>IF(Tableau3[[#This Row],[sdom]]=1,1,0)</f>
        <v>0</v>
      </c>
      <c r="W125" s="3">
        <f>VLOOKUP(Tableau3[[#This Row],[essence]],Tableau7[],8,FALSE)</f>
        <v>0</v>
      </c>
      <c r="X125" s="3">
        <f>IF(Tableau3[[#This Row],[sdom]]="2EST",1,0)</f>
        <v>0</v>
      </c>
      <c r="Y125" s="3">
        <f>VLOOKUP(Tableau3[[#This Row],[essence]],Tableau7[],9,FALSE)</f>
        <v>-0.22550000000000001</v>
      </c>
      <c r="Z125" s="3">
        <f>IF(Tableau3[[#This Row],[sdom]]="2OUEST",1,0)</f>
        <v>0</v>
      </c>
      <c r="AA125" s="3">
        <f>VLOOKUP(Tableau3[[#This Row],[essence]],Tableau7[],10,FALSE)</f>
        <v>0</v>
      </c>
      <c r="AB125" s="3">
        <f>IF(Tableau3[[#This Row],[sdom]]="3EST",1,0)</f>
        <v>0</v>
      </c>
      <c r="AC125" s="3">
        <f>VLOOKUP(Tableau3[[#This Row],[essence]],Tableau7[],11,FALSE)</f>
        <v>0.3513</v>
      </c>
      <c r="AD125" s="3">
        <f>IF(Tableau3[[#This Row],[sdom]]="3OUEST",1,0)</f>
        <v>0</v>
      </c>
      <c r="AE125" s="3">
        <f>VLOOKUP(Tableau3[[#This Row],[essence]],Tableau7[],12,FALSE)</f>
        <v>-0.42259999999999998</v>
      </c>
      <c r="AF125" s="3">
        <f>IF(Tableau3[[#This Row],[sdom]]="4EST",1,0)</f>
        <v>0</v>
      </c>
      <c r="AG125" s="3">
        <f>VLOOKUP(Tableau3[[#This Row],[essence]],Tableau7[],13,FALSE)</f>
        <v>0.25390000000000001</v>
      </c>
      <c r="AH125" s="3">
        <f>IF(Tableau3[[#This Row],[sdom]]="4OUEST",1,0)</f>
        <v>1</v>
      </c>
      <c r="AI125" s="3">
        <f>VLOOKUP(Tableau3[[#This Row],[essence]],Tableau7[],14,FALSE)</f>
        <v>4.6199999999999998E-2</v>
      </c>
      <c r="AJ125" s="3">
        <f>IF(Tableau3[[#This Row],[sdom]]="5EST",1,0)</f>
        <v>0</v>
      </c>
      <c r="AK125" s="3">
        <f>VLOOKUP(Tableau3[[#This Row],[essence]],Tableau7[],17,FALSE)</f>
        <v>0</v>
      </c>
      <c r="AL125" s="3">
        <f>IF(Tableau3[[#This Row],[priorecol]]="C",1,0)</f>
        <v>1</v>
      </c>
      <c r="AM125" s="3">
        <f>VLOOKUP(Tableau3[[#This Row],[essence]],Tableau7[],18,FALSE)</f>
        <v>0</v>
      </c>
      <c r="AN125" s="3">
        <f>IF(Tableau3[[#This Row],[priorecol]]="R",1,0)</f>
        <v>0</v>
      </c>
      <c r="AO125" s="3">
        <f>VLOOKUP(Tableau3[[#This Row],[essence]],Tableau7[],19,FALSE)</f>
        <v>0</v>
      </c>
      <c r="AP125" s="3">
        <f>IF(Tableau3[[#This Row],[priorecol]]="S",1,0)</f>
        <v>0</v>
      </c>
      <c r="AQ125" s="3">
        <f>VLOOKUP(Tableau3[[#This Row],[essence]],Tableau7[],21,FALSE)</f>
        <v>0</v>
      </c>
      <c r="AR125" s="3">
        <f>VLOOKUP(Tableau3[[#This Row],[essence]],Tableau7[],16,FALSE)</f>
        <v>0.24340000000000001</v>
      </c>
      <c r="AS12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2.3544399999999999</v>
      </c>
      <c r="AT125" s="3">
        <f>Tableau3[[#This Row],[xb_]]+Tableau3[[#This Row],[b_intercept_C]]</f>
        <v>2.28104</v>
      </c>
      <c r="AU125" s="3">
        <f>Tableau3[[#This Row],[xb_]]+Tableau3[[#This Row],[b_intercept_B]]</f>
        <v>0.57063999999999981</v>
      </c>
      <c r="AV125" s="3">
        <f>1/(1+EXP(-Tableau3[[#This Row],[xb_c]]))</f>
        <v>0.9072945595315649</v>
      </c>
      <c r="AW125" s="3">
        <f>1/(1+EXP(-Tableau3[[#This Row],[xb_b]]))</f>
        <v>0.63891083869001652</v>
      </c>
      <c r="AX125" s="3" t="str">
        <f t="shared" si="3"/>
        <v>NA</v>
      </c>
      <c r="AY125" s="3">
        <f>Tableau3[[#This Row],[prob_b]]</f>
        <v>0.63891083869001652</v>
      </c>
      <c r="AZ125" s="3">
        <f>Tableau3[[#This Row],[prob_c]]-Tableau3[[#This Row],[prob_b]]</f>
        <v>0.26838372084154838</v>
      </c>
      <c r="BA125" s="3">
        <f>1-Tableau3[[#This Row],[prob_c]]</f>
        <v>9.2705440468435096E-2</v>
      </c>
    </row>
    <row r="126" spans="1:53" x14ac:dyDescent="0.25">
      <c r="A126" s="2">
        <v>8</v>
      </c>
      <c r="B126" s="2" t="s">
        <v>16</v>
      </c>
      <c r="C126" s="4">
        <v>2.1</v>
      </c>
      <c r="D126" s="4">
        <v>700</v>
      </c>
      <c r="E126" s="4">
        <v>20</v>
      </c>
      <c r="F126" s="4">
        <v>1</v>
      </c>
      <c r="G126" s="2">
        <v>28</v>
      </c>
      <c r="H126" s="2">
        <v>37</v>
      </c>
      <c r="I126" s="2" t="s">
        <v>20</v>
      </c>
      <c r="J126" s="2" t="s">
        <v>27</v>
      </c>
      <c r="K126" s="2">
        <f>VLOOKUP(Tableau3[[#This Row],[essence]],Tableau7[],2,FALSE)</f>
        <v>-0.80379999999999996</v>
      </c>
      <c r="L126" s="3">
        <f>VLOOKUP(Tableau3[[#This Row],[essence]],Tableau7[],3,FALSE)</f>
        <v>0.88800000000000001</v>
      </c>
      <c r="M126" s="3">
        <f>VLOOKUP(Tableau3[[#This Row],[essence]],Tableau7[],4,FALSE)</f>
        <v>1.5212000000000001</v>
      </c>
      <c r="N126" s="3">
        <f>IF(Tableau3[[#This Row],[priorecol]]="C",1,0)</f>
        <v>1</v>
      </c>
      <c r="O126" s="3">
        <f>VLOOKUP(Tableau3[[#This Row],[essence]],Tableau7[],5,FALSE)</f>
        <v>1.8714999999999999</v>
      </c>
      <c r="P126" s="3">
        <f>IF(Tableau3[[#This Row],[priorecol]]="R",1,0)</f>
        <v>0</v>
      </c>
      <c r="Q126" s="3">
        <f>VLOOKUP(Tableau3[[#This Row],[essence]],Tableau7[],6,FALSE)</f>
        <v>0.51549999999999996</v>
      </c>
      <c r="R126" s="3">
        <f>IF(Tableau3[[#This Row],[priorecol]]="S",1,0)</f>
        <v>0</v>
      </c>
      <c r="S126" s="3">
        <f>VLOOKUP(Tableau3[[#This Row],[essence]],Tableau7[],7,FALSE)</f>
        <v>0</v>
      </c>
      <c r="T126" s="3">
        <f>VLOOKUP(Tableau3[[#This Row],[essence]],Tableau7[],15,FALSE)</f>
        <v>9.0500000000000008E-3</v>
      </c>
      <c r="U126" s="3">
        <f>VLOOKUP(Tableau3[[#This Row],[essence]],Tableau7[],20,FALSE)</f>
        <v>0</v>
      </c>
      <c r="V126" s="3">
        <f>IF(Tableau3[[#This Row],[sdom]]=1,1,0)</f>
        <v>0</v>
      </c>
      <c r="W126" s="3">
        <f>VLOOKUP(Tableau3[[#This Row],[essence]],Tableau7[],8,FALSE)</f>
        <v>0</v>
      </c>
      <c r="X126" s="3">
        <f>IF(Tableau3[[#This Row],[sdom]]="2EST",1,0)</f>
        <v>0</v>
      </c>
      <c r="Y126" s="3">
        <f>VLOOKUP(Tableau3[[#This Row],[essence]],Tableau7[],9,FALSE)</f>
        <v>-4.5199999999999997E-2</v>
      </c>
      <c r="Z126" s="3">
        <f>IF(Tableau3[[#This Row],[sdom]]="2OUEST",1,0)</f>
        <v>0</v>
      </c>
      <c r="AA126" s="3">
        <f>VLOOKUP(Tableau3[[#This Row],[essence]],Tableau7[],10,FALSE)</f>
        <v>1.15E-2</v>
      </c>
      <c r="AB126" s="3">
        <f>IF(Tableau3[[#This Row],[sdom]]="3EST",1,0)</f>
        <v>0</v>
      </c>
      <c r="AC126" s="3">
        <f>VLOOKUP(Tableau3[[#This Row],[essence]],Tableau7[],11,FALSE)</f>
        <v>0.1169</v>
      </c>
      <c r="AD126" s="3">
        <f>IF(Tableau3[[#This Row],[sdom]]="3OUEST",1,0)</f>
        <v>0</v>
      </c>
      <c r="AE126" s="3">
        <f>VLOOKUP(Tableau3[[#This Row],[essence]],Tableau7[],12,FALSE)</f>
        <v>-0.1686</v>
      </c>
      <c r="AF126" s="3">
        <f>IF(Tableau3[[#This Row],[sdom]]="4EST",1,0)</f>
        <v>0</v>
      </c>
      <c r="AG126" s="3">
        <f>VLOOKUP(Tableau3[[#This Row],[essence]],Tableau7[],13,FALSE)</f>
        <v>0.11940000000000001</v>
      </c>
      <c r="AH126" s="3">
        <f>IF(Tableau3[[#This Row],[sdom]]="4OUEST",1,0)</f>
        <v>0</v>
      </c>
      <c r="AI126" s="3">
        <f>VLOOKUP(Tableau3[[#This Row],[essence]],Tableau7[],14,FALSE)</f>
        <v>-0.13100000000000001</v>
      </c>
      <c r="AJ126" s="3">
        <f>IF(Tableau3[[#This Row],[sdom]]="5EST",1,0)</f>
        <v>1</v>
      </c>
      <c r="AK126" s="3">
        <f>VLOOKUP(Tableau3[[#This Row],[essence]],Tableau7[],17,FALSE)</f>
        <v>-1.8599999999999998E-2</v>
      </c>
      <c r="AL126" s="3">
        <f>IF(Tableau3[[#This Row],[priorecol]]="C",1,0)</f>
        <v>1</v>
      </c>
      <c r="AM126" s="3">
        <f>VLOOKUP(Tableau3[[#This Row],[essence]],Tableau7[],18,FALSE)</f>
        <v>-8.5500000000000003E-3</v>
      </c>
      <c r="AN126" s="3">
        <f>IF(Tableau3[[#This Row],[priorecol]]="R",1,0)</f>
        <v>0</v>
      </c>
      <c r="AO126" s="3">
        <f>VLOOKUP(Tableau3[[#This Row],[essence]],Tableau7[],19,FALSE)</f>
        <v>1.54E-2</v>
      </c>
      <c r="AP126" s="3">
        <f>IF(Tableau3[[#This Row],[priorecol]]="S",1,0)</f>
        <v>0</v>
      </c>
      <c r="AQ126" s="3">
        <f>VLOOKUP(Tableau3[[#This Row],[essence]],Tableau7[],21,FALSE)</f>
        <v>0</v>
      </c>
      <c r="AR126" s="3">
        <f>VLOOKUP(Tableau3[[#This Row],[essence]],Tableau7[],16,FALSE)</f>
        <v>0</v>
      </c>
      <c r="AS12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1.1992000000000003</v>
      </c>
      <c r="AT126" s="3">
        <f>Tableau3[[#This Row],[xb_]]+Tableau3[[#This Row],[b_intercept_C]]</f>
        <v>2.0872000000000002</v>
      </c>
      <c r="AU126" s="3">
        <f>Tableau3[[#This Row],[xb_]]+Tableau3[[#This Row],[b_intercept_B]]</f>
        <v>0.39540000000000031</v>
      </c>
      <c r="AV126" s="3">
        <f>1/(1+EXP(-Tableau3[[#This Row],[xb_c]]))</f>
        <v>0.88965284754574836</v>
      </c>
      <c r="AW126" s="3">
        <f>1/(1+EXP(-Tableau3[[#This Row],[xb_b]]))</f>
        <v>0.59758196068486624</v>
      </c>
      <c r="AX126" s="3" t="str">
        <f t="shared" si="3"/>
        <v>NA</v>
      </c>
      <c r="AY126" s="3">
        <f>Tableau3[[#This Row],[prob_b]]</f>
        <v>0.59758196068486624</v>
      </c>
      <c r="AZ126" s="3">
        <f>Tableau3[[#This Row],[prob_c]]-Tableau3[[#This Row],[prob_b]]</f>
        <v>0.29207088686088212</v>
      </c>
      <c r="BA126" s="3">
        <f>1-Tableau3[[#This Row],[prob_c]]</f>
        <v>0.11034715245425164</v>
      </c>
    </row>
    <row r="127" spans="1:53" x14ac:dyDescent="0.25">
      <c r="A127" s="3">
        <v>8</v>
      </c>
      <c r="B127" s="3" t="s">
        <v>16</v>
      </c>
      <c r="C127" s="1">
        <v>2.1</v>
      </c>
      <c r="D127" s="1">
        <v>700</v>
      </c>
      <c r="E127" s="1">
        <v>20</v>
      </c>
      <c r="F127" s="1">
        <v>1</v>
      </c>
      <c r="G127" s="3">
        <v>34</v>
      </c>
      <c r="H127" s="3">
        <v>37</v>
      </c>
      <c r="I127" s="3" t="s">
        <v>22</v>
      </c>
      <c r="J127" s="3" t="s">
        <v>27</v>
      </c>
      <c r="K127" s="3">
        <f>VLOOKUP(Tableau3[[#This Row],[essence]],Tableau7[],2,FALSE)</f>
        <v>-1.8420000000000001</v>
      </c>
      <c r="L127" s="3">
        <f>VLOOKUP(Tableau3[[#This Row],[essence]],Tableau7[],3,FALSE)</f>
        <v>0.2177</v>
      </c>
      <c r="M127" s="3">
        <f>VLOOKUP(Tableau3[[#This Row],[essence]],Tableau7[],4,FALSE)</f>
        <v>1.9473</v>
      </c>
      <c r="N127" s="3">
        <f>IF(Tableau3[[#This Row],[priorecol]]="C",1,0)</f>
        <v>1</v>
      </c>
      <c r="O127" s="3">
        <f>VLOOKUP(Tableau3[[#This Row],[essence]],Tableau7[],5,FALSE)</f>
        <v>3.0630999999999999</v>
      </c>
      <c r="P127" s="3">
        <f>IF(Tableau3[[#This Row],[priorecol]]="R",1,0)</f>
        <v>0</v>
      </c>
      <c r="Q127" s="3">
        <f>VLOOKUP(Tableau3[[#This Row],[essence]],Tableau7[],6,FALSE)</f>
        <v>1.5014000000000001</v>
      </c>
      <c r="R127" s="3">
        <f>IF(Tableau3[[#This Row],[priorecol]]="S",1,0)</f>
        <v>0</v>
      </c>
      <c r="S127" s="3">
        <f>VLOOKUP(Tableau3[[#This Row],[essence]],Tableau7[],7,FALSE)</f>
        <v>0</v>
      </c>
      <c r="T127" s="3">
        <f>VLOOKUP(Tableau3[[#This Row],[essence]],Tableau7[],15,FALSE)</f>
        <v>0</v>
      </c>
      <c r="U127" s="3">
        <f>VLOOKUP(Tableau3[[#This Row],[essence]],Tableau7[],20,FALSE)</f>
        <v>0.49399999999999999</v>
      </c>
      <c r="V127" s="3">
        <f>IF(Tableau3[[#This Row],[sdom]]=1,1,0)</f>
        <v>0</v>
      </c>
      <c r="W127" s="3">
        <f>VLOOKUP(Tableau3[[#This Row],[essence]],Tableau7[],8,FALSE)</f>
        <v>0.42420000000000002</v>
      </c>
      <c r="X127" s="3">
        <f>IF(Tableau3[[#This Row],[sdom]]="2EST",1,0)</f>
        <v>0</v>
      </c>
      <c r="Y127" s="3">
        <f>VLOOKUP(Tableau3[[#This Row],[essence]],Tableau7[],9,FALSE)</f>
        <v>7.4300000000000005E-2</v>
      </c>
      <c r="Z127" s="3">
        <f>IF(Tableau3[[#This Row],[sdom]]="2OUEST",1,0)</f>
        <v>0</v>
      </c>
      <c r="AA127" s="3">
        <f>VLOOKUP(Tableau3[[#This Row],[essence]],Tableau7[],10,FALSE)</f>
        <v>-6.7000000000000004E-2</v>
      </c>
      <c r="AB127" s="3">
        <f>IF(Tableau3[[#This Row],[sdom]]="3EST",1,0)</f>
        <v>0</v>
      </c>
      <c r="AC127" s="3">
        <f>VLOOKUP(Tableau3[[#This Row],[essence]],Tableau7[],11,FALSE)</f>
        <v>-8.3400000000000002E-2</v>
      </c>
      <c r="AD127" s="3">
        <f>IF(Tableau3[[#This Row],[sdom]]="3OUEST",1,0)</f>
        <v>0</v>
      </c>
      <c r="AE127" s="3">
        <f>VLOOKUP(Tableau3[[#This Row],[essence]],Tableau7[],12,FALSE)</f>
        <v>-0.26840000000000003</v>
      </c>
      <c r="AF127" s="3">
        <f>IF(Tableau3[[#This Row],[sdom]]="4EST",1,0)</f>
        <v>0</v>
      </c>
      <c r="AG127" s="3">
        <f>VLOOKUP(Tableau3[[#This Row],[essence]],Tableau7[],13,FALSE)</f>
        <v>0</v>
      </c>
      <c r="AH127" s="3">
        <f>IF(Tableau3[[#This Row],[sdom]]="4OUEST",1,0)</f>
        <v>0</v>
      </c>
      <c r="AI127" s="3">
        <f>VLOOKUP(Tableau3[[#This Row],[essence]],Tableau7[],14,FALSE)</f>
        <v>0</v>
      </c>
      <c r="AJ127" s="3">
        <f>IF(Tableau3[[#This Row],[sdom]]="5EST",1,0)</f>
        <v>1</v>
      </c>
      <c r="AK127" s="3">
        <f>VLOOKUP(Tableau3[[#This Row],[essence]],Tableau7[],17,FALSE)</f>
        <v>0</v>
      </c>
      <c r="AL127" s="3">
        <f>IF(Tableau3[[#This Row],[priorecol]]="C",1,0)</f>
        <v>1</v>
      </c>
      <c r="AM127" s="3">
        <f>VLOOKUP(Tableau3[[#This Row],[essence]],Tableau7[],18,FALSE)</f>
        <v>0</v>
      </c>
      <c r="AN127" s="3">
        <f>IF(Tableau3[[#This Row],[priorecol]]="R",1,0)</f>
        <v>0</v>
      </c>
      <c r="AO127" s="3">
        <f>VLOOKUP(Tableau3[[#This Row],[essence]],Tableau7[],19,FALSE)</f>
        <v>0</v>
      </c>
      <c r="AP127" s="3">
        <f>IF(Tableau3[[#This Row],[priorecol]]="S",1,0)</f>
        <v>0</v>
      </c>
      <c r="AQ127" s="3">
        <f>VLOOKUP(Tableau3[[#This Row],[essence]],Tableau7[],21,FALSE)</f>
        <v>0</v>
      </c>
      <c r="AR127" s="3">
        <f>VLOOKUP(Tableau3[[#This Row],[essence]],Tableau7[],16,FALSE)</f>
        <v>0</v>
      </c>
      <c r="AS12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1.9473</v>
      </c>
      <c r="AT127" s="3">
        <f>Tableau3[[#This Row],[xb_]]+Tableau3[[#This Row],[b_intercept_C]]</f>
        <v>2.165</v>
      </c>
      <c r="AU127" s="3">
        <f>Tableau3[[#This Row],[xb_]]+Tableau3[[#This Row],[b_intercept_B]]</f>
        <v>0.10529999999999995</v>
      </c>
      <c r="AV127" s="3">
        <f>1/(1+EXP(-Tableau3[[#This Row],[xb_c]]))</f>
        <v>0.89706217418282785</v>
      </c>
      <c r="AW127" s="3">
        <f>1/(1+EXP(-Tableau3[[#This Row],[xb_b]]))</f>
        <v>0.5263007024435562</v>
      </c>
      <c r="AX127" s="3" t="str">
        <f t="shared" si="3"/>
        <v>NA</v>
      </c>
      <c r="AY127" s="3">
        <f>Tableau3[[#This Row],[prob_b]]</f>
        <v>0.5263007024435562</v>
      </c>
      <c r="AZ127" s="3">
        <f>Tableau3[[#This Row],[prob_c]]-Tableau3[[#This Row],[prob_b]]</f>
        <v>0.37076147173927165</v>
      </c>
      <c r="BA127" s="3">
        <f>1-Tableau3[[#This Row],[prob_c]]</f>
        <v>0.10293782581717215</v>
      </c>
    </row>
    <row r="128" spans="1:53" x14ac:dyDescent="0.25">
      <c r="A128" s="2">
        <v>8</v>
      </c>
      <c r="B128" s="2" t="s">
        <v>16</v>
      </c>
      <c r="C128" s="4">
        <v>2.1</v>
      </c>
      <c r="D128" s="4">
        <v>700</v>
      </c>
      <c r="E128" s="4">
        <v>20</v>
      </c>
      <c r="F128" s="4">
        <v>1</v>
      </c>
      <c r="G128" s="2">
        <v>40</v>
      </c>
      <c r="H128" s="2">
        <v>37</v>
      </c>
      <c r="I128" s="2" t="s">
        <v>24</v>
      </c>
      <c r="J128" s="2" t="s">
        <v>27</v>
      </c>
      <c r="K128" s="2">
        <f>VLOOKUP(Tableau3[[#This Row],[essence]],Tableau7[],2,FALSE)</f>
        <v>-0.84530000000000005</v>
      </c>
      <c r="L128" s="3">
        <f>VLOOKUP(Tableau3[[#This Row],[essence]],Tableau7[],3,FALSE)</f>
        <v>0.93089999999999995</v>
      </c>
      <c r="M128" s="3">
        <f>VLOOKUP(Tableau3[[#This Row],[essence]],Tableau7[],4,FALSE)</f>
        <v>1.4276</v>
      </c>
      <c r="N128" s="3">
        <f>IF(Tableau3[[#This Row],[priorecol]]="C",1,0)</f>
        <v>1</v>
      </c>
      <c r="O128" s="3">
        <f>VLOOKUP(Tableau3[[#This Row],[essence]],Tableau7[],5,FALSE)</f>
        <v>2.468</v>
      </c>
      <c r="P128" s="3">
        <f>IF(Tableau3[[#This Row],[priorecol]]="R",1,0)</f>
        <v>0</v>
      </c>
      <c r="Q128" s="3">
        <f>VLOOKUP(Tableau3[[#This Row],[essence]],Tableau7[],6,FALSE)</f>
        <v>0.86019999999999996</v>
      </c>
      <c r="R128" s="3">
        <f>IF(Tableau3[[#This Row],[priorecol]]="S",1,0)</f>
        <v>0</v>
      </c>
      <c r="S128" s="3">
        <f>VLOOKUP(Tableau3[[#This Row],[essence]],Tableau7[],7,FALSE)</f>
        <v>0</v>
      </c>
      <c r="T128" s="3">
        <f>VLOOKUP(Tableau3[[#This Row],[essence]],Tableau7[],15,FALSE)</f>
        <v>1.7299999999999999E-2</v>
      </c>
      <c r="U128" s="3">
        <f>VLOOKUP(Tableau3[[#This Row],[essence]],Tableau7[],20,FALSE)</f>
        <v>-0.28799999999999998</v>
      </c>
      <c r="V128" s="3">
        <f>IF(Tableau3[[#This Row],[sdom]]=1,1,0)</f>
        <v>0</v>
      </c>
      <c r="W128" s="3">
        <f>VLOOKUP(Tableau3[[#This Row],[essence]],Tableau7[],8,FALSE)</f>
        <v>-0.18859999999999999</v>
      </c>
      <c r="X128" s="3">
        <f>IF(Tableau3[[#This Row],[sdom]]="2EST",1,0)</f>
        <v>0</v>
      </c>
      <c r="Y128" s="3">
        <f>VLOOKUP(Tableau3[[#This Row],[essence]],Tableau7[],9,FALSE)</f>
        <v>1.2699999999999999E-2</v>
      </c>
      <c r="Z128" s="3">
        <f>IF(Tableau3[[#This Row],[sdom]]="2OUEST",1,0)</f>
        <v>0</v>
      </c>
      <c r="AA128" s="3">
        <f>VLOOKUP(Tableau3[[#This Row],[essence]],Tableau7[],10,FALSE)</f>
        <v>0</v>
      </c>
      <c r="AB128" s="3">
        <f>IF(Tableau3[[#This Row],[sdom]]="3EST",1,0)</f>
        <v>0</v>
      </c>
      <c r="AC128" s="3">
        <f>VLOOKUP(Tableau3[[#This Row],[essence]],Tableau7[],11,FALSE)</f>
        <v>0.30009999999999998</v>
      </c>
      <c r="AD128" s="3">
        <f>IF(Tableau3[[#This Row],[sdom]]="3OUEST",1,0)</f>
        <v>0</v>
      </c>
      <c r="AE128" s="3">
        <f>VLOOKUP(Tableau3[[#This Row],[essence]],Tableau7[],12,FALSE)</f>
        <v>0</v>
      </c>
      <c r="AF128" s="3">
        <f>IF(Tableau3[[#This Row],[sdom]]="4EST",1,0)</f>
        <v>0</v>
      </c>
      <c r="AG128" s="3">
        <f>VLOOKUP(Tableau3[[#This Row],[essence]],Tableau7[],13,FALSE)</f>
        <v>0</v>
      </c>
      <c r="AH128" s="3">
        <f>IF(Tableau3[[#This Row],[sdom]]="4OUEST",1,0)</f>
        <v>0</v>
      </c>
      <c r="AI128" s="3">
        <f>VLOOKUP(Tableau3[[#This Row],[essence]],Tableau7[],14,FALSE)</f>
        <v>0</v>
      </c>
      <c r="AJ128" s="3">
        <f>IF(Tableau3[[#This Row],[sdom]]="5EST",1,0)</f>
        <v>1</v>
      </c>
      <c r="AK128" s="3">
        <f>VLOOKUP(Tableau3[[#This Row],[essence]],Tableau7[],17,FALSE)</f>
        <v>0</v>
      </c>
      <c r="AL128" s="3">
        <f>IF(Tableau3[[#This Row],[priorecol]]="C",1,0)</f>
        <v>1</v>
      </c>
      <c r="AM128" s="3">
        <f>VLOOKUP(Tableau3[[#This Row],[essence]],Tableau7[],18,FALSE)</f>
        <v>0</v>
      </c>
      <c r="AN128" s="3">
        <f>IF(Tableau3[[#This Row],[priorecol]]="R",1,0)</f>
        <v>0</v>
      </c>
      <c r="AO128" s="3">
        <f>VLOOKUP(Tableau3[[#This Row],[essence]],Tableau7[],19,FALSE)</f>
        <v>0</v>
      </c>
      <c r="AP128" s="3">
        <f>IF(Tableau3[[#This Row],[priorecol]]="S",1,0)</f>
        <v>0</v>
      </c>
      <c r="AQ128" s="3">
        <f>VLOOKUP(Tableau3[[#This Row],[essence]],Tableau7[],21,FALSE)</f>
        <v>0</v>
      </c>
      <c r="AR128" s="3">
        <f>VLOOKUP(Tableau3[[#This Row],[essence]],Tableau7[],16,FALSE)</f>
        <v>0</v>
      </c>
      <c r="AS12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1.7736000000000001</v>
      </c>
      <c r="AT128" s="3">
        <f>Tableau3[[#This Row],[xb_]]+Tableau3[[#This Row],[b_intercept_C]]</f>
        <v>2.7044999999999999</v>
      </c>
      <c r="AU128" s="3">
        <f>Tableau3[[#This Row],[xb_]]+Tableau3[[#This Row],[b_intercept_B]]</f>
        <v>0.92830000000000001</v>
      </c>
      <c r="AV128" s="3">
        <f>1/(1+EXP(-Tableau3[[#This Row],[xb_c]]))</f>
        <v>0.93729165702197736</v>
      </c>
      <c r="AW128" s="3">
        <f>1/(1+EXP(-Tableau3[[#This Row],[xb_b]]))</f>
        <v>0.71673026510916005</v>
      </c>
      <c r="AX128" s="3" t="str">
        <f t="shared" si="3"/>
        <v>NA</v>
      </c>
      <c r="AY128" s="3">
        <f>Tableau3[[#This Row],[prob_b]]</f>
        <v>0.71673026510916005</v>
      </c>
      <c r="AZ128" s="3">
        <f>Tableau3[[#This Row],[prob_c]]-Tableau3[[#This Row],[prob_b]]</f>
        <v>0.22056139191281732</v>
      </c>
      <c r="BA128" s="3">
        <f>1-Tableau3[[#This Row],[prob_c]]</f>
        <v>6.2708342978022635E-2</v>
      </c>
    </row>
    <row r="129" spans="1:53" x14ac:dyDescent="0.25">
      <c r="A129" s="3">
        <v>8</v>
      </c>
      <c r="B129" s="3" t="s">
        <v>16</v>
      </c>
      <c r="C129" s="1">
        <v>2.1</v>
      </c>
      <c r="D129" s="1">
        <v>700</v>
      </c>
      <c r="E129" s="1">
        <v>20</v>
      </c>
      <c r="F129" s="1">
        <v>1</v>
      </c>
      <c r="G129" s="3">
        <v>46</v>
      </c>
      <c r="H129" s="3">
        <v>37</v>
      </c>
      <c r="I129" s="3" t="s">
        <v>26</v>
      </c>
      <c r="J129" s="3" t="s">
        <v>27</v>
      </c>
      <c r="K129" s="3">
        <f>VLOOKUP(Tableau3[[#This Row],[essence]],Tableau7[],2,FALSE)</f>
        <v>-1.7838000000000001</v>
      </c>
      <c r="L129" s="3">
        <f>VLOOKUP(Tableau3[[#This Row],[essence]],Tableau7[],3,FALSE)</f>
        <v>-7.3400000000000007E-2</v>
      </c>
      <c r="M129" s="3">
        <f>VLOOKUP(Tableau3[[#This Row],[essence]],Tableau7[],4,FALSE)</f>
        <v>1.5893999999999999</v>
      </c>
      <c r="N129" s="3">
        <f>IF(Tableau3[[#This Row],[priorecol]]="C",1,0)</f>
        <v>1</v>
      </c>
      <c r="O129" s="3">
        <f>VLOOKUP(Tableau3[[#This Row],[essence]],Tableau7[],5,FALSE)</f>
        <v>2.1800000000000002</v>
      </c>
      <c r="P129" s="3">
        <f>IF(Tableau3[[#This Row],[priorecol]]="R",1,0)</f>
        <v>0</v>
      </c>
      <c r="Q129" s="3">
        <f>VLOOKUP(Tableau3[[#This Row],[essence]],Tableau7[],6,FALSE)</f>
        <v>0.91710000000000003</v>
      </c>
      <c r="R129" s="3">
        <f>IF(Tableau3[[#This Row],[priorecol]]="S",1,0)</f>
        <v>0</v>
      </c>
      <c r="S129" s="3">
        <f>VLOOKUP(Tableau3[[#This Row],[essence]],Tableau7[],7,FALSE)</f>
        <v>0</v>
      </c>
      <c r="T129" s="3">
        <f>VLOOKUP(Tableau3[[#This Row],[essence]],Tableau7[],15,FALSE)</f>
        <v>0</v>
      </c>
      <c r="U129" s="3">
        <f>VLOOKUP(Tableau3[[#This Row],[essence]],Tableau7[],20,FALSE)</f>
        <v>0</v>
      </c>
      <c r="V129" s="3">
        <f>IF(Tableau3[[#This Row],[sdom]]=1,1,0)</f>
        <v>0</v>
      </c>
      <c r="W129" s="3">
        <f>VLOOKUP(Tableau3[[#This Row],[essence]],Tableau7[],8,FALSE)</f>
        <v>0</v>
      </c>
      <c r="X129" s="3">
        <f>IF(Tableau3[[#This Row],[sdom]]="2EST",1,0)</f>
        <v>0</v>
      </c>
      <c r="Y129" s="3">
        <f>VLOOKUP(Tableau3[[#This Row],[essence]],Tableau7[],9,FALSE)</f>
        <v>-0.22550000000000001</v>
      </c>
      <c r="Z129" s="3">
        <f>IF(Tableau3[[#This Row],[sdom]]="2OUEST",1,0)</f>
        <v>0</v>
      </c>
      <c r="AA129" s="3">
        <f>VLOOKUP(Tableau3[[#This Row],[essence]],Tableau7[],10,FALSE)</f>
        <v>0</v>
      </c>
      <c r="AB129" s="3">
        <f>IF(Tableau3[[#This Row],[sdom]]="3EST",1,0)</f>
        <v>0</v>
      </c>
      <c r="AC129" s="3">
        <f>VLOOKUP(Tableau3[[#This Row],[essence]],Tableau7[],11,FALSE)</f>
        <v>0.3513</v>
      </c>
      <c r="AD129" s="3">
        <f>IF(Tableau3[[#This Row],[sdom]]="3OUEST",1,0)</f>
        <v>0</v>
      </c>
      <c r="AE129" s="3">
        <f>VLOOKUP(Tableau3[[#This Row],[essence]],Tableau7[],12,FALSE)</f>
        <v>-0.42259999999999998</v>
      </c>
      <c r="AF129" s="3">
        <f>IF(Tableau3[[#This Row],[sdom]]="4EST",1,0)</f>
        <v>0</v>
      </c>
      <c r="AG129" s="3">
        <f>VLOOKUP(Tableau3[[#This Row],[essence]],Tableau7[],13,FALSE)</f>
        <v>0.25390000000000001</v>
      </c>
      <c r="AH129" s="3">
        <f>IF(Tableau3[[#This Row],[sdom]]="4OUEST",1,0)</f>
        <v>0</v>
      </c>
      <c r="AI129" s="3">
        <f>VLOOKUP(Tableau3[[#This Row],[essence]],Tableau7[],14,FALSE)</f>
        <v>4.6199999999999998E-2</v>
      </c>
      <c r="AJ129" s="3">
        <f>IF(Tableau3[[#This Row],[sdom]]="5EST",1,0)</f>
        <v>1</v>
      </c>
      <c r="AK129" s="3">
        <f>VLOOKUP(Tableau3[[#This Row],[essence]],Tableau7[],17,FALSE)</f>
        <v>0</v>
      </c>
      <c r="AL129" s="3">
        <f>IF(Tableau3[[#This Row],[priorecol]]="C",1,0)</f>
        <v>1</v>
      </c>
      <c r="AM129" s="3">
        <f>VLOOKUP(Tableau3[[#This Row],[essence]],Tableau7[],18,FALSE)</f>
        <v>0</v>
      </c>
      <c r="AN129" s="3">
        <f>IF(Tableau3[[#This Row],[priorecol]]="R",1,0)</f>
        <v>0</v>
      </c>
      <c r="AO129" s="3">
        <f>VLOOKUP(Tableau3[[#This Row],[essence]],Tableau7[],19,FALSE)</f>
        <v>0</v>
      </c>
      <c r="AP129" s="3">
        <f>IF(Tableau3[[#This Row],[priorecol]]="S",1,0)</f>
        <v>0</v>
      </c>
      <c r="AQ129" s="3">
        <f>VLOOKUP(Tableau3[[#This Row],[essence]],Tableau7[],21,FALSE)</f>
        <v>0</v>
      </c>
      <c r="AR129" s="3">
        <f>VLOOKUP(Tableau3[[#This Row],[essence]],Tableau7[],16,FALSE)</f>
        <v>0.24340000000000001</v>
      </c>
      <c r="AS12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2.1467399999999999</v>
      </c>
      <c r="AT129" s="3">
        <f>Tableau3[[#This Row],[xb_]]+Tableau3[[#This Row],[b_intercept_C]]</f>
        <v>2.07334</v>
      </c>
      <c r="AU129" s="3">
        <f>Tableau3[[#This Row],[xb_]]+Tableau3[[#This Row],[b_intercept_B]]</f>
        <v>0.36293999999999982</v>
      </c>
      <c r="AV129" s="3">
        <f>1/(1+EXP(-Tableau3[[#This Row],[xb_c]]))</f>
        <v>0.88828483605270769</v>
      </c>
      <c r="AW129" s="3">
        <f>1/(1+EXP(-Tableau3[[#This Row],[xb_b]]))</f>
        <v>0.58975193838460749</v>
      </c>
      <c r="AX129" s="3" t="str">
        <f t="shared" si="3"/>
        <v>NA</v>
      </c>
      <c r="AY129" s="3">
        <f>Tableau3[[#This Row],[prob_b]]</f>
        <v>0.58975193838460749</v>
      </c>
      <c r="AZ129" s="3">
        <f>Tableau3[[#This Row],[prob_c]]-Tableau3[[#This Row],[prob_b]]</f>
        <v>0.29853289766810021</v>
      </c>
      <c r="BA129" s="3">
        <f>1-Tableau3[[#This Row],[prob_c]]</f>
        <v>0.11171516394729231</v>
      </c>
    </row>
    <row r="130" spans="1:53" x14ac:dyDescent="0.25">
      <c r="A130" s="2">
        <v>1</v>
      </c>
      <c r="B130" s="2">
        <v>1</v>
      </c>
      <c r="C130" s="4">
        <v>2.1</v>
      </c>
      <c r="D130" s="4">
        <v>700</v>
      </c>
      <c r="E130" s="4">
        <v>20</v>
      </c>
      <c r="F130" s="4">
        <v>1</v>
      </c>
      <c r="G130" s="2">
        <v>29</v>
      </c>
      <c r="H130" s="2">
        <v>38</v>
      </c>
      <c r="I130" s="2" t="s">
        <v>20</v>
      </c>
      <c r="J130" s="2" t="s">
        <v>28</v>
      </c>
      <c r="K130" s="2">
        <f>VLOOKUP(Tableau3[[#This Row],[essence]],Tableau7[],2,FALSE)</f>
        <v>-0.80379999999999996</v>
      </c>
      <c r="L130" s="3">
        <f>VLOOKUP(Tableau3[[#This Row],[essence]],Tableau7[],3,FALSE)</f>
        <v>0.88800000000000001</v>
      </c>
      <c r="M130" s="3">
        <f>VLOOKUP(Tableau3[[#This Row],[essence]],Tableau7[],4,FALSE)</f>
        <v>1.5212000000000001</v>
      </c>
      <c r="N130" s="3">
        <f>IF(Tableau3[[#This Row],[priorecol]]="C",1,0)</f>
        <v>0</v>
      </c>
      <c r="O130" s="3">
        <f>VLOOKUP(Tableau3[[#This Row],[essence]],Tableau7[],5,FALSE)</f>
        <v>1.8714999999999999</v>
      </c>
      <c r="P130" s="3">
        <f>IF(Tableau3[[#This Row],[priorecol]]="R",1,0)</f>
        <v>1</v>
      </c>
      <c r="Q130" s="3">
        <f>VLOOKUP(Tableau3[[#This Row],[essence]],Tableau7[],6,FALSE)</f>
        <v>0.51549999999999996</v>
      </c>
      <c r="R130" s="3">
        <f>IF(Tableau3[[#This Row],[priorecol]]="S",1,0)</f>
        <v>0</v>
      </c>
      <c r="S130" s="3">
        <f>VLOOKUP(Tableau3[[#This Row],[essence]],Tableau7[],7,FALSE)</f>
        <v>0</v>
      </c>
      <c r="T130" s="3">
        <f>VLOOKUP(Tableau3[[#This Row],[essence]],Tableau7[],15,FALSE)</f>
        <v>9.0500000000000008E-3</v>
      </c>
      <c r="U130" s="3">
        <f>VLOOKUP(Tableau3[[#This Row],[essence]],Tableau7[],20,FALSE)</f>
        <v>0</v>
      </c>
      <c r="V130" s="3">
        <f>IF(Tableau3[[#This Row],[sdom]]=1,1,0)</f>
        <v>1</v>
      </c>
      <c r="W130" s="3">
        <f>VLOOKUP(Tableau3[[#This Row],[essence]],Tableau7[],8,FALSE)</f>
        <v>0</v>
      </c>
      <c r="X130" s="3">
        <f>IF(Tableau3[[#This Row],[sdom]]="2EST",1,0)</f>
        <v>0</v>
      </c>
      <c r="Y130" s="3">
        <f>VLOOKUP(Tableau3[[#This Row],[essence]],Tableau7[],9,FALSE)</f>
        <v>-4.5199999999999997E-2</v>
      </c>
      <c r="Z130" s="3">
        <f>IF(Tableau3[[#This Row],[sdom]]="2OUEST",1,0)</f>
        <v>0</v>
      </c>
      <c r="AA130" s="3">
        <f>VLOOKUP(Tableau3[[#This Row],[essence]],Tableau7[],10,FALSE)</f>
        <v>1.15E-2</v>
      </c>
      <c r="AB130" s="3">
        <f>IF(Tableau3[[#This Row],[sdom]]="3EST",1,0)</f>
        <v>0</v>
      </c>
      <c r="AC130" s="3">
        <f>VLOOKUP(Tableau3[[#This Row],[essence]],Tableau7[],11,FALSE)</f>
        <v>0.1169</v>
      </c>
      <c r="AD130" s="3">
        <f>IF(Tableau3[[#This Row],[sdom]]="3OUEST",1,0)</f>
        <v>0</v>
      </c>
      <c r="AE130" s="3">
        <f>VLOOKUP(Tableau3[[#This Row],[essence]],Tableau7[],12,FALSE)</f>
        <v>-0.1686</v>
      </c>
      <c r="AF130" s="3">
        <f>IF(Tableau3[[#This Row],[sdom]]="4EST",1,0)</f>
        <v>0</v>
      </c>
      <c r="AG130" s="3">
        <f>VLOOKUP(Tableau3[[#This Row],[essence]],Tableau7[],13,FALSE)</f>
        <v>0.11940000000000001</v>
      </c>
      <c r="AH130" s="3">
        <f>IF(Tableau3[[#This Row],[sdom]]="4OUEST",1,0)</f>
        <v>0</v>
      </c>
      <c r="AI130" s="3">
        <f>VLOOKUP(Tableau3[[#This Row],[essence]],Tableau7[],14,FALSE)</f>
        <v>-0.13100000000000001</v>
      </c>
      <c r="AJ130" s="3">
        <f>IF(Tableau3[[#This Row],[sdom]]="5EST",1,0)</f>
        <v>0</v>
      </c>
      <c r="AK130" s="3">
        <f>VLOOKUP(Tableau3[[#This Row],[essence]],Tableau7[],17,FALSE)</f>
        <v>-1.8599999999999998E-2</v>
      </c>
      <c r="AL130" s="3">
        <f>IF(Tableau3[[#This Row],[priorecol]]="C",1,0)</f>
        <v>0</v>
      </c>
      <c r="AM130" s="3">
        <f>VLOOKUP(Tableau3[[#This Row],[essence]],Tableau7[],18,FALSE)</f>
        <v>-8.5500000000000003E-3</v>
      </c>
      <c r="AN130" s="3">
        <f>IF(Tableau3[[#This Row],[priorecol]]="R",1,0)</f>
        <v>1</v>
      </c>
      <c r="AO130" s="3">
        <f>VLOOKUP(Tableau3[[#This Row],[essence]],Tableau7[],19,FALSE)</f>
        <v>1.54E-2</v>
      </c>
      <c r="AP130" s="3">
        <f>IF(Tableau3[[#This Row],[priorecol]]="S",1,0)</f>
        <v>0</v>
      </c>
      <c r="AQ130" s="3">
        <f>VLOOKUP(Tableau3[[#This Row],[essence]],Tableau7[],21,FALSE)</f>
        <v>0</v>
      </c>
      <c r="AR130" s="3">
        <f>VLOOKUP(Tableau3[[#This Row],[essence]],Tableau7[],16,FALSE)</f>
        <v>0</v>
      </c>
      <c r="AS13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1.8814999999999997</v>
      </c>
      <c r="AT130" s="3">
        <f>Tableau3[[#This Row],[xb_]]+Tableau3[[#This Row],[b_intercept_C]]</f>
        <v>2.7694999999999999</v>
      </c>
      <c r="AU130" s="3">
        <f>Tableau3[[#This Row],[xb_]]+Tableau3[[#This Row],[b_intercept_B]]</f>
        <v>1.0776999999999997</v>
      </c>
      <c r="AV130" s="3">
        <f>1/(1+EXP(-Tableau3[[#This Row],[xb_c]]))</f>
        <v>0.94100523546382364</v>
      </c>
      <c r="AW130" s="3">
        <f>1/(1+EXP(-Tableau3[[#This Row],[xb_b]]))</f>
        <v>0.74605848298153465</v>
      </c>
      <c r="AX130" s="3" t="str">
        <f t="shared" ref="AX130:AX161" si="4">"NA"</f>
        <v>NA</v>
      </c>
      <c r="AY130" s="3">
        <f>Tableau3[[#This Row],[prob_b]]</f>
        <v>0.74605848298153465</v>
      </c>
      <c r="AZ130" s="3">
        <f>Tableau3[[#This Row],[prob_c]]-Tableau3[[#This Row],[prob_b]]</f>
        <v>0.19494675248228899</v>
      </c>
      <c r="BA130" s="3">
        <f>1-Tableau3[[#This Row],[prob_c]]</f>
        <v>5.8994764536176358E-2</v>
      </c>
    </row>
    <row r="131" spans="1:53" x14ac:dyDescent="0.25">
      <c r="A131" s="3">
        <v>1</v>
      </c>
      <c r="B131" s="3">
        <v>1</v>
      </c>
      <c r="C131" s="1">
        <v>2.1</v>
      </c>
      <c r="D131" s="1">
        <v>700</v>
      </c>
      <c r="E131" s="1">
        <v>20</v>
      </c>
      <c r="F131" s="1">
        <v>1</v>
      </c>
      <c r="G131" s="3">
        <v>35</v>
      </c>
      <c r="H131" s="3">
        <v>38</v>
      </c>
      <c r="I131" s="3" t="s">
        <v>22</v>
      </c>
      <c r="J131" s="3" t="s">
        <v>28</v>
      </c>
      <c r="K131" s="3">
        <f>VLOOKUP(Tableau3[[#This Row],[essence]],Tableau7[],2,FALSE)</f>
        <v>-1.8420000000000001</v>
      </c>
      <c r="L131" s="3">
        <f>VLOOKUP(Tableau3[[#This Row],[essence]],Tableau7[],3,FALSE)</f>
        <v>0.2177</v>
      </c>
      <c r="M131" s="3">
        <f>VLOOKUP(Tableau3[[#This Row],[essence]],Tableau7[],4,FALSE)</f>
        <v>1.9473</v>
      </c>
      <c r="N131" s="3">
        <f>IF(Tableau3[[#This Row],[priorecol]]="C",1,0)</f>
        <v>0</v>
      </c>
      <c r="O131" s="3">
        <f>VLOOKUP(Tableau3[[#This Row],[essence]],Tableau7[],5,FALSE)</f>
        <v>3.0630999999999999</v>
      </c>
      <c r="P131" s="3">
        <f>IF(Tableau3[[#This Row],[priorecol]]="R",1,0)</f>
        <v>1</v>
      </c>
      <c r="Q131" s="3">
        <f>VLOOKUP(Tableau3[[#This Row],[essence]],Tableau7[],6,FALSE)</f>
        <v>1.5014000000000001</v>
      </c>
      <c r="R131" s="3">
        <f>IF(Tableau3[[#This Row],[priorecol]]="S",1,0)</f>
        <v>0</v>
      </c>
      <c r="S131" s="3">
        <f>VLOOKUP(Tableau3[[#This Row],[essence]],Tableau7[],7,FALSE)</f>
        <v>0</v>
      </c>
      <c r="T131" s="3">
        <f>VLOOKUP(Tableau3[[#This Row],[essence]],Tableau7[],15,FALSE)</f>
        <v>0</v>
      </c>
      <c r="U131" s="3">
        <f>VLOOKUP(Tableau3[[#This Row],[essence]],Tableau7[],20,FALSE)</f>
        <v>0.49399999999999999</v>
      </c>
      <c r="V131" s="3">
        <f>IF(Tableau3[[#This Row],[sdom]]=1,1,0)</f>
        <v>1</v>
      </c>
      <c r="W131" s="3">
        <f>VLOOKUP(Tableau3[[#This Row],[essence]],Tableau7[],8,FALSE)</f>
        <v>0.42420000000000002</v>
      </c>
      <c r="X131" s="3">
        <f>IF(Tableau3[[#This Row],[sdom]]="2EST",1,0)</f>
        <v>0</v>
      </c>
      <c r="Y131" s="3">
        <f>VLOOKUP(Tableau3[[#This Row],[essence]],Tableau7[],9,FALSE)</f>
        <v>7.4300000000000005E-2</v>
      </c>
      <c r="Z131" s="3">
        <f>IF(Tableau3[[#This Row],[sdom]]="2OUEST",1,0)</f>
        <v>0</v>
      </c>
      <c r="AA131" s="3">
        <f>VLOOKUP(Tableau3[[#This Row],[essence]],Tableau7[],10,FALSE)</f>
        <v>-6.7000000000000004E-2</v>
      </c>
      <c r="AB131" s="3">
        <f>IF(Tableau3[[#This Row],[sdom]]="3EST",1,0)</f>
        <v>0</v>
      </c>
      <c r="AC131" s="3">
        <f>VLOOKUP(Tableau3[[#This Row],[essence]],Tableau7[],11,FALSE)</f>
        <v>-8.3400000000000002E-2</v>
      </c>
      <c r="AD131" s="3">
        <f>IF(Tableau3[[#This Row],[sdom]]="3OUEST",1,0)</f>
        <v>0</v>
      </c>
      <c r="AE131" s="3">
        <f>VLOOKUP(Tableau3[[#This Row],[essence]],Tableau7[],12,FALSE)</f>
        <v>-0.26840000000000003</v>
      </c>
      <c r="AF131" s="3">
        <f>IF(Tableau3[[#This Row],[sdom]]="4EST",1,0)</f>
        <v>0</v>
      </c>
      <c r="AG131" s="3">
        <f>VLOOKUP(Tableau3[[#This Row],[essence]],Tableau7[],13,FALSE)</f>
        <v>0</v>
      </c>
      <c r="AH131" s="3">
        <f>IF(Tableau3[[#This Row],[sdom]]="4OUEST",1,0)</f>
        <v>0</v>
      </c>
      <c r="AI131" s="3">
        <f>VLOOKUP(Tableau3[[#This Row],[essence]],Tableau7[],14,FALSE)</f>
        <v>0</v>
      </c>
      <c r="AJ131" s="3">
        <f>IF(Tableau3[[#This Row],[sdom]]="5EST",1,0)</f>
        <v>0</v>
      </c>
      <c r="AK131" s="3">
        <f>VLOOKUP(Tableau3[[#This Row],[essence]],Tableau7[],17,FALSE)</f>
        <v>0</v>
      </c>
      <c r="AL131" s="3">
        <f>IF(Tableau3[[#This Row],[priorecol]]="C",1,0)</f>
        <v>0</v>
      </c>
      <c r="AM131" s="3">
        <f>VLOOKUP(Tableau3[[#This Row],[essence]],Tableau7[],18,FALSE)</f>
        <v>0</v>
      </c>
      <c r="AN131" s="3">
        <f>IF(Tableau3[[#This Row],[priorecol]]="R",1,0)</f>
        <v>1</v>
      </c>
      <c r="AO131" s="3">
        <f>VLOOKUP(Tableau3[[#This Row],[essence]],Tableau7[],19,FALSE)</f>
        <v>0</v>
      </c>
      <c r="AP131" s="3">
        <f>IF(Tableau3[[#This Row],[priorecol]]="S",1,0)</f>
        <v>0</v>
      </c>
      <c r="AQ131" s="3">
        <f>VLOOKUP(Tableau3[[#This Row],[essence]],Tableau7[],21,FALSE)</f>
        <v>0</v>
      </c>
      <c r="AR131" s="3">
        <f>VLOOKUP(Tableau3[[#This Row],[essence]],Tableau7[],16,FALSE)</f>
        <v>0</v>
      </c>
      <c r="AS13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3.5571000000000002</v>
      </c>
      <c r="AT131" s="3">
        <f>Tableau3[[#This Row],[xb_]]+Tableau3[[#This Row],[b_intercept_C]]</f>
        <v>3.7747999999999999</v>
      </c>
      <c r="AU131" s="3">
        <f>Tableau3[[#This Row],[xb_]]+Tableau3[[#This Row],[b_intercept_B]]</f>
        <v>1.7151000000000001</v>
      </c>
      <c r="AV131" s="3">
        <f>1/(1+EXP(-Tableau3[[#This Row],[xb_c]]))</f>
        <v>0.97757283821688823</v>
      </c>
      <c r="AW131" s="3">
        <f>1/(1+EXP(-Tableau3[[#This Row],[xb_b]]))</f>
        <v>0.84749660819856598</v>
      </c>
      <c r="AX131" s="3" t="str">
        <f t="shared" si="4"/>
        <v>NA</v>
      </c>
      <c r="AY131" s="3">
        <f>Tableau3[[#This Row],[prob_b]]</f>
        <v>0.84749660819856598</v>
      </c>
      <c r="AZ131" s="3">
        <f>Tableau3[[#This Row],[prob_c]]-Tableau3[[#This Row],[prob_b]]</f>
        <v>0.13007623001832225</v>
      </c>
      <c r="BA131" s="3">
        <f>1-Tableau3[[#This Row],[prob_c]]</f>
        <v>2.2427161783111771E-2</v>
      </c>
    </row>
    <row r="132" spans="1:53" x14ac:dyDescent="0.25">
      <c r="A132" s="2">
        <v>1</v>
      </c>
      <c r="B132" s="2">
        <v>1</v>
      </c>
      <c r="C132" s="4">
        <v>2.1</v>
      </c>
      <c r="D132" s="4">
        <v>700</v>
      </c>
      <c r="E132" s="4">
        <v>20</v>
      </c>
      <c r="F132" s="4">
        <v>1</v>
      </c>
      <c r="G132" s="2">
        <v>41</v>
      </c>
      <c r="H132" s="2">
        <v>38</v>
      </c>
      <c r="I132" s="2" t="s">
        <v>24</v>
      </c>
      <c r="J132" s="2" t="s">
        <v>28</v>
      </c>
      <c r="K132" s="2">
        <f>VLOOKUP(Tableau3[[#This Row],[essence]],Tableau7[],2,FALSE)</f>
        <v>-0.84530000000000005</v>
      </c>
      <c r="L132" s="3">
        <f>VLOOKUP(Tableau3[[#This Row],[essence]],Tableau7[],3,FALSE)</f>
        <v>0.93089999999999995</v>
      </c>
      <c r="M132" s="3">
        <f>VLOOKUP(Tableau3[[#This Row],[essence]],Tableau7[],4,FALSE)</f>
        <v>1.4276</v>
      </c>
      <c r="N132" s="3">
        <f>IF(Tableau3[[#This Row],[priorecol]]="C",1,0)</f>
        <v>0</v>
      </c>
      <c r="O132" s="3">
        <f>VLOOKUP(Tableau3[[#This Row],[essence]],Tableau7[],5,FALSE)</f>
        <v>2.468</v>
      </c>
      <c r="P132" s="3">
        <f>IF(Tableau3[[#This Row],[priorecol]]="R",1,0)</f>
        <v>1</v>
      </c>
      <c r="Q132" s="3">
        <f>VLOOKUP(Tableau3[[#This Row],[essence]],Tableau7[],6,FALSE)</f>
        <v>0.86019999999999996</v>
      </c>
      <c r="R132" s="3">
        <f>IF(Tableau3[[#This Row],[priorecol]]="S",1,0)</f>
        <v>0</v>
      </c>
      <c r="S132" s="3">
        <f>VLOOKUP(Tableau3[[#This Row],[essence]],Tableau7[],7,FALSE)</f>
        <v>0</v>
      </c>
      <c r="T132" s="3">
        <f>VLOOKUP(Tableau3[[#This Row],[essence]],Tableau7[],15,FALSE)</f>
        <v>1.7299999999999999E-2</v>
      </c>
      <c r="U132" s="3">
        <f>VLOOKUP(Tableau3[[#This Row],[essence]],Tableau7[],20,FALSE)</f>
        <v>-0.28799999999999998</v>
      </c>
      <c r="V132" s="3">
        <f>IF(Tableau3[[#This Row],[sdom]]=1,1,0)</f>
        <v>1</v>
      </c>
      <c r="W132" s="3">
        <f>VLOOKUP(Tableau3[[#This Row],[essence]],Tableau7[],8,FALSE)</f>
        <v>-0.18859999999999999</v>
      </c>
      <c r="X132" s="3">
        <f>IF(Tableau3[[#This Row],[sdom]]="2EST",1,0)</f>
        <v>0</v>
      </c>
      <c r="Y132" s="3">
        <f>VLOOKUP(Tableau3[[#This Row],[essence]],Tableau7[],9,FALSE)</f>
        <v>1.2699999999999999E-2</v>
      </c>
      <c r="Z132" s="3">
        <f>IF(Tableau3[[#This Row],[sdom]]="2OUEST",1,0)</f>
        <v>0</v>
      </c>
      <c r="AA132" s="3">
        <f>VLOOKUP(Tableau3[[#This Row],[essence]],Tableau7[],10,FALSE)</f>
        <v>0</v>
      </c>
      <c r="AB132" s="3">
        <f>IF(Tableau3[[#This Row],[sdom]]="3EST",1,0)</f>
        <v>0</v>
      </c>
      <c r="AC132" s="3">
        <f>VLOOKUP(Tableau3[[#This Row],[essence]],Tableau7[],11,FALSE)</f>
        <v>0.30009999999999998</v>
      </c>
      <c r="AD132" s="3">
        <f>IF(Tableau3[[#This Row],[sdom]]="3OUEST",1,0)</f>
        <v>0</v>
      </c>
      <c r="AE132" s="3">
        <f>VLOOKUP(Tableau3[[#This Row],[essence]],Tableau7[],12,FALSE)</f>
        <v>0</v>
      </c>
      <c r="AF132" s="3">
        <f>IF(Tableau3[[#This Row],[sdom]]="4EST",1,0)</f>
        <v>0</v>
      </c>
      <c r="AG132" s="3">
        <f>VLOOKUP(Tableau3[[#This Row],[essence]],Tableau7[],13,FALSE)</f>
        <v>0</v>
      </c>
      <c r="AH132" s="3">
        <f>IF(Tableau3[[#This Row],[sdom]]="4OUEST",1,0)</f>
        <v>0</v>
      </c>
      <c r="AI132" s="3">
        <f>VLOOKUP(Tableau3[[#This Row],[essence]],Tableau7[],14,FALSE)</f>
        <v>0</v>
      </c>
      <c r="AJ132" s="3">
        <f>IF(Tableau3[[#This Row],[sdom]]="5EST",1,0)</f>
        <v>0</v>
      </c>
      <c r="AK132" s="3">
        <f>VLOOKUP(Tableau3[[#This Row],[essence]],Tableau7[],17,FALSE)</f>
        <v>0</v>
      </c>
      <c r="AL132" s="3">
        <f>IF(Tableau3[[#This Row],[priorecol]]="C",1,0)</f>
        <v>0</v>
      </c>
      <c r="AM132" s="3">
        <f>VLOOKUP(Tableau3[[#This Row],[essence]],Tableau7[],18,FALSE)</f>
        <v>0</v>
      </c>
      <c r="AN132" s="3">
        <f>IF(Tableau3[[#This Row],[priorecol]]="R",1,0)</f>
        <v>1</v>
      </c>
      <c r="AO132" s="3">
        <f>VLOOKUP(Tableau3[[#This Row],[essence]],Tableau7[],19,FALSE)</f>
        <v>0</v>
      </c>
      <c r="AP132" s="3">
        <f>IF(Tableau3[[#This Row],[priorecol]]="S",1,0)</f>
        <v>0</v>
      </c>
      <c r="AQ132" s="3">
        <f>VLOOKUP(Tableau3[[#This Row],[essence]],Tableau7[],21,FALSE)</f>
        <v>0</v>
      </c>
      <c r="AR132" s="3">
        <f>VLOOKUP(Tableau3[[#This Row],[essence]],Tableau7[],16,FALSE)</f>
        <v>0</v>
      </c>
      <c r="AS13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2.5260000000000002</v>
      </c>
      <c r="AT132" s="3">
        <f>Tableau3[[#This Row],[xb_]]+Tableau3[[#This Row],[b_intercept_C]]</f>
        <v>3.4569000000000001</v>
      </c>
      <c r="AU132" s="3">
        <f>Tableau3[[#This Row],[xb_]]+Tableau3[[#This Row],[b_intercept_B]]</f>
        <v>1.6807000000000003</v>
      </c>
      <c r="AV132" s="3">
        <f>1/(1+EXP(-Tableau3[[#This Row],[xb_c]]))</f>
        <v>0.96943624849533738</v>
      </c>
      <c r="AW132" s="3">
        <f>1/(1+EXP(-Tableau3[[#This Row],[xb_b]]))</f>
        <v>0.84299720040483839</v>
      </c>
      <c r="AX132" s="3" t="str">
        <f t="shared" si="4"/>
        <v>NA</v>
      </c>
      <c r="AY132" s="3">
        <f>Tableau3[[#This Row],[prob_b]]</f>
        <v>0.84299720040483839</v>
      </c>
      <c r="AZ132" s="3">
        <f>Tableau3[[#This Row],[prob_c]]-Tableau3[[#This Row],[prob_b]]</f>
        <v>0.126439048090499</v>
      </c>
      <c r="BA132" s="3">
        <f>1-Tableau3[[#This Row],[prob_c]]</f>
        <v>3.0563751504662617E-2</v>
      </c>
    </row>
    <row r="133" spans="1:53" x14ac:dyDescent="0.25">
      <c r="A133" s="3">
        <v>1</v>
      </c>
      <c r="B133" s="3">
        <v>1</v>
      </c>
      <c r="C133" s="1">
        <v>2.1</v>
      </c>
      <c r="D133" s="1">
        <v>700</v>
      </c>
      <c r="E133" s="1">
        <v>20</v>
      </c>
      <c r="F133" s="1">
        <v>1</v>
      </c>
      <c r="G133" s="3">
        <v>47</v>
      </c>
      <c r="H133" s="3">
        <v>38</v>
      </c>
      <c r="I133" s="3" t="s">
        <v>26</v>
      </c>
      <c r="J133" s="3" t="s">
        <v>28</v>
      </c>
      <c r="K133" s="3">
        <f>VLOOKUP(Tableau3[[#This Row],[essence]],Tableau7[],2,FALSE)</f>
        <v>-1.7838000000000001</v>
      </c>
      <c r="L133" s="3">
        <f>VLOOKUP(Tableau3[[#This Row],[essence]],Tableau7[],3,FALSE)</f>
        <v>-7.3400000000000007E-2</v>
      </c>
      <c r="M133" s="3">
        <f>VLOOKUP(Tableau3[[#This Row],[essence]],Tableau7[],4,FALSE)</f>
        <v>1.5893999999999999</v>
      </c>
      <c r="N133" s="3">
        <f>IF(Tableau3[[#This Row],[priorecol]]="C",1,0)</f>
        <v>0</v>
      </c>
      <c r="O133" s="3">
        <f>VLOOKUP(Tableau3[[#This Row],[essence]],Tableau7[],5,FALSE)</f>
        <v>2.1800000000000002</v>
      </c>
      <c r="P133" s="3">
        <f>IF(Tableau3[[#This Row],[priorecol]]="R",1,0)</f>
        <v>1</v>
      </c>
      <c r="Q133" s="3">
        <f>VLOOKUP(Tableau3[[#This Row],[essence]],Tableau7[],6,FALSE)</f>
        <v>0.91710000000000003</v>
      </c>
      <c r="R133" s="3">
        <f>IF(Tableau3[[#This Row],[priorecol]]="S",1,0)</f>
        <v>0</v>
      </c>
      <c r="S133" s="3">
        <f>VLOOKUP(Tableau3[[#This Row],[essence]],Tableau7[],7,FALSE)</f>
        <v>0</v>
      </c>
      <c r="T133" s="3">
        <f>VLOOKUP(Tableau3[[#This Row],[essence]],Tableau7[],15,FALSE)</f>
        <v>0</v>
      </c>
      <c r="U133" s="3">
        <f>VLOOKUP(Tableau3[[#This Row],[essence]],Tableau7[],20,FALSE)</f>
        <v>0</v>
      </c>
      <c r="V133" s="3">
        <f>IF(Tableau3[[#This Row],[sdom]]=1,1,0)</f>
        <v>1</v>
      </c>
      <c r="W133" s="3">
        <f>VLOOKUP(Tableau3[[#This Row],[essence]],Tableau7[],8,FALSE)</f>
        <v>0</v>
      </c>
      <c r="X133" s="3">
        <f>IF(Tableau3[[#This Row],[sdom]]="2EST",1,0)</f>
        <v>0</v>
      </c>
      <c r="Y133" s="3">
        <f>VLOOKUP(Tableau3[[#This Row],[essence]],Tableau7[],9,FALSE)</f>
        <v>-0.22550000000000001</v>
      </c>
      <c r="Z133" s="3">
        <f>IF(Tableau3[[#This Row],[sdom]]="2OUEST",1,0)</f>
        <v>0</v>
      </c>
      <c r="AA133" s="3">
        <f>VLOOKUP(Tableau3[[#This Row],[essence]],Tableau7[],10,FALSE)</f>
        <v>0</v>
      </c>
      <c r="AB133" s="3">
        <f>IF(Tableau3[[#This Row],[sdom]]="3EST",1,0)</f>
        <v>0</v>
      </c>
      <c r="AC133" s="3">
        <f>VLOOKUP(Tableau3[[#This Row],[essence]],Tableau7[],11,FALSE)</f>
        <v>0.3513</v>
      </c>
      <c r="AD133" s="3">
        <f>IF(Tableau3[[#This Row],[sdom]]="3OUEST",1,0)</f>
        <v>0</v>
      </c>
      <c r="AE133" s="3">
        <f>VLOOKUP(Tableau3[[#This Row],[essence]],Tableau7[],12,FALSE)</f>
        <v>-0.42259999999999998</v>
      </c>
      <c r="AF133" s="3">
        <f>IF(Tableau3[[#This Row],[sdom]]="4EST",1,0)</f>
        <v>0</v>
      </c>
      <c r="AG133" s="3">
        <f>VLOOKUP(Tableau3[[#This Row],[essence]],Tableau7[],13,FALSE)</f>
        <v>0.25390000000000001</v>
      </c>
      <c r="AH133" s="3">
        <f>IF(Tableau3[[#This Row],[sdom]]="4OUEST",1,0)</f>
        <v>0</v>
      </c>
      <c r="AI133" s="3">
        <f>VLOOKUP(Tableau3[[#This Row],[essence]],Tableau7[],14,FALSE)</f>
        <v>4.6199999999999998E-2</v>
      </c>
      <c r="AJ133" s="3">
        <f>IF(Tableau3[[#This Row],[sdom]]="5EST",1,0)</f>
        <v>0</v>
      </c>
      <c r="AK133" s="3">
        <f>VLOOKUP(Tableau3[[#This Row],[essence]],Tableau7[],17,FALSE)</f>
        <v>0</v>
      </c>
      <c r="AL133" s="3">
        <f>IF(Tableau3[[#This Row],[priorecol]]="C",1,0)</f>
        <v>0</v>
      </c>
      <c r="AM133" s="3">
        <f>VLOOKUP(Tableau3[[#This Row],[essence]],Tableau7[],18,FALSE)</f>
        <v>0</v>
      </c>
      <c r="AN133" s="3">
        <f>IF(Tableau3[[#This Row],[priorecol]]="R",1,0)</f>
        <v>1</v>
      </c>
      <c r="AO133" s="3">
        <f>VLOOKUP(Tableau3[[#This Row],[essence]],Tableau7[],19,FALSE)</f>
        <v>0</v>
      </c>
      <c r="AP133" s="3">
        <f>IF(Tableau3[[#This Row],[priorecol]]="S",1,0)</f>
        <v>0</v>
      </c>
      <c r="AQ133" s="3">
        <f>VLOOKUP(Tableau3[[#This Row],[essence]],Tableau7[],21,FALSE)</f>
        <v>0</v>
      </c>
      <c r="AR133" s="3">
        <f>VLOOKUP(Tableau3[[#This Row],[essence]],Tableau7[],16,FALSE)</f>
        <v>0.24340000000000001</v>
      </c>
      <c r="AS13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2.6911400000000003</v>
      </c>
      <c r="AT133" s="3">
        <f>Tableau3[[#This Row],[xb_]]+Tableau3[[#This Row],[b_intercept_C]]</f>
        <v>2.6177400000000004</v>
      </c>
      <c r="AU133" s="3">
        <f>Tableau3[[#This Row],[xb_]]+Tableau3[[#This Row],[b_intercept_B]]</f>
        <v>0.90734000000000026</v>
      </c>
      <c r="AV133" s="3">
        <f>1/(1+EXP(-Tableau3[[#This Row],[xb_c]]))</f>
        <v>0.93199460590140382</v>
      </c>
      <c r="AW133" s="3">
        <f>1/(1+EXP(-Tableau3[[#This Row],[xb_b]]))</f>
        <v>0.71245553622310143</v>
      </c>
      <c r="AX133" s="3" t="str">
        <f t="shared" si="4"/>
        <v>NA</v>
      </c>
      <c r="AY133" s="3">
        <f>Tableau3[[#This Row],[prob_b]]</f>
        <v>0.71245553622310143</v>
      </c>
      <c r="AZ133" s="3">
        <f>Tableau3[[#This Row],[prob_c]]-Tableau3[[#This Row],[prob_b]]</f>
        <v>0.21953906967830239</v>
      </c>
      <c r="BA133" s="3">
        <f>1-Tableau3[[#This Row],[prob_c]]</f>
        <v>6.8005394098596184E-2</v>
      </c>
    </row>
    <row r="134" spans="1:53" x14ac:dyDescent="0.25">
      <c r="A134" s="2">
        <v>2</v>
      </c>
      <c r="B134" s="2" t="s">
        <v>10</v>
      </c>
      <c r="C134" s="4">
        <v>2.1</v>
      </c>
      <c r="D134" s="4">
        <v>828</v>
      </c>
      <c r="E134" s="4">
        <v>29</v>
      </c>
      <c r="F134" s="4">
        <v>0</v>
      </c>
      <c r="G134" s="2">
        <v>29</v>
      </c>
      <c r="H134" s="2">
        <v>38</v>
      </c>
      <c r="I134" s="2" t="s">
        <v>20</v>
      </c>
      <c r="J134" s="2" t="s">
        <v>28</v>
      </c>
      <c r="K134" s="2">
        <f>VLOOKUP(Tableau3[[#This Row],[essence]],Tableau7[],2,FALSE)</f>
        <v>-0.80379999999999996</v>
      </c>
      <c r="L134" s="3">
        <f>VLOOKUP(Tableau3[[#This Row],[essence]],Tableau7[],3,FALSE)</f>
        <v>0.88800000000000001</v>
      </c>
      <c r="M134" s="3">
        <f>VLOOKUP(Tableau3[[#This Row],[essence]],Tableau7[],4,FALSE)</f>
        <v>1.5212000000000001</v>
      </c>
      <c r="N134" s="3">
        <f>IF(Tableau3[[#This Row],[priorecol]]="C",1,0)</f>
        <v>0</v>
      </c>
      <c r="O134" s="3">
        <f>VLOOKUP(Tableau3[[#This Row],[essence]],Tableau7[],5,FALSE)</f>
        <v>1.8714999999999999</v>
      </c>
      <c r="P134" s="3">
        <f>IF(Tableau3[[#This Row],[priorecol]]="R",1,0)</f>
        <v>1</v>
      </c>
      <c r="Q134" s="3">
        <f>VLOOKUP(Tableau3[[#This Row],[essence]],Tableau7[],6,FALSE)</f>
        <v>0.51549999999999996</v>
      </c>
      <c r="R134" s="3">
        <f>IF(Tableau3[[#This Row],[priorecol]]="S",1,0)</f>
        <v>0</v>
      </c>
      <c r="S134" s="3">
        <f>VLOOKUP(Tableau3[[#This Row],[essence]],Tableau7[],7,FALSE)</f>
        <v>0</v>
      </c>
      <c r="T134" s="3">
        <f>VLOOKUP(Tableau3[[#This Row],[essence]],Tableau7[],15,FALSE)</f>
        <v>9.0500000000000008E-3</v>
      </c>
      <c r="U134" s="3">
        <f>VLOOKUP(Tableau3[[#This Row],[essence]],Tableau7[],20,FALSE)</f>
        <v>0</v>
      </c>
      <c r="V134" s="3">
        <f>IF(Tableau3[[#This Row],[sdom]]=1,1,0)</f>
        <v>0</v>
      </c>
      <c r="W134" s="3">
        <f>VLOOKUP(Tableau3[[#This Row],[essence]],Tableau7[],8,FALSE)</f>
        <v>0</v>
      </c>
      <c r="X134" s="3">
        <f>IF(Tableau3[[#This Row],[sdom]]="2EST",1,0)</f>
        <v>1</v>
      </c>
      <c r="Y134" s="3">
        <f>VLOOKUP(Tableau3[[#This Row],[essence]],Tableau7[],9,FALSE)</f>
        <v>-4.5199999999999997E-2</v>
      </c>
      <c r="Z134" s="3">
        <f>IF(Tableau3[[#This Row],[sdom]]="2OUEST",1,0)</f>
        <v>0</v>
      </c>
      <c r="AA134" s="3">
        <f>VLOOKUP(Tableau3[[#This Row],[essence]],Tableau7[],10,FALSE)</f>
        <v>1.15E-2</v>
      </c>
      <c r="AB134" s="3">
        <f>IF(Tableau3[[#This Row],[sdom]]="3EST",1,0)</f>
        <v>0</v>
      </c>
      <c r="AC134" s="3">
        <f>VLOOKUP(Tableau3[[#This Row],[essence]],Tableau7[],11,FALSE)</f>
        <v>0.1169</v>
      </c>
      <c r="AD134" s="3">
        <f>IF(Tableau3[[#This Row],[sdom]]="3OUEST",1,0)</f>
        <v>0</v>
      </c>
      <c r="AE134" s="3">
        <f>VLOOKUP(Tableau3[[#This Row],[essence]],Tableau7[],12,FALSE)</f>
        <v>-0.1686</v>
      </c>
      <c r="AF134" s="3">
        <f>IF(Tableau3[[#This Row],[sdom]]="4EST",1,0)</f>
        <v>0</v>
      </c>
      <c r="AG134" s="3">
        <f>VLOOKUP(Tableau3[[#This Row],[essence]],Tableau7[],13,FALSE)</f>
        <v>0.11940000000000001</v>
      </c>
      <c r="AH134" s="3">
        <f>IF(Tableau3[[#This Row],[sdom]]="4OUEST",1,0)</f>
        <v>0</v>
      </c>
      <c r="AI134" s="3">
        <f>VLOOKUP(Tableau3[[#This Row],[essence]],Tableau7[],14,FALSE)</f>
        <v>-0.13100000000000001</v>
      </c>
      <c r="AJ134" s="3">
        <f>IF(Tableau3[[#This Row],[sdom]]="5EST",1,0)</f>
        <v>0</v>
      </c>
      <c r="AK134" s="3">
        <f>VLOOKUP(Tableau3[[#This Row],[essence]],Tableau7[],17,FALSE)</f>
        <v>-1.8599999999999998E-2</v>
      </c>
      <c r="AL134" s="3">
        <f>IF(Tableau3[[#This Row],[priorecol]]="C",1,0)</f>
        <v>0</v>
      </c>
      <c r="AM134" s="3">
        <f>VLOOKUP(Tableau3[[#This Row],[essence]],Tableau7[],18,FALSE)</f>
        <v>-8.5500000000000003E-3</v>
      </c>
      <c r="AN134" s="3">
        <f>IF(Tableau3[[#This Row],[priorecol]]="R",1,0)</f>
        <v>1</v>
      </c>
      <c r="AO134" s="3">
        <f>VLOOKUP(Tableau3[[#This Row],[essence]],Tableau7[],19,FALSE)</f>
        <v>1.54E-2</v>
      </c>
      <c r="AP134" s="3">
        <f>IF(Tableau3[[#This Row],[priorecol]]="S",1,0)</f>
        <v>0</v>
      </c>
      <c r="AQ134" s="3">
        <f>VLOOKUP(Tableau3[[#This Row],[essence]],Tableau7[],21,FALSE)</f>
        <v>0</v>
      </c>
      <c r="AR134" s="3">
        <f>VLOOKUP(Tableau3[[#This Row],[essence]],Tableau7[],16,FALSE)</f>
        <v>0</v>
      </c>
      <c r="AS13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1.8860000000000001</v>
      </c>
      <c r="AT134" s="3">
        <f>Tableau3[[#This Row],[xb_]]+Tableau3[[#This Row],[b_intercept_C]]</f>
        <v>2.774</v>
      </c>
      <c r="AU134" s="3">
        <f>Tableau3[[#This Row],[xb_]]+Tableau3[[#This Row],[b_intercept_B]]</f>
        <v>1.0822000000000003</v>
      </c>
      <c r="AV134" s="3">
        <f>1/(1+EXP(-Tableau3[[#This Row],[xb_c]]))</f>
        <v>0.94125455498295818</v>
      </c>
      <c r="AW134" s="3">
        <f>1/(1+EXP(-Tableau3[[#This Row],[xb_b]]))</f>
        <v>0.74691008709786466</v>
      </c>
      <c r="AX134" s="3" t="str">
        <f t="shared" si="4"/>
        <v>NA</v>
      </c>
      <c r="AY134" s="3">
        <f>Tableau3[[#This Row],[prob_b]]</f>
        <v>0.74691008709786466</v>
      </c>
      <c r="AZ134" s="3">
        <f>Tableau3[[#This Row],[prob_c]]-Tableau3[[#This Row],[prob_b]]</f>
        <v>0.19434446788509352</v>
      </c>
      <c r="BA134" s="3">
        <f>1-Tableau3[[#This Row],[prob_c]]</f>
        <v>5.874544501704182E-2</v>
      </c>
    </row>
    <row r="135" spans="1:53" x14ac:dyDescent="0.25">
      <c r="A135" s="3">
        <v>2</v>
      </c>
      <c r="B135" s="3" t="s">
        <v>10</v>
      </c>
      <c r="C135" s="1">
        <v>2.1</v>
      </c>
      <c r="D135" s="1">
        <v>828</v>
      </c>
      <c r="E135" s="1">
        <v>29</v>
      </c>
      <c r="F135" s="1">
        <v>0</v>
      </c>
      <c r="G135" s="3">
        <v>35</v>
      </c>
      <c r="H135" s="3">
        <v>38</v>
      </c>
      <c r="I135" s="3" t="s">
        <v>22</v>
      </c>
      <c r="J135" s="3" t="s">
        <v>28</v>
      </c>
      <c r="K135" s="3">
        <f>VLOOKUP(Tableau3[[#This Row],[essence]],Tableau7[],2,FALSE)</f>
        <v>-1.8420000000000001</v>
      </c>
      <c r="L135" s="3">
        <f>VLOOKUP(Tableau3[[#This Row],[essence]],Tableau7[],3,FALSE)</f>
        <v>0.2177</v>
      </c>
      <c r="M135" s="3">
        <f>VLOOKUP(Tableau3[[#This Row],[essence]],Tableau7[],4,FALSE)</f>
        <v>1.9473</v>
      </c>
      <c r="N135" s="3">
        <f>IF(Tableau3[[#This Row],[priorecol]]="C",1,0)</f>
        <v>0</v>
      </c>
      <c r="O135" s="3">
        <f>VLOOKUP(Tableau3[[#This Row],[essence]],Tableau7[],5,FALSE)</f>
        <v>3.0630999999999999</v>
      </c>
      <c r="P135" s="3">
        <f>IF(Tableau3[[#This Row],[priorecol]]="R",1,0)</f>
        <v>1</v>
      </c>
      <c r="Q135" s="3">
        <f>VLOOKUP(Tableau3[[#This Row],[essence]],Tableau7[],6,FALSE)</f>
        <v>1.5014000000000001</v>
      </c>
      <c r="R135" s="3">
        <f>IF(Tableau3[[#This Row],[priorecol]]="S",1,0)</f>
        <v>0</v>
      </c>
      <c r="S135" s="3">
        <f>VLOOKUP(Tableau3[[#This Row],[essence]],Tableau7[],7,FALSE)</f>
        <v>0</v>
      </c>
      <c r="T135" s="3">
        <f>VLOOKUP(Tableau3[[#This Row],[essence]],Tableau7[],15,FALSE)</f>
        <v>0</v>
      </c>
      <c r="U135" s="3">
        <f>VLOOKUP(Tableau3[[#This Row],[essence]],Tableau7[],20,FALSE)</f>
        <v>0.49399999999999999</v>
      </c>
      <c r="V135" s="3">
        <f>IF(Tableau3[[#This Row],[sdom]]=1,1,0)</f>
        <v>0</v>
      </c>
      <c r="W135" s="3">
        <f>VLOOKUP(Tableau3[[#This Row],[essence]],Tableau7[],8,FALSE)</f>
        <v>0.42420000000000002</v>
      </c>
      <c r="X135" s="3">
        <f>IF(Tableau3[[#This Row],[sdom]]="2EST",1,0)</f>
        <v>1</v>
      </c>
      <c r="Y135" s="3">
        <f>VLOOKUP(Tableau3[[#This Row],[essence]],Tableau7[],9,FALSE)</f>
        <v>7.4300000000000005E-2</v>
      </c>
      <c r="Z135" s="3">
        <f>IF(Tableau3[[#This Row],[sdom]]="2OUEST",1,0)</f>
        <v>0</v>
      </c>
      <c r="AA135" s="3">
        <f>VLOOKUP(Tableau3[[#This Row],[essence]],Tableau7[],10,FALSE)</f>
        <v>-6.7000000000000004E-2</v>
      </c>
      <c r="AB135" s="3">
        <f>IF(Tableau3[[#This Row],[sdom]]="3EST",1,0)</f>
        <v>0</v>
      </c>
      <c r="AC135" s="3">
        <f>VLOOKUP(Tableau3[[#This Row],[essence]],Tableau7[],11,FALSE)</f>
        <v>-8.3400000000000002E-2</v>
      </c>
      <c r="AD135" s="3">
        <f>IF(Tableau3[[#This Row],[sdom]]="3OUEST",1,0)</f>
        <v>0</v>
      </c>
      <c r="AE135" s="3">
        <f>VLOOKUP(Tableau3[[#This Row],[essence]],Tableau7[],12,FALSE)</f>
        <v>-0.26840000000000003</v>
      </c>
      <c r="AF135" s="3">
        <f>IF(Tableau3[[#This Row],[sdom]]="4EST",1,0)</f>
        <v>0</v>
      </c>
      <c r="AG135" s="3">
        <f>VLOOKUP(Tableau3[[#This Row],[essence]],Tableau7[],13,FALSE)</f>
        <v>0</v>
      </c>
      <c r="AH135" s="3">
        <f>IF(Tableau3[[#This Row],[sdom]]="4OUEST",1,0)</f>
        <v>0</v>
      </c>
      <c r="AI135" s="3">
        <f>VLOOKUP(Tableau3[[#This Row],[essence]],Tableau7[],14,FALSE)</f>
        <v>0</v>
      </c>
      <c r="AJ135" s="3">
        <f>IF(Tableau3[[#This Row],[sdom]]="5EST",1,0)</f>
        <v>0</v>
      </c>
      <c r="AK135" s="3">
        <f>VLOOKUP(Tableau3[[#This Row],[essence]],Tableau7[],17,FALSE)</f>
        <v>0</v>
      </c>
      <c r="AL135" s="3">
        <f>IF(Tableau3[[#This Row],[priorecol]]="C",1,0)</f>
        <v>0</v>
      </c>
      <c r="AM135" s="3">
        <f>VLOOKUP(Tableau3[[#This Row],[essence]],Tableau7[],18,FALSE)</f>
        <v>0</v>
      </c>
      <c r="AN135" s="3">
        <f>IF(Tableau3[[#This Row],[priorecol]]="R",1,0)</f>
        <v>1</v>
      </c>
      <c r="AO135" s="3">
        <f>VLOOKUP(Tableau3[[#This Row],[essence]],Tableau7[],19,FALSE)</f>
        <v>0</v>
      </c>
      <c r="AP135" s="3">
        <f>IF(Tableau3[[#This Row],[priorecol]]="S",1,0)</f>
        <v>0</v>
      </c>
      <c r="AQ135" s="3">
        <f>VLOOKUP(Tableau3[[#This Row],[essence]],Tableau7[],21,FALSE)</f>
        <v>0</v>
      </c>
      <c r="AR135" s="3">
        <f>VLOOKUP(Tableau3[[#This Row],[essence]],Tableau7[],16,FALSE)</f>
        <v>0</v>
      </c>
      <c r="AS13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3.4872999999999998</v>
      </c>
      <c r="AT135" s="3">
        <f>Tableau3[[#This Row],[xb_]]+Tableau3[[#This Row],[b_intercept_C]]</f>
        <v>3.7050000000000001</v>
      </c>
      <c r="AU135" s="3">
        <f>Tableau3[[#This Row],[xb_]]+Tableau3[[#This Row],[b_intercept_B]]</f>
        <v>1.6452999999999998</v>
      </c>
      <c r="AV135" s="3">
        <f>1/(1+EXP(-Tableau3[[#This Row],[xb_c]]))</f>
        <v>0.97599042343477127</v>
      </c>
      <c r="AW135" s="3">
        <f>1/(1+EXP(-Tableau3[[#This Row],[xb_b]]))</f>
        <v>0.83825481979120098</v>
      </c>
      <c r="AX135" s="3" t="str">
        <f t="shared" si="4"/>
        <v>NA</v>
      </c>
      <c r="AY135" s="3">
        <f>Tableau3[[#This Row],[prob_b]]</f>
        <v>0.83825481979120098</v>
      </c>
      <c r="AZ135" s="3">
        <f>Tableau3[[#This Row],[prob_c]]-Tableau3[[#This Row],[prob_b]]</f>
        <v>0.13773560364357029</v>
      </c>
      <c r="BA135" s="3">
        <f>1-Tableau3[[#This Row],[prob_c]]</f>
        <v>2.400957656522873E-2</v>
      </c>
    </row>
    <row r="136" spans="1:53" x14ac:dyDescent="0.25">
      <c r="A136" s="2">
        <v>2</v>
      </c>
      <c r="B136" s="2" t="s">
        <v>10</v>
      </c>
      <c r="C136" s="4">
        <v>2.1</v>
      </c>
      <c r="D136" s="4">
        <v>828</v>
      </c>
      <c r="E136" s="4">
        <v>29</v>
      </c>
      <c r="F136" s="4">
        <v>0</v>
      </c>
      <c r="G136" s="2">
        <v>41</v>
      </c>
      <c r="H136" s="2">
        <v>38</v>
      </c>
      <c r="I136" s="2" t="s">
        <v>24</v>
      </c>
      <c r="J136" s="2" t="s">
        <v>28</v>
      </c>
      <c r="K136" s="2">
        <f>VLOOKUP(Tableau3[[#This Row],[essence]],Tableau7[],2,FALSE)</f>
        <v>-0.84530000000000005</v>
      </c>
      <c r="L136" s="3">
        <f>VLOOKUP(Tableau3[[#This Row],[essence]],Tableau7[],3,FALSE)</f>
        <v>0.93089999999999995</v>
      </c>
      <c r="M136" s="3">
        <f>VLOOKUP(Tableau3[[#This Row],[essence]],Tableau7[],4,FALSE)</f>
        <v>1.4276</v>
      </c>
      <c r="N136" s="3">
        <f>IF(Tableau3[[#This Row],[priorecol]]="C",1,0)</f>
        <v>0</v>
      </c>
      <c r="O136" s="3">
        <f>VLOOKUP(Tableau3[[#This Row],[essence]],Tableau7[],5,FALSE)</f>
        <v>2.468</v>
      </c>
      <c r="P136" s="3">
        <f>IF(Tableau3[[#This Row],[priorecol]]="R",1,0)</f>
        <v>1</v>
      </c>
      <c r="Q136" s="3">
        <f>VLOOKUP(Tableau3[[#This Row],[essence]],Tableau7[],6,FALSE)</f>
        <v>0.86019999999999996</v>
      </c>
      <c r="R136" s="3">
        <f>IF(Tableau3[[#This Row],[priorecol]]="S",1,0)</f>
        <v>0</v>
      </c>
      <c r="S136" s="3">
        <f>VLOOKUP(Tableau3[[#This Row],[essence]],Tableau7[],7,FALSE)</f>
        <v>0</v>
      </c>
      <c r="T136" s="3">
        <f>VLOOKUP(Tableau3[[#This Row],[essence]],Tableau7[],15,FALSE)</f>
        <v>1.7299999999999999E-2</v>
      </c>
      <c r="U136" s="3">
        <f>VLOOKUP(Tableau3[[#This Row],[essence]],Tableau7[],20,FALSE)</f>
        <v>-0.28799999999999998</v>
      </c>
      <c r="V136" s="3">
        <f>IF(Tableau3[[#This Row],[sdom]]=1,1,0)</f>
        <v>0</v>
      </c>
      <c r="W136" s="3">
        <f>VLOOKUP(Tableau3[[#This Row],[essence]],Tableau7[],8,FALSE)</f>
        <v>-0.18859999999999999</v>
      </c>
      <c r="X136" s="3">
        <f>IF(Tableau3[[#This Row],[sdom]]="2EST",1,0)</f>
        <v>1</v>
      </c>
      <c r="Y136" s="3">
        <f>VLOOKUP(Tableau3[[#This Row],[essence]],Tableau7[],9,FALSE)</f>
        <v>1.2699999999999999E-2</v>
      </c>
      <c r="Z136" s="3">
        <f>IF(Tableau3[[#This Row],[sdom]]="2OUEST",1,0)</f>
        <v>0</v>
      </c>
      <c r="AA136" s="3">
        <f>VLOOKUP(Tableau3[[#This Row],[essence]],Tableau7[],10,FALSE)</f>
        <v>0</v>
      </c>
      <c r="AB136" s="3">
        <f>IF(Tableau3[[#This Row],[sdom]]="3EST",1,0)</f>
        <v>0</v>
      </c>
      <c r="AC136" s="3">
        <f>VLOOKUP(Tableau3[[#This Row],[essence]],Tableau7[],11,FALSE)</f>
        <v>0.30009999999999998</v>
      </c>
      <c r="AD136" s="3">
        <f>IF(Tableau3[[#This Row],[sdom]]="3OUEST",1,0)</f>
        <v>0</v>
      </c>
      <c r="AE136" s="3">
        <f>VLOOKUP(Tableau3[[#This Row],[essence]],Tableau7[],12,FALSE)</f>
        <v>0</v>
      </c>
      <c r="AF136" s="3">
        <f>IF(Tableau3[[#This Row],[sdom]]="4EST",1,0)</f>
        <v>0</v>
      </c>
      <c r="AG136" s="3">
        <f>VLOOKUP(Tableau3[[#This Row],[essence]],Tableau7[],13,FALSE)</f>
        <v>0</v>
      </c>
      <c r="AH136" s="3">
        <f>IF(Tableau3[[#This Row],[sdom]]="4OUEST",1,0)</f>
        <v>0</v>
      </c>
      <c r="AI136" s="3">
        <f>VLOOKUP(Tableau3[[#This Row],[essence]],Tableau7[],14,FALSE)</f>
        <v>0</v>
      </c>
      <c r="AJ136" s="3">
        <f>IF(Tableau3[[#This Row],[sdom]]="5EST",1,0)</f>
        <v>0</v>
      </c>
      <c r="AK136" s="3">
        <f>VLOOKUP(Tableau3[[#This Row],[essence]],Tableau7[],17,FALSE)</f>
        <v>0</v>
      </c>
      <c r="AL136" s="3">
        <f>IF(Tableau3[[#This Row],[priorecol]]="C",1,0)</f>
        <v>0</v>
      </c>
      <c r="AM136" s="3">
        <f>VLOOKUP(Tableau3[[#This Row],[essence]],Tableau7[],18,FALSE)</f>
        <v>0</v>
      </c>
      <c r="AN136" s="3">
        <f>IF(Tableau3[[#This Row],[priorecol]]="R",1,0)</f>
        <v>1</v>
      </c>
      <c r="AO136" s="3">
        <f>VLOOKUP(Tableau3[[#This Row],[essence]],Tableau7[],19,FALSE)</f>
        <v>0</v>
      </c>
      <c r="AP136" s="3">
        <f>IF(Tableau3[[#This Row],[priorecol]]="S",1,0)</f>
        <v>0</v>
      </c>
      <c r="AQ136" s="3">
        <f>VLOOKUP(Tableau3[[#This Row],[essence]],Tableau7[],21,FALSE)</f>
        <v>0</v>
      </c>
      <c r="AR136" s="3">
        <f>VLOOKUP(Tableau3[[#This Row],[essence]],Tableau7[],16,FALSE)</f>
        <v>0</v>
      </c>
      <c r="AS13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2.7810999999999999</v>
      </c>
      <c r="AT136" s="3">
        <f>Tableau3[[#This Row],[xb_]]+Tableau3[[#This Row],[b_intercept_C]]</f>
        <v>3.7119999999999997</v>
      </c>
      <c r="AU136" s="3">
        <f>Tableau3[[#This Row],[xb_]]+Tableau3[[#This Row],[b_intercept_B]]</f>
        <v>1.9358</v>
      </c>
      <c r="AV136" s="3">
        <f>1/(1+EXP(-Tableau3[[#This Row],[xb_c]]))</f>
        <v>0.97615390985898487</v>
      </c>
      <c r="AW136" s="3">
        <f>1/(1+EXP(-Tableau3[[#This Row],[xb_b]]))</f>
        <v>0.87389000356590174</v>
      </c>
      <c r="AX136" s="3" t="str">
        <f t="shared" si="4"/>
        <v>NA</v>
      </c>
      <c r="AY136" s="3">
        <f>Tableau3[[#This Row],[prob_b]]</f>
        <v>0.87389000356590174</v>
      </c>
      <c r="AZ136" s="3">
        <f>Tableau3[[#This Row],[prob_c]]-Tableau3[[#This Row],[prob_b]]</f>
        <v>0.10226390629308313</v>
      </c>
      <c r="BA136" s="3">
        <f>1-Tableau3[[#This Row],[prob_c]]</f>
        <v>2.384609014101513E-2</v>
      </c>
    </row>
    <row r="137" spans="1:53" x14ac:dyDescent="0.25">
      <c r="A137" s="3">
        <v>2</v>
      </c>
      <c r="B137" s="3" t="s">
        <v>10</v>
      </c>
      <c r="C137" s="1">
        <v>2.1</v>
      </c>
      <c r="D137" s="1">
        <v>828</v>
      </c>
      <c r="E137" s="1">
        <v>29</v>
      </c>
      <c r="F137" s="1">
        <v>0</v>
      </c>
      <c r="G137" s="3">
        <v>47</v>
      </c>
      <c r="H137" s="3">
        <v>38</v>
      </c>
      <c r="I137" s="3" t="s">
        <v>26</v>
      </c>
      <c r="J137" s="3" t="s">
        <v>28</v>
      </c>
      <c r="K137" s="3">
        <f>VLOOKUP(Tableau3[[#This Row],[essence]],Tableau7[],2,FALSE)</f>
        <v>-1.7838000000000001</v>
      </c>
      <c r="L137" s="3">
        <f>VLOOKUP(Tableau3[[#This Row],[essence]],Tableau7[],3,FALSE)</f>
        <v>-7.3400000000000007E-2</v>
      </c>
      <c r="M137" s="3">
        <f>VLOOKUP(Tableau3[[#This Row],[essence]],Tableau7[],4,FALSE)</f>
        <v>1.5893999999999999</v>
      </c>
      <c r="N137" s="3">
        <f>IF(Tableau3[[#This Row],[priorecol]]="C",1,0)</f>
        <v>0</v>
      </c>
      <c r="O137" s="3">
        <f>VLOOKUP(Tableau3[[#This Row],[essence]],Tableau7[],5,FALSE)</f>
        <v>2.1800000000000002</v>
      </c>
      <c r="P137" s="3">
        <f>IF(Tableau3[[#This Row],[priorecol]]="R",1,0)</f>
        <v>1</v>
      </c>
      <c r="Q137" s="3">
        <f>VLOOKUP(Tableau3[[#This Row],[essence]],Tableau7[],6,FALSE)</f>
        <v>0.91710000000000003</v>
      </c>
      <c r="R137" s="3">
        <f>IF(Tableau3[[#This Row],[priorecol]]="S",1,0)</f>
        <v>0</v>
      </c>
      <c r="S137" s="3">
        <f>VLOOKUP(Tableau3[[#This Row],[essence]],Tableau7[],7,FALSE)</f>
        <v>0</v>
      </c>
      <c r="T137" s="3">
        <f>VLOOKUP(Tableau3[[#This Row],[essence]],Tableau7[],15,FALSE)</f>
        <v>0</v>
      </c>
      <c r="U137" s="3">
        <f>VLOOKUP(Tableau3[[#This Row],[essence]],Tableau7[],20,FALSE)</f>
        <v>0</v>
      </c>
      <c r="V137" s="3">
        <f>IF(Tableau3[[#This Row],[sdom]]=1,1,0)</f>
        <v>0</v>
      </c>
      <c r="W137" s="3">
        <f>VLOOKUP(Tableau3[[#This Row],[essence]],Tableau7[],8,FALSE)</f>
        <v>0</v>
      </c>
      <c r="X137" s="3">
        <f>IF(Tableau3[[#This Row],[sdom]]="2EST",1,0)</f>
        <v>1</v>
      </c>
      <c r="Y137" s="3">
        <f>VLOOKUP(Tableau3[[#This Row],[essence]],Tableau7[],9,FALSE)</f>
        <v>-0.22550000000000001</v>
      </c>
      <c r="Z137" s="3">
        <f>IF(Tableau3[[#This Row],[sdom]]="2OUEST",1,0)</f>
        <v>0</v>
      </c>
      <c r="AA137" s="3">
        <f>VLOOKUP(Tableau3[[#This Row],[essence]],Tableau7[],10,FALSE)</f>
        <v>0</v>
      </c>
      <c r="AB137" s="3">
        <f>IF(Tableau3[[#This Row],[sdom]]="3EST",1,0)</f>
        <v>0</v>
      </c>
      <c r="AC137" s="3">
        <f>VLOOKUP(Tableau3[[#This Row],[essence]],Tableau7[],11,FALSE)</f>
        <v>0.3513</v>
      </c>
      <c r="AD137" s="3">
        <f>IF(Tableau3[[#This Row],[sdom]]="3OUEST",1,0)</f>
        <v>0</v>
      </c>
      <c r="AE137" s="3">
        <f>VLOOKUP(Tableau3[[#This Row],[essence]],Tableau7[],12,FALSE)</f>
        <v>-0.42259999999999998</v>
      </c>
      <c r="AF137" s="3">
        <f>IF(Tableau3[[#This Row],[sdom]]="4EST",1,0)</f>
        <v>0</v>
      </c>
      <c r="AG137" s="3">
        <f>VLOOKUP(Tableau3[[#This Row],[essence]],Tableau7[],13,FALSE)</f>
        <v>0.25390000000000001</v>
      </c>
      <c r="AH137" s="3">
        <f>IF(Tableau3[[#This Row],[sdom]]="4OUEST",1,0)</f>
        <v>0</v>
      </c>
      <c r="AI137" s="3">
        <f>VLOOKUP(Tableau3[[#This Row],[essence]],Tableau7[],14,FALSE)</f>
        <v>4.6199999999999998E-2</v>
      </c>
      <c r="AJ137" s="3">
        <f>IF(Tableau3[[#This Row],[sdom]]="5EST",1,0)</f>
        <v>0</v>
      </c>
      <c r="AK137" s="3">
        <f>VLOOKUP(Tableau3[[#This Row],[essence]],Tableau7[],17,FALSE)</f>
        <v>0</v>
      </c>
      <c r="AL137" s="3">
        <f>IF(Tableau3[[#This Row],[priorecol]]="C",1,0)</f>
        <v>0</v>
      </c>
      <c r="AM137" s="3">
        <f>VLOOKUP(Tableau3[[#This Row],[essence]],Tableau7[],18,FALSE)</f>
        <v>0</v>
      </c>
      <c r="AN137" s="3">
        <f>IF(Tableau3[[#This Row],[priorecol]]="R",1,0)</f>
        <v>1</v>
      </c>
      <c r="AO137" s="3">
        <f>VLOOKUP(Tableau3[[#This Row],[essence]],Tableau7[],19,FALSE)</f>
        <v>0</v>
      </c>
      <c r="AP137" s="3">
        <f>IF(Tableau3[[#This Row],[priorecol]]="S",1,0)</f>
        <v>0</v>
      </c>
      <c r="AQ137" s="3">
        <f>VLOOKUP(Tableau3[[#This Row],[essence]],Tableau7[],21,FALSE)</f>
        <v>0</v>
      </c>
      <c r="AR137" s="3">
        <f>VLOOKUP(Tableau3[[#This Row],[essence]],Tableau7[],16,FALSE)</f>
        <v>0.24340000000000001</v>
      </c>
      <c r="AS13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2.6911400000000003</v>
      </c>
      <c r="AT137" s="3">
        <f>Tableau3[[#This Row],[xb_]]+Tableau3[[#This Row],[b_intercept_C]]</f>
        <v>2.6177400000000004</v>
      </c>
      <c r="AU137" s="3">
        <f>Tableau3[[#This Row],[xb_]]+Tableau3[[#This Row],[b_intercept_B]]</f>
        <v>0.90734000000000026</v>
      </c>
      <c r="AV137" s="3">
        <f>1/(1+EXP(-Tableau3[[#This Row],[xb_c]]))</f>
        <v>0.93199460590140382</v>
      </c>
      <c r="AW137" s="3">
        <f>1/(1+EXP(-Tableau3[[#This Row],[xb_b]]))</f>
        <v>0.71245553622310143</v>
      </c>
      <c r="AX137" s="3" t="str">
        <f t="shared" si="4"/>
        <v>NA</v>
      </c>
      <c r="AY137" s="3">
        <f>Tableau3[[#This Row],[prob_b]]</f>
        <v>0.71245553622310143</v>
      </c>
      <c r="AZ137" s="3">
        <f>Tableau3[[#This Row],[prob_c]]-Tableau3[[#This Row],[prob_b]]</f>
        <v>0.21953906967830239</v>
      </c>
      <c r="BA137" s="3">
        <f>1-Tableau3[[#This Row],[prob_c]]</f>
        <v>6.8005394098596184E-2</v>
      </c>
    </row>
    <row r="138" spans="1:53" x14ac:dyDescent="0.25">
      <c r="A138" s="2">
        <v>3</v>
      </c>
      <c r="B138" s="2" t="s">
        <v>11</v>
      </c>
      <c r="C138" s="4">
        <v>2.1</v>
      </c>
      <c r="D138" s="4">
        <v>700</v>
      </c>
      <c r="E138" s="4">
        <v>20</v>
      </c>
      <c r="F138" s="4">
        <v>1</v>
      </c>
      <c r="G138" s="2">
        <v>29</v>
      </c>
      <c r="H138" s="2">
        <v>38</v>
      </c>
      <c r="I138" s="2" t="s">
        <v>20</v>
      </c>
      <c r="J138" s="2" t="s">
        <v>28</v>
      </c>
      <c r="K138" s="2">
        <f>VLOOKUP(Tableau3[[#This Row],[essence]],Tableau7[],2,FALSE)</f>
        <v>-0.80379999999999996</v>
      </c>
      <c r="L138" s="3">
        <f>VLOOKUP(Tableau3[[#This Row],[essence]],Tableau7[],3,FALSE)</f>
        <v>0.88800000000000001</v>
      </c>
      <c r="M138" s="3">
        <f>VLOOKUP(Tableau3[[#This Row],[essence]],Tableau7[],4,FALSE)</f>
        <v>1.5212000000000001</v>
      </c>
      <c r="N138" s="3">
        <f>IF(Tableau3[[#This Row],[priorecol]]="C",1,0)</f>
        <v>0</v>
      </c>
      <c r="O138" s="3">
        <f>VLOOKUP(Tableau3[[#This Row],[essence]],Tableau7[],5,FALSE)</f>
        <v>1.8714999999999999</v>
      </c>
      <c r="P138" s="3">
        <f>IF(Tableau3[[#This Row],[priorecol]]="R",1,0)</f>
        <v>1</v>
      </c>
      <c r="Q138" s="3">
        <f>VLOOKUP(Tableau3[[#This Row],[essence]],Tableau7[],6,FALSE)</f>
        <v>0.51549999999999996</v>
      </c>
      <c r="R138" s="3">
        <f>IF(Tableau3[[#This Row],[priorecol]]="S",1,0)</f>
        <v>0</v>
      </c>
      <c r="S138" s="3">
        <f>VLOOKUP(Tableau3[[#This Row],[essence]],Tableau7[],7,FALSE)</f>
        <v>0</v>
      </c>
      <c r="T138" s="3">
        <f>VLOOKUP(Tableau3[[#This Row],[essence]],Tableau7[],15,FALSE)</f>
        <v>9.0500000000000008E-3</v>
      </c>
      <c r="U138" s="3">
        <f>VLOOKUP(Tableau3[[#This Row],[essence]],Tableau7[],20,FALSE)</f>
        <v>0</v>
      </c>
      <c r="V138" s="3">
        <f>IF(Tableau3[[#This Row],[sdom]]=1,1,0)</f>
        <v>0</v>
      </c>
      <c r="W138" s="3">
        <f>VLOOKUP(Tableau3[[#This Row],[essence]],Tableau7[],8,FALSE)</f>
        <v>0</v>
      </c>
      <c r="X138" s="3">
        <f>IF(Tableau3[[#This Row],[sdom]]="2EST",1,0)</f>
        <v>0</v>
      </c>
      <c r="Y138" s="3">
        <f>VLOOKUP(Tableau3[[#This Row],[essence]],Tableau7[],9,FALSE)</f>
        <v>-4.5199999999999997E-2</v>
      </c>
      <c r="Z138" s="3">
        <f>IF(Tableau3[[#This Row],[sdom]]="2OUEST",1,0)</f>
        <v>1</v>
      </c>
      <c r="AA138" s="3">
        <f>VLOOKUP(Tableau3[[#This Row],[essence]],Tableau7[],10,FALSE)</f>
        <v>1.15E-2</v>
      </c>
      <c r="AB138" s="3">
        <f>IF(Tableau3[[#This Row],[sdom]]="3EST",1,0)</f>
        <v>0</v>
      </c>
      <c r="AC138" s="3">
        <f>VLOOKUP(Tableau3[[#This Row],[essence]],Tableau7[],11,FALSE)</f>
        <v>0.1169</v>
      </c>
      <c r="AD138" s="3">
        <f>IF(Tableau3[[#This Row],[sdom]]="3OUEST",1,0)</f>
        <v>0</v>
      </c>
      <c r="AE138" s="3">
        <f>VLOOKUP(Tableau3[[#This Row],[essence]],Tableau7[],12,FALSE)</f>
        <v>-0.1686</v>
      </c>
      <c r="AF138" s="3">
        <f>IF(Tableau3[[#This Row],[sdom]]="4EST",1,0)</f>
        <v>0</v>
      </c>
      <c r="AG138" s="3">
        <f>VLOOKUP(Tableau3[[#This Row],[essence]],Tableau7[],13,FALSE)</f>
        <v>0.11940000000000001</v>
      </c>
      <c r="AH138" s="3">
        <f>IF(Tableau3[[#This Row],[sdom]]="4OUEST",1,0)</f>
        <v>0</v>
      </c>
      <c r="AI138" s="3">
        <f>VLOOKUP(Tableau3[[#This Row],[essence]],Tableau7[],14,FALSE)</f>
        <v>-0.13100000000000001</v>
      </c>
      <c r="AJ138" s="3">
        <f>IF(Tableau3[[#This Row],[sdom]]="5EST",1,0)</f>
        <v>0</v>
      </c>
      <c r="AK138" s="3">
        <f>VLOOKUP(Tableau3[[#This Row],[essence]],Tableau7[],17,FALSE)</f>
        <v>-1.8599999999999998E-2</v>
      </c>
      <c r="AL138" s="3">
        <f>IF(Tableau3[[#This Row],[priorecol]]="C",1,0)</f>
        <v>0</v>
      </c>
      <c r="AM138" s="3">
        <f>VLOOKUP(Tableau3[[#This Row],[essence]],Tableau7[],18,FALSE)</f>
        <v>-8.5500000000000003E-3</v>
      </c>
      <c r="AN138" s="3">
        <f>IF(Tableau3[[#This Row],[priorecol]]="R",1,0)</f>
        <v>1</v>
      </c>
      <c r="AO138" s="3">
        <f>VLOOKUP(Tableau3[[#This Row],[essence]],Tableau7[],19,FALSE)</f>
        <v>1.54E-2</v>
      </c>
      <c r="AP138" s="3">
        <f>IF(Tableau3[[#This Row],[priorecol]]="S",1,0)</f>
        <v>0</v>
      </c>
      <c r="AQ138" s="3">
        <f>VLOOKUP(Tableau3[[#This Row],[essence]],Tableau7[],21,FALSE)</f>
        <v>0</v>
      </c>
      <c r="AR138" s="3">
        <f>VLOOKUP(Tableau3[[#This Row],[essence]],Tableau7[],16,FALSE)</f>
        <v>0</v>
      </c>
      <c r="AS13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1.8362999999999998</v>
      </c>
      <c r="AT138" s="3">
        <f>Tableau3[[#This Row],[xb_]]+Tableau3[[#This Row],[b_intercept_C]]</f>
        <v>2.7242999999999999</v>
      </c>
      <c r="AU138" s="3">
        <f>Tableau3[[#This Row],[xb_]]+Tableau3[[#This Row],[b_intercept_B]]</f>
        <v>1.0324999999999998</v>
      </c>
      <c r="AV138" s="3">
        <f>1/(1+EXP(-Tableau3[[#This Row],[xb_c]]))</f>
        <v>0.93844539476841138</v>
      </c>
      <c r="AW138" s="3">
        <f>1/(1+EXP(-Tableau3[[#This Row],[xb_b]]))</f>
        <v>0.7374002858276637</v>
      </c>
      <c r="AX138" s="3" t="str">
        <f t="shared" si="4"/>
        <v>NA</v>
      </c>
      <c r="AY138" s="3">
        <f>Tableau3[[#This Row],[prob_b]]</f>
        <v>0.7374002858276637</v>
      </c>
      <c r="AZ138" s="3">
        <f>Tableau3[[#This Row],[prob_c]]-Tableau3[[#This Row],[prob_b]]</f>
        <v>0.20104510894074767</v>
      </c>
      <c r="BA138" s="3">
        <f>1-Tableau3[[#This Row],[prob_c]]</f>
        <v>6.1554605231588622E-2</v>
      </c>
    </row>
    <row r="139" spans="1:53" x14ac:dyDescent="0.25">
      <c r="A139" s="3">
        <v>3</v>
      </c>
      <c r="B139" s="3" t="s">
        <v>11</v>
      </c>
      <c r="C139" s="1">
        <v>2.1</v>
      </c>
      <c r="D139" s="1">
        <v>700</v>
      </c>
      <c r="E139" s="1">
        <v>20</v>
      </c>
      <c r="F139" s="1">
        <v>1</v>
      </c>
      <c r="G139" s="3">
        <v>35</v>
      </c>
      <c r="H139" s="3">
        <v>38</v>
      </c>
      <c r="I139" s="3" t="s">
        <v>22</v>
      </c>
      <c r="J139" s="3" t="s">
        <v>28</v>
      </c>
      <c r="K139" s="3">
        <f>VLOOKUP(Tableau3[[#This Row],[essence]],Tableau7[],2,FALSE)</f>
        <v>-1.8420000000000001</v>
      </c>
      <c r="L139" s="3">
        <f>VLOOKUP(Tableau3[[#This Row],[essence]],Tableau7[],3,FALSE)</f>
        <v>0.2177</v>
      </c>
      <c r="M139" s="3">
        <f>VLOOKUP(Tableau3[[#This Row],[essence]],Tableau7[],4,FALSE)</f>
        <v>1.9473</v>
      </c>
      <c r="N139" s="3">
        <f>IF(Tableau3[[#This Row],[priorecol]]="C",1,0)</f>
        <v>0</v>
      </c>
      <c r="O139" s="3">
        <f>VLOOKUP(Tableau3[[#This Row],[essence]],Tableau7[],5,FALSE)</f>
        <v>3.0630999999999999</v>
      </c>
      <c r="P139" s="3">
        <f>IF(Tableau3[[#This Row],[priorecol]]="R",1,0)</f>
        <v>1</v>
      </c>
      <c r="Q139" s="3">
        <f>VLOOKUP(Tableau3[[#This Row],[essence]],Tableau7[],6,FALSE)</f>
        <v>1.5014000000000001</v>
      </c>
      <c r="R139" s="3">
        <f>IF(Tableau3[[#This Row],[priorecol]]="S",1,0)</f>
        <v>0</v>
      </c>
      <c r="S139" s="3">
        <f>VLOOKUP(Tableau3[[#This Row],[essence]],Tableau7[],7,FALSE)</f>
        <v>0</v>
      </c>
      <c r="T139" s="3">
        <f>VLOOKUP(Tableau3[[#This Row],[essence]],Tableau7[],15,FALSE)</f>
        <v>0</v>
      </c>
      <c r="U139" s="3">
        <f>VLOOKUP(Tableau3[[#This Row],[essence]],Tableau7[],20,FALSE)</f>
        <v>0.49399999999999999</v>
      </c>
      <c r="V139" s="3">
        <f>IF(Tableau3[[#This Row],[sdom]]=1,1,0)</f>
        <v>0</v>
      </c>
      <c r="W139" s="3">
        <f>VLOOKUP(Tableau3[[#This Row],[essence]],Tableau7[],8,FALSE)</f>
        <v>0.42420000000000002</v>
      </c>
      <c r="X139" s="3">
        <f>IF(Tableau3[[#This Row],[sdom]]="2EST",1,0)</f>
        <v>0</v>
      </c>
      <c r="Y139" s="3">
        <f>VLOOKUP(Tableau3[[#This Row],[essence]],Tableau7[],9,FALSE)</f>
        <v>7.4300000000000005E-2</v>
      </c>
      <c r="Z139" s="3">
        <f>IF(Tableau3[[#This Row],[sdom]]="2OUEST",1,0)</f>
        <v>1</v>
      </c>
      <c r="AA139" s="3">
        <f>VLOOKUP(Tableau3[[#This Row],[essence]],Tableau7[],10,FALSE)</f>
        <v>-6.7000000000000004E-2</v>
      </c>
      <c r="AB139" s="3">
        <f>IF(Tableau3[[#This Row],[sdom]]="3EST",1,0)</f>
        <v>0</v>
      </c>
      <c r="AC139" s="3">
        <f>VLOOKUP(Tableau3[[#This Row],[essence]],Tableau7[],11,FALSE)</f>
        <v>-8.3400000000000002E-2</v>
      </c>
      <c r="AD139" s="3">
        <f>IF(Tableau3[[#This Row],[sdom]]="3OUEST",1,0)</f>
        <v>0</v>
      </c>
      <c r="AE139" s="3">
        <f>VLOOKUP(Tableau3[[#This Row],[essence]],Tableau7[],12,FALSE)</f>
        <v>-0.26840000000000003</v>
      </c>
      <c r="AF139" s="3">
        <f>IF(Tableau3[[#This Row],[sdom]]="4EST",1,0)</f>
        <v>0</v>
      </c>
      <c r="AG139" s="3">
        <f>VLOOKUP(Tableau3[[#This Row],[essence]],Tableau7[],13,FALSE)</f>
        <v>0</v>
      </c>
      <c r="AH139" s="3">
        <f>IF(Tableau3[[#This Row],[sdom]]="4OUEST",1,0)</f>
        <v>0</v>
      </c>
      <c r="AI139" s="3">
        <f>VLOOKUP(Tableau3[[#This Row],[essence]],Tableau7[],14,FALSE)</f>
        <v>0</v>
      </c>
      <c r="AJ139" s="3">
        <f>IF(Tableau3[[#This Row],[sdom]]="5EST",1,0)</f>
        <v>0</v>
      </c>
      <c r="AK139" s="3">
        <f>VLOOKUP(Tableau3[[#This Row],[essence]],Tableau7[],17,FALSE)</f>
        <v>0</v>
      </c>
      <c r="AL139" s="3">
        <f>IF(Tableau3[[#This Row],[priorecol]]="C",1,0)</f>
        <v>0</v>
      </c>
      <c r="AM139" s="3">
        <f>VLOOKUP(Tableau3[[#This Row],[essence]],Tableau7[],18,FALSE)</f>
        <v>0</v>
      </c>
      <c r="AN139" s="3">
        <f>IF(Tableau3[[#This Row],[priorecol]]="R",1,0)</f>
        <v>1</v>
      </c>
      <c r="AO139" s="3">
        <f>VLOOKUP(Tableau3[[#This Row],[essence]],Tableau7[],19,FALSE)</f>
        <v>0</v>
      </c>
      <c r="AP139" s="3">
        <f>IF(Tableau3[[#This Row],[priorecol]]="S",1,0)</f>
        <v>0</v>
      </c>
      <c r="AQ139" s="3">
        <f>VLOOKUP(Tableau3[[#This Row],[essence]],Tableau7[],21,FALSE)</f>
        <v>0</v>
      </c>
      <c r="AR139" s="3">
        <f>VLOOKUP(Tableau3[[#This Row],[essence]],Tableau7[],16,FALSE)</f>
        <v>0</v>
      </c>
      <c r="AS13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3.1374</v>
      </c>
      <c r="AT139" s="3">
        <f>Tableau3[[#This Row],[xb_]]+Tableau3[[#This Row],[b_intercept_C]]</f>
        <v>3.3551000000000002</v>
      </c>
      <c r="AU139" s="3">
        <f>Tableau3[[#This Row],[xb_]]+Tableau3[[#This Row],[b_intercept_B]]</f>
        <v>1.2953999999999999</v>
      </c>
      <c r="AV139" s="3">
        <f>1/(1+EXP(-Tableau3[[#This Row],[xb_c]]))</f>
        <v>0.96627144546441379</v>
      </c>
      <c r="AW139" s="3">
        <f>1/(1+EXP(-Tableau3[[#This Row],[xb_b]]))</f>
        <v>0.78505979269012172</v>
      </c>
      <c r="AX139" s="3" t="str">
        <f t="shared" si="4"/>
        <v>NA</v>
      </c>
      <c r="AY139" s="3">
        <f>Tableau3[[#This Row],[prob_b]]</f>
        <v>0.78505979269012172</v>
      </c>
      <c r="AZ139" s="3">
        <f>Tableau3[[#This Row],[prob_c]]-Tableau3[[#This Row],[prob_b]]</f>
        <v>0.18121165277429208</v>
      </c>
      <c r="BA139" s="3">
        <f>1-Tableau3[[#This Row],[prob_c]]</f>
        <v>3.3728554535586208E-2</v>
      </c>
    </row>
    <row r="140" spans="1:53" x14ac:dyDescent="0.25">
      <c r="A140" s="2">
        <v>3</v>
      </c>
      <c r="B140" s="2" t="s">
        <v>11</v>
      </c>
      <c r="C140" s="4">
        <v>2.1</v>
      </c>
      <c r="D140" s="4">
        <v>700</v>
      </c>
      <c r="E140" s="4">
        <v>20</v>
      </c>
      <c r="F140" s="4">
        <v>1</v>
      </c>
      <c r="G140" s="2">
        <v>41</v>
      </c>
      <c r="H140" s="2">
        <v>38</v>
      </c>
      <c r="I140" s="2" t="s">
        <v>24</v>
      </c>
      <c r="J140" s="2" t="s">
        <v>28</v>
      </c>
      <c r="K140" s="2">
        <f>VLOOKUP(Tableau3[[#This Row],[essence]],Tableau7[],2,FALSE)</f>
        <v>-0.84530000000000005</v>
      </c>
      <c r="L140" s="3">
        <f>VLOOKUP(Tableau3[[#This Row],[essence]],Tableau7[],3,FALSE)</f>
        <v>0.93089999999999995</v>
      </c>
      <c r="M140" s="3">
        <f>VLOOKUP(Tableau3[[#This Row],[essence]],Tableau7[],4,FALSE)</f>
        <v>1.4276</v>
      </c>
      <c r="N140" s="3">
        <f>IF(Tableau3[[#This Row],[priorecol]]="C",1,0)</f>
        <v>0</v>
      </c>
      <c r="O140" s="3">
        <f>VLOOKUP(Tableau3[[#This Row],[essence]],Tableau7[],5,FALSE)</f>
        <v>2.468</v>
      </c>
      <c r="P140" s="3">
        <f>IF(Tableau3[[#This Row],[priorecol]]="R",1,0)</f>
        <v>1</v>
      </c>
      <c r="Q140" s="3">
        <f>VLOOKUP(Tableau3[[#This Row],[essence]],Tableau7[],6,FALSE)</f>
        <v>0.86019999999999996</v>
      </c>
      <c r="R140" s="3">
        <f>IF(Tableau3[[#This Row],[priorecol]]="S",1,0)</f>
        <v>0</v>
      </c>
      <c r="S140" s="3">
        <f>VLOOKUP(Tableau3[[#This Row],[essence]],Tableau7[],7,FALSE)</f>
        <v>0</v>
      </c>
      <c r="T140" s="3">
        <f>VLOOKUP(Tableau3[[#This Row],[essence]],Tableau7[],15,FALSE)</f>
        <v>1.7299999999999999E-2</v>
      </c>
      <c r="U140" s="3">
        <f>VLOOKUP(Tableau3[[#This Row],[essence]],Tableau7[],20,FALSE)</f>
        <v>-0.28799999999999998</v>
      </c>
      <c r="V140" s="3">
        <f>IF(Tableau3[[#This Row],[sdom]]=1,1,0)</f>
        <v>0</v>
      </c>
      <c r="W140" s="3">
        <f>VLOOKUP(Tableau3[[#This Row],[essence]],Tableau7[],8,FALSE)</f>
        <v>-0.18859999999999999</v>
      </c>
      <c r="X140" s="3">
        <f>IF(Tableau3[[#This Row],[sdom]]="2EST",1,0)</f>
        <v>0</v>
      </c>
      <c r="Y140" s="3">
        <f>VLOOKUP(Tableau3[[#This Row],[essence]],Tableau7[],9,FALSE)</f>
        <v>1.2699999999999999E-2</v>
      </c>
      <c r="Z140" s="3">
        <f>IF(Tableau3[[#This Row],[sdom]]="2OUEST",1,0)</f>
        <v>1</v>
      </c>
      <c r="AA140" s="3">
        <f>VLOOKUP(Tableau3[[#This Row],[essence]],Tableau7[],10,FALSE)</f>
        <v>0</v>
      </c>
      <c r="AB140" s="3">
        <f>IF(Tableau3[[#This Row],[sdom]]="3EST",1,0)</f>
        <v>0</v>
      </c>
      <c r="AC140" s="3">
        <f>VLOOKUP(Tableau3[[#This Row],[essence]],Tableau7[],11,FALSE)</f>
        <v>0.30009999999999998</v>
      </c>
      <c r="AD140" s="3">
        <f>IF(Tableau3[[#This Row],[sdom]]="3OUEST",1,0)</f>
        <v>0</v>
      </c>
      <c r="AE140" s="3">
        <f>VLOOKUP(Tableau3[[#This Row],[essence]],Tableau7[],12,FALSE)</f>
        <v>0</v>
      </c>
      <c r="AF140" s="3">
        <f>IF(Tableau3[[#This Row],[sdom]]="4EST",1,0)</f>
        <v>0</v>
      </c>
      <c r="AG140" s="3">
        <f>VLOOKUP(Tableau3[[#This Row],[essence]],Tableau7[],13,FALSE)</f>
        <v>0</v>
      </c>
      <c r="AH140" s="3">
        <f>IF(Tableau3[[#This Row],[sdom]]="4OUEST",1,0)</f>
        <v>0</v>
      </c>
      <c r="AI140" s="3">
        <f>VLOOKUP(Tableau3[[#This Row],[essence]],Tableau7[],14,FALSE)</f>
        <v>0</v>
      </c>
      <c r="AJ140" s="3">
        <f>IF(Tableau3[[#This Row],[sdom]]="5EST",1,0)</f>
        <v>0</v>
      </c>
      <c r="AK140" s="3">
        <f>VLOOKUP(Tableau3[[#This Row],[essence]],Tableau7[],17,FALSE)</f>
        <v>0</v>
      </c>
      <c r="AL140" s="3">
        <f>IF(Tableau3[[#This Row],[priorecol]]="C",1,0)</f>
        <v>0</v>
      </c>
      <c r="AM140" s="3">
        <f>VLOOKUP(Tableau3[[#This Row],[essence]],Tableau7[],18,FALSE)</f>
        <v>0</v>
      </c>
      <c r="AN140" s="3">
        <f>IF(Tableau3[[#This Row],[priorecol]]="R",1,0)</f>
        <v>1</v>
      </c>
      <c r="AO140" s="3">
        <f>VLOOKUP(Tableau3[[#This Row],[essence]],Tableau7[],19,FALSE)</f>
        <v>0</v>
      </c>
      <c r="AP140" s="3">
        <f>IF(Tableau3[[#This Row],[priorecol]]="S",1,0)</f>
        <v>0</v>
      </c>
      <c r="AQ140" s="3">
        <f>VLOOKUP(Tableau3[[#This Row],[essence]],Tableau7[],21,FALSE)</f>
        <v>0</v>
      </c>
      <c r="AR140" s="3">
        <f>VLOOKUP(Tableau3[[#This Row],[essence]],Tableau7[],16,FALSE)</f>
        <v>0</v>
      </c>
      <c r="AS14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2.8267000000000002</v>
      </c>
      <c r="AT140" s="3">
        <f>Tableau3[[#This Row],[xb_]]+Tableau3[[#This Row],[b_intercept_C]]</f>
        <v>3.7576000000000001</v>
      </c>
      <c r="AU140" s="3">
        <f>Tableau3[[#This Row],[xb_]]+Tableau3[[#This Row],[b_intercept_B]]</f>
        <v>1.9814000000000003</v>
      </c>
      <c r="AV140" s="3">
        <f>1/(1+EXP(-Tableau3[[#This Row],[xb_c]]))</f>
        <v>0.97719262848320687</v>
      </c>
      <c r="AW140" s="3">
        <f>1/(1+EXP(-Tableau3[[#This Row],[xb_b]]))</f>
        <v>0.87883032381373094</v>
      </c>
      <c r="AX140" s="3" t="str">
        <f t="shared" si="4"/>
        <v>NA</v>
      </c>
      <c r="AY140" s="3">
        <f>Tableau3[[#This Row],[prob_b]]</f>
        <v>0.87883032381373094</v>
      </c>
      <c r="AZ140" s="3">
        <f>Tableau3[[#This Row],[prob_c]]-Tableau3[[#This Row],[prob_b]]</f>
        <v>9.8362304669475931E-2</v>
      </c>
      <c r="BA140" s="3">
        <f>1-Tableau3[[#This Row],[prob_c]]</f>
        <v>2.2807371516793129E-2</v>
      </c>
    </row>
    <row r="141" spans="1:53" x14ac:dyDescent="0.25">
      <c r="A141" s="3">
        <v>3</v>
      </c>
      <c r="B141" s="3" t="s">
        <v>11</v>
      </c>
      <c r="C141" s="1">
        <v>2.1</v>
      </c>
      <c r="D141" s="1">
        <v>700</v>
      </c>
      <c r="E141" s="1">
        <v>20</v>
      </c>
      <c r="F141" s="1">
        <v>1</v>
      </c>
      <c r="G141" s="3">
        <v>47</v>
      </c>
      <c r="H141" s="3">
        <v>38</v>
      </c>
      <c r="I141" s="3" t="s">
        <v>26</v>
      </c>
      <c r="J141" s="3" t="s">
        <v>28</v>
      </c>
      <c r="K141" s="3">
        <f>VLOOKUP(Tableau3[[#This Row],[essence]],Tableau7[],2,FALSE)</f>
        <v>-1.7838000000000001</v>
      </c>
      <c r="L141" s="3">
        <f>VLOOKUP(Tableau3[[#This Row],[essence]],Tableau7[],3,FALSE)</f>
        <v>-7.3400000000000007E-2</v>
      </c>
      <c r="M141" s="3">
        <f>VLOOKUP(Tableau3[[#This Row],[essence]],Tableau7[],4,FALSE)</f>
        <v>1.5893999999999999</v>
      </c>
      <c r="N141" s="3">
        <f>IF(Tableau3[[#This Row],[priorecol]]="C",1,0)</f>
        <v>0</v>
      </c>
      <c r="O141" s="3">
        <f>VLOOKUP(Tableau3[[#This Row],[essence]],Tableau7[],5,FALSE)</f>
        <v>2.1800000000000002</v>
      </c>
      <c r="P141" s="3">
        <f>IF(Tableau3[[#This Row],[priorecol]]="R",1,0)</f>
        <v>1</v>
      </c>
      <c r="Q141" s="3">
        <f>VLOOKUP(Tableau3[[#This Row],[essence]],Tableau7[],6,FALSE)</f>
        <v>0.91710000000000003</v>
      </c>
      <c r="R141" s="3">
        <f>IF(Tableau3[[#This Row],[priorecol]]="S",1,0)</f>
        <v>0</v>
      </c>
      <c r="S141" s="3">
        <f>VLOOKUP(Tableau3[[#This Row],[essence]],Tableau7[],7,FALSE)</f>
        <v>0</v>
      </c>
      <c r="T141" s="3">
        <f>VLOOKUP(Tableau3[[#This Row],[essence]],Tableau7[],15,FALSE)</f>
        <v>0</v>
      </c>
      <c r="U141" s="3">
        <f>VLOOKUP(Tableau3[[#This Row],[essence]],Tableau7[],20,FALSE)</f>
        <v>0</v>
      </c>
      <c r="V141" s="3">
        <f>IF(Tableau3[[#This Row],[sdom]]=1,1,0)</f>
        <v>0</v>
      </c>
      <c r="W141" s="3">
        <f>VLOOKUP(Tableau3[[#This Row],[essence]],Tableau7[],8,FALSE)</f>
        <v>0</v>
      </c>
      <c r="X141" s="3">
        <f>IF(Tableau3[[#This Row],[sdom]]="2EST",1,0)</f>
        <v>0</v>
      </c>
      <c r="Y141" s="3">
        <f>VLOOKUP(Tableau3[[#This Row],[essence]],Tableau7[],9,FALSE)</f>
        <v>-0.22550000000000001</v>
      </c>
      <c r="Z141" s="3">
        <f>IF(Tableau3[[#This Row],[sdom]]="2OUEST",1,0)</f>
        <v>1</v>
      </c>
      <c r="AA141" s="3">
        <f>VLOOKUP(Tableau3[[#This Row],[essence]],Tableau7[],10,FALSE)</f>
        <v>0</v>
      </c>
      <c r="AB141" s="3">
        <f>IF(Tableau3[[#This Row],[sdom]]="3EST",1,0)</f>
        <v>0</v>
      </c>
      <c r="AC141" s="3">
        <f>VLOOKUP(Tableau3[[#This Row],[essence]],Tableau7[],11,FALSE)</f>
        <v>0.3513</v>
      </c>
      <c r="AD141" s="3">
        <f>IF(Tableau3[[#This Row],[sdom]]="3OUEST",1,0)</f>
        <v>0</v>
      </c>
      <c r="AE141" s="3">
        <f>VLOOKUP(Tableau3[[#This Row],[essence]],Tableau7[],12,FALSE)</f>
        <v>-0.42259999999999998</v>
      </c>
      <c r="AF141" s="3">
        <f>IF(Tableau3[[#This Row],[sdom]]="4EST",1,0)</f>
        <v>0</v>
      </c>
      <c r="AG141" s="3">
        <f>VLOOKUP(Tableau3[[#This Row],[essence]],Tableau7[],13,FALSE)</f>
        <v>0.25390000000000001</v>
      </c>
      <c r="AH141" s="3">
        <f>IF(Tableau3[[#This Row],[sdom]]="4OUEST",1,0)</f>
        <v>0</v>
      </c>
      <c r="AI141" s="3">
        <f>VLOOKUP(Tableau3[[#This Row],[essence]],Tableau7[],14,FALSE)</f>
        <v>4.6199999999999998E-2</v>
      </c>
      <c r="AJ141" s="3">
        <f>IF(Tableau3[[#This Row],[sdom]]="5EST",1,0)</f>
        <v>0</v>
      </c>
      <c r="AK141" s="3">
        <f>VLOOKUP(Tableau3[[#This Row],[essence]],Tableau7[],17,FALSE)</f>
        <v>0</v>
      </c>
      <c r="AL141" s="3">
        <f>IF(Tableau3[[#This Row],[priorecol]]="C",1,0)</f>
        <v>0</v>
      </c>
      <c r="AM141" s="3">
        <f>VLOOKUP(Tableau3[[#This Row],[essence]],Tableau7[],18,FALSE)</f>
        <v>0</v>
      </c>
      <c r="AN141" s="3">
        <f>IF(Tableau3[[#This Row],[priorecol]]="R",1,0)</f>
        <v>1</v>
      </c>
      <c r="AO141" s="3">
        <f>VLOOKUP(Tableau3[[#This Row],[essence]],Tableau7[],19,FALSE)</f>
        <v>0</v>
      </c>
      <c r="AP141" s="3">
        <f>IF(Tableau3[[#This Row],[priorecol]]="S",1,0)</f>
        <v>0</v>
      </c>
      <c r="AQ141" s="3">
        <f>VLOOKUP(Tableau3[[#This Row],[essence]],Tableau7[],21,FALSE)</f>
        <v>0</v>
      </c>
      <c r="AR141" s="3">
        <f>VLOOKUP(Tableau3[[#This Row],[essence]],Tableau7[],16,FALSE)</f>
        <v>0.24340000000000001</v>
      </c>
      <c r="AS14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2.4656400000000001</v>
      </c>
      <c r="AT141" s="3">
        <f>Tableau3[[#This Row],[xb_]]+Tableau3[[#This Row],[b_intercept_C]]</f>
        <v>2.3922400000000001</v>
      </c>
      <c r="AU141" s="3">
        <f>Tableau3[[#This Row],[xb_]]+Tableau3[[#This Row],[b_intercept_B]]</f>
        <v>0.68184</v>
      </c>
      <c r="AV141" s="3">
        <f>1/(1+EXP(-Tableau3[[#This Row],[xb_c]]))</f>
        <v>0.9162336474645929</v>
      </c>
      <c r="AW141" s="3">
        <f>1/(1+EXP(-Tableau3[[#This Row],[xb_b]]))</f>
        <v>0.66414924253552332</v>
      </c>
      <c r="AX141" s="3" t="str">
        <f t="shared" si="4"/>
        <v>NA</v>
      </c>
      <c r="AY141" s="3">
        <f>Tableau3[[#This Row],[prob_b]]</f>
        <v>0.66414924253552332</v>
      </c>
      <c r="AZ141" s="3">
        <f>Tableau3[[#This Row],[prob_c]]-Tableau3[[#This Row],[prob_b]]</f>
        <v>0.25208440492906958</v>
      </c>
      <c r="BA141" s="3">
        <f>1-Tableau3[[#This Row],[prob_c]]</f>
        <v>8.3766352535407096E-2</v>
      </c>
    </row>
    <row r="142" spans="1:53" x14ac:dyDescent="0.25">
      <c r="A142" s="2">
        <v>4</v>
      </c>
      <c r="B142" s="2" t="s">
        <v>12</v>
      </c>
      <c r="C142" s="4">
        <v>2.1</v>
      </c>
      <c r="D142" s="4">
        <v>700</v>
      </c>
      <c r="E142" s="4">
        <v>20</v>
      </c>
      <c r="F142" s="4">
        <v>1</v>
      </c>
      <c r="G142" s="2">
        <v>29</v>
      </c>
      <c r="H142" s="2">
        <v>38</v>
      </c>
      <c r="I142" s="2" t="s">
        <v>20</v>
      </c>
      <c r="J142" s="2" t="s">
        <v>28</v>
      </c>
      <c r="K142" s="2">
        <f>VLOOKUP(Tableau3[[#This Row],[essence]],Tableau7[],2,FALSE)</f>
        <v>-0.80379999999999996</v>
      </c>
      <c r="L142" s="3">
        <f>VLOOKUP(Tableau3[[#This Row],[essence]],Tableau7[],3,FALSE)</f>
        <v>0.88800000000000001</v>
      </c>
      <c r="M142" s="3">
        <f>VLOOKUP(Tableau3[[#This Row],[essence]],Tableau7[],4,FALSE)</f>
        <v>1.5212000000000001</v>
      </c>
      <c r="N142" s="3">
        <f>IF(Tableau3[[#This Row],[priorecol]]="C",1,0)</f>
        <v>0</v>
      </c>
      <c r="O142" s="3">
        <f>VLOOKUP(Tableau3[[#This Row],[essence]],Tableau7[],5,FALSE)</f>
        <v>1.8714999999999999</v>
      </c>
      <c r="P142" s="3">
        <f>IF(Tableau3[[#This Row],[priorecol]]="R",1,0)</f>
        <v>1</v>
      </c>
      <c r="Q142" s="3">
        <f>VLOOKUP(Tableau3[[#This Row],[essence]],Tableau7[],6,FALSE)</f>
        <v>0.51549999999999996</v>
      </c>
      <c r="R142" s="3">
        <f>IF(Tableau3[[#This Row],[priorecol]]="S",1,0)</f>
        <v>0</v>
      </c>
      <c r="S142" s="3">
        <f>VLOOKUP(Tableau3[[#This Row],[essence]],Tableau7[],7,FALSE)</f>
        <v>0</v>
      </c>
      <c r="T142" s="3">
        <f>VLOOKUP(Tableau3[[#This Row],[essence]],Tableau7[],15,FALSE)</f>
        <v>9.0500000000000008E-3</v>
      </c>
      <c r="U142" s="3">
        <f>VLOOKUP(Tableau3[[#This Row],[essence]],Tableau7[],20,FALSE)</f>
        <v>0</v>
      </c>
      <c r="V142" s="3">
        <f>IF(Tableau3[[#This Row],[sdom]]=1,1,0)</f>
        <v>0</v>
      </c>
      <c r="W142" s="3">
        <f>VLOOKUP(Tableau3[[#This Row],[essence]],Tableau7[],8,FALSE)</f>
        <v>0</v>
      </c>
      <c r="X142" s="3">
        <f>IF(Tableau3[[#This Row],[sdom]]="2EST",1,0)</f>
        <v>0</v>
      </c>
      <c r="Y142" s="3">
        <f>VLOOKUP(Tableau3[[#This Row],[essence]],Tableau7[],9,FALSE)</f>
        <v>-4.5199999999999997E-2</v>
      </c>
      <c r="Z142" s="3">
        <f>IF(Tableau3[[#This Row],[sdom]]="2OUEST",1,0)</f>
        <v>0</v>
      </c>
      <c r="AA142" s="3">
        <f>VLOOKUP(Tableau3[[#This Row],[essence]],Tableau7[],10,FALSE)</f>
        <v>1.15E-2</v>
      </c>
      <c r="AB142" s="3">
        <f>IF(Tableau3[[#This Row],[sdom]]="3EST",1,0)</f>
        <v>1</v>
      </c>
      <c r="AC142" s="3">
        <f>VLOOKUP(Tableau3[[#This Row],[essence]],Tableau7[],11,FALSE)</f>
        <v>0.1169</v>
      </c>
      <c r="AD142" s="3">
        <f>IF(Tableau3[[#This Row],[sdom]]="3OUEST",1,0)</f>
        <v>0</v>
      </c>
      <c r="AE142" s="3">
        <f>VLOOKUP(Tableau3[[#This Row],[essence]],Tableau7[],12,FALSE)</f>
        <v>-0.1686</v>
      </c>
      <c r="AF142" s="3">
        <f>IF(Tableau3[[#This Row],[sdom]]="4EST",1,0)</f>
        <v>0</v>
      </c>
      <c r="AG142" s="3">
        <f>VLOOKUP(Tableau3[[#This Row],[essence]],Tableau7[],13,FALSE)</f>
        <v>0.11940000000000001</v>
      </c>
      <c r="AH142" s="3">
        <f>IF(Tableau3[[#This Row],[sdom]]="4OUEST",1,0)</f>
        <v>0</v>
      </c>
      <c r="AI142" s="3">
        <f>VLOOKUP(Tableau3[[#This Row],[essence]],Tableau7[],14,FALSE)</f>
        <v>-0.13100000000000001</v>
      </c>
      <c r="AJ142" s="3">
        <f>IF(Tableau3[[#This Row],[sdom]]="5EST",1,0)</f>
        <v>0</v>
      </c>
      <c r="AK142" s="3">
        <f>VLOOKUP(Tableau3[[#This Row],[essence]],Tableau7[],17,FALSE)</f>
        <v>-1.8599999999999998E-2</v>
      </c>
      <c r="AL142" s="3">
        <f>IF(Tableau3[[#This Row],[priorecol]]="C",1,0)</f>
        <v>0</v>
      </c>
      <c r="AM142" s="3">
        <f>VLOOKUP(Tableau3[[#This Row],[essence]],Tableau7[],18,FALSE)</f>
        <v>-8.5500000000000003E-3</v>
      </c>
      <c r="AN142" s="3">
        <f>IF(Tableau3[[#This Row],[priorecol]]="R",1,0)</f>
        <v>1</v>
      </c>
      <c r="AO142" s="3">
        <f>VLOOKUP(Tableau3[[#This Row],[essence]],Tableau7[],19,FALSE)</f>
        <v>1.54E-2</v>
      </c>
      <c r="AP142" s="3">
        <f>IF(Tableau3[[#This Row],[priorecol]]="S",1,0)</f>
        <v>0</v>
      </c>
      <c r="AQ142" s="3">
        <f>VLOOKUP(Tableau3[[#This Row],[essence]],Tableau7[],21,FALSE)</f>
        <v>0</v>
      </c>
      <c r="AR142" s="3">
        <f>VLOOKUP(Tableau3[[#This Row],[essence]],Tableau7[],16,FALSE)</f>
        <v>0</v>
      </c>
      <c r="AS14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1.8929999999999996</v>
      </c>
      <c r="AT142" s="3">
        <f>Tableau3[[#This Row],[xb_]]+Tableau3[[#This Row],[b_intercept_C]]</f>
        <v>2.7809999999999997</v>
      </c>
      <c r="AU142" s="3">
        <f>Tableau3[[#This Row],[xb_]]+Tableau3[[#This Row],[b_intercept_B]]</f>
        <v>1.0891999999999995</v>
      </c>
      <c r="AV142" s="3">
        <f>1/(1+EXP(-Tableau3[[#This Row],[xb_c]]))</f>
        <v>0.94164042247077506</v>
      </c>
      <c r="AW142" s="3">
        <f>1/(1+EXP(-Tableau3[[#This Row],[xb_b]]))</f>
        <v>0.74823104645884075</v>
      </c>
      <c r="AX142" s="3" t="str">
        <f t="shared" si="4"/>
        <v>NA</v>
      </c>
      <c r="AY142" s="3">
        <f>Tableau3[[#This Row],[prob_b]]</f>
        <v>0.74823104645884075</v>
      </c>
      <c r="AZ142" s="3">
        <f>Tableau3[[#This Row],[prob_c]]-Tableau3[[#This Row],[prob_b]]</f>
        <v>0.19340937601193431</v>
      </c>
      <c r="BA142" s="3">
        <f>1-Tableau3[[#This Row],[prob_c]]</f>
        <v>5.8359577529224937E-2</v>
      </c>
    </row>
    <row r="143" spans="1:53" x14ac:dyDescent="0.25">
      <c r="A143" s="3">
        <v>4</v>
      </c>
      <c r="B143" s="3" t="s">
        <v>12</v>
      </c>
      <c r="C143" s="1">
        <v>2.1</v>
      </c>
      <c r="D143" s="1">
        <v>700</v>
      </c>
      <c r="E143" s="1">
        <v>20</v>
      </c>
      <c r="F143" s="1">
        <v>1</v>
      </c>
      <c r="G143" s="3">
        <v>35</v>
      </c>
      <c r="H143" s="3">
        <v>38</v>
      </c>
      <c r="I143" s="3" t="s">
        <v>22</v>
      </c>
      <c r="J143" s="3" t="s">
        <v>28</v>
      </c>
      <c r="K143" s="3">
        <f>VLOOKUP(Tableau3[[#This Row],[essence]],Tableau7[],2,FALSE)</f>
        <v>-1.8420000000000001</v>
      </c>
      <c r="L143" s="3">
        <f>VLOOKUP(Tableau3[[#This Row],[essence]],Tableau7[],3,FALSE)</f>
        <v>0.2177</v>
      </c>
      <c r="M143" s="3">
        <f>VLOOKUP(Tableau3[[#This Row],[essence]],Tableau7[],4,FALSE)</f>
        <v>1.9473</v>
      </c>
      <c r="N143" s="3">
        <f>IF(Tableau3[[#This Row],[priorecol]]="C",1,0)</f>
        <v>0</v>
      </c>
      <c r="O143" s="3">
        <f>VLOOKUP(Tableau3[[#This Row],[essence]],Tableau7[],5,FALSE)</f>
        <v>3.0630999999999999</v>
      </c>
      <c r="P143" s="3">
        <f>IF(Tableau3[[#This Row],[priorecol]]="R",1,0)</f>
        <v>1</v>
      </c>
      <c r="Q143" s="3">
        <f>VLOOKUP(Tableau3[[#This Row],[essence]],Tableau7[],6,FALSE)</f>
        <v>1.5014000000000001</v>
      </c>
      <c r="R143" s="3">
        <f>IF(Tableau3[[#This Row],[priorecol]]="S",1,0)</f>
        <v>0</v>
      </c>
      <c r="S143" s="3">
        <f>VLOOKUP(Tableau3[[#This Row],[essence]],Tableau7[],7,FALSE)</f>
        <v>0</v>
      </c>
      <c r="T143" s="3">
        <f>VLOOKUP(Tableau3[[#This Row],[essence]],Tableau7[],15,FALSE)</f>
        <v>0</v>
      </c>
      <c r="U143" s="3">
        <f>VLOOKUP(Tableau3[[#This Row],[essence]],Tableau7[],20,FALSE)</f>
        <v>0.49399999999999999</v>
      </c>
      <c r="V143" s="3">
        <f>IF(Tableau3[[#This Row],[sdom]]=1,1,0)</f>
        <v>0</v>
      </c>
      <c r="W143" s="3">
        <f>VLOOKUP(Tableau3[[#This Row],[essence]],Tableau7[],8,FALSE)</f>
        <v>0.42420000000000002</v>
      </c>
      <c r="X143" s="3">
        <f>IF(Tableau3[[#This Row],[sdom]]="2EST",1,0)</f>
        <v>0</v>
      </c>
      <c r="Y143" s="3">
        <f>VLOOKUP(Tableau3[[#This Row],[essence]],Tableau7[],9,FALSE)</f>
        <v>7.4300000000000005E-2</v>
      </c>
      <c r="Z143" s="3">
        <f>IF(Tableau3[[#This Row],[sdom]]="2OUEST",1,0)</f>
        <v>0</v>
      </c>
      <c r="AA143" s="3">
        <f>VLOOKUP(Tableau3[[#This Row],[essence]],Tableau7[],10,FALSE)</f>
        <v>-6.7000000000000004E-2</v>
      </c>
      <c r="AB143" s="3">
        <f>IF(Tableau3[[#This Row],[sdom]]="3EST",1,0)</f>
        <v>1</v>
      </c>
      <c r="AC143" s="3">
        <f>VLOOKUP(Tableau3[[#This Row],[essence]],Tableau7[],11,FALSE)</f>
        <v>-8.3400000000000002E-2</v>
      </c>
      <c r="AD143" s="3">
        <f>IF(Tableau3[[#This Row],[sdom]]="3OUEST",1,0)</f>
        <v>0</v>
      </c>
      <c r="AE143" s="3">
        <f>VLOOKUP(Tableau3[[#This Row],[essence]],Tableau7[],12,FALSE)</f>
        <v>-0.26840000000000003</v>
      </c>
      <c r="AF143" s="3">
        <f>IF(Tableau3[[#This Row],[sdom]]="4EST",1,0)</f>
        <v>0</v>
      </c>
      <c r="AG143" s="3">
        <f>VLOOKUP(Tableau3[[#This Row],[essence]],Tableau7[],13,FALSE)</f>
        <v>0</v>
      </c>
      <c r="AH143" s="3">
        <f>IF(Tableau3[[#This Row],[sdom]]="4OUEST",1,0)</f>
        <v>0</v>
      </c>
      <c r="AI143" s="3">
        <f>VLOOKUP(Tableau3[[#This Row],[essence]],Tableau7[],14,FALSE)</f>
        <v>0</v>
      </c>
      <c r="AJ143" s="3">
        <f>IF(Tableau3[[#This Row],[sdom]]="5EST",1,0)</f>
        <v>0</v>
      </c>
      <c r="AK143" s="3">
        <f>VLOOKUP(Tableau3[[#This Row],[essence]],Tableau7[],17,FALSE)</f>
        <v>0</v>
      </c>
      <c r="AL143" s="3">
        <f>IF(Tableau3[[#This Row],[priorecol]]="C",1,0)</f>
        <v>0</v>
      </c>
      <c r="AM143" s="3">
        <f>VLOOKUP(Tableau3[[#This Row],[essence]],Tableau7[],18,FALSE)</f>
        <v>0</v>
      </c>
      <c r="AN143" s="3">
        <f>IF(Tableau3[[#This Row],[priorecol]]="R",1,0)</f>
        <v>1</v>
      </c>
      <c r="AO143" s="3">
        <f>VLOOKUP(Tableau3[[#This Row],[essence]],Tableau7[],19,FALSE)</f>
        <v>0</v>
      </c>
      <c r="AP143" s="3">
        <f>IF(Tableau3[[#This Row],[priorecol]]="S",1,0)</f>
        <v>0</v>
      </c>
      <c r="AQ143" s="3">
        <f>VLOOKUP(Tableau3[[#This Row],[essence]],Tableau7[],21,FALSE)</f>
        <v>0</v>
      </c>
      <c r="AR143" s="3">
        <f>VLOOKUP(Tableau3[[#This Row],[essence]],Tableau7[],16,FALSE)</f>
        <v>0</v>
      </c>
      <c r="AS14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2.9960999999999998</v>
      </c>
      <c r="AT143" s="3">
        <f>Tableau3[[#This Row],[xb_]]+Tableau3[[#This Row],[b_intercept_C]]</f>
        <v>3.2138</v>
      </c>
      <c r="AU143" s="3">
        <f>Tableau3[[#This Row],[xb_]]+Tableau3[[#This Row],[b_intercept_B]]</f>
        <v>1.1540999999999997</v>
      </c>
      <c r="AV143" s="3">
        <f>1/(1+EXP(-Tableau3[[#This Row],[xb_c]]))</f>
        <v>0.96135030573529079</v>
      </c>
      <c r="AW143" s="3">
        <f>1/(1+EXP(-Tableau3[[#This Row],[xb_b]]))</f>
        <v>0.76025900168726357</v>
      </c>
      <c r="AX143" s="3" t="str">
        <f t="shared" si="4"/>
        <v>NA</v>
      </c>
      <c r="AY143" s="3">
        <f>Tableau3[[#This Row],[prob_b]]</f>
        <v>0.76025900168726357</v>
      </c>
      <c r="AZ143" s="3">
        <f>Tableau3[[#This Row],[prob_c]]-Tableau3[[#This Row],[prob_b]]</f>
        <v>0.20109130404802722</v>
      </c>
      <c r="BA143" s="3">
        <f>1-Tableau3[[#This Row],[prob_c]]</f>
        <v>3.8649694264709211E-2</v>
      </c>
    </row>
    <row r="144" spans="1:53" x14ac:dyDescent="0.25">
      <c r="A144" s="2">
        <v>4</v>
      </c>
      <c r="B144" s="2" t="s">
        <v>12</v>
      </c>
      <c r="C144" s="4">
        <v>2.1</v>
      </c>
      <c r="D144" s="4">
        <v>700</v>
      </c>
      <c r="E144" s="4">
        <v>20</v>
      </c>
      <c r="F144" s="4">
        <v>1</v>
      </c>
      <c r="G144" s="2">
        <v>41</v>
      </c>
      <c r="H144" s="2">
        <v>38</v>
      </c>
      <c r="I144" s="2" t="s">
        <v>24</v>
      </c>
      <c r="J144" s="2" t="s">
        <v>28</v>
      </c>
      <c r="K144" s="2">
        <f>VLOOKUP(Tableau3[[#This Row],[essence]],Tableau7[],2,FALSE)</f>
        <v>-0.84530000000000005</v>
      </c>
      <c r="L144" s="3">
        <f>VLOOKUP(Tableau3[[#This Row],[essence]],Tableau7[],3,FALSE)</f>
        <v>0.93089999999999995</v>
      </c>
      <c r="M144" s="3">
        <f>VLOOKUP(Tableau3[[#This Row],[essence]],Tableau7[],4,FALSE)</f>
        <v>1.4276</v>
      </c>
      <c r="N144" s="3">
        <f>IF(Tableau3[[#This Row],[priorecol]]="C",1,0)</f>
        <v>0</v>
      </c>
      <c r="O144" s="3">
        <f>VLOOKUP(Tableau3[[#This Row],[essence]],Tableau7[],5,FALSE)</f>
        <v>2.468</v>
      </c>
      <c r="P144" s="3">
        <f>IF(Tableau3[[#This Row],[priorecol]]="R",1,0)</f>
        <v>1</v>
      </c>
      <c r="Q144" s="3">
        <f>VLOOKUP(Tableau3[[#This Row],[essence]],Tableau7[],6,FALSE)</f>
        <v>0.86019999999999996</v>
      </c>
      <c r="R144" s="3">
        <f>IF(Tableau3[[#This Row],[priorecol]]="S",1,0)</f>
        <v>0</v>
      </c>
      <c r="S144" s="3">
        <f>VLOOKUP(Tableau3[[#This Row],[essence]],Tableau7[],7,FALSE)</f>
        <v>0</v>
      </c>
      <c r="T144" s="3">
        <f>VLOOKUP(Tableau3[[#This Row],[essence]],Tableau7[],15,FALSE)</f>
        <v>1.7299999999999999E-2</v>
      </c>
      <c r="U144" s="3">
        <f>VLOOKUP(Tableau3[[#This Row],[essence]],Tableau7[],20,FALSE)</f>
        <v>-0.28799999999999998</v>
      </c>
      <c r="V144" s="3">
        <f>IF(Tableau3[[#This Row],[sdom]]=1,1,0)</f>
        <v>0</v>
      </c>
      <c r="W144" s="3">
        <f>VLOOKUP(Tableau3[[#This Row],[essence]],Tableau7[],8,FALSE)</f>
        <v>-0.18859999999999999</v>
      </c>
      <c r="X144" s="3">
        <f>IF(Tableau3[[#This Row],[sdom]]="2EST",1,0)</f>
        <v>0</v>
      </c>
      <c r="Y144" s="3">
        <f>VLOOKUP(Tableau3[[#This Row],[essence]],Tableau7[],9,FALSE)</f>
        <v>1.2699999999999999E-2</v>
      </c>
      <c r="Z144" s="3">
        <f>IF(Tableau3[[#This Row],[sdom]]="2OUEST",1,0)</f>
        <v>0</v>
      </c>
      <c r="AA144" s="3">
        <f>VLOOKUP(Tableau3[[#This Row],[essence]],Tableau7[],10,FALSE)</f>
        <v>0</v>
      </c>
      <c r="AB144" s="3">
        <f>IF(Tableau3[[#This Row],[sdom]]="3EST",1,0)</f>
        <v>1</v>
      </c>
      <c r="AC144" s="3">
        <f>VLOOKUP(Tableau3[[#This Row],[essence]],Tableau7[],11,FALSE)</f>
        <v>0.30009999999999998</v>
      </c>
      <c r="AD144" s="3">
        <f>IF(Tableau3[[#This Row],[sdom]]="3OUEST",1,0)</f>
        <v>0</v>
      </c>
      <c r="AE144" s="3">
        <f>VLOOKUP(Tableau3[[#This Row],[essence]],Tableau7[],12,FALSE)</f>
        <v>0</v>
      </c>
      <c r="AF144" s="3">
        <f>IF(Tableau3[[#This Row],[sdom]]="4EST",1,0)</f>
        <v>0</v>
      </c>
      <c r="AG144" s="3">
        <f>VLOOKUP(Tableau3[[#This Row],[essence]],Tableau7[],13,FALSE)</f>
        <v>0</v>
      </c>
      <c r="AH144" s="3">
        <f>IF(Tableau3[[#This Row],[sdom]]="4OUEST",1,0)</f>
        <v>0</v>
      </c>
      <c r="AI144" s="3">
        <f>VLOOKUP(Tableau3[[#This Row],[essence]],Tableau7[],14,FALSE)</f>
        <v>0</v>
      </c>
      <c r="AJ144" s="3">
        <f>IF(Tableau3[[#This Row],[sdom]]="5EST",1,0)</f>
        <v>0</v>
      </c>
      <c r="AK144" s="3">
        <f>VLOOKUP(Tableau3[[#This Row],[essence]],Tableau7[],17,FALSE)</f>
        <v>0</v>
      </c>
      <c r="AL144" s="3">
        <f>IF(Tableau3[[#This Row],[priorecol]]="C",1,0)</f>
        <v>0</v>
      </c>
      <c r="AM144" s="3">
        <f>VLOOKUP(Tableau3[[#This Row],[essence]],Tableau7[],18,FALSE)</f>
        <v>0</v>
      </c>
      <c r="AN144" s="3">
        <f>IF(Tableau3[[#This Row],[priorecol]]="R",1,0)</f>
        <v>1</v>
      </c>
      <c r="AO144" s="3">
        <f>VLOOKUP(Tableau3[[#This Row],[essence]],Tableau7[],19,FALSE)</f>
        <v>0</v>
      </c>
      <c r="AP144" s="3">
        <f>IF(Tableau3[[#This Row],[priorecol]]="S",1,0)</f>
        <v>0</v>
      </c>
      <c r="AQ144" s="3">
        <f>VLOOKUP(Tableau3[[#This Row],[essence]],Tableau7[],21,FALSE)</f>
        <v>0</v>
      </c>
      <c r="AR144" s="3">
        <f>VLOOKUP(Tableau3[[#This Row],[essence]],Tableau7[],16,FALSE)</f>
        <v>0</v>
      </c>
      <c r="AS14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2.8140000000000001</v>
      </c>
      <c r="AT144" s="3">
        <f>Tableau3[[#This Row],[xb_]]+Tableau3[[#This Row],[b_intercept_C]]</f>
        <v>3.7448999999999999</v>
      </c>
      <c r="AU144" s="3">
        <f>Tableau3[[#This Row],[xb_]]+Tableau3[[#This Row],[b_intercept_B]]</f>
        <v>1.9687000000000001</v>
      </c>
      <c r="AV144" s="3">
        <f>1/(1+EXP(-Tableau3[[#This Row],[xb_c]]))</f>
        <v>0.97690785912922962</v>
      </c>
      <c r="AW144" s="3">
        <f>1/(1+EXP(-Tableau3[[#This Row],[xb_b]]))</f>
        <v>0.8774714118166369</v>
      </c>
      <c r="AX144" s="3" t="str">
        <f t="shared" si="4"/>
        <v>NA</v>
      </c>
      <c r="AY144" s="3">
        <f>Tableau3[[#This Row],[prob_b]]</f>
        <v>0.8774714118166369</v>
      </c>
      <c r="AZ144" s="3">
        <f>Tableau3[[#This Row],[prob_c]]-Tableau3[[#This Row],[prob_b]]</f>
        <v>9.9436447312592713E-2</v>
      </c>
      <c r="BA144" s="3">
        <f>1-Tableau3[[#This Row],[prob_c]]</f>
        <v>2.3092140870770383E-2</v>
      </c>
    </row>
    <row r="145" spans="1:53" x14ac:dyDescent="0.25">
      <c r="A145" s="3">
        <v>4</v>
      </c>
      <c r="B145" s="3" t="s">
        <v>12</v>
      </c>
      <c r="C145" s="1">
        <v>2.1</v>
      </c>
      <c r="D145" s="1">
        <v>700</v>
      </c>
      <c r="E145" s="1">
        <v>20</v>
      </c>
      <c r="F145" s="1">
        <v>1</v>
      </c>
      <c r="G145" s="3">
        <v>47</v>
      </c>
      <c r="H145" s="3">
        <v>38</v>
      </c>
      <c r="I145" s="3" t="s">
        <v>26</v>
      </c>
      <c r="J145" s="3" t="s">
        <v>28</v>
      </c>
      <c r="K145" s="3">
        <f>VLOOKUP(Tableau3[[#This Row],[essence]],Tableau7[],2,FALSE)</f>
        <v>-1.7838000000000001</v>
      </c>
      <c r="L145" s="3">
        <f>VLOOKUP(Tableau3[[#This Row],[essence]],Tableau7[],3,FALSE)</f>
        <v>-7.3400000000000007E-2</v>
      </c>
      <c r="M145" s="3">
        <f>VLOOKUP(Tableau3[[#This Row],[essence]],Tableau7[],4,FALSE)</f>
        <v>1.5893999999999999</v>
      </c>
      <c r="N145" s="3">
        <f>IF(Tableau3[[#This Row],[priorecol]]="C",1,0)</f>
        <v>0</v>
      </c>
      <c r="O145" s="3">
        <f>VLOOKUP(Tableau3[[#This Row],[essence]],Tableau7[],5,FALSE)</f>
        <v>2.1800000000000002</v>
      </c>
      <c r="P145" s="3">
        <f>IF(Tableau3[[#This Row],[priorecol]]="R",1,0)</f>
        <v>1</v>
      </c>
      <c r="Q145" s="3">
        <f>VLOOKUP(Tableau3[[#This Row],[essence]],Tableau7[],6,FALSE)</f>
        <v>0.91710000000000003</v>
      </c>
      <c r="R145" s="3">
        <f>IF(Tableau3[[#This Row],[priorecol]]="S",1,0)</f>
        <v>0</v>
      </c>
      <c r="S145" s="3">
        <f>VLOOKUP(Tableau3[[#This Row],[essence]],Tableau7[],7,FALSE)</f>
        <v>0</v>
      </c>
      <c r="T145" s="3">
        <f>VLOOKUP(Tableau3[[#This Row],[essence]],Tableau7[],15,FALSE)</f>
        <v>0</v>
      </c>
      <c r="U145" s="3">
        <f>VLOOKUP(Tableau3[[#This Row],[essence]],Tableau7[],20,FALSE)</f>
        <v>0</v>
      </c>
      <c r="V145" s="3">
        <f>IF(Tableau3[[#This Row],[sdom]]=1,1,0)</f>
        <v>0</v>
      </c>
      <c r="W145" s="3">
        <f>VLOOKUP(Tableau3[[#This Row],[essence]],Tableau7[],8,FALSE)</f>
        <v>0</v>
      </c>
      <c r="X145" s="3">
        <f>IF(Tableau3[[#This Row],[sdom]]="2EST",1,0)</f>
        <v>0</v>
      </c>
      <c r="Y145" s="3">
        <f>VLOOKUP(Tableau3[[#This Row],[essence]],Tableau7[],9,FALSE)</f>
        <v>-0.22550000000000001</v>
      </c>
      <c r="Z145" s="3">
        <f>IF(Tableau3[[#This Row],[sdom]]="2OUEST",1,0)</f>
        <v>0</v>
      </c>
      <c r="AA145" s="3">
        <f>VLOOKUP(Tableau3[[#This Row],[essence]],Tableau7[],10,FALSE)</f>
        <v>0</v>
      </c>
      <c r="AB145" s="3">
        <f>IF(Tableau3[[#This Row],[sdom]]="3EST",1,0)</f>
        <v>1</v>
      </c>
      <c r="AC145" s="3">
        <f>VLOOKUP(Tableau3[[#This Row],[essence]],Tableau7[],11,FALSE)</f>
        <v>0.3513</v>
      </c>
      <c r="AD145" s="3">
        <f>IF(Tableau3[[#This Row],[sdom]]="3OUEST",1,0)</f>
        <v>0</v>
      </c>
      <c r="AE145" s="3">
        <f>VLOOKUP(Tableau3[[#This Row],[essence]],Tableau7[],12,FALSE)</f>
        <v>-0.42259999999999998</v>
      </c>
      <c r="AF145" s="3">
        <f>IF(Tableau3[[#This Row],[sdom]]="4EST",1,0)</f>
        <v>0</v>
      </c>
      <c r="AG145" s="3">
        <f>VLOOKUP(Tableau3[[#This Row],[essence]],Tableau7[],13,FALSE)</f>
        <v>0.25390000000000001</v>
      </c>
      <c r="AH145" s="3">
        <f>IF(Tableau3[[#This Row],[sdom]]="4OUEST",1,0)</f>
        <v>0</v>
      </c>
      <c r="AI145" s="3">
        <f>VLOOKUP(Tableau3[[#This Row],[essence]],Tableau7[],14,FALSE)</f>
        <v>4.6199999999999998E-2</v>
      </c>
      <c r="AJ145" s="3">
        <f>IF(Tableau3[[#This Row],[sdom]]="5EST",1,0)</f>
        <v>0</v>
      </c>
      <c r="AK145" s="3">
        <f>VLOOKUP(Tableau3[[#This Row],[essence]],Tableau7[],17,FALSE)</f>
        <v>0</v>
      </c>
      <c r="AL145" s="3">
        <f>IF(Tableau3[[#This Row],[priorecol]]="C",1,0)</f>
        <v>0</v>
      </c>
      <c r="AM145" s="3">
        <f>VLOOKUP(Tableau3[[#This Row],[essence]],Tableau7[],18,FALSE)</f>
        <v>0</v>
      </c>
      <c r="AN145" s="3">
        <f>IF(Tableau3[[#This Row],[priorecol]]="R",1,0)</f>
        <v>1</v>
      </c>
      <c r="AO145" s="3">
        <f>VLOOKUP(Tableau3[[#This Row],[essence]],Tableau7[],19,FALSE)</f>
        <v>0</v>
      </c>
      <c r="AP145" s="3">
        <f>IF(Tableau3[[#This Row],[priorecol]]="S",1,0)</f>
        <v>0</v>
      </c>
      <c r="AQ145" s="3">
        <f>VLOOKUP(Tableau3[[#This Row],[essence]],Tableau7[],21,FALSE)</f>
        <v>0</v>
      </c>
      <c r="AR145" s="3">
        <f>VLOOKUP(Tableau3[[#This Row],[essence]],Tableau7[],16,FALSE)</f>
        <v>0.24340000000000001</v>
      </c>
      <c r="AS14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2.6911400000000003</v>
      </c>
      <c r="AT145" s="3">
        <f>Tableau3[[#This Row],[xb_]]+Tableau3[[#This Row],[b_intercept_C]]</f>
        <v>2.6177400000000004</v>
      </c>
      <c r="AU145" s="3">
        <f>Tableau3[[#This Row],[xb_]]+Tableau3[[#This Row],[b_intercept_B]]</f>
        <v>0.90734000000000026</v>
      </c>
      <c r="AV145" s="3">
        <f>1/(1+EXP(-Tableau3[[#This Row],[xb_c]]))</f>
        <v>0.93199460590140382</v>
      </c>
      <c r="AW145" s="3">
        <f>1/(1+EXP(-Tableau3[[#This Row],[xb_b]]))</f>
        <v>0.71245553622310143</v>
      </c>
      <c r="AX145" s="3" t="str">
        <f t="shared" si="4"/>
        <v>NA</v>
      </c>
      <c r="AY145" s="3">
        <f>Tableau3[[#This Row],[prob_b]]</f>
        <v>0.71245553622310143</v>
      </c>
      <c r="AZ145" s="3">
        <f>Tableau3[[#This Row],[prob_c]]-Tableau3[[#This Row],[prob_b]]</f>
        <v>0.21953906967830239</v>
      </c>
      <c r="BA145" s="3">
        <f>1-Tableau3[[#This Row],[prob_c]]</f>
        <v>6.8005394098596184E-2</v>
      </c>
    </row>
    <row r="146" spans="1:53" x14ac:dyDescent="0.25">
      <c r="A146" s="2">
        <v>5</v>
      </c>
      <c r="B146" s="2" t="s">
        <v>13</v>
      </c>
      <c r="C146" s="4">
        <v>2.1</v>
      </c>
      <c r="D146" s="4">
        <v>700</v>
      </c>
      <c r="E146" s="4">
        <v>20</v>
      </c>
      <c r="F146" s="4">
        <v>1</v>
      </c>
      <c r="G146" s="2">
        <v>29</v>
      </c>
      <c r="H146" s="2">
        <v>38</v>
      </c>
      <c r="I146" s="2" t="s">
        <v>20</v>
      </c>
      <c r="J146" s="2" t="s">
        <v>28</v>
      </c>
      <c r="K146" s="2">
        <f>VLOOKUP(Tableau3[[#This Row],[essence]],Tableau7[],2,FALSE)</f>
        <v>-0.80379999999999996</v>
      </c>
      <c r="L146" s="3">
        <f>VLOOKUP(Tableau3[[#This Row],[essence]],Tableau7[],3,FALSE)</f>
        <v>0.88800000000000001</v>
      </c>
      <c r="M146" s="3">
        <f>VLOOKUP(Tableau3[[#This Row],[essence]],Tableau7[],4,FALSE)</f>
        <v>1.5212000000000001</v>
      </c>
      <c r="N146" s="3">
        <f>IF(Tableau3[[#This Row],[priorecol]]="C",1,0)</f>
        <v>0</v>
      </c>
      <c r="O146" s="3">
        <f>VLOOKUP(Tableau3[[#This Row],[essence]],Tableau7[],5,FALSE)</f>
        <v>1.8714999999999999</v>
      </c>
      <c r="P146" s="3">
        <f>IF(Tableau3[[#This Row],[priorecol]]="R",1,0)</f>
        <v>1</v>
      </c>
      <c r="Q146" s="3">
        <f>VLOOKUP(Tableau3[[#This Row],[essence]],Tableau7[],6,FALSE)</f>
        <v>0.51549999999999996</v>
      </c>
      <c r="R146" s="3">
        <f>IF(Tableau3[[#This Row],[priorecol]]="S",1,0)</f>
        <v>0</v>
      </c>
      <c r="S146" s="3">
        <f>VLOOKUP(Tableau3[[#This Row],[essence]],Tableau7[],7,FALSE)</f>
        <v>0</v>
      </c>
      <c r="T146" s="3">
        <f>VLOOKUP(Tableau3[[#This Row],[essence]],Tableau7[],15,FALSE)</f>
        <v>9.0500000000000008E-3</v>
      </c>
      <c r="U146" s="3">
        <f>VLOOKUP(Tableau3[[#This Row],[essence]],Tableau7[],20,FALSE)</f>
        <v>0</v>
      </c>
      <c r="V146" s="3">
        <f>IF(Tableau3[[#This Row],[sdom]]=1,1,0)</f>
        <v>0</v>
      </c>
      <c r="W146" s="3">
        <f>VLOOKUP(Tableau3[[#This Row],[essence]],Tableau7[],8,FALSE)</f>
        <v>0</v>
      </c>
      <c r="X146" s="3">
        <f>IF(Tableau3[[#This Row],[sdom]]="2EST",1,0)</f>
        <v>0</v>
      </c>
      <c r="Y146" s="3">
        <f>VLOOKUP(Tableau3[[#This Row],[essence]],Tableau7[],9,FALSE)</f>
        <v>-4.5199999999999997E-2</v>
      </c>
      <c r="Z146" s="3">
        <f>IF(Tableau3[[#This Row],[sdom]]="2OUEST",1,0)</f>
        <v>0</v>
      </c>
      <c r="AA146" s="3">
        <f>VLOOKUP(Tableau3[[#This Row],[essence]],Tableau7[],10,FALSE)</f>
        <v>1.15E-2</v>
      </c>
      <c r="AB146" s="3">
        <f>IF(Tableau3[[#This Row],[sdom]]="3EST",1,0)</f>
        <v>0</v>
      </c>
      <c r="AC146" s="3">
        <f>VLOOKUP(Tableau3[[#This Row],[essence]],Tableau7[],11,FALSE)</f>
        <v>0.1169</v>
      </c>
      <c r="AD146" s="3">
        <f>IF(Tableau3[[#This Row],[sdom]]="3OUEST",1,0)</f>
        <v>1</v>
      </c>
      <c r="AE146" s="3">
        <f>VLOOKUP(Tableau3[[#This Row],[essence]],Tableau7[],12,FALSE)</f>
        <v>-0.1686</v>
      </c>
      <c r="AF146" s="3">
        <f>IF(Tableau3[[#This Row],[sdom]]="4EST",1,0)</f>
        <v>0</v>
      </c>
      <c r="AG146" s="3">
        <f>VLOOKUP(Tableau3[[#This Row],[essence]],Tableau7[],13,FALSE)</f>
        <v>0.11940000000000001</v>
      </c>
      <c r="AH146" s="3">
        <f>IF(Tableau3[[#This Row],[sdom]]="4OUEST",1,0)</f>
        <v>0</v>
      </c>
      <c r="AI146" s="3">
        <f>VLOOKUP(Tableau3[[#This Row],[essence]],Tableau7[],14,FALSE)</f>
        <v>-0.13100000000000001</v>
      </c>
      <c r="AJ146" s="3">
        <f>IF(Tableau3[[#This Row],[sdom]]="5EST",1,0)</f>
        <v>0</v>
      </c>
      <c r="AK146" s="3">
        <f>VLOOKUP(Tableau3[[#This Row],[essence]],Tableau7[],17,FALSE)</f>
        <v>-1.8599999999999998E-2</v>
      </c>
      <c r="AL146" s="3">
        <f>IF(Tableau3[[#This Row],[priorecol]]="C",1,0)</f>
        <v>0</v>
      </c>
      <c r="AM146" s="3">
        <f>VLOOKUP(Tableau3[[#This Row],[essence]],Tableau7[],18,FALSE)</f>
        <v>-8.5500000000000003E-3</v>
      </c>
      <c r="AN146" s="3">
        <f>IF(Tableau3[[#This Row],[priorecol]]="R",1,0)</f>
        <v>1</v>
      </c>
      <c r="AO146" s="3">
        <f>VLOOKUP(Tableau3[[#This Row],[essence]],Tableau7[],19,FALSE)</f>
        <v>1.54E-2</v>
      </c>
      <c r="AP146" s="3">
        <f>IF(Tableau3[[#This Row],[priorecol]]="S",1,0)</f>
        <v>0</v>
      </c>
      <c r="AQ146" s="3">
        <f>VLOOKUP(Tableau3[[#This Row],[essence]],Tableau7[],21,FALSE)</f>
        <v>0</v>
      </c>
      <c r="AR146" s="3">
        <f>VLOOKUP(Tableau3[[#This Row],[essence]],Tableau7[],16,FALSE)</f>
        <v>0</v>
      </c>
      <c r="AS14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1.9983999999999995</v>
      </c>
      <c r="AT146" s="3">
        <f>Tableau3[[#This Row],[xb_]]+Tableau3[[#This Row],[b_intercept_C]]</f>
        <v>2.8863999999999996</v>
      </c>
      <c r="AU146" s="3">
        <f>Tableau3[[#This Row],[xb_]]+Tableau3[[#This Row],[b_intercept_B]]</f>
        <v>1.1945999999999994</v>
      </c>
      <c r="AV146" s="3">
        <f>1/(1+EXP(-Tableau3[[#This Row],[xb_c]]))</f>
        <v>0.94717003101642783</v>
      </c>
      <c r="AW146" s="3">
        <f>1/(1+EXP(-Tableau3[[#This Row],[xb_b]]))</f>
        <v>0.76756276089191222</v>
      </c>
      <c r="AX146" s="3" t="str">
        <f t="shared" si="4"/>
        <v>NA</v>
      </c>
      <c r="AY146" s="3">
        <f>Tableau3[[#This Row],[prob_b]]</f>
        <v>0.76756276089191222</v>
      </c>
      <c r="AZ146" s="3">
        <f>Tableau3[[#This Row],[prob_c]]-Tableau3[[#This Row],[prob_b]]</f>
        <v>0.17960727012451561</v>
      </c>
      <c r="BA146" s="3">
        <f>1-Tableau3[[#This Row],[prob_c]]</f>
        <v>5.2829968983572173E-2</v>
      </c>
    </row>
    <row r="147" spans="1:53" x14ac:dyDescent="0.25">
      <c r="A147" s="3">
        <v>5</v>
      </c>
      <c r="B147" s="3" t="s">
        <v>13</v>
      </c>
      <c r="C147" s="1">
        <v>2.1</v>
      </c>
      <c r="D147" s="1">
        <v>700</v>
      </c>
      <c r="E147" s="1">
        <v>20</v>
      </c>
      <c r="F147" s="1">
        <v>1</v>
      </c>
      <c r="G147" s="3">
        <v>35</v>
      </c>
      <c r="H147" s="3">
        <v>38</v>
      </c>
      <c r="I147" s="3" t="s">
        <v>22</v>
      </c>
      <c r="J147" s="3" t="s">
        <v>28</v>
      </c>
      <c r="K147" s="3">
        <f>VLOOKUP(Tableau3[[#This Row],[essence]],Tableau7[],2,FALSE)</f>
        <v>-1.8420000000000001</v>
      </c>
      <c r="L147" s="3">
        <f>VLOOKUP(Tableau3[[#This Row],[essence]],Tableau7[],3,FALSE)</f>
        <v>0.2177</v>
      </c>
      <c r="M147" s="3">
        <f>VLOOKUP(Tableau3[[#This Row],[essence]],Tableau7[],4,FALSE)</f>
        <v>1.9473</v>
      </c>
      <c r="N147" s="3">
        <f>IF(Tableau3[[#This Row],[priorecol]]="C",1,0)</f>
        <v>0</v>
      </c>
      <c r="O147" s="3">
        <f>VLOOKUP(Tableau3[[#This Row],[essence]],Tableau7[],5,FALSE)</f>
        <v>3.0630999999999999</v>
      </c>
      <c r="P147" s="3">
        <f>IF(Tableau3[[#This Row],[priorecol]]="R",1,0)</f>
        <v>1</v>
      </c>
      <c r="Q147" s="3">
        <f>VLOOKUP(Tableau3[[#This Row],[essence]],Tableau7[],6,FALSE)</f>
        <v>1.5014000000000001</v>
      </c>
      <c r="R147" s="3">
        <f>IF(Tableau3[[#This Row],[priorecol]]="S",1,0)</f>
        <v>0</v>
      </c>
      <c r="S147" s="3">
        <f>VLOOKUP(Tableau3[[#This Row],[essence]],Tableau7[],7,FALSE)</f>
        <v>0</v>
      </c>
      <c r="T147" s="3">
        <f>VLOOKUP(Tableau3[[#This Row],[essence]],Tableau7[],15,FALSE)</f>
        <v>0</v>
      </c>
      <c r="U147" s="3">
        <f>VLOOKUP(Tableau3[[#This Row],[essence]],Tableau7[],20,FALSE)</f>
        <v>0.49399999999999999</v>
      </c>
      <c r="V147" s="3">
        <f>IF(Tableau3[[#This Row],[sdom]]=1,1,0)</f>
        <v>0</v>
      </c>
      <c r="W147" s="3">
        <f>VLOOKUP(Tableau3[[#This Row],[essence]],Tableau7[],8,FALSE)</f>
        <v>0.42420000000000002</v>
      </c>
      <c r="X147" s="3">
        <f>IF(Tableau3[[#This Row],[sdom]]="2EST",1,0)</f>
        <v>0</v>
      </c>
      <c r="Y147" s="3">
        <f>VLOOKUP(Tableau3[[#This Row],[essence]],Tableau7[],9,FALSE)</f>
        <v>7.4300000000000005E-2</v>
      </c>
      <c r="Z147" s="3">
        <f>IF(Tableau3[[#This Row],[sdom]]="2OUEST",1,0)</f>
        <v>0</v>
      </c>
      <c r="AA147" s="3">
        <f>VLOOKUP(Tableau3[[#This Row],[essence]],Tableau7[],10,FALSE)</f>
        <v>-6.7000000000000004E-2</v>
      </c>
      <c r="AB147" s="3">
        <f>IF(Tableau3[[#This Row],[sdom]]="3EST",1,0)</f>
        <v>0</v>
      </c>
      <c r="AC147" s="3">
        <f>VLOOKUP(Tableau3[[#This Row],[essence]],Tableau7[],11,FALSE)</f>
        <v>-8.3400000000000002E-2</v>
      </c>
      <c r="AD147" s="3">
        <f>IF(Tableau3[[#This Row],[sdom]]="3OUEST",1,0)</f>
        <v>1</v>
      </c>
      <c r="AE147" s="3">
        <f>VLOOKUP(Tableau3[[#This Row],[essence]],Tableau7[],12,FALSE)</f>
        <v>-0.26840000000000003</v>
      </c>
      <c r="AF147" s="3">
        <f>IF(Tableau3[[#This Row],[sdom]]="4EST",1,0)</f>
        <v>0</v>
      </c>
      <c r="AG147" s="3">
        <f>VLOOKUP(Tableau3[[#This Row],[essence]],Tableau7[],13,FALSE)</f>
        <v>0</v>
      </c>
      <c r="AH147" s="3">
        <f>IF(Tableau3[[#This Row],[sdom]]="4OUEST",1,0)</f>
        <v>0</v>
      </c>
      <c r="AI147" s="3">
        <f>VLOOKUP(Tableau3[[#This Row],[essence]],Tableau7[],14,FALSE)</f>
        <v>0</v>
      </c>
      <c r="AJ147" s="3">
        <f>IF(Tableau3[[#This Row],[sdom]]="5EST",1,0)</f>
        <v>0</v>
      </c>
      <c r="AK147" s="3">
        <f>VLOOKUP(Tableau3[[#This Row],[essence]],Tableau7[],17,FALSE)</f>
        <v>0</v>
      </c>
      <c r="AL147" s="3">
        <f>IF(Tableau3[[#This Row],[priorecol]]="C",1,0)</f>
        <v>0</v>
      </c>
      <c r="AM147" s="3">
        <f>VLOOKUP(Tableau3[[#This Row],[essence]],Tableau7[],18,FALSE)</f>
        <v>0</v>
      </c>
      <c r="AN147" s="3">
        <f>IF(Tableau3[[#This Row],[priorecol]]="R",1,0)</f>
        <v>1</v>
      </c>
      <c r="AO147" s="3">
        <f>VLOOKUP(Tableau3[[#This Row],[essence]],Tableau7[],19,FALSE)</f>
        <v>0</v>
      </c>
      <c r="AP147" s="3">
        <f>IF(Tableau3[[#This Row],[priorecol]]="S",1,0)</f>
        <v>0</v>
      </c>
      <c r="AQ147" s="3">
        <f>VLOOKUP(Tableau3[[#This Row],[essence]],Tableau7[],21,FALSE)</f>
        <v>0</v>
      </c>
      <c r="AR147" s="3">
        <f>VLOOKUP(Tableau3[[#This Row],[essence]],Tableau7[],16,FALSE)</f>
        <v>0</v>
      </c>
      <c r="AS14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2.9796999999999998</v>
      </c>
      <c r="AT147" s="3">
        <f>Tableau3[[#This Row],[xb_]]+Tableau3[[#This Row],[b_intercept_C]]</f>
        <v>3.1974</v>
      </c>
      <c r="AU147" s="3">
        <f>Tableau3[[#This Row],[xb_]]+Tableau3[[#This Row],[b_intercept_B]]</f>
        <v>1.1376999999999997</v>
      </c>
      <c r="AV147" s="3">
        <f>1/(1+EXP(-Tableau3[[#This Row],[xb_c]]))</f>
        <v>0.9607363172865907</v>
      </c>
      <c r="AW147" s="3">
        <f>1/(1+EXP(-Tableau3[[#This Row],[xb_b]]))</f>
        <v>0.75725710600184459</v>
      </c>
      <c r="AX147" s="3" t="str">
        <f t="shared" si="4"/>
        <v>NA</v>
      </c>
      <c r="AY147" s="3">
        <f>Tableau3[[#This Row],[prob_b]]</f>
        <v>0.75725710600184459</v>
      </c>
      <c r="AZ147" s="3">
        <f>Tableau3[[#This Row],[prob_c]]-Tableau3[[#This Row],[prob_b]]</f>
        <v>0.20347921128474611</v>
      </c>
      <c r="BA147" s="3">
        <f>1-Tableau3[[#This Row],[prob_c]]</f>
        <v>3.9263682713409298E-2</v>
      </c>
    </row>
    <row r="148" spans="1:53" x14ac:dyDescent="0.25">
      <c r="A148" s="2">
        <v>5</v>
      </c>
      <c r="B148" s="2" t="s">
        <v>13</v>
      </c>
      <c r="C148" s="4">
        <v>2.1</v>
      </c>
      <c r="D148" s="4">
        <v>700</v>
      </c>
      <c r="E148" s="4">
        <v>20</v>
      </c>
      <c r="F148" s="4">
        <v>1</v>
      </c>
      <c r="G148" s="2">
        <v>41</v>
      </c>
      <c r="H148" s="2">
        <v>38</v>
      </c>
      <c r="I148" s="2" t="s">
        <v>24</v>
      </c>
      <c r="J148" s="2" t="s">
        <v>28</v>
      </c>
      <c r="K148" s="2">
        <f>VLOOKUP(Tableau3[[#This Row],[essence]],Tableau7[],2,FALSE)</f>
        <v>-0.84530000000000005</v>
      </c>
      <c r="L148" s="3">
        <f>VLOOKUP(Tableau3[[#This Row],[essence]],Tableau7[],3,FALSE)</f>
        <v>0.93089999999999995</v>
      </c>
      <c r="M148" s="3">
        <f>VLOOKUP(Tableau3[[#This Row],[essence]],Tableau7[],4,FALSE)</f>
        <v>1.4276</v>
      </c>
      <c r="N148" s="3">
        <f>IF(Tableau3[[#This Row],[priorecol]]="C",1,0)</f>
        <v>0</v>
      </c>
      <c r="O148" s="3">
        <f>VLOOKUP(Tableau3[[#This Row],[essence]],Tableau7[],5,FALSE)</f>
        <v>2.468</v>
      </c>
      <c r="P148" s="3">
        <f>IF(Tableau3[[#This Row],[priorecol]]="R",1,0)</f>
        <v>1</v>
      </c>
      <c r="Q148" s="3">
        <f>VLOOKUP(Tableau3[[#This Row],[essence]],Tableau7[],6,FALSE)</f>
        <v>0.86019999999999996</v>
      </c>
      <c r="R148" s="3">
        <f>IF(Tableau3[[#This Row],[priorecol]]="S",1,0)</f>
        <v>0</v>
      </c>
      <c r="S148" s="3">
        <f>VLOOKUP(Tableau3[[#This Row],[essence]],Tableau7[],7,FALSE)</f>
        <v>0</v>
      </c>
      <c r="T148" s="3">
        <f>VLOOKUP(Tableau3[[#This Row],[essence]],Tableau7[],15,FALSE)</f>
        <v>1.7299999999999999E-2</v>
      </c>
      <c r="U148" s="3">
        <f>VLOOKUP(Tableau3[[#This Row],[essence]],Tableau7[],20,FALSE)</f>
        <v>-0.28799999999999998</v>
      </c>
      <c r="V148" s="3">
        <f>IF(Tableau3[[#This Row],[sdom]]=1,1,0)</f>
        <v>0</v>
      </c>
      <c r="W148" s="3">
        <f>VLOOKUP(Tableau3[[#This Row],[essence]],Tableau7[],8,FALSE)</f>
        <v>-0.18859999999999999</v>
      </c>
      <c r="X148" s="3">
        <f>IF(Tableau3[[#This Row],[sdom]]="2EST",1,0)</f>
        <v>0</v>
      </c>
      <c r="Y148" s="3">
        <f>VLOOKUP(Tableau3[[#This Row],[essence]],Tableau7[],9,FALSE)</f>
        <v>1.2699999999999999E-2</v>
      </c>
      <c r="Z148" s="3">
        <f>IF(Tableau3[[#This Row],[sdom]]="2OUEST",1,0)</f>
        <v>0</v>
      </c>
      <c r="AA148" s="3">
        <f>VLOOKUP(Tableau3[[#This Row],[essence]],Tableau7[],10,FALSE)</f>
        <v>0</v>
      </c>
      <c r="AB148" s="3">
        <f>IF(Tableau3[[#This Row],[sdom]]="3EST",1,0)</f>
        <v>0</v>
      </c>
      <c r="AC148" s="3">
        <f>VLOOKUP(Tableau3[[#This Row],[essence]],Tableau7[],11,FALSE)</f>
        <v>0.30009999999999998</v>
      </c>
      <c r="AD148" s="3">
        <f>IF(Tableau3[[#This Row],[sdom]]="3OUEST",1,0)</f>
        <v>1</v>
      </c>
      <c r="AE148" s="3">
        <f>VLOOKUP(Tableau3[[#This Row],[essence]],Tableau7[],12,FALSE)</f>
        <v>0</v>
      </c>
      <c r="AF148" s="3">
        <f>IF(Tableau3[[#This Row],[sdom]]="4EST",1,0)</f>
        <v>0</v>
      </c>
      <c r="AG148" s="3">
        <f>VLOOKUP(Tableau3[[#This Row],[essence]],Tableau7[],13,FALSE)</f>
        <v>0</v>
      </c>
      <c r="AH148" s="3">
        <f>IF(Tableau3[[#This Row],[sdom]]="4OUEST",1,0)</f>
        <v>0</v>
      </c>
      <c r="AI148" s="3">
        <f>VLOOKUP(Tableau3[[#This Row],[essence]],Tableau7[],14,FALSE)</f>
        <v>0</v>
      </c>
      <c r="AJ148" s="3">
        <f>IF(Tableau3[[#This Row],[sdom]]="5EST",1,0)</f>
        <v>0</v>
      </c>
      <c r="AK148" s="3">
        <f>VLOOKUP(Tableau3[[#This Row],[essence]],Tableau7[],17,FALSE)</f>
        <v>0</v>
      </c>
      <c r="AL148" s="3">
        <f>IF(Tableau3[[#This Row],[priorecol]]="C",1,0)</f>
        <v>0</v>
      </c>
      <c r="AM148" s="3">
        <f>VLOOKUP(Tableau3[[#This Row],[essence]],Tableau7[],18,FALSE)</f>
        <v>0</v>
      </c>
      <c r="AN148" s="3">
        <f>IF(Tableau3[[#This Row],[priorecol]]="R",1,0)</f>
        <v>1</v>
      </c>
      <c r="AO148" s="3">
        <f>VLOOKUP(Tableau3[[#This Row],[essence]],Tableau7[],19,FALSE)</f>
        <v>0</v>
      </c>
      <c r="AP148" s="3">
        <f>IF(Tableau3[[#This Row],[priorecol]]="S",1,0)</f>
        <v>0</v>
      </c>
      <c r="AQ148" s="3">
        <f>VLOOKUP(Tableau3[[#This Row],[essence]],Tableau7[],21,FALSE)</f>
        <v>0</v>
      </c>
      <c r="AR148" s="3">
        <f>VLOOKUP(Tableau3[[#This Row],[essence]],Tableau7[],16,FALSE)</f>
        <v>0</v>
      </c>
      <c r="AS14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3.1141000000000001</v>
      </c>
      <c r="AT148" s="3">
        <f>Tableau3[[#This Row],[xb_]]+Tableau3[[#This Row],[b_intercept_C]]</f>
        <v>4.0449999999999999</v>
      </c>
      <c r="AU148" s="3">
        <f>Tableau3[[#This Row],[xb_]]+Tableau3[[#This Row],[b_intercept_B]]</f>
        <v>2.2688000000000001</v>
      </c>
      <c r="AV148" s="3">
        <f>1/(1+EXP(-Tableau3[[#This Row],[xb_c]]))</f>
        <v>0.9827916091849781</v>
      </c>
      <c r="AW148" s="3">
        <f>1/(1+EXP(-Tableau3[[#This Row],[xb_b]]))</f>
        <v>0.90625989397066364</v>
      </c>
      <c r="AX148" s="3" t="str">
        <f t="shared" si="4"/>
        <v>NA</v>
      </c>
      <c r="AY148" s="3">
        <f>Tableau3[[#This Row],[prob_b]]</f>
        <v>0.90625989397066364</v>
      </c>
      <c r="AZ148" s="3">
        <f>Tableau3[[#This Row],[prob_c]]-Tableau3[[#This Row],[prob_b]]</f>
        <v>7.6531715214314455E-2</v>
      </c>
      <c r="BA148" s="3">
        <f>1-Tableau3[[#This Row],[prob_c]]</f>
        <v>1.7208390815021901E-2</v>
      </c>
    </row>
    <row r="149" spans="1:53" x14ac:dyDescent="0.25">
      <c r="A149" s="3">
        <v>5</v>
      </c>
      <c r="B149" s="3" t="s">
        <v>13</v>
      </c>
      <c r="C149" s="1">
        <v>2.1</v>
      </c>
      <c r="D149" s="1">
        <v>700</v>
      </c>
      <c r="E149" s="1">
        <v>20</v>
      </c>
      <c r="F149" s="1">
        <v>1</v>
      </c>
      <c r="G149" s="3">
        <v>47</v>
      </c>
      <c r="H149" s="3">
        <v>38</v>
      </c>
      <c r="I149" s="3" t="s">
        <v>26</v>
      </c>
      <c r="J149" s="3" t="s">
        <v>28</v>
      </c>
      <c r="K149" s="3">
        <f>VLOOKUP(Tableau3[[#This Row],[essence]],Tableau7[],2,FALSE)</f>
        <v>-1.7838000000000001</v>
      </c>
      <c r="L149" s="3">
        <f>VLOOKUP(Tableau3[[#This Row],[essence]],Tableau7[],3,FALSE)</f>
        <v>-7.3400000000000007E-2</v>
      </c>
      <c r="M149" s="3">
        <f>VLOOKUP(Tableau3[[#This Row],[essence]],Tableau7[],4,FALSE)</f>
        <v>1.5893999999999999</v>
      </c>
      <c r="N149" s="3">
        <f>IF(Tableau3[[#This Row],[priorecol]]="C",1,0)</f>
        <v>0</v>
      </c>
      <c r="O149" s="3">
        <f>VLOOKUP(Tableau3[[#This Row],[essence]],Tableau7[],5,FALSE)</f>
        <v>2.1800000000000002</v>
      </c>
      <c r="P149" s="3">
        <f>IF(Tableau3[[#This Row],[priorecol]]="R",1,0)</f>
        <v>1</v>
      </c>
      <c r="Q149" s="3">
        <f>VLOOKUP(Tableau3[[#This Row],[essence]],Tableau7[],6,FALSE)</f>
        <v>0.91710000000000003</v>
      </c>
      <c r="R149" s="3">
        <f>IF(Tableau3[[#This Row],[priorecol]]="S",1,0)</f>
        <v>0</v>
      </c>
      <c r="S149" s="3">
        <f>VLOOKUP(Tableau3[[#This Row],[essence]],Tableau7[],7,FALSE)</f>
        <v>0</v>
      </c>
      <c r="T149" s="3">
        <f>VLOOKUP(Tableau3[[#This Row],[essence]],Tableau7[],15,FALSE)</f>
        <v>0</v>
      </c>
      <c r="U149" s="3">
        <f>VLOOKUP(Tableau3[[#This Row],[essence]],Tableau7[],20,FALSE)</f>
        <v>0</v>
      </c>
      <c r="V149" s="3">
        <f>IF(Tableau3[[#This Row],[sdom]]=1,1,0)</f>
        <v>0</v>
      </c>
      <c r="W149" s="3">
        <f>VLOOKUP(Tableau3[[#This Row],[essence]],Tableau7[],8,FALSE)</f>
        <v>0</v>
      </c>
      <c r="X149" s="3">
        <f>IF(Tableau3[[#This Row],[sdom]]="2EST",1,0)</f>
        <v>0</v>
      </c>
      <c r="Y149" s="3">
        <f>VLOOKUP(Tableau3[[#This Row],[essence]],Tableau7[],9,FALSE)</f>
        <v>-0.22550000000000001</v>
      </c>
      <c r="Z149" s="3">
        <f>IF(Tableau3[[#This Row],[sdom]]="2OUEST",1,0)</f>
        <v>0</v>
      </c>
      <c r="AA149" s="3">
        <f>VLOOKUP(Tableau3[[#This Row],[essence]],Tableau7[],10,FALSE)</f>
        <v>0</v>
      </c>
      <c r="AB149" s="3">
        <f>IF(Tableau3[[#This Row],[sdom]]="3EST",1,0)</f>
        <v>0</v>
      </c>
      <c r="AC149" s="3">
        <f>VLOOKUP(Tableau3[[#This Row],[essence]],Tableau7[],11,FALSE)</f>
        <v>0.3513</v>
      </c>
      <c r="AD149" s="3">
        <f>IF(Tableau3[[#This Row],[sdom]]="3OUEST",1,0)</f>
        <v>1</v>
      </c>
      <c r="AE149" s="3">
        <f>VLOOKUP(Tableau3[[#This Row],[essence]],Tableau7[],12,FALSE)</f>
        <v>-0.42259999999999998</v>
      </c>
      <c r="AF149" s="3">
        <f>IF(Tableau3[[#This Row],[sdom]]="4EST",1,0)</f>
        <v>0</v>
      </c>
      <c r="AG149" s="3">
        <f>VLOOKUP(Tableau3[[#This Row],[essence]],Tableau7[],13,FALSE)</f>
        <v>0.25390000000000001</v>
      </c>
      <c r="AH149" s="3">
        <f>IF(Tableau3[[#This Row],[sdom]]="4OUEST",1,0)</f>
        <v>0</v>
      </c>
      <c r="AI149" s="3">
        <f>VLOOKUP(Tableau3[[#This Row],[essence]],Tableau7[],14,FALSE)</f>
        <v>4.6199999999999998E-2</v>
      </c>
      <c r="AJ149" s="3">
        <f>IF(Tableau3[[#This Row],[sdom]]="5EST",1,0)</f>
        <v>0</v>
      </c>
      <c r="AK149" s="3">
        <f>VLOOKUP(Tableau3[[#This Row],[essence]],Tableau7[],17,FALSE)</f>
        <v>0</v>
      </c>
      <c r="AL149" s="3">
        <f>IF(Tableau3[[#This Row],[priorecol]]="C",1,0)</f>
        <v>0</v>
      </c>
      <c r="AM149" s="3">
        <f>VLOOKUP(Tableau3[[#This Row],[essence]],Tableau7[],18,FALSE)</f>
        <v>0</v>
      </c>
      <c r="AN149" s="3">
        <f>IF(Tableau3[[#This Row],[priorecol]]="R",1,0)</f>
        <v>1</v>
      </c>
      <c r="AO149" s="3">
        <f>VLOOKUP(Tableau3[[#This Row],[essence]],Tableau7[],19,FALSE)</f>
        <v>0</v>
      </c>
      <c r="AP149" s="3">
        <f>IF(Tableau3[[#This Row],[priorecol]]="S",1,0)</f>
        <v>0</v>
      </c>
      <c r="AQ149" s="3">
        <f>VLOOKUP(Tableau3[[#This Row],[essence]],Tableau7[],21,FALSE)</f>
        <v>0</v>
      </c>
      <c r="AR149" s="3">
        <f>VLOOKUP(Tableau3[[#This Row],[essence]],Tableau7[],16,FALSE)</f>
        <v>0.24340000000000001</v>
      </c>
      <c r="AS14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3.0424400000000005</v>
      </c>
      <c r="AT149" s="3">
        <f>Tableau3[[#This Row],[xb_]]+Tableau3[[#This Row],[b_intercept_C]]</f>
        <v>2.9690400000000006</v>
      </c>
      <c r="AU149" s="3">
        <f>Tableau3[[#This Row],[xb_]]+Tableau3[[#This Row],[b_intercept_B]]</f>
        <v>1.2586400000000004</v>
      </c>
      <c r="AV149" s="3">
        <f>1/(1+EXP(-Tableau3[[#This Row],[xb_c]]))</f>
        <v>0.95115569611668005</v>
      </c>
      <c r="AW149" s="3">
        <f>1/(1+EXP(-Tableau3[[#This Row],[xb_b]]))</f>
        <v>0.77879190251434827</v>
      </c>
      <c r="AX149" s="3" t="str">
        <f t="shared" si="4"/>
        <v>NA</v>
      </c>
      <c r="AY149" s="3">
        <f>Tableau3[[#This Row],[prob_b]]</f>
        <v>0.77879190251434827</v>
      </c>
      <c r="AZ149" s="3">
        <f>Tableau3[[#This Row],[prob_c]]-Tableau3[[#This Row],[prob_b]]</f>
        <v>0.17236379360233178</v>
      </c>
      <c r="BA149" s="3">
        <f>1-Tableau3[[#This Row],[prob_c]]</f>
        <v>4.8844303883319951E-2</v>
      </c>
    </row>
    <row r="150" spans="1:53" x14ac:dyDescent="0.25">
      <c r="A150" s="2">
        <v>6</v>
      </c>
      <c r="B150" s="2" t="s">
        <v>14</v>
      </c>
      <c r="C150" s="4">
        <v>1.2</v>
      </c>
      <c r="D150" s="4">
        <v>1022</v>
      </c>
      <c r="E150" s="4">
        <v>25</v>
      </c>
      <c r="F150" s="4">
        <v>1</v>
      </c>
      <c r="G150" s="2">
        <v>29</v>
      </c>
      <c r="H150" s="2">
        <v>38</v>
      </c>
      <c r="I150" s="2" t="s">
        <v>20</v>
      </c>
      <c r="J150" s="2" t="s">
        <v>28</v>
      </c>
      <c r="K150" s="2">
        <f>VLOOKUP(Tableau3[[#This Row],[essence]],Tableau7[],2,FALSE)</f>
        <v>-0.80379999999999996</v>
      </c>
      <c r="L150" s="3">
        <f>VLOOKUP(Tableau3[[#This Row],[essence]],Tableau7[],3,FALSE)</f>
        <v>0.88800000000000001</v>
      </c>
      <c r="M150" s="3">
        <f>VLOOKUP(Tableau3[[#This Row],[essence]],Tableau7[],4,FALSE)</f>
        <v>1.5212000000000001</v>
      </c>
      <c r="N150" s="3">
        <f>IF(Tableau3[[#This Row],[priorecol]]="C",1,0)</f>
        <v>0</v>
      </c>
      <c r="O150" s="3">
        <f>VLOOKUP(Tableau3[[#This Row],[essence]],Tableau7[],5,FALSE)</f>
        <v>1.8714999999999999</v>
      </c>
      <c r="P150" s="3">
        <f>IF(Tableau3[[#This Row],[priorecol]]="R",1,0)</f>
        <v>1</v>
      </c>
      <c r="Q150" s="3">
        <f>VLOOKUP(Tableau3[[#This Row],[essence]],Tableau7[],6,FALSE)</f>
        <v>0.51549999999999996</v>
      </c>
      <c r="R150" s="3">
        <f>IF(Tableau3[[#This Row],[priorecol]]="S",1,0)</f>
        <v>0</v>
      </c>
      <c r="S150" s="3">
        <f>VLOOKUP(Tableau3[[#This Row],[essence]],Tableau7[],7,FALSE)</f>
        <v>0</v>
      </c>
      <c r="T150" s="3">
        <f>VLOOKUP(Tableau3[[#This Row],[essence]],Tableau7[],15,FALSE)</f>
        <v>9.0500000000000008E-3</v>
      </c>
      <c r="U150" s="3">
        <f>VLOOKUP(Tableau3[[#This Row],[essence]],Tableau7[],20,FALSE)</f>
        <v>0</v>
      </c>
      <c r="V150" s="3">
        <f>IF(Tableau3[[#This Row],[sdom]]=1,1,0)</f>
        <v>0</v>
      </c>
      <c r="W150" s="3">
        <f>VLOOKUP(Tableau3[[#This Row],[essence]],Tableau7[],8,FALSE)</f>
        <v>0</v>
      </c>
      <c r="X150" s="3">
        <f>IF(Tableau3[[#This Row],[sdom]]="2EST",1,0)</f>
        <v>0</v>
      </c>
      <c r="Y150" s="3">
        <f>VLOOKUP(Tableau3[[#This Row],[essence]],Tableau7[],9,FALSE)</f>
        <v>-4.5199999999999997E-2</v>
      </c>
      <c r="Z150" s="3">
        <f>IF(Tableau3[[#This Row],[sdom]]="2OUEST",1,0)</f>
        <v>0</v>
      </c>
      <c r="AA150" s="3">
        <f>VLOOKUP(Tableau3[[#This Row],[essence]],Tableau7[],10,FALSE)</f>
        <v>1.15E-2</v>
      </c>
      <c r="AB150" s="3">
        <f>IF(Tableau3[[#This Row],[sdom]]="3EST",1,0)</f>
        <v>0</v>
      </c>
      <c r="AC150" s="3">
        <f>VLOOKUP(Tableau3[[#This Row],[essence]],Tableau7[],11,FALSE)</f>
        <v>0.1169</v>
      </c>
      <c r="AD150" s="3">
        <f>IF(Tableau3[[#This Row],[sdom]]="3OUEST",1,0)</f>
        <v>0</v>
      </c>
      <c r="AE150" s="3">
        <f>VLOOKUP(Tableau3[[#This Row],[essence]],Tableau7[],12,FALSE)</f>
        <v>-0.1686</v>
      </c>
      <c r="AF150" s="3">
        <f>IF(Tableau3[[#This Row],[sdom]]="4EST",1,0)</f>
        <v>1</v>
      </c>
      <c r="AG150" s="3">
        <f>VLOOKUP(Tableau3[[#This Row],[essence]],Tableau7[],13,FALSE)</f>
        <v>0.11940000000000001</v>
      </c>
      <c r="AH150" s="3">
        <f>IF(Tableau3[[#This Row],[sdom]]="4OUEST",1,0)</f>
        <v>0</v>
      </c>
      <c r="AI150" s="3">
        <f>VLOOKUP(Tableau3[[#This Row],[essence]],Tableau7[],14,FALSE)</f>
        <v>-0.13100000000000001</v>
      </c>
      <c r="AJ150" s="3">
        <f>IF(Tableau3[[#This Row],[sdom]]="5EST",1,0)</f>
        <v>0</v>
      </c>
      <c r="AK150" s="3">
        <f>VLOOKUP(Tableau3[[#This Row],[essence]],Tableau7[],17,FALSE)</f>
        <v>-1.8599999999999998E-2</v>
      </c>
      <c r="AL150" s="3">
        <f>IF(Tableau3[[#This Row],[priorecol]]="C",1,0)</f>
        <v>0</v>
      </c>
      <c r="AM150" s="3">
        <f>VLOOKUP(Tableau3[[#This Row],[essence]],Tableau7[],18,FALSE)</f>
        <v>-8.5500000000000003E-3</v>
      </c>
      <c r="AN150" s="3">
        <f>IF(Tableau3[[#This Row],[priorecol]]="R",1,0)</f>
        <v>1</v>
      </c>
      <c r="AO150" s="3">
        <f>VLOOKUP(Tableau3[[#This Row],[essence]],Tableau7[],19,FALSE)</f>
        <v>1.54E-2</v>
      </c>
      <c r="AP150" s="3">
        <f>IF(Tableau3[[#This Row],[priorecol]]="S",1,0)</f>
        <v>0</v>
      </c>
      <c r="AQ150" s="3">
        <f>VLOOKUP(Tableau3[[#This Row],[essence]],Tableau7[],21,FALSE)</f>
        <v>0</v>
      </c>
      <c r="AR150" s="3">
        <f>VLOOKUP(Tableau3[[#This Row],[essence]],Tableau7[],16,FALSE)</f>
        <v>0</v>
      </c>
      <c r="AS15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1.7153999999999998</v>
      </c>
      <c r="AT150" s="3">
        <f>Tableau3[[#This Row],[xb_]]+Tableau3[[#This Row],[b_intercept_C]]</f>
        <v>2.6033999999999997</v>
      </c>
      <c r="AU150" s="3">
        <f>Tableau3[[#This Row],[xb_]]+Tableau3[[#This Row],[b_intercept_B]]</f>
        <v>0.91159999999999985</v>
      </c>
      <c r="AV150" s="3">
        <f>1/(1+EXP(-Tableau3[[#This Row],[xb_c]]))</f>
        <v>0.93108007757934019</v>
      </c>
      <c r="AW150" s="3">
        <f>1/(1+EXP(-Tableau3[[#This Row],[xb_b]]))</f>
        <v>0.71332746062832475</v>
      </c>
      <c r="AX150" s="3" t="str">
        <f t="shared" si="4"/>
        <v>NA</v>
      </c>
      <c r="AY150" s="3">
        <f>Tableau3[[#This Row],[prob_b]]</f>
        <v>0.71332746062832475</v>
      </c>
      <c r="AZ150" s="3">
        <f>Tableau3[[#This Row],[prob_c]]-Tableau3[[#This Row],[prob_b]]</f>
        <v>0.21775261695101544</v>
      </c>
      <c r="BA150" s="3">
        <f>1-Tableau3[[#This Row],[prob_c]]</f>
        <v>6.8919922420659807E-2</v>
      </c>
    </row>
    <row r="151" spans="1:53" x14ac:dyDescent="0.25">
      <c r="A151" s="3">
        <v>6</v>
      </c>
      <c r="B151" s="3" t="s">
        <v>14</v>
      </c>
      <c r="C151" s="1">
        <v>1.2</v>
      </c>
      <c r="D151" s="1">
        <v>1022</v>
      </c>
      <c r="E151" s="1">
        <v>25</v>
      </c>
      <c r="F151" s="1">
        <v>1</v>
      </c>
      <c r="G151" s="3">
        <v>35</v>
      </c>
      <c r="H151" s="3">
        <v>38</v>
      </c>
      <c r="I151" s="3" t="s">
        <v>22</v>
      </c>
      <c r="J151" s="3" t="s">
        <v>28</v>
      </c>
      <c r="K151" s="3">
        <f>VLOOKUP(Tableau3[[#This Row],[essence]],Tableau7[],2,FALSE)</f>
        <v>-1.8420000000000001</v>
      </c>
      <c r="L151" s="3">
        <f>VLOOKUP(Tableau3[[#This Row],[essence]],Tableau7[],3,FALSE)</f>
        <v>0.2177</v>
      </c>
      <c r="M151" s="3">
        <f>VLOOKUP(Tableau3[[#This Row],[essence]],Tableau7[],4,FALSE)</f>
        <v>1.9473</v>
      </c>
      <c r="N151" s="3">
        <f>IF(Tableau3[[#This Row],[priorecol]]="C",1,0)</f>
        <v>0</v>
      </c>
      <c r="O151" s="3">
        <f>VLOOKUP(Tableau3[[#This Row],[essence]],Tableau7[],5,FALSE)</f>
        <v>3.0630999999999999</v>
      </c>
      <c r="P151" s="3">
        <f>IF(Tableau3[[#This Row],[priorecol]]="R",1,0)</f>
        <v>1</v>
      </c>
      <c r="Q151" s="3">
        <f>VLOOKUP(Tableau3[[#This Row],[essence]],Tableau7[],6,FALSE)</f>
        <v>1.5014000000000001</v>
      </c>
      <c r="R151" s="3">
        <f>IF(Tableau3[[#This Row],[priorecol]]="S",1,0)</f>
        <v>0</v>
      </c>
      <c r="S151" s="3">
        <f>VLOOKUP(Tableau3[[#This Row],[essence]],Tableau7[],7,FALSE)</f>
        <v>0</v>
      </c>
      <c r="T151" s="3">
        <f>VLOOKUP(Tableau3[[#This Row],[essence]],Tableau7[],15,FALSE)</f>
        <v>0</v>
      </c>
      <c r="U151" s="3">
        <f>VLOOKUP(Tableau3[[#This Row],[essence]],Tableau7[],20,FALSE)</f>
        <v>0.49399999999999999</v>
      </c>
      <c r="V151" s="3">
        <f>IF(Tableau3[[#This Row],[sdom]]=1,1,0)</f>
        <v>0</v>
      </c>
      <c r="W151" s="3">
        <f>VLOOKUP(Tableau3[[#This Row],[essence]],Tableau7[],8,FALSE)</f>
        <v>0.42420000000000002</v>
      </c>
      <c r="X151" s="3">
        <f>IF(Tableau3[[#This Row],[sdom]]="2EST",1,0)</f>
        <v>0</v>
      </c>
      <c r="Y151" s="3">
        <f>VLOOKUP(Tableau3[[#This Row],[essence]],Tableau7[],9,FALSE)</f>
        <v>7.4300000000000005E-2</v>
      </c>
      <c r="Z151" s="3">
        <f>IF(Tableau3[[#This Row],[sdom]]="2OUEST",1,0)</f>
        <v>0</v>
      </c>
      <c r="AA151" s="3">
        <f>VLOOKUP(Tableau3[[#This Row],[essence]],Tableau7[],10,FALSE)</f>
        <v>-6.7000000000000004E-2</v>
      </c>
      <c r="AB151" s="3">
        <f>IF(Tableau3[[#This Row],[sdom]]="3EST",1,0)</f>
        <v>0</v>
      </c>
      <c r="AC151" s="3">
        <f>VLOOKUP(Tableau3[[#This Row],[essence]],Tableau7[],11,FALSE)</f>
        <v>-8.3400000000000002E-2</v>
      </c>
      <c r="AD151" s="3">
        <f>IF(Tableau3[[#This Row],[sdom]]="3OUEST",1,0)</f>
        <v>0</v>
      </c>
      <c r="AE151" s="3">
        <f>VLOOKUP(Tableau3[[#This Row],[essence]],Tableau7[],12,FALSE)</f>
        <v>-0.26840000000000003</v>
      </c>
      <c r="AF151" s="3">
        <f>IF(Tableau3[[#This Row],[sdom]]="4EST",1,0)</f>
        <v>1</v>
      </c>
      <c r="AG151" s="3">
        <f>VLOOKUP(Tableau3[[#This Row],[essence]],Tableau7[],13,FALSE)</f>
        <v>0</v>
      </c>
      <c r="AH151" s="3">
        <f>IF(Tableau3[[#This Row],[sdom]]="4OUEST",1,0)</f>
        <v>0</v>
      </c>
      <c r="AI151" s="3">
        <f>VLOOKUP(Tableau3[[#This Row],[essence]],Tableau7[],14,FALSE)</f>
        <v>0</v>
      </c>
      <c r="AJ151" s="3">
        <f>IF(Tableau3[[#This Row],[sdom]]="5EST",1,0)</f>
        <v>0</v>
      </c>
      <c r="AK151" s="3">
        <f>VLOOKUP(Tableau3[[#This Row],[essence]],Tableau7[],17,FALSE)</f>
        <v>0</v>
      </c>
      <c r="AL151" s="3">
        <f>IF(Tableau3[[#This Row],[priorecol]]="C",1,0)</f>
        <v>0</v>
      </c>
      <c r="AM151" s="3">
        <f>VLOOKUP(Tableau3[[#This Row],[essence]],Tableau7[],18,FALSE)</f>
        <v>0</v>
      </c>
      <c r="AN151" s="3">
        <f>IF(Tableau3[[#This Row],[priorecol]]="R",1,0)</f>
        <v>1</v>
      </c>
      <c r="AO151" s="3">
        <f>VLOOKUP(Tableau3[[#This Row],[essence]],Tableau7[],19,FALSE)</f>
        <v>0</v>
      </c>
      <c r="AP151" s="3">
        <f>IF(Tableau3[[#This Row],[priorecol]]="S",1,0)</f>
        <v>0</v>
      </c>
      <c r="AQ151" s="3">
        <f>VLOOKUP(Tableau3[[#This Row],[essence]],Tableau7[],21,FALSE)</f>
        <v>0</v>
      </c>
      <c r="AR151" s="3">
        <f>VLOOKUP(Tableau3[[#This Row],[essence]],Tableau7[],16,FALSE)</f>
        <v>0</v>
      </c>
      <c r="AS15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2.7946999999999997</v>
      </c>
      <c r="AT151" s="3">
        <f>Tableau3[[#This Row],[xb_]]+Tableau3[[#This Row],[b_intercept_C]]</f>
        <v>3.0123999999999995</v>
      </c>
      <c r="AU151" s="3">
        <f>Tableau3[[#This Row],[xb_]]+Tableau3[[#This Row],[b_intercept_B]]</f>
        <v>0.95269999999999966</v>
      </c>
      <c r="AV151" s="3">
        <f>1/(1+EXP(-Tableau3[[#This Row],[xb_c]]))</f>
        <v>0.95313118410491038</v>
      </c>
      <c r="AW151" s="3">
        <f>1/(1+EXP(-Tableau3[[#This Row],[xb_b]]))</f>
        <v>0.72165784552546408</v>
      </c>
      <c r="AX151" s="3" t="str">
        <f t="shared" si="4"/>
        <v>NA</v>
      </c>
      <c r="AY151" s="3">
        <f>Tableau3[[#This Row],[prob_b]]</f>
        <v>0.72165784552546408</v>
      </c>
      <c r="AZ151" s="3">
        <f>Tableau3[[#This Row],[prob_c]]-Tableau3[[#This Row],[prob_b]]</f>
        <v>0.2314733385794463</v>
      </c>
      <c r="BA151" s="3">
        <f>1-Tableau3[[#This Row],[prob_c]]</f>
        <v>4.6868815895089622E-2</v>
      </c>
    </row>
    <row r="152" spans="1:53" x14ac:dyDescent="0.25">
      <c r="A152" s="2">
        <v>6</v>
      </c>
      <c r="B152" s="2" t="s">
        <v>14</v>
      </c>
      <c r="C152" s="4">
        <v>1.2</v>
      </c>
      <c r="D152" s="4">
        <v>1022</v>
      </c>
      <c r="E152" s="4">
        <v>25</v>
      </c>
      <c r="F152" s="4">
        <v>1</v>
      </c>
      <c r="G152" s="2">
        <v>41</v>
      </c>
      <c r="H152" s="2">
        <v>38</v>
      </c>
      <c r="I152" s="2" t="s">
        <v>24</v>
      </c>
      <c r="J152" s="2" t="s">
        <v>28</v>
      </c>
      <c r="K152" s="2">
        <f>VLOOKUP(Tableau3[[#This Row],[essence]],Tableau7[],2,FALSE)</f>
        <v>-0.84530000000000005</v>
      </c>
      <c r="L152" s="3">
        <f>VLOOKUP(Tableau3[[#This Row],[essence]],Tableau7[],3,FALSE)</f>
        <v>0.93089999999999995</v>
      </c>
      <c r="M152" s="3">
        <f>VLOOKUP(Tableau3[[#This Row],[essence]],Tableau7[],4,FALSE)</f>
        <v>1.4276</v>
      </c>
      <c r="N152" s="3">
        <f>IF(Tableau3[[#This Row],[priorecol]]="C",1,0)</f>
        <v>0</v>
      </c>
      <c r="O152" s="3">
        <f>VLOOKUP(Tableau3[[#This Row],[essence]],Tableau7[],5,FALSE)</f>
        <v>2.468</v>
      </c>
      <c r="P152" s="3">
        <f>IF(Tableau3[[#This Row],[priorecol]]="R",1,0)</f>
        <v>1</v>
      </c>
      <c r="Q152" s="3">
        <f>VLOOKUP(Tableau3[[#This Row],[essence]],Tableau7[],6,FALSE)</f>
        <v>0.86019999999999996</v>
      </c>
      <c r="R152" s="3">
        <f>IF(Tableau3[[#This Row],[priorecol]]="S",1,0)</f>
        <v>0</v>
      </c>
      <c r="S152" s="3">
        <f>VLOOKUP(Tableau3[[#This Row],[essence]],Tableau7[],7,FALSE)</f>
        <v>0</v>
      </c>
      <c r="T152" s="3">
        <f>VLOOKUP(Tableau3[[#This Row],[essence]],Tableau7[],15,FALSE)</f>
        <v>1.7299999999999999E-2</v>
      </c>
      <c r="U152" s="3">
        <f>VLOOKUP(Tableau3[[#This Row],[essence]],Tableau7[],20,FALSE)</f>
        <v>-0.28799999999999998</v>
      </c>
      <c r="V152" s="3">
        <f>IF(Tableau3[[#This Row],[sdom]]=1,1,0)</f>
        <v>0</v>
      </c>
      <c r="W152" s="3">
        <f>VLOOKUP(Tableau3[[#This Row],[essence]],Tableau7[],8,FALSE)</f>
        <v>-0.18859999999999999</v>
      </c>
      <c r="X152" s="3">
        <f>IF(Tableau3[[#This Row],[sdom]]="2EST",1,0)</f>
        <v>0</v>
      </c>
      <c r="Y152" s="3">
        <f>VLOOKUP(Tableau3[[#This Row],[essence]],Tableau7[],9,FALSE)</f>
        <v>1.2699999999999999E-2</v>
      </c>
      <c r="Z152" s="3">
        <f>IF(Tableau3[[#This Row],[sdom]]="2OUEST",1,0)</f>
        <v>0</v>
      </c>
      <c r="AA152" s="3">
        <f>VLOOKUP(Tableau3[[#This Row],[essence]],Tableau7[],10,FALSE)</f>
        <v>0</v>
      </c>
      <c r="AB152" s="3">
        <f>IF(Tableau3[[#This Row],[sdom]]="3EST",1,0)</f>
        <v>0</v>
      </c>
      <c r="AC152" s="3">
        <f>VLOOKUP(Tableau3[[#This Row],[essence]],Tableau7[],11,FALSE)</f>
        <v>0.30009999999999998</v>
      </c>
      <c r="AD152" s="3">
        <f>IF(Tableau3[[#This Row],[sdom]]="3OUEST",1,0)</f>
        <v>0</v>
      </c>
      <c r="AE152" s="3">
        <f>VLOOKUP(Tableau3[[#This Row],[essence]],Tableau7[],12,FALSE)</f>
        <v>0</v>
      </c>
      <c r="AF152" s="3">
        <f>IF(Tableau3[[#This Row],[sdom]]="4EST",1,0)</f>
        <v>1</v>
      </c>
      <c r="AG152" s="3">
        <f>VLOOKUP(Tableau3[[#This Row],[essence]],Tableau7[],13,FALSE)</f>
        <v>0</v>
      </c>
      <c r="AH152" s="3">
        <f>IF(Tableau3[[#This Row],[sdom]]="4OUEST",1,0)</f>
        <v>0</v>
      </c>
      <c r="AI152" s="3">
        <f>VLOOKUP(Tableau3[[#This Row],[essence]],Tableau7[],14,FALSE)</f>
        <v>0</v>
      </c>
      <c r="AJ152" s="3">
        <f>IF(Tableau3[[#This Row],[sdom]]="5EST",1,0)</f>
        <v>0</v>
      </c>
      <c r="AK152" s="3">
        <f>VLOOKUP(Tableau3[[#This Row],[essence]],Tableau7[],17,FALSE)</f>
        <v>0</v>
      </c>
      <c r="AL152" s="3">
        <f>IF(Tableau3[[#This Row],[priorecol]]="C",1,0)</f>
        <v>0</v>
      </c>
      <c r="AM152" s="3">
        <f>VLOOKUP(Tableau3[[#This Row],[essence]],Tableau7[],18,FALSE)</f>
        <v>0</v>
      </c>
      <c r="AN152" s="3">
        <f>IF(Tableau3[[#This Row],[priorecol]]="R",1,0)</f>
        <v>1</v>
      </c>
      <c r="AO152" s="3">
        <f>VLOOKUP(Tableau3[[#This Row],[essence]],Tableau7[],19,FALSE)</f>
        <v>0</v>
      </c>
      <c r="AP152" s="3">
        <f>IF(Tableau3[[#This Row],[priorecol]]="S",1,0)</f>
        <v>0</v>
      </c>
      <c r="AQ152" s="3">
        <f>VLOOKUP(Tableau3[[#This Row],[essence]],Tableau7[],21,FALSE)</f>
        <v>0</v>
      </c>
      <c r="AR152" s="3">
        <f>VLOOKUP(Tableau3[[#This Row],[essence]],Tableau7[],16,FALSE)</f>
        <v>0</v>
      </c>
      <c r="AS15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2.9005000000000001</v>
      </c>
      <c r="AT152" s="3">
        <f>Tableau3[[#This Row],[xb_]]+Tableau3[[#This Row],[b_intercept_C]]</f>
        <v>3.8313999999999999</v>
      </c>
      <c r="AU152" s="3">
        <f>Tableau3[[#This Row],[xb_]]+Tableau3[[#This Row],[b_intercept_B]]</f>
        <v>2.0552000000000001</v>
      </c>
      <c r="AV152" s="3">
        <f>1/(1+EXP(-Tableau3[[#This Row],[xb_c]]))</f>
        <v>0.9787807733466235</v>
      </c>
      <c r="AW152" s="3">
        <f>1/(1+EXP(-Tableau3[[#This Row],[xb_b]]))</f>
        <v>0.88647199621607586</v>
      </c>
      <c r="AX152" s="3" t="str">
        <f t="shared" si="4"/>
        <v>NA</v>
      </c>
      <c r="AY152" s="3">
        <f>Tableau3[[#This Row],[prob_b]]</f>
        <v>0.88647199621607586</v>
      </c>
      <c r="AZ152" s="3">
        <f>Tableau3[[#This Row],[prob_c]]-Tableau3[[#This Row],[prob_b]]</f>
        <v>9.2308777130547637E-2</v>
      </c>
      <c r="BA152" s="3">
        <f>1-Tableau3[[#This Row],[prob_c]]</f>
        <v>2.1219226653376499E-2</v>
      </c>
    </row>
    <row r="153" spans="1:53" x14ac:dyDescent="0.25">
      <c r="A153" s="3">
        <v>6</v>
      </c>
      <c r="B153" s="3" t="s">
        <v>14</v>
      </c>
      <c r="C153" s="1">
        <v>1.2</v>
      </c>
      <c r="D153" s="1">
        <v>1022</v>
      </c>
      <c r="E153" s="1">
        <v>25</v>
      </c>
      <c r="F153" s="1">
        <v>1</v>
      </c>
      <c r="G153" s="3">
        <v>47</v>
      </c>
      <c r="H153" s="3">
        <v>38</v>
      </c>
      <c r="I153" s="3" t="s">
        <v>26</v>
      </c>
      <c r="J153" s="3" t="s">
        <v>28</v>
      </c>
      <c r="K153" s="3">
        <f>VLOOKUP(Tableau3[[#This Row],[essence]],Tableau7[],2,FALSE)</f>
        <v>-1.7838000000000001</v>
      </c>
      <c r="L153" s="3">
        <f>VLOOKUP(Tableau3[[#This Row],[essence]],Tableau7[],3,FALSE)</f>
        <v>-7.3400000000000007E-2</v>
      </c>
      <c r="M153" s="3">
        <f>VLOOKUP(Tableau3[[#This Row],[essence]],Tableau7[],4,FALSE)</f>
        <v>1.5893999999999999</v>
      </c>
      <c r="N153" s="3">
        <f>IF(Tableau3[[#This Row],[priorecol]]="C",1,0)</f>
        <v>0</v>
      </c>
      <c r="O153" s="3">
        <f>VLOOKUP(Tableau3[[#This Row],[essence]],Tableau7[],5,FALSE)</f>
        <v>2.1800000000000002</v>
      </c>
      <c r="P153" s="3">
        <f>IF(Tableau3[[#This Row],[priorecol]]="R",1,0)</f>
        <v>1</v>
      </c>
      <c r="Q153" s="3">
        <f>VLOOKUP(Tableau3[[#This Row],[essence]],Tableau7[],6,FALSE)</f>
        <v>0.91710000000000003</v>
      </c>
      <c r="R153" s="3">
        <f>IF(Tableau3[[#This Row],[priorecol]]="S",1,0)</f>
        <v>0</v>
      </c>
      <c r="S153" s="3">
        <f>VLOOKUP(Tableau3[[#This Row],[essence]],Tableau7[],7,FALSE)</f>
        <v>0</v>
      </c>
      <c r="T153" s="3">
        <f>VLOOKUP(Tableau3[[#This Row],[essence]],Tableau7[],15,FALSE)</f>
        <v>0</v>
      </c>
      <c r="U153" s="3">
        <f>VLOOKUP(Tableau3[[#This Row],[essence]],Tableau7[],20,FALSE)</f>
        <v>0</v>
      </c>
      <c r="V153" s="3">
        <f>IF(Tableau3[[#This Row],[sdom]]=1,1,0)</f>
        <v>0</v>
      </c>
      <c r="W153" s="3">
        <f>VLOOKUP(Tableau3[[#This Row],[essence]],Tableau7[],8,FALSE)</f>
        <v>0</v>
      </c>
      <c r="X153" s="3">
        <f>IF(Tableau3[[#This Row],[sdom]]="2EST",1,0)</f>
        <v>0</v>
      </c>
      <c r="Y153" s="3">
        <f>VLOOKUP(Tableau3[[#This Row],[essence]],Tableau7[],9,FALSE)</f>
        <v>-0.22550000000000001</v>
      </c>
      <c r="Z153" s="3">
        <f>IF(Tableau3[[#This Row],[sdom]]="2OUEST",1,0)</f>
        <v>0</v>
      </c>
      <c r="AA153" s="3">
        <f>VLOOKUP(Tableau3[[#This Row],[essence]],Tableau7[],10,FALSE)</f>
        <v>0</v>
      </c>
      <c r="AB153" s="3">
        <f>IF(Tableau3[[#This Row],[sdom]]="3EST",1,0)</f>
        <v>0</v>
      </c>
      <c r="AC153" s="3">
        <f>VLOOKUP(Tableau3[[#This Row],[essence]],Tableau7[],11,FALSE)</f>
        <v>0.3513</v>
      </c>
      <c r="AD153" s="3">
        <f>IF(Tableau3[[#This Row],[sdom]]="3OUEST",1,0)</f>
        <v>0</v>
      </c>
      <c r="AE153" s="3">
        <f>VLOOKUP(Tableau3[[#This Row],[essence]],Tableau7[],12,FALSE)</f>
        <v>-0.42259999999999998</v>
      </c>
      <c r="AF153" s="3">
        <f>IF(Tableau3[[#This Row],[sdom]]="4EST",1,0)</f>
        <v>1</v>
      </c>
      <c r="AG153" s="3">
        <f>VLOOKUP(Tableau3[[#This Row],[essence]],Tableau7[],13,FALSE)</f>
        <v>0.25390000000000001</v>
      </c>
      <c r="AH153" s="3">
        <f>IF(Tableau3[[#This Row],[sdom]]="4OUEST",1,0)</f>
        <v>0</v>
      </c>
      <c r="AI153" s="3">
        <f>VLOOKUP(Tableau3[[#This Row],[essence]],Tableau7[],14,FALSE)</f>
        <v>4.6199999999999998E-2</v>
      </c>
      <c r="AJ153" s="3">
        <f>IF(Tableau3[[#This Row],[sdom]]="5EST",1,0)</f>
        <v>0</v>
      </c>
      <c r="AK153" s="3">
        <f>VLOOKUP(Tableau3[[#This Row],[essence]],Tableau7[],17,FALSE)</f>
        <v>0</v>
      </c>
      <c r="AL153" s="3">
        <f>IF(Tableau3[[#This Row],[priorecol]]="C",1,0)</f>
        <v>0</v>
      </c>
      <c r="AM153" s="3">
        <f>VLOOKUP(Tableau3[[#This Row],[essence]],Tableau7[],18,FALSE)</f>
        <v>0</v>
      </c>
      <c r="AN153" s="3">
        <f>IF(Tableau3[[#This Row],[priorecol]]="R",1,0)</f>
        <v>1</v>
      </c>
      <c r="AO153" s="3">
        <f>VLOOKUP(Tableau3[[#This Row],[essence]],Tableau7[],19,FALSE)</f>
        <v>0</v>
      </c>
      <c r="AP153" s="3">
        <f>IF(Tableau3[[#This Row],[priorecol]]="S",1,0)</f>
        <v>0</v>
      </c>
      <c r="AQ153" s="3">
        <f>VLOOKUP(Tableau3[[#This Row],[essence]],Tableau7[],21,FALSE)</f>
        <v>0</v>
      </c>
      <c r="AR153" s="3">
        <f>VLOOKUP(Tableau3[[#This Row],[essence]],Tableau7[],16,FALSE)</f>
        <v>0.24340000000000001</v>
      </c>
      <c r="AS15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2.04948</v>
      </c>
      <c r="AT153" s="3">
        <f>Tableau3[[#This Row],[xb_]]+Tableau3[[#This Row],[b_intercept_C]]</f>
        <v>1.9760800000000001</v>
      </c>
      <c r="AU153" s="3">
        <f>Tableau3[[#This Row],[xb_]]+Tableau3[[#This Row],[b_intercept_B]]</f>
        <v>0.26567999999999992</v>
      </c>
      <c r="AV153" s="3">
        <f>1/(1+EXP(-Tableau3[[#This Row],[xb_c]]))</f>
        <v>0.87826266715396939</v>
      </c>
      <c r="AW153" s="3">
        <f>1/(1+EXP(-Tableau3[[#This Row],[xb_b]]))</f>
        <v>0.56603204543245766</v>
      </c>
      <c r="AX153" s="3" t="str">
        <f t="shared" si="4"/>
        <v>NA</v>
      </c>
      <c r="AY153" s="3">
        <f>Tableau3[[#This Row],[prob_b]]</f>
        <v>0.56603204543245766</v>
      </c>
      <c r="AZ153" s="3">
        <f>Tableau3[[#This Row],[prob_c]]-Tableau3[[#This Row],[prob_b]]</f>
        <v>0.31223062172151173</v>
      </c>
      <c r="BA153" s="3">
        <f>1-Tableau3[[#This Row],[prob_c]]</f>
        <v>0.12173733284603061</v>
      </c>
    </row>
    <row r="154" spans="1:53" x14ac:dyDescent="0.25">
      <c r="A154" s="2">
        <v>7</v>
      </c>
      <c r="B154" s="2" t="s">
        <v>15</v>
      </c>
      <c r="C154" s="4">
        <v>2.1</v>
      </c>
      <c r="D154" s="4">
        <v>700</v>
      </c>
      <c r="E154" s="4">
        <v>20</v>
      </c>
      <c r="F154" s="4">
        <v>1</v>
      </c>
      <c r="G154" s="2">
        <v>29</v>
      </c>
      <c r="H154" s="2">
        <v>38</v>
      </c>
      <c r="I154" s="2" t="s">
        <v>20</v>
      </c>
      <c r="J154" s="2" t="s">
        <v>28</v>
      </c>
      <c r="K154" s="2">
        <f>VLOOKUP(Tableau3[[#This Row],[essence]],Tableau7[],2,FALSE)</f>
        <v>-0.80379999999999996</v>
      </c>
      <c r="L154" s="3">
        <f>VLOOKUP(Tableau3[[#This Row],[essence]],Tableau7[],3,FALSE)</f>
        <v>0.88800000000000001</v>
      </c>
      <c r="M154" s="3">
        <f>VLOOKUP(Tableau3[[#This Row],[essence]],Tableau7[],4,FALSE)</f>
        <v>1.5212000000000001</v>
      </c>
      <c r="N154" s="3">
        <f>IF(Tableau3[[#This Row],[priorecol]]="C",1,0)</f>
        <v>0</v>
      </c>
      <c r="O154" s="3">
        <f>VLOOKUP(Tableau3[[#This Row],[essence]],Tableau7[],5,FALSE)</f>
        <v>1.8714999999999999</v>
      </c>
      <c r="P154" s="3">
        <f>IF(Tableau3[[#This Row],[priorecol]]="R",1,0)</f>
        <v>1</v>
      </c>
      <c r="Q154" s="3">
        <f>VLOOKUP(Tableau3[[#This Row],[essence]],Tableau7[],6,FALSE)</f>
        <v>0.51549999999999996</v>
      </c>
      <c r="R154" s="3">
        <f>IF(Tableau3[[#This Row],[priorecol]]="S",1,0)</f>
        <v>0</v>
      </c>
      <c r="S154" s="3">
        <f>VLOOKUP(Tableau3[[#This Row],[essence]],Tableau7[],7,FALSE)</f>
        <v>0</v>
      </c>
      <c r="T154" s="3">
        <f>VLOOKUP(Tableau3[[#This Row],[essence]],Tableau7[],15,FALSE)</f>
        <v>9.0500000000000008E-3</v>
      </c>
      <c r="U154" s="3">
        <f>VLOOKUP(Tableau3[[#This Row],[essence]],Tableau7[],20,FALSE)</f>
        <v>0</v>
      </c>
      <c r="V154" s="3">
        <f>IF(Tableau3[[#This Row],[sdom]]=1,1,0)</f>
        <v>0</v>
      </c>
      <c r="W154" s="3">
        <f>VLOOKUP(Tableau3[[#This Row],[essence]],Tableau7[],8,FALSE)</f>
        <v>0</v>
      </c>
      <c r="X154" s="3">
        <f>IF(Tableau3[[#This Row],[sdom]]="2EST",1,0)</f>
        <v>0</v>
      </c>
      <c r="Y154" s="3">
        <f>VLOOKUP(Tableau3[[#This Row],[essence]],Tableau7[],9,FALSE)</f>
        <v>-4.5199999999999997E-2</v>
      </c>
      <c r="Z154" s="3">
        <f>IF(Tableau3[[#This Row],[sdom]]="2OUEST",1,0)</f>
        <v>0</v>
      </c>
      <c r="AA154" s="3">
        <f>VLOOKUP(Tableau3[[#This Row],[essence]],Tableau7[],10,FALSE)</f>
        <v>1.15E-2</v>
      </c>
      <c r="AB154" s="3">
        <f>IF(Tableau3[[#This Row],[sdom]]="3EST",1,0)</f>
        <v>0</v>
      </c>
      <c r="AC154" s="3">
        <f>VLOOKUP(Tableau3[[#This Row],[essence]],Tableau7[],11,FALSE)</f>
        <v>0.1169</v>
      </c>
      <c r="AD154" s="3">
        <f>IF(Tableau3[[#This Row],[sdom]]="3OUEST",1,0)</f>
        <v>0</v>
      </c>
      <c r="AE154" s="3">
        <f>VLOOKUP(Tableau3[[#This Row],[essence]],Tableau7[],12,FALSE)</f>
        <v>-0.1686</v>
      </c>
      <c r="AF154" s="3">
        <f>IF(Tableau3[[#This Row],[sdom]]="4EST",1,0)</f>
        <v>0</v>
      </c>
      <c r="AG154" s="3">
        <f>VLOOKUP(Tableau3[[#This Row],[essence]],Tableau7[],13,FALSE)</f>
        <v>0.11940000000000001</v>
      </c>
      <c r="AH154" s="3">
        <f>IF(Tableau3[[#This Row],[sdom]]="4OUEST",1,0)</f>
        <v>1</v>
      </c>
      <c r="AI154" s="3">
        <f>VLOOKUP(Tableau3[[#This Row],[essence]],Tableau7[],14,FALSE)</f>
        <v>-0.13100000000000001</v>
      </c>
      <c r="AJ154" s="3">
        <f>IF(Tableau3[[#This Row],[sdom]]="5EST",1,0)</f>
        <v>0</v>
      </c>
      <c r="AK154" s="3">
        <f>VLOOKUP(Tableau3[[#This Row],[essence]],Tableau7[],17,FALSE)</f>
        <v>-1.8599999999999998E-2</v>
      </c>
      <c r="AL154" s="3">
        <f>IF(Tableau3[[#This Row],[priorecol]]="C",1,0)</f>
        <v>0</v>
      </c>
      <c r="AM154" s="3">
        <f>VLOOKUP(Tableau3[[#This Row],[essence]],Tableau7[],18,FALSE)</f>
        <v>-8.5500000000000003E-3</v>
      </c>
      <c r="AN154" s="3">
        <f>IF(Tableau3[[#This Row],[priorecol]]="R",1,0)</f>
        <v>1</v>
      </c>
      <c r="AO154" s="3">
        <f>VLOOKUP(Tableau3[[#This Row],[essence]],Tableau7[],19,FALSE)</f>
        <v>1.54E-2</v>
      </c>
      <c r="AP154" s="3">
        <f>IF(Tableau3[[#This Row],[priorecol]]="S",1,0)</f>
        <v>0</v>
      </c>
      <c r="AQ154" s="3">
        <f>VLOOKUP(Tableau3[[#This Row],[essence]],Tableau7[],21,FALSE)</f>
        <v>0</v>
      </c>
      <c r="AR154" s="3">
        <f>VLOOKUP(Tableau3[[#This Row],[essence]],Tableau7[],16,FALSE)</f>
        <v>0</v>
      </c>
      <c r="AS15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2.0009000000000001</v>
      </c>
      <c r="AT154" s="3">
        <f>Tableau3[[#This Row],[xb_]]+Tableau3[[#This Row],[b_intercept_C]]</f>
        <v>2.8889</v>
      </c>
      <c r="AU154" s="3">
        <f>Tableau3[[#This Row],[xb_]]+Tableau3[[#This Row],[b_intercept_B]]</f>
        <v>1.1971000000000003</v>
      </c>
      <c r="AV154" s="3">
        <f>1/(1+EXP(-Tableau3[[#This Row],[xb_c]]))</f>
        <v>0.94729498866645701</v>
      </c>
      <c r="AW154" s="3">
        <f>1/(1+EXP(-Tableau3[[#This Row],[xb_b]]))</f>
        <v>0.76800848793232868</v>
      </c>
      <c r="AX154" s="3" t="str">
        <f t="shared" si="4"/>
        <v>NA</v>
      </c>
      <c r="AY154" s="3">
        <f>Tableau3[[#This Row],[prob_b]]</f>
        <v>0.76800848793232868</v>
      </c>
      <c r="AZ154" s="3">
        <f>Tableau3[[#This Row],[prob_c]]-Tableau3[[#This Row],[prob_b]]</f>
        <v>0.17928650073412833</v>
      </c>
      <c r="BA154" s="3">
        <f>1-Tableau3[[#This Row],[prob_c]]</f>
        <v>5.2705011333542995E-2</v>
      </c>
    </row>
    <row r="155" spans="1:53" x14ac:dyDescent="0.25">
      <c r="A155" s="3">
        <v>7</v>
      </c>
      <c r="B155" s="3" t="s">
        <v>15</v>
      </c>
      <c r="C155" s="1">
        <v>2.1</v>
      </c>
      <c r="D155" s="1">
        <v>700</v>
      </c>
      <c r="E155" s="1">
        <v>20</v>
      </c>
      <c r="F155" s="1">
        <v>1</v>
      </c>
      <c r="G155" s="3">
        <v>35</v>
      </c>
      <c r="H155" s="3">
        <v>38</v>
      </c>
      <c r="I155" s="3" t="s">
        <v>22</v>
      </c>
      <c r="J155" s="3" t="s">
        <v>28</v>
      </c>
      <c r="K155" s="3">
        <f>VLOOKUP(Tableau3[[#This Row],[essence]],Tableau7[],2,FALSE)</f>
        <v>-1.8420000000000001</v>
      </c>
      <c r="L155" s="3">
        <f>VLOOKUP(Tableau3[[#This Row],[essence]],Tableau7[],3,FALSE)</f>
        <v>0.2177</v>
      </c>
      <c r="M155" s="3">
        <f>VLOOKUP(Tableau3[[#This Row],[essence]],Tableau7[],4,FALSE)</f>
        <v>1.9473</v>
      </c>
      <c r="N155" s="3">
        <f>IF(Tableau3[[#This Row],[priorecol]]="C",1,0)</f>
        <v>0</v>
      </c>
      <c r="O155" s="3">
        <f>VLOOKUP(Tableau3[[#This Row],[essence]],Tableau7[],5,FALSE)</f>
        <v>3.0630999999999999</v>
      </c>
      <c r="P155" s="3">
        <f>IF(Tableau3[[#This Row],[priorecol]]="R",1,0)</f>
        <v>1</v>
      </c>
      <c r="Q155" s="3">
        <f>VLOOKUP(Tableau3[[#This Row],[essence]],Tableau7[],6,FALSE)</f>
        <v>1.5014000000000001</v>
      </c>
      <c r="R155" s="3">
        <f>IF(Tableau3[[#This Row],[priorecol]]="S",1,0)</f>
        <v>0</v>
      </c>
      <c r="S155" s="3">
        <f>VLOOKUP(Tableau3[[#This Row],[essence]],Tableau7[],7,FALSE)</f>
        <v>0</v>
      </c>
      <c r="T155" s="3">
        <f>VLOOKUP(Tableau3[[#This Row],[essence]],Tableau7[],15,FALSE)</f>
        <v>0</v>
      </c>
      <c r="U155" s="3">
        <f>VLOOKUP(Tableau3[[#This Row],[essence]],Tableau7[],20,FALSE)</f>
        <v>0.49399999999999999</v>
      </c>
      <c r="V155" s="3">
        <f>IF(Tableau3[[#This Row],[sdom]]=1,1,0)</f>
        <v>0</v>
      </c>
      <c r="W155" s="3">
        <f>VLOOKUP(Tableau3[[#This Row],[essence]],Tableau7[],8,FALSE)</f>
        <v>0.42420000000000002</v>
      </c>
      <c r="X155" s="3">
        <f>IF(Tableau3[[#This Row],[sdom]]="2EST",1,0)</f>
        <v>0</v>
      </c>
      <c r="Y155" s="3">
        <f>VLOOKUP(Tableau3[[#This Row],[essence]],Tableau7[],9,FALSE)</f>
        <v>7.4300000000000005E-2</v>
      </c>
      <c r="Z155" s="3">
        <f>IF(Tableau3[[#This Row],[sdom]]="2OUEST",1,0)</f>
        <v>0</v>
      </c>
      <c r="AA155" s="3">
        <f>VLOOKUP(Tableau3[[#This Row],[essence]],Tableau7[],10,FALSE)</f>
        <v>-6.7000000000000004E-2</v>
      </c>
      <c r="AB155" s="3">
        <f>IF(Tableau3[[#This Row],[sdom]]="3EST",1,0)</f>
        <v>0</v>
      </c>
      <c r="AC155" s="3">
        <f>VLOOKUP(Tableau3[[#This Row],[essence]],Tableau7[],11,FALSE)</f>
        <v>-8.3400000000000002E-2</v>
      </c>
      <c r="AD155" s="3">
        <f>IF(Tableau3[[#This Row],[sdom]]="3OUEST",1,0)</f>
        <v>0</v>
      </c>
      <c r="AE155" s="3">
        <f>VLOOKUP(Tableau3[[#This Row],[essence]],Tableau7[],12,FALSE)</f>
        <v>-0.26840000000000003</v>
      </c>
      <c r="AF155" s="3">
        <f>IF(Tableau3[[#This Row],[sdom]]="4EST",1,0)</f>
        <v>0</v>
      </c>
      <c r="AG155" s="3">
        <f>VLOOKUP(Tableau3[[#This Row],[essence]],Tableau7[],13,FALSE)</f>
        <v>0</v>
      </c>
      <c r="AH155" s="3">
        <f>IF(Tableau3[[#This Row],[sdom]]="4OUEST",1,0)</f>
        <v>1</v>
      </c>
      <c r="AI155" s="3">
        <f>VLOOKUP(Tableau3[[#This Row],[essence]],Tableau7[],14,FALSE)</f>
        <v>0</v>
      </c>
      <c r="AJ155" s="3">
        <f>IF(Tableau3[[#This Row],[sdom]]="5EST",1,0)</f>
        <v>0</v>
      </c>
      <c r="AK155" s="3">
        <f>VLOOKUP(Tableau3[[#This Row],[essence]],Tableau7[],17,FALSE)</f>
        <v>0</v>
      </c>
      <c r="AL155" s="3">
        <f>IF(Tableau3[[#This Row],[priorecol]]="C",1,0)</f>
        <v>0</v>
      </c>
      <c r="AM155" s="3">
        <f>VLOOKUP(Tableau3[[#This Row],[essence]],Tableau7[],18,FALSE)</f>
        <v>0</v>
      </c>
      <c r="AN155" s="3">
        <f>IF(Tableau3[[#This Row],[priorecol]]="R",1,0)</f>
        <v>1</v>
      </c>
      <c r="AO155" s="3">
        <f>VLOOKUP(Tableau3[[#This Row],[essence]],Tableau7[],19,FALSE)</f>
        <v>0</v>
      </c>
      <c r="AP155" s="3">
        <f>IF(Tableau3[[#This Row],[priorecol]]="S",1,0)</f>
        <v>0</v>
      </c>
      <c r="AQ155" s="3">
        <f>VLOOKUP(Tableau3[[#This Row],[essence]],Tableau7[],21,FALSE)</f>
        <v>0</v>
      </c>
      <c r="AR155" s="3">
        <f>VLOOKUP(Tableau3[[#This Row],[essence]],Tableau7[],16,FALSE)</f>
        <v>0</v>
      </c>
      <c r="AS15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3.0630999999999999</v>
      </c>
      <c r="AT155" s="3">
        <f>Tableau3[[#This Row],[xb_]]+Tableau3[[#This Row],[b_intercept_C]]</f>
        <v>3.2808000000000002</v>
      </c>
      <c r="AU155" s="3">
        <f>Tableau3[[#This Row],[xb_]]+Tableau3[[#This Row],[b_intercept_B]]</f>
        <v>1.2210999999999999</v>
      </c>
      <c r="AV155" s="3">
        <f>1/(1+EXP(-Tableau3[[#This Row],[xb_c]]))</f>
        <v>0.9637642321826525</v>
      </c>
      <c r="AW155" s="3">
        <f>1/(1+EXP(-Tableau3[[#This Row],[xb_b]]))</f>
        <v>0.77225707105965036</v>
      </c>
      <c r="AX155" s="3" t="str">
        <f t="shared" si="4"/>
        <v>NA</v>
      </c>
      <c r="AY155" s="3">
        <f>Tableau3[[#This Row],[prob_b]]</f>
        <v>0.77225707105965036</v>
      </c>
      <c r="AZ155" s="3">
        <f>Tableau3[[#This Row],[prob_c]]-Tableau3[[#This Row],[prob_b]]</f>
        <v>0.19150716112300215</v>
      </c>
      <c r="BA155" s="3">
        <f>1-Tableau3[[#This Row],[prob_c]]</f>
        <v>3.6235767817347497E-2</v>
      </c>
    </row>
    <row r="156" spans="1:53" x14ac:dyDescent="0.25">
      <c r="A156" s="2">
        <v>7</v>
      </c>
      <c r="B156" s="2" t="s">
        <v>15</v>
      </c>
      <c r="C156" s="4">
        <v>2.1</v>
      </c>
      <c r="D156" s="4">
        <v>700</v>
      </c>
      <c r="E156" s="4">
        <v>20</v>
      </c>
      <c r="F156" s="4">
        <v>1</v>
      </c>
      <c r="G156" s="2">
        <v>41</v>
      </c>
      <c r="H156" s="2">
        <v>38</v>
      </c>
      <c r="I156" s="2" t="s">
        <v>24</v>
      </c>
      <c r="J156" s="2" t="s">
        <v>28</v>
      </c>
      <c r="K156" s="2">
        <f>VLOOKUP(Tableau3[[#This Row],[essence]],Tableau7[],2,FALSE)</f>
        <v>-0.84530000000000005</v>
      </c>
      <c r="L156" s="3">
        <f>VLOOKUP(Tableau3[[#This Row],[essence]],Tableau7[],3,FALSE)</f>
        <v>0.93089999999999995</v>
      </c>
      <c r="M156" s="3">
        <f>VLOOKUP(Tableau3[[#This Row],[essence]],Tableau7[],4,FALSE)</f>
        <v>1.4276</v>
      </c>
      <c r="N156" s="3">
        <f>IF(Tableau3[[#This Row],[priorecol]]="C",1,0)</f>
        <v>0</v>
      </c>
      <c r="O156" s="3">
        <f>VLOOKUP(Tableau3[[#This Row],[essence]],Tableau7[],5,FALSE)</f>
        <v>2.468</v>
      </c>
      <c r="P156" s="3">
        <f>IF(Tableau3[[#This Row],[priorecol]]="R",1,0)</f>
        <v>1</v>
      </c>
      <c r="Q156" s="3">
        <f>VLOOKUP(Tableau3[[#This Row],[essence]],Tableau7[],6,FALSE)</f>
        <v>0.86019999999999996</v>
      </c>
      <c r="R156" s="3">
        <f>IF(Tableau3[[#This Row],[priorecol]]="S",1,0)</f>
        <v>0</v>
      </c>
      <c r="S156" s="3">
        <f>VLOOKUP(Tableau3[[#This Row],[essence]],Tableau7[],7,FALSE)</f>
        <v>0</v>
      </c>
      <c r="T156" s="3">
        <f>VLOOKUP(Tableau3[[#This Row],[essence]],Tableau7[],15,FALSE)</f>
        <v>1.7299999999999999E-2</v>
      </c>
      <c r="U156" s="3">
        <f>VLOOKUP(Tableau3[[#This Row],[essence]],Tableau7[],20,FALSE)</f>
        <v>-0.28799999999999998</v>
      </c>
      <c r="V156" s="3">
        <f>IF(Tableau3[[#This Row],[sdom]]=1,1,0)</f>
        <v>0</v>
      </c>
      <c r="W156" s="3">
        <f>VLOOKUP(Tableau3[[#This Row],[essence]],Tableau7[],8,FALSE)</f>
        <v>-0.18859999999999999</v>
      </c>
      <c r="X156" s="3">
        <f>IF(Tableau3[[#This Row],[sdom]]="2EST",1,0)</f>
        <v>0</v>
      </c>
      <c r="Y156" s="3">
        <f>VLOOKUP(Tableau3[[#This Row],[essence]],Tableau7[],9,FALSE)</f>
        <v>1.2699999999999999E-2</v>
      </c>
      <c r="Z156" s="3">
        <f>IF(Tableau3[[#This Row],[sdom]]="2OUEST",1,0)</f>
        <v>0</v>
      </c>
      <c r="AA156" s="3">
        <f>VLOOKUP(Tableau3[[#This Row],[essence]],Tableau7[],10,FALSE)</f>
        <v>0</v>
      </c>
      <c r="AB156" s="3">
        <f>IF(Tableau3[[#This Row],[sdom]]="3EST",1,0)</f>
        <v>0</v>
      </c>
      <c r="AC156" s="3">
        <f>VLOOKUP(Tableau3[[#This Row],[essence]],Tableau7[],11,FALSE)</f>
        <v>0.30009999999999998</v>
      </c>
      <c r="AD156" s="3">
        <f>IF(Tableau3[[#This Row],[sdom]]="3OUEST",1,0)</f>
        <v>0</v>
      </c>
      <c r="AE156" s="3">
        <f>VLOOKUP(Tableau3[[#This Row],[essence]],Tableau7[],12,FALSE)</f>
        <v>0</v>
      </c>
      <c r="AF156" s="3">
        <f>IF(Tableau3[[#This Row],[sdom]]="4EST",1,0)</f>
        <v>0</v>
      </c>
      <c r="AG156" s="3">
        <f>VLOOKUP(Tableau3[[#This Row],[essence]],Tableau7[],13,FALSE)</f>
        <v>0</v>
      </c>
      <c r="AH156" s="3">
        <f>IF(Tableau3[[#This Row],[sdom]]="4OUEST",1,0)</f>
        <v>1</v>
      </c>
      <c r="AI156" s="3">
        <f>VLOOKUP(Tableau3[[#This Row],[essence]],Tableau7[],14,FALSE)</f>
        <v>0</v>
      </c>
      <c r="AJ156" s="3">
        <f>IF(Tableau3[[#This Row],[sdom]]="5EST",1,0)</f>
        <v>0</v>
      </c>
      <c r="AK156" s="3">
        <f>VLOOKUP(Tableau3[[#This Row],[essence]],Tableau7[],17,FALSE)</f>
        <v>0</v>
      </c>
      <c r="AL156" s="3">
        <f>IF(Tableau3[[#This Row],[priorecol]]="C",1,0)</f>
        <v>0</v>
      </c>
      <c r="AM156" s="3">
        <f>VLOOKUP(Tableau3[[#This Row],[essence]],Tableau7[],18,FALSE)</f>
        <v>0</v>
      </c>
      <c r="AN156" s="3">
        <f>IF(Tableau3[[#This Row],[priorecol]]="R",1,0)</f>
        <v>1</v>
      </c>
      <c r="AO156" s="3">
        <f>VLOOKUP(Tableau3[[#This Row],[essence]],Tableau7[],19,FALSE)</f>
        <v>0</v>
      </c>
      <c r="AP156" s="3">
        <f>IF(Tableau3[[#This Row],[priorecol]]="S",1,0)</f>
        <v>0</v>
      </c>
      <c r="AQ156" s="3">
        <f>VLOOKUP(Tableau3[[#This Row],[essence]],Tableau7[],21,FALSE)</f>
        <v>0</v>
      </c>
      <c r="AR156" s="3">
        <f>VLOOKUP(Tableau3[[#This Row],[essence]],Tableau7[],16,FALSE)</f>
        <v>0</v>
      </c>
      <c r="AS15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2.8140000000000001</v>
      </c>
      <c r="AT156" s="3">
        <f>Tableau3[[#This Row],[xb_]]+Tableau3[[#This Row],[b_intercept_C]]</f>
        <v>3.7448999999999999</v>
      </c>
      <c r="AU156" s="3">
        <f>Tableau3[[#This Row],[xb_]]+Tableau3[[#This Row],[b_intercept_B]]</f>
        <v>1.9687000000000001</v>
      </c>
      <c r="AV156" s="3">
        <f>1/(1+EXP(-Tableau3[[#This Row],[xb_c]]))</f>
        <v>0.97690785912922962</v>
      </c>
      <c r="AW156" s="3">
        <f>1/(1+EXP(-Tableau3[[#This Row],[xb_b]]))</f>
        <v>0.8774714118166369</v>
      </c>
      <c r="AX156" s="3" t="str">
        <f t="shared" si="4"/>
        <v>NA</v>
      </c>
      <c r="AY156" s="3">
        <f>Tableau3[[#This Row],[prob_b]]</f>
        <v>0.8774714118166369</v>
      </c>
      <c r="AZ156" s="3">
        <f>Tableau3[[#This Row],[prob_c]]-Tableau3[[#This Row],[prob_b]]</f>
        <v>9.9436447312592713E-2</v>
      </c>
      <c r="BA156" s="3">
        <f>1-Tableau3[[#This Row],[prob_c]]</f>
        <v>2.3092140870770383E-2</v>
      </c>
    </row>
    <row r="157" spans="1:53" x14ac:dyDescent="0.25">
      <c r="A157" s="3">
        <v>7</v>
      </c>
      <c r="B157" s="3" t="s">
        <v>15</v>
      </c>
      <c r="C157" s="1">
        <v>2.1</v>
      </c>
      <c r="D157" s="1">
        <v>700</v>
      </c>
      <c r="E157" s="1">
        <v>20</v>
      </c>
      <c r="F157" s="1">
        <v>1</v>
      </c>
      <c r="G157" s="3">
        <v>47</v>
      </c>
      <c r="H157" s="3">
        <v>38</v>
      </c>
      <c r="I157" s="3" t="s">
        <v>26</v>
      </c>
      <c r="J157" s="3" t="s">
        <v>28</v>
      </c>
      <c r="K157" s="3">
        <f>VLOOKUP(Tableau3[[#This Row],[essence]],Tableau7[],2,FALSE)</f>
        <v>-1.7838000000000001</v>
      </c>
      <c r="L157" s="3">
        <f>VLOOKUP(Tableau3[[#This Row],[essence]],Tableau7[],3,FALSE)</f>
        <v>-7.3400000000000007E-2</v>
      </c>
      <c r="M157" s="3">
        <f>VLOOKUP(Tableau3[[#This Row],[essence]],Tableau7[],4,FALSE)</f>
        <v>1.5893999999999999</v>
      </c>
      <c r="N157" s="3">
        <f>IF(Tableau3[[#This Row],[priorecol]]="C",1,0)</f>
        <v>0</v>
      </c>
      <c r="O157" s="3">
        <f>VLOOKUP(Tableau3[[#This Row],[essence]],Tableau7[],5,FALSE)</f>
        <v>2.1800000000000002</v>
      </c>
      <c r="P157" s="3">
        <f>IF(Tableau3[[#This Row],[priorecol]]="R",1,0)</f>
        <v>1</v>
      </c>
      <c r="Q157" s="3">
        <f>VLOOKUP(Tableau3[[#This Row],[essence]],Tableau7[],6,FALSE)</f>
        <v>0.91710000000000003</v>
      </c>
      <c r="R157" s="3">
        <f>IF(Tableau3[[#This Row],[priorecol]]="S",1,0)</f>
        <v>0</v>
      </c>
      <c r="S157" s="3">
        <f>VLOOKUP(Tableau3[[#This Row],[essence]],Tableau7[],7,FALSE)</f>
        <v>0</v>
      </c>
      <c r="T157" s="3">
        <f>VLOOKUP(Tableau3[[#This Row],[essence]],Tableau7[],15,FALSE)</f>
        <v>0</v>
      </c>
      <c r="U157" s="3">
        <f>VLOOKUP(Tableau3[[#This Row],[essence]],Tableau7[],20,FALSE)</f>
        <v>0</v>
      </c>
      <c r="V157" s="3">
        <f>IF(Tableau3[[#This Row],[sdom]]=1,1,0)</f>
        <v>0</v>
      </c>
      <c r="W157" s="3">
        <f>VLOOKUP(Tableau3[[#This Row],[essence]],Tableau7[],8,FALSE)</f>
        <v>0</v>
      </c>
      <c r="X157" s="3">
        <f>IF(Tableau3[[#This Row],[sdom]]="2EST",1,0)</f>
        <v>0</v>
      </c>
      <c r="Y157" s="3">
        <f>VLOOKUP(Tableau3[[#This Row],[essence]],Tableau7[],9,FALSE)</f>
        <v>-0.22550000000000001</v>
      </c>
      <c r="Z157" s="3">
        <f>IF(Tableau3[[#This Row],[sdom]]="2OUEST",1,0)</f>
        <v>0</v>
      </c>
      <c r="AA157" s="3">
        <f>VLOOKUP(Tableau3[[#This Row],[essence]],Tableau7[],10,FALSE)</f>
        <v>0</v>
      </c>
      <c r="AB157" s="3">
        <f>IF(Tableau3[[#This Row],[sdom]]="3EST",1,0)</f>
        <v>0</v>
      </c>
      <c r="AC157" s="3">
        <f>VLOOKUP(Tableau3[[#This Row],[essence]],Tableau7[],11,FALSE)</f>
        <v>0.3513</v>
      </c>
      <c r="AD157" s="3">
        <f>IF(Tableau3[[#This Row],[sdom]]="3OUEST",1,0)</f>
        <v>0</v>
      </c>
      <c r="AE157" s="3">
        <f>VLOOKUP(Tableau3[[#This Row],[essence]],Tableau7[],12,FALSE)</f>
        <v>-0.42259999999999998</v>
      </c>
      <c r="AF157" s="3">
        <f>IF(Tableau3[[#This Row],[sdom]]="4EST",1,0)</f>
        <v>0</v>
      </c>
      <c r="AG157" s="3">
        <f>VLOOKUP(Tableau3[[#This Row],[essence]],Tableau7[],13,FALSE)</f>
        <v>0.25390000000000001</v>
      </c>
      <c r="AH157" s="3">
        <f>IF(Tableau3[[#This Row],[sdom]]="4OUEST",1,0)</f>
        <v>1</v>
      </c>
      <c r="AI157" s="3">
        <f>VLOOKUP(Tableau3[[#This Row],[essence]],Tableau7[],14,FALSE)</f>
        <v>4.6199999999999998E-2</v>
      </c>
      <c r="AJ157" s="3">
        <f>IF(Tableau3[[#This Row],[sdom]]="5EST",1,0)</f>
        <v>0</v>
      </c>
      <c r="AK157" s="3">
        <f>VLOOKUP(Tableau3[[#This Row],[essence]],Tableau7[],17,FALSE)</f>
        <v>0</v>
      </c>
      <c r="AL157" s="3">
        <f>IF(Tableau3[[#This Row],[priorecol]]="C",1,0)</f>
        <v>0</v>
      </c>
      <c r="AM157" s="3">
        <f>VLOOKUP(Tableau3[[#This Row],[essence]],Tableau7[],18,FALSE)</f>
        <v>0</v>
      </c>
      <c r="AN157" s="3">
        <f>IF(Tableau3[[#This Row],[priorecol]]="R",1,0)</f>
        <v>1</v>
      </c>
      <c r="AO157" s="3">
        <f>VLOOKUP(Tableau3[[#This Row],[essence]],Tableau7[],19,FALSE)</f>
        <v>0</v>
      </c>
      <c r="AP157" s="3">
        <f>IF(Tableau3[[#This Row],[priorecol]]="S",1,0)</f>
        <v>0</v>
      </c>
      <c r="AQ157" s="3">
        <f>VLOOKUP(Tableau3[[#This Row],[essence]],Tableau7[],21,FALSE)</f>
        <v>0</v>
      </c>
      <c r="AR157" s="3">
        <f>VLOOKUP(Tableau3[[#This Row],[essence]],Tableau7[],16,FALSE)</f>
        <v>0.24340000000000001</v>
      </c>
      <c r="AS15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2.9450400000000005</v>
      </c>
      <c r="AT157" s="3">
        <f>Tableau3[[#This Row],[xb_]]+Tableau3[[#This Row],[b_intercept_C]]</f>
        <v>2.8716400000000006</v>
      </c>
      <c r="AU157" s="3">
        <f>Tableau3[[#This Row],[xb_]]+Tableau3[[#This Row],[b_intercept_B]]</f>
        <v>1.1612400000000005</v>
      </c>
      <c r="AV157" s="3">
        <f>1/(1+EXP(-Tableau3[[#This Row],[xb_c]]))</f>
        <v>0.94642656235076206</v>
      </c>
      <c r="AW157" s="3">
        <f>1/(1+EXP(-Tableau3[[#This Row],[xb_b]]))</f>
        <v>0.76155795628705103</v>
      </c>
      <c r="AX157" s="3" t="str">
        <f t="shared" si="4"/>
        <v>NA</v>
      </c>
      <c r="AY157" s="3">
        <f>Tableau3[[#This Row],[prob_b]]</f>
        <v>0.76155795628705103</v>
      </c>
      <c r="AZ157" s="3">
        <f>Tableau3[[#This Row],[prob_c]]-Tableau3[[#This Row],[prob_b]]</f>
        <v>0.18486860606371103</v>
      </c>
      <c r="BA157" s="3">
        <f>1-Tableau3[[#This Row],[prob_c]]</f>
        <v>5.3573437649237943E-2</v>
      </c>
    </row>
    <row r="158" spans="1:53" x14ac:dyDescent="0.25">
      <c r="A158" s="2">
        <v>8</v>
      </c>
      <c r="B158" s="2" t="s">
        <v>16</v>
      </c>
      <c r="C158" s="4">
        <v>2.1</v>
      </c>
      <c r="D158" s="4">
        <v>700</v>
      </c>
      <c r="E158" s="4">
        <v>20</v>
      </c>
      <c r="F158" s="4">
        <v>1</v>
      </c>
      <c r="G158" s="2">
        <v>29</v>
      </c>
      <c r="H158" s="2">
        <v>38</v>
      </c>
      <c r="I158" s="2" t="s">
        <v>20</v>
      </c>
      <c r="J158" s="2" t="s">
        <v>28</v>
      </c>
      <c r="K158" s="2">
        <f>VLOOKUP(Tableau3[[#This Row],[essence]],Tableau7[],2,FALSE)</f>
        <v>-0.80379999999999996</v>
      </c>
      <c r="L158" s="3">
        <f>VLOOKUP(Tableau3[[#This Row],[essence]],Tableau7[],3,FALSE)</f>
        <v>0.88800000000000001</v>
      </c>
      <c r="M158" s="3">
        <f>VLOOKUP(Tableau3[[#This Row],[essence]],Tableau7[],4,FALSE)</f>
        <v>1.5212000000000001</v>
      </c>
      <c r="N158" s="3">
        <f>IF(Tableau3[[#This Row],[priorecol]]="C",1,0)</f>
        <v>0</v>
      </c>
      <c r="O158" s="3">
        <f>VLOOKUP(Tableau3[[#This Row],[essence]],Tableau7[],5,FALSE)</f>
        <v>1.8714999999999999</v>
      </c>
      <c r="P158" s="3">
        <f>IF(Tableau3[[#This Row],[priorecol]]="R",1,0)</f>
        <v>1</v>
      </c>
      <c r="Q158" s="3">
        <f>VLOOKUP(Tableau3[[#This Row],[essence]],Tableau7[],6,FALSE)</f>
        <v>0.51549999999999996</v>
      </c>
      <c r="R158" s="3">
        <f>IF(Tableau3[[#This Row],[priorecol]]="S",1,0)</f>
        <v>0</v>
      </c>
      <c r="S158" s="3">
        <f>VLOOKUP(Tableau3[[#This Row],[essence]],Tableau7[],7,FALSE)</f>
        <v>0</v>
      </c>
      <c r="T158" s="3">
        <f>VLOOKUP(Tableau3[[#This Row],[essence]],Tableau7[],15,FALSE)</f>
        <v>9.0500000000000008E-3</v>
      </c>
      <c r="U158" s="3">
        <f>VLOOKUP(Tableau3[[#This Row],[essence]],Tableau7[],20,FALSE)</f>
        <v>0</v>
      </c>
      <c r="V158" s="3">
        <f>IF(Tableau3[[#This Row],[sdom]]=1,1,0)</f>
        <v>0</v>
      </c>
      <c r="W158" s="3">
        <f>VLOOKUP(Tableau3[[#This Row],[essence]],Tableau7[],8,FALSE)</f>
        <v>0</v>
      </c>
      <c r="X158" s="3">
        <f>IF(Tableau3[[#This Row],[sdom]]="2EST",1,0)</f>
        <v>0</v>
      </c>
      <c r="Y158" s="3">
        <f>VLOOKUP(Tableau3[[#This Row],[essence]],Tableau7[],9,FALSE)</f>
        <v>-4.5199999999999997E-2</v>
      </c>
      <c r="Z158" s="3">
        <f>IF(Tableau3[[#This Row],[sdom]]="2OUEST",1,0)</f>
        <v>0</v>
      </c>
      <c r="AA158" s="3">
        <f>VLOOKUP(Tableau3[[#This Row],[essence]],Tableau7[],10,FALSE)</f>
        <v>1.15E-2</v>
      </c>
      <c r="AB158" s="3">
        <f>IF(Tableau3[[#This Row],[sdom]]="3EST",1,0)</f>
        <v>0</v>
      </c>
      <c r="AC158" s="3">
        <f>VLOOKUP(Tableau3[[#This Row],[essence]],Tableau7[],11,FALSE)</f>
        <v>0.1169</v>
      </c>
      <c r="AD158" s="3">
        <f>IF(Tableau3[[#This Row],[sdom]]="3OUEST",1,0)</f>
        <v>0</v>
      </c>
      <c r="AE158" s="3">
        <f>VLOOKUP(Tableau3[[#This Row],[essence]],Tableau7[],12,FALSE)</f>
        <v>-0.1686</v>
      </c>
      <c r="AF158" s="3">
        <f>IF(Tableau3[[#This Row],[sdom]]="4EST",1,0)</f>
        <v>0</v>
      </c>
      <c r="AG158" s="3">
        <f>VLOOKUP(Tableau3[[#This Row],[essence]],Tableau7[],13,FALSE)</f>
        <v>0.11940000000000001</v>
      </c>
      <c r="AH158" s="3">
        <f>IF(Tableau3[[#This Row],[sdom]]="4OUEST",1,0)</f>
        <v>0</v>
      </c>
      <c r="AI158" s="3">
        <f>VLOOKUP(Tableau3[[#This Row],[essence]],Tableau7[],14,FALSE)</f>
        <v>-0.13100000000000001</v>
      </c>
      <c r="AJ158" s="3">
        <f>IF(Tableau3[[#This Row],[sdom]]="5EST",1,0)</f>
        <v>1</v>
      </c>
      <c r="AK158" s="3">
        <f>VLOOKUP(Tableau3[[#This Row],[essence]],Tableau7[],17,FALSE)</f>
        <v>-1.8599999999999998E-2</v>
      </c>
      <c r="AL158" s="3">
        <f>IF(Tableau3[[#This Row],[priorecol]]="C",1,0)</f>
        <v>0</v>
      </c>
      <c r="AM158" s="3">
        <f>VLOOKUP(Tableau3[[#This Row],[essence]],Tableau7[],18,FALSE)</f>
        <v>-8.5500000000000003E-3</v>
      </c>
      <c r="AN158" s="3">
        <f>IF(Tableau3[[#This Row],[priorecol]]="R",1,0)</f>
        <v>1</v>
      </c>
      <c r="AO158" s="3">
        <f>VLOOKUP(Tableau3[[#This Row],[essence]],Tableau7[],19,FALSE)</f>
        <v>1.54E-2</v>
      </c>
      <c r="AP158" s="3">
        <f>IF(Tableau3[[#This Row],[priorecol]]="S",1,0)</f>
        <v>0</v>
      </c>
      <c r="AQ158" s="3">
        <f>VLOOKUP(Tableau3[[#This Row],[essence]],Tableau7[],21,FALSE)</f>
        <v>0</v>
      </c>
      <c r="AR158" s="3">
        <f>VLOOKUP(Tableau3[[#This Row],[essence]],Tableau7[],16,FALSE)</f>
        <v>0</v>
      </c>
      <c r="AS15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1.7504999999999997</v>
      </c>
      <c r="AT158" s="3">
        <f>Tableau3[[#This Row],[xb_]]+Tableau3[[#This Row],[b_intercept_C]]</f>
        <v>2.6384999999999996</v>
      </c>
      <c r="AU158" s="3">
        <f>Tableau3[[#This Row],[xb_]]+Tableau3[[#This Row],[b_intercept_B]]</f>
        <v>0.94669999999999976</v>
      </c>
      <c r="AV158" s="3">
        <f>1/(1+EXP(-Tableau3[[#This Row],[xb_c]]))</f>
        <v>0.93329864666990081</v>
      </c>
      <c r="AW158" s="3">
        <f>1/(1+EXP(-Tableau3[[#This Row],[xb_b]]))</f>
        <v>0.72045103735779392</v>
      </c>
      <c r="AX158" s="3" t="str">
        <f t="shared" si="4"/>
        <v>NA</v>
      </c>
      <c r="AY158" s="3">
        <f>Tableau3[[#This Row],[prob_b]]</f>
        <v>0.72045103735779392</v>
      </c>
      <c r="AZ158" s="3">
        <f>Tableau3[[#This Row],[prob_c]]-Tableau3[[#This Row],[prob_b]]</f>
        <v>0.21284760931210689</v>
      </c>
      <c r="BA158" s="3">
        <f>1-Tableau3[[#This Row],[prob_c]]</f>
        <v>6.6701353330099189E-2</v>
      </c>
    </row>
    <row r="159" spans="1:53" x14ac:dyDescent="0.25">
      <c r="A159" s="3">
        <v>8</v>
      </c>
      <c r="B159" s="3" t="s">
        <v>16</v>
      </c>
      <c r="C159" s="1">
        <v>2.1</v>
      </c>
      <c r="D159" s="1">
        <v>700</v>
      </c>
      <c r="E159" s="1">
        <v>20</v>
      </c>
      <c r="F159" s="1">
        <v>1</v>
      </c>
      <c r="G159" s="3">
        <v>35</v>
      </c>
      <c r="H159" s="3">
        <v>38</v>
      </c>
      <c r="I159" s="3" t="s">
        <v>22</v>
      </c>
      <c r="J159" s="3" t="s">
        <v>28</v>
      </c>
      <c r="K159" s="3">
        <f>VLOOKUP(Tableau3[[#This Row],[essence]],Tableau7[],2,FALSE)</f>
        <v>-1.8420000000000001</v>
      </c>
      <c r="L159" s="3">
        <f>VLOOKUP(Tableau3[[#This Row],[essence]],Tableau7[],3,FALSE)</f>
        <v>0.2177</v>
      </c>
      <c r="M159" s="3">
        <f>VLOOKUP(Tableau3[[#This Row],[essence]],Tableau7[],4,FALSE)</f>
        <v>1.9473</v>
      </c>
      <c r="N159" s="3">
        <f>IF(Tableau3[[#This Row],[priorecol]]="C",1,0)</f>
        <v>0</v>
      </c>
      <c r="O159" s="3">
        <f>VLOOKUP(Tableau3[[#This Row],[essence]],Tableau7[],5,FALSE)</f>
        <v>3.0630999999999999</v>
      </c>
      <c r="P159" s="3">
        <f>IF(Tableau3[[#This Row],[priorecol]]="R",1,0)</f>
        <v>1</v>
      </c>
      <c r="Q159" s="3">
        <f>VLOOKUP(Tableau3[[#This Row],[essence]],Tableau7[],6,FALSE)</f>
        <v>1.5014000000000001</v>
      </c>
      <c r="R159" s="3">
        <f>IF(Tableau3[[#This Row],[priorecol]]="S",1,0)</f>
        <v>0</v>
      </c>
      <c r="S159" s="3">
        <f>VLOOKUP(Tableau3[[#This Row],[essence]],Tableau7[],7,FALSE)</f>
        <v>0</v>
      </c>
      <c r="T159" s="3">
        <f>VLOOKUP(Tableau3[[#This Row],[essence]],Tableau7[],15,FALSE)</f>
        <v>0</v>
      </c>
      <c r="U159" s="3">
        <f>VLOOKUP(Tableau3[[#This Row],[essence]],Tableau7[],20,FALSE)</f>
        <v>0.49399999999999999</v>
      </c>
      <c r="V159" s="3">
        <f>IF(Tableau3[[#This Row],[sdom]]=1,1,0)</f>
        <v>0</v>
      </c>
      <c r="W159" s="3">
        <f>VLOOKUP(Tableau3[[#This Row],[essence]],Tableau7[],8,FALSE)</f>
        <v>0.42420000000000002</v>
      </c>
      <c r="X159" s="3">
        <f>IF(Tableau3[[#This Row],[sdom]]="2EST",1,0)</f>
        <v>0</v>
      </c>
      <c r="Y159" s="3">
        <f>VLOOKUP(Tableau3[[#This Row],[essence]],Tableau7[],9,FALSE)</f>
        <v>7.4300000000000005E-2</v>
      </c>
      <c r="Z159" s="3">
        <f>IF(Tableau3[[#This Row],[sdom]]="2OUEST",1,0)</f>
        <v>0</v>
      </c>
      <c r="AA159" s="3">
        <f>VLOOKUP(Tableau3[[#This Row],[essence]],Tableau7[],10,FALSE)</f>
        <v>-6.7000000000000004E-2</v>
      </c>
      <c r="AB159" s="3">
        <f>IF(Tableau3[[#This Row],[sdom]]="3EST",1,0)</f>
        <v>0</v>
      </c>
      <c r="AC159" s="3">
        <f>VLOOKUP(Tableau3[[#This Row],[essence]],Tableau7[],11,FALSE)</f>
        <v>-8.3400000000000002E-2</v>
      </c>
      <c r="AD159" s="3">
        <f>IF(Tableau3[[#This Row],[sdom]]="3OUEST",1,0)</f>
        <v>0</v>
      </c>
      <c r="AE159" s="3">
        <f>VLOOKUP(Tableau3[[#This Row],[essence]],Tableau7[],12,FALSE)</f>
        <v>-0.26840000000000003</v>
      </c>
      <c r="AF159" s="3">
        <f>IF(Tableau3[[#This Row],[sdom]]="4EST",1,0)</f>
        <v>0</v>
      </c>
      <c r="AG159" s="3">
        <f>VLOOKUP(Tableau3[[#This Row],[essence]],Tableau7[],13,FALSE)</f>
        <v>0</v>
      </c>
      <c r="AH159" s="3">
        <f>IF(Tableau3[[#This Row],[sdom]]="4OUEST",1,0)</f>
        <v>0</v>
      </c>
      <c r="AI159" s="3">
        <f>VLOOKUP(Tableau3[[#This Row],[essence]],Tableau7[],14,FALSE)</f>
        <v>0</v>
      </c>
      <c r="AJ159" s="3">
        <f>IF(Tableau3[[#This Row],[sdom]]="5EST",1,0)</f>
        <v>1</v>
      </c>
      <c r="AK159" s="3">
        <f>VLOOKUP(Tableau3[[#This Row],[essence]],Tableau7[],17,FALSE)</f>
        <v>0</v>
      </c>
      <c r="AL159" s="3">
        <f>IF(Tableau3[[#This Row],[priorecol]]="C",1,0)</f>
        <v>0</v>
      </c>
      <c r="AM159" s="3">
        <f>VLOOKUP(Tableau3[[#This Row],[essence]],Tableau7[],18,FALSE)</f>
        <v>0</v>
      </c>
      <c r="AN159" s="3">
        <f>IF(Tableau3[[#This Row],[priorecol]]="R",1,0)</f>
        <v>1</v>
      </c>
      <c r="AO159" s="3">
        <f>VLOOKUP(Tableau3[[#This Row],[essence]],Tableau7[],19,FALSE)</f>
        <v>0</v>
      </c>
      <c r="AP159" s="3">
        <f>IF(Tableau3[[#This Row],[priorecol]]="S",1,0)</f>
        <v>0</v>
      </c>
      <c r="AQ159" s="3">
        <f>VLOOKUP(Tableau3[[#This Row],[essence]],Tableau7[],21,FALSE)</f>
        <v>0</v>
      </c>
      <c r="AR159" s="3">
        <f>VLOOKUP(Tableau3[[#This Row],[essence]],Tableau7[],16,FALSE)</f>
        <v>0</v>
      </c>
      <c r="AS15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3.0630999999999999</v>
      </c>
      <c r="AT159" s="3">
        <f>Tableau3[[#This Row],[xb_]]+Tableau3[[#This Row],[b_intercept_C]]</f>
        <v>3.2808000000000002</v>
      </c>
      <c r="AU159" s="3">
        <f>Tableau3[[#This Row],[xb_]]+Tableau3[[#This Row],[b_intercept_B]]</f>
        <v>1.2210999999999999</v>
      </c>
      <c r="AV159" s="3">
        <f>1/(1+EXP(-Tableau3[[#This Row],[xb_c]]))</f>
        <v>0.9637642321826525</v>
      </c>
      <c r="AW159" s="3">
        <f>1/(1+EXP(-Tableau3[[#This Row],[xb_b]]))</f>
        <v>0.77225707105965036</v>
      </c>
      <c r="AX159" s="3" t="str">
        <f t="shared" si="4"/>
        <v>NA</v>
      </c>
      <c r="AY159" s="3">
        <f>Tableau3[[#This Row],[prob_b]]</f>
        <v>0.77225707105965036</v>
      </c>
      <c r="AZ159" s="3">
        <f>Tableau3[[#This Row],[prob_c]]-Tableau3[[#This Row],[prob_b]]</f>
        <v>0.19150716112300215</v>
      </c>
      <c r="BA159" s="3">
        <f>1-Tableau3[[#This Row],[prob_c]]</f>
        <v>3.6235767817347497E-2</v>
      </c>
    </row>
    <row r="160" spans="1:53" x14ac:dyDescent="0.25">
      <c r="A160" s="2">
        <v>8</v>
      </c>
      <c r="B160" s="2" t="s">
        <v>16</v>
      </c>
      <c r="C160" s="4">
        <v>2.1</v>
      </c>
      <c r="D160" s="4">
        <v>700</v>
      </c>
      <c r="E160" s="4">
        <v>20</v>
      </c>
      <c r="F160" s="4">
        <v>1</v>
      </c>
      <c r="G160" s="2">
        <v>41</v>
      </c>
      <c r="H160" s="2">
        <v>38</v>
      </c>
      <c r="I160" s="2" t="s">
        <v>24</v>
      </c>
      <c r="J160" s="2" t="s">
        <v>28</v>
      </c>
      <c r="K160" s="2">
        <f>VLOOKUP(Tableau3[[#This Row],[essence]],Tableau7[],2,FALSE)</f>
        <v>-0.84530000000000005</v>
      </c>
      <c r="L160" s="3">
        <f>VLOOKUP(Tableau3[[#This Row],[essence]],Tableau7[],3,FALSE)</f>
        <v>0.93089999999999995</v>
      </c>
      <c r="M160" s="3">
        <f>VLOOKUP(Tableau3[[#This Row],[essence]],Tableau7[],4,FALSE)</f>
        <v>1.4276</v>
      </c>
      <c r="N160" s="3">
        <f>IF(Tableau3[[#This Row],[priorecol]]="C",1,0)</f>
        <v>0</v>
      </c>
      <c r="O160" s="3">
        <f>VLOOKUP(Tableau3[[#This Row],[essence]],Tableau7[],5,FALSE)</f>
        <v>2.468</v>
      </c>
      <c r="P160" s="3">
        <f>IF(Tableau3[[#This Row],[priorecol]]="R",1,0)</f>
        <v>1</v>
      </c>
      <c r="Q160" s="3">
        <f>VLOOKUP(Tableau3[[#This Row],[essence]],Tableau7[],6,FALSE)</f>
        <v>0.86019999999999996</v>
      </c>
      <c r="R160" s="3">
        <f>IF(Tableau3[[#This Row],[priorecol]]="S",1,0)</f>
        <v>0</v>
      </c>
      <c r="S160" s="3">
        <f>VLOOKUP(Tableau3[[#This Row],[essence]],Tableau7[],7,FALSE)</f>
        <v>0</v>
      </c>
      <c r="T160" s="3">
        <f>VLOOKUP(Tableau3[[#This Row],[essence]],Tableau7[],15,FALSE)</f>
        <v>1.7299999999999999E-2</v>
      </c>
      <c r="U160" s="3">
        <f>VLOOKUP(Tableau3[[#This Row],[essence]],Tableau7[],20,FALSE)</f>
        <v>-0.28799999999999998</v>
      </c>
      <c r="V160" s="3">
        <f>IF(Tableau3[[#This Row],[sdom]]=1,1,0)</f>
        <v>0</v>
      </c>
      <c r="W160" s="3">
        <f>VLOOKUP(Tableau3[[#This Row],[essence]],Tableau7[],8,FALSE)</f>
        <v>-0.18859999999999999</v>
      </c>
      <c r="X160" s="3">
        <f>IF(Tableau3[[#This Row],[sdom]]="2EST",1,0)</f>
        <v>0</v>
      </c>
      <c r="Y160" s="3">
        <f>VLOOKUP(Tableau3[[#This Row],[essence]],Tableau7[],9,FALSE)</f>
        <v>1.2699999999999999E-2</v>
      </c>
      <c r="Z160" s="3">
        <f>IF(Tableau3[[#This Row],[sdom]]="2OUEST",1,0)</f>
        <v>0</v>
      </c>
      <c r="AA160" s="3">
        <f>VLOOKUP(Tableau3[[#This Row],[essence]],Tableau7[],10,FALSE)</f>
        <v>0</v>
      </c>
      <c r="AB160" s="3">
        <f>IF(Tableau3[[#This Row],[sdom]]="3EST",1,0)</f>
        <v>0</v>
      </c>
      <c r="AC160" s="3">
        <f>VLOOKUP(Tableau3[[#This Row],[essence]],Tableau7[],11,FALSE)</f>
        <v>0.30009999999999998</v>
      </c>
      <c r="AD160" s="3">
        <f>IF(Tableau3[[#This Row],[sdom]]="3OUEST",1,0)</f>
        <v>0</v>
      </c>
      <c r="AE160" s="3">
        <f>VLOOKUP(Tableau3[[#This Row],[essence]],Tableau7[],12,FALSE)</f>
        <v>0</v>
      </c>
      <c r="AF160" s="3">
        <f>IF(Tableau3[[#This Row],[sdom]]="4EST",1,0)</f>
        <v>0</v>
      </c>
      <c r="AG160" s="3">
        <f>VLOOKUP(Tableau3[[#This Row],[essence]],Tableau7[],13,FALSE)</f>
        <v>0</v>
      </c>
      <c r="AH160" s="3">
        <f>IF(Tableau3[[#This Row],[sdom]]="4OUEST",1,0)</f>
        <v>0</v>
      </c>
      <c r="AI160" s="3">
        <f>VLOOKUP(Tableau3[[#This Row],[essence]],Tableau7[],14,FALSE)</f>
        <v>0</v>
      </c>
      <c r="AJ160" s="3">
        <f>IF(Tableau3[[#This Row],[sdom]]="5EST",1,0)</f>
        <v>1</v>
      </c>
      <c r="AK160" s="3">
        <f>VLOOKUP(Tableau3[[#This Row],[essence]],Tableau7[],17,FALSE)</f>
        <v>0</v>
      </c>
      <c r="AL160" s="3">
        <f>IF(Tableau3[[#This Row],[priorecol]]="C",1,0)</f>
        <v>0</v>
      </c>
      <c r="AM160" s="3">
        <f>VLOOKUP(Tableau3[[#This Row],[essence]],Tableau7[],18,FALSE)</f>
        <v>0</v>
      </c>
      <c r="AN160" s="3">
        <f>IF(Tableau3[[#This Row],[priorecol]]="R",1,0)</f>
        <v>1</v>
      </c>
      <c r="AO160" s="3">
        <f>VLOOKUP(Tableau3[[#This Row],[essence]],Tableau7[],19,FALSE)</f>
        <v>0</v>
      </c>
      <c r="AP160" s="3">
        <f>IF(Tableau3[[#This Row],[priorecol]]="S",1,0)</f>
        <v>0</v>
      </c>
      <c r="AQ160" s="3">
        <f>VLOOKUP(Tableau3[[#This Row],[essence]],Tableau7[],21,FALSE)</f>
        <v>0</v>
      </c>
      <c r="AR160" s="3">
        <f>VLOOKUP(Tableau3[[#This Row],[essence]],Tableau7[],16,FALSE)</f>
        <v>0</v>
      </c>
      <c r="AS16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2.8140000000000001</v>
      </c>
      <c r="AT160" s="3">
        <f>Tableau3[[#This Row],[xb_]]+Tableau3[[#This Row],[b_intercept_C]]</f>
        <v>3.7448999999999999</v>
      </c>
      <c r="AU160" s="3">
        <f>Tableau3[[#This Row],[xb_]]+Tableau3[[#This Row],[b_intercept_B]]</f>
        <v>1.9687000000000001</v>
      </c>
      <c r="AV160" s="3">
        <f>1/(1+EXP(-Tableau3[[#This Row],[xb_c]]))</f>
        <v>0.97690785912922962</v>
      </c>
      <c r="AW160" s="3">
        <f>1/(1+EXP(-Tableau3[[#This Row],[xb_b]]))</f>
        <v>0.8774714118166369</v>
      </c>
      <c r="AX160" s="3" t="str">
        <f t="shared" si="4"/>
        <v>NA</v>
      </c>
      <c r="AY160" s="3">
        <f>Tableau3[[#This Row],[prob_b]]</f>
        <v>0.8774714118166369</v>
      </c>
      <c r="AZ160" s="3">
        <f>Tableau3[[#This Row],[prob_c]]-Tableau3[[#This Row],[prob_b]]</f>
        <v>9.9436447312592713E-2</v>
      </c>
      <c r="BA160" s="3">
        <f>1-Tableau3[[#This Row],[prob_c]]</f>
        <v>2.3092140870770383E-2</v>
      </c>
    </row>
    <row r="161" spans="1:53" x14ac:dyDescent="0.25">
      <c r="A161" s="3">
        <v>8</v>
      </c>
      <c r="B161" s="3" t="s">
        <v>16</v>
      </c>
      <c r="C161" s="1">
        <v>2.1</v>
      </c>
      <c r="D161" s="1">
        <v>700</v>
      </c>
      <c r="E161" s="1">
        <v>20</v>
      </c>
      <c r="F161" s="1">
        <v>1</v>
      </c>
      <c r="G161" s="3">
        <v>47</v>
      </c>
      <c r="H161" s="3">
        <v>38</v>
      </c>
      <c r="I161" s="3" t="s">
        <v>26</v>
      </c>
      <c r="J161" s="3" t="s">
        <v>28</v>
      </c>
      <c r="K161" s="3">
        <f>VLOOKUP(Tableau3[[#This Row],[essence]],Tableau7[],2,FALSE)</f>
        <v>-1.7838000000000001</v>
      </c>
      <c r="L161" s="3">
        <f>VLOOKUP(Tableau3[[#This Row],[essence]],Tableau7[],3,FALSE)</f>
        <v>-7.3400000000000007E-2</v>
      </c>
      <c r="M161" s="3">
        <f>VLOOKUP(Tableau3[[#This Row],[essence]],Tableau7[],4,FALSE)</f>
        <v>1.5893999999999999</v>
      </c>
      <c r="N161" s="3">
        <f>IF(Tableau3[[#This Row],[priorecol]]="C",1,0)</f>
        <v>0</v>
      </c>
      <c r="O161" s="3">
        <f>VLOOKUP(Tableau3[[#This Row],[essence]],Tableau7[],5,FALSE)</f>
        <v>2.1800000000000002</v>
      </c>
      <c r="P161" s="3">
        <f>IF(Tableau3[[#This Row],[priorecol]]="R",1,0)</f>
        <v>1</v>
      </c>
      <c r="Q161" s="3">
        <f>VLOOKUP(Tableau3[[#This Row],[essence]],Tableau7[],6,FALSE)</f>
        <v>0.91710000000000003</v>
      </c>
      <c r="R161" s="3">
        <f>IF(Tableau3[[#This Row],[priorecol]]="S",1,0)</f>
        <v>0</v>
      </c>
      <c r="S161" s="3">
        <f>VLOOKUP(Tableau3[[#This Row],[essence]],Tableau7[],7,FALSE)</f>
        <v>0</v>
      </c>
      <c r="T161" s="3">
        <f>VLOOKUP(Tableau3[[#This Row],[essence]],Tableau7[],15,FALSE)</f>
        <v>0</v>
      </c>
      <c r="U161" s="3">
        <f>VLOOKUP(Tableau3[[#This Row],[essence]],Tableau7[],20,FALSE)</f>
        <v>0</v>
      </c>
      <c r="V161" s="3">
        <f>IF(Tableau3[[#This Row],[sdom]]=1,1,0)</f>
        <v>0</v>
      </c>
      <c r="W161" s="3">
        <f>VLOOKUP(Tableau3[[#This Row],[essence]],Tableau7[],8,FALSE)</f>
        <v>0</v>
      </c>
      <c r="X161" s="3">
        <f>IF(Tableau3[[#This Row],[sdom]]="2EST",1,0)</f>
        <v>0</v>
      </c>
      <c r="Y161" s="3">
        <f>VLOOKUP(Tableau3[[#This Row],[essence]],Tableau7[],9,FALSE)</f>
        <v>-0.22550000000000001</v>
      </c>
      <c r="Z161" s="3">
        <f>IF(Tableau3[[#This Row],[sdom]]="2OUEST",1,0)</f>
        <v>0</v>
      </c>
      <c r="AA161" s="3">
        <f>VLOOKUP(Tableau3[[#This Row],[essence]],Tableau7[],10,FALSE)</f>
        <v>0</v>
      </c>
      <c r="AB161" s="3">
        <f>IF(Tableau3[[#This Row],[sdom]]="3EST",1,0)</f>
        <v>0</v>
      </c>
      <c r="AC161" s="3">
        <f>VLOOKUP(Tableau3[[#This Row],[essence]],Tableau7[],11,FALSE)</f>
        <v>0.3513</v>
      </c>
      <c r="AD161" s="3">
        <f>IF(Tableau3[[#This Row],[sdom]]="3OUEST",1,0)</f>
        <v>0</v>
      </c>
      <c r="AE161" s="3">
        <f>VLOOKUP(Tableau3[[#This Row],[essence]],Tableau7[],12,FALSE)</f>
        <v>-0.42259999999999998</v>
      </c>
      <c r="AF161" s="3">
        <f>IF(Tableau3[[#This Row],[sdom]]="4EST",1,0)</f>
        <v>0</v>
      </c>
      <c r="AG161" s="3">
        <f>VLOOKUP(Tableau3[[#This Row],[essence]],Tableau7[],13,FALSE)</f>
        <v>0.25390000000000001</v>
      </c>
      <c r="AH161" s="3">
        <f>IF(Tableau3[[#This Row],[sdom]]="4OUEST",1,0)</f>
        <v>0</v>
      </c>
      <c r="AI161" s="3">
        <f>VLOOKUP(Tableau3[[#This Row],[essence]],Tableau7[],14,FALSE)</f>
        <v>4.6199999999999998E-2</v>
      </c>
      <c r="AJ161" s="3">
        <f>IF(Tableau3[[#This Row],[sdom]]="5EST",1,0)</f>
        <v>1</v>
      </c>
      <c r="AK161" s="3">
        <f>VLOOKUP(Tableau3[[#This Row],[essence]],Tableau7[],17,FALSE)</f>
        <v>0</v>
      </c>
      <c r="AL161" s="3">
        <f>IF(Tableau3[[#This Row],[priorecol]]="C",1,0)</f>
        <v>0</v>
      </c>
      <c r="AM161" s="3">
        <f>VLOOKUP(Tableau3[[#This Row],[essence]],Tableau7[],18,FALSE)</f>
        <v>0</v>
      </c>
      <c r="AN161" s="3">
        <f>IF(Tableau3[[#This Row],[priorecol]]="R",1,0)</f>
        <v>1</v>
      </c>
      <c r="AO161" s="3">
        <f>VLOOKUP(Tableau3[[#This Row],[essence]],Tableau7[],19,FALSE)</f>
        <v>0</v>
      </c>
      <c r="AP161" s="3">
        <f>IF(Tableau3[[#This Row],[priorecol]]="S",1,0)</f>
        <v>0</v>
      </c>
      <c r="AQ161" s="3">
        <f>VLOOKUP(Tableau3[[#This Row],[essence]],Tableau7[],21,FALSE)</f>
        <v>0</v>
      </c>
      <c r="AR161" s="3">
        <f>VLOOKUP(Tableau3[[#This Row],[essence]],Tableau7[],16,FALSE)</f>
        <v>0.24340000000000001</v>
      </c>
      <c r="AS16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2.7373400000000001</v>
      </c>
      <c r="AT161" s="3">
        <f>Tableau3[[#This Row],[xb_]]+Tableau3[[#This Row],[b_intercept_C]]</f>
        <v>2.6639400000000002</v>
      </c>
      <c r="AU161" s="3">
        <f>Tableau3[[#This Row],[xb_]]+Tableau3[[#This Row],[b_intercept_B]]</f>
        <v>0.95354000000000005</v>
      </c>
      <c r="AV161" s="3">
        <f>1/(1+EXP(-Tableau3[[#This Row],[xb_c]]))</f>
        <v>0.9348649942342232</v>
      </c>
      <c r="AW161" s="3">
        <f>1/(1+EXP(-Tableau3[[#This Row],[xb_b]]))</f>
        <v>0.72182654305690863</v>
      </c>
      <c r="AX161" s="3" t="str">
        <f t="shared" si="4"/>
        <v>NA</v>
      </c>
      <c r="AY161" s="3">
        <f>Tableau3[[#This Row],[prob_b]]</f>
        <v>0.72182654305690863</v>
      </c>
      <c r="AZ161" s="3">
        <f>Tableau3[[#This Row],[prob_c]]-Tableau3[[#This Row],[prob_b]]</f>
        <v>0.21303845117731457</v>
      </c>
      <c r="BA161" s="3">
        <f>1-Tableau3[[#This Row],[prob_c]]</f>
        <v>6.5135005765776799E-2</v>
      </c>
    </row>
    <row r="162" spans="1:53" x14ac:dyDescent="0.25">
      <c r="A162" s="2">
        <v>1</v>
      </c>
      <c r="B162" s="2">
        <v>1</v>
      </c>
      <c r="C162" s="4">
        <v>2.1</v>
      </c>
      <c r="D162" s="4">
        <v>700</v>
      </c>
      <c r="E162" s="4">
        <v>20</v>
      </c>
      <c r="F162" s="4">
        <v>1</v>
      </c>
      <c r="G162" s="2">
        <v>30</v>
      </c>
      <c r="H162" s="2">
        <v>39</v>
      </c>
      <c r="I162" s="2" t="s">
        <v>20</v>
      </c>
      <c r="J162" s="2" t="s">
        <v>29</v>
      </c>
      <c r="K162" s="2">
        <f>VLOOKUP(Tableau3[[#This Row],[essence]],Tableau7[],2,FALSE)</f>
        <v>-0.80379999999999996</v>
      </c>
      <c r="L162" s="3">
        <f>VLOOKUP(Tableau3[[#This Row],[essence]],Tableau7[],3,FALSE)</f>
        <v>0.88800000000000001</v>
      </c>
      <c r="M162" s="3">
        <f>VLOOKUP(Tableau3[[#This Row],[essence]],Tableau7[],4,FALSE)</f>
        <v>1.5212000000000001</v>
      </c>
      <c r="N162" s="3">
        <f>IF(Tableau3[[#This Row],[priorecol]]="C",1,0)</f>
        <v>0</v>
      </c>
      <c r="O162" s="3">
        <f>VLOOKUP(Tableau3[[#This Row],[essence]],Tableau7[],5,FALSE)</f>
        <v>1.8714999999999999</v>
      </c>
      <c r="P162" s="3">
        <f>IF(Tableau3[[#This Row],[priorecol]]="R",1,0)</f>
        <v>0</v>
      </c>
      <c r="Q162" s="3">
        <f>VLOOKUP(Tableau3[[#This Row],[essence]],Tableau7[],6,FALSE)</f>
        <v>0.51549999999999996</v>
      </c>
      <c r="R162" s="3">
        <f>IF(Tableau3[[#This Row],[priorecol]]="S",1,0)</f>
        <v>1</v>
      </c>
      <c r="S162" s="3">
        <f>VLOOKUP(Tableau3[[#This Row],[essence]],Tableau7[],7,FALSE)</f>
        <v>0</v>
      </c>
      <c r="T162" s="3">
        <f>VLOOKUP(Tableau3[[#This Row],[essence]],Tableau7[],15,FALSE)</f>
        <v>9.0500000000000008E-3</v>
      </c>
      <c r="U162" s="3">
        <f>VLOOKUP(Tableau3[[#This Row],[essence]],Tableau7[],20,FALSE)</f>
        <v>0</v>
      </c>
      <c r="V162" s="3">
        <f>IF(Tableau3[[#This Row],[sdom]]=1,1,0)</f>
        <v>1</v>
      </c>
      <c r="W162" s="3">
        <f>VLOOKUP(Tableau3[[#This Row],[essence]],Tableau7[],8,FALSE)</f>
        <v>0</v>
      </c>
      <c r="X162" s="3">
        <f>IF(Tableau3[[#This Row],[sdom]]="2EST",1,0)</f>
        <v>0</v>
      </c>
      <c r="Y162" s="3">
        <f>VLOOKUP(Tableau3[[#This Row],[essence]],Tableau7[],9,FALSE)</f>
        <v>-4.5199999999999997E-2</v>
      </c>
      <c r="Z162" s="3">
        <f>IF(Tableau3[[#This Row],[sdom]]="2OUEST",1,0)</f>
        <v>0</v>
      </c>
      <c r="AA162" s="3">
        <f>VLOOKUP(Tableau3[[#This Row],[essence]],Tableau7[],10,FALSE)</f>
        <v>1.15E-2</v>
      </c>
      <c r="AB162" s="3">
        <f>IF(Tableau3[[#This Row],[sdom]]="3EST",1,0)</f>
        <v>0</v>
      </c>
      <c r="AC162" s="3">
        <f>VLOOKUP(Tableau3[[#This Row],[essence]],Tableau7[],11,FALSE)</f>
        <v>0.1169</v>
      </c>
      <c r="AD162" s="3">
        <f>IF(Tableau3[[#This Row],[sdom]]="3OUEST",1,0)</f>
        <v>0</v>
      </c>
      <c r="AE162" s="3">
        <f>VLOOKUP(Tableau3[[#This Row],[essence]],Tableau7[],12,FALSE)</f>
        <v>-0.1686</v>
      </c>
      <c r="AF162" s="3">
        <f>IF(Tableau3[[#This Row],[sdom]]="4EST",1,0)</f>
        <v>0</v>
      </c>
      <c r="AG162" s="3">
        <f>VLOOKUP(Tableau3[[#This Row],[essence]],Tableau7[],13,FALSE)</f>
        <v>0.11940000000000001</v>
      </c>
      <c r="AH162" s="3">
        <f>IF(Tableau3[[#This Row],[sdom]]="4OUEST",1,0)</f>
        <v>0</v>
      </c>
      <c r="AI162" s="3">
        <f>VLOOKUP(Tableau3[[#This Row],[essence]],Tableau7[],14,FALSE)</f>
        <v>-0.13100000000000001</v>
      </c>
      <c r="AJ162" s="3">
        <f>IF(Tableau3[[#This Row],[sdom]]="5EST",1,0)</f>
        <v>0</v>
      </c>
      <c r="AK162" s="3">
        <f>VLOOKUP(Tableau3[[#This Row],[essence]],Tableau7[],17,FALSE)</f>
        <v>-1.8599999999999998E-2</v>
      </c>
      <c r="AL162" s="3">
        <f>IF(Tableau3[[#This Row],[priorecol]]="C",1,0)</f>
        <v>0</v>
      </c>
      <c r="AM162" s="3">
        <f>VLOOKUP(Tableau3[[#This Row],[essence]],Tableau7[],18,FALSE)</f>
        <v>-8.5500000000000003E-3</v>
      </c>
      <c r="AN162" s="3">
        <f>IF(Tableau3[[#This Row],[priorecol]]="R",1,0)</f>
        <v>0</v>
      </c>
      <c r="AO162" s="3">
        <f>VLOOKUP(Tableau3[[#This Row],[essence]],Tableau7[],19,FALSE)</f>
        <v>1.54E-2</v>
      </c>
      <c r="AP162" s="3">
        <f>IF(Tableau3[[#This Row],[priorecol]]="S",1,0)</f>
        <v>1</v>
      </c>
      <c r="AQ162" s="3">
        <f>VLOOKUP(Tableau3[[#This Row],[essence]],Tableau7[],21,FALSE)</f>
        <v>0</v>
      </c>
      <c r="AR162" s="3">
        <f>VLOOKUP(Tableau3[[#This Row],[essence]],Tableau7[],16,FALSE)</f>
        <v>0</v>
      </c>
      <c r="AS16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1.0044999999999999</v>
      </c>
      <c r="AT162" s="3">
        <f>Tableau3[[#This Row],[xb_]]+Tableau3[[#This Row],[b_intercept_C]]</f>
        <v>1.8925000000000001</v>
      </c>
      <c r="AU162" s="3">
        <f>Tableau3[[#This Row],[xb_]]+Tableau3[[#This Row],[b_intercept_B]]</f>
        <v>0.20069999999999999</v>
      </c>
      <c r="AV162" s="3">
        <f>1/(1+EXP(-Tableau3[[#This Row],[xb_c]]))</f>
        <v>0.86904031626908984</v>
      </c>
      <c r="AW162" s="3">
        <f>1/(1+EXP(-Tableau3[[#This Row],[xb_b]]))</f>
        <v>0.55000725286248997</v>
      </c>
      <c r="AX162" s="3" t="str">
        <f t="shared" ref="AX162:AX193" si="5">"NA"</f>
        <v>NA</v>
      </c>
      <c r="AY162" s="3">
        <f>Tableau3[[#This Row],[prob_b]]</f>
        <v>0.55000725286248997</v>
      </c>
      <c r="AZ162" s="3">
        <f>Tableau3[[#This Row],[prob_c]]-Tableau3[[#This Row],[prob_b]]</f>
        <v>0.31903306340659987</v>
      </c>
      <c r="BA162" s="3">
        <f>1-Tableau3[[#This Row],[prob_c]]</f>
        <v>0.13095968373091016</v>
      </c>
    </row>
    <row r="163" spans="1:53" x14ac:dyDescent="0.25">
      <c r="A163" s="3">
        <v>1</v>
      </c>
      <c r="B163" s="3">
        <v>1</v>
      </c>
      <c r="C163" s="1">
        <v>2.1</v>
      </c>
      <c r="D163" s="1">
        <v>700</v>
      </c>
      <c r="E163" s="1">
        <v>20</v>
      </c>
      <c r="F163" s="1">
        <v>1</v>
      </c>
      <c r="G163" s="3">
        <v>36</v>
      </c>
      <c r="H163" s="3">
        <v>39</v>
      </c>
      <c r="I163" s="3" t="s">
        <v>22</v>
      </c>
      <c r="J163" s="3" t="s">
        <v>29</v>
      </c>
      <c r="K163" s="3">
        <f>VLOOKUP(Tableau3[[#This Row],[essence]],Tableau7[],2,FALSE)</f>
        <v>-1.8420000000000001</v>
      </c>
      <c r="L163" s="3">
        <f>VLOOKUP(Tableau3[[#This Row],[essence]],Tableau7[],3,FALSE)</f>
        <v>0.2177</v>
      </c>
      <c r="M163" s="3">
        <f>VLOOKUP(Tableau3[[#This Row],[essence]],Tableau7[],4,FALSE)</f>
        <v>1.9473</v>
      </c>
      <c r="N163" s="3">
        <f>IF(Tableau3[[#This Row],[priorecol]]="C",1,0)</f>
        <v>0</v>
      </c>
      <c r="O163" s="3">
        <f>VLOOKUP(Tableau3[[#This Row],[essence]],Tableau7[],5,FALSE)</f>
        <v>3.0630999999999999</v>
      </c>
      <c r="P163" s="3">
        <f>IF(Tableau3[[#This Row],[priorecol]]="R",1,0)</f>
        <v>0</v>
      </c>
      <c r="Q163" s="3">
        <f>VLOOKUP(Tableau3[[#This Row],[essence]],Tableau7[],6,FALSE)</f>
        <v>1.5014000000000001</v>
      </c>
      <c r="R163" s="3">
        <f>IF(Tableau3[[#This Row],[priorecol]]="S",1,0)</f>
        <v>1</v>
      </c>
      <c r="S163" s="3">
        <f>VLOOKUP(Tableau3[[#This Row],[essence]],Tableau7[],7,FALSE)</f>
        <v>0</v>
      </c>
      <c r="T163" s="3">
        <f>VLOOKUP(Tableau3[[#This Row],[essence]],Tableau7[],15,FALSE)</f>
        <v>0</v>
      </c>
      <c r="U163" s="3">
        <f>VLOOKUP(Tableau3[[#This Row],[essence]],Tableau7[],20,FALSE)</f>
        <v>0.49399999999999999</v>
      </c>
      <c r="V163" s="3">
        <f>IF(Tableau3[[#This Row],[sdom]]=1,1,0)</f>
        <v>1</v>
      </c>
      <c r="W163" s="3">
        <f>VLOOKUP(Tableau3[[#This Row],[essence]],Tableau7[],8,FALSE)</f>
        <v>0.42420000000000002</v>
      </c>
      <c r="X163" s="3">
        <f>IF(Tableau3[[#This Row],[sdom]]="2EST",1,0)</f>
        <v>0</v>
      </c>
      <c r="Y163" s="3">
        <f>VLOOKUP(Tableau3[[#This Row],[essence]],Tableau7[],9,FALSE)</f>
        <v>7.4300000000000005E-2</v>
      </c>
      <c r="Z163" s="3">
        <f>IF(Tableau3[[#This Row],[sdom]]="2OUEST",1,0)</f>
        <v>0</v>
      </c>
      <c r="AA163" s="3">
        <f>VLOOKUP(Tableau3[[#This Row],[essence]],Tableau7[],10,FALSE)</f>
        <v>-6.7000000000000004E-2</v>
      </c>
      <c r="AB163" s="3">
        <f>IF(Tableau3[[#This Row],[sdom]]="3EST",1,0)</f>
        <v>0</v>
      </c>
      <c r="AC163" s="3">
        <f>VLOOKUP(Tableau3[[#This Row],[essence]],Tableau7[],11,FALSE)</f>
        <v>-8.3400000000000002E-2</v>
      </c>
      <c r="AD163" s="3">
        <f>IF(Tableau3[[#This Row],[sdom]]="3OUEST",1,0)</f>
        <v>0</v>
      </c>
      <c r="AE163" s="3">
        <f>VLOOKUP(Tableau3[[#This Row],[essence]],Tableau7[],12,FALSE)</f>
        <v>-0.26840000000000003</v>
      </c>
      <c r="AF163" s="3">
        <f>IF(Tableau3[[#This Row],[sdom]]="4EST",1,0)</f>
        <v>0</v>
      </c>
      <c r="AG163" s="3">
        <f>VLOOKUP(Tableau3[[#This Row],[essence]],Tableau7[],13,FALSE)</f>
        <v>0</v>
      </c>
      <c r="AH163" s="3">
        <f>IF(Tableau3[[#This Row],[sdom]]="4OUEST",1,0)</f>
        <v>0</v>
      </c>
      <c r="AI163" s="3">
        <f>VLOOKUP(Tableau3[[#This Row],[essence]],Tableau7[],14,FALSE)</f>
        <v>0</v>
      </c>
      <c r="AJ163" s="3">
        <f>IF(Tableau3[[#This Row],[sdom]]="5EST",1,0)</f>
        <v>0</v>
      </c>
      <c r="AK163" s="3">
        <f>VLOOKUP(Tableau3[[#This Row],[essence]],Tableau7[],17,FALSE)</f>
        <v>0</v>
      </c>
      <c r="AL163" s="3">
        <f>IF(Tableau3[[#This Row],[priorecol]]="C",1,0)</f>
        <v>0</v>
      </c>
      <c r="AM163" s="3">
        <f>VLOOKUP(Tableau3[[#This Row],[essence]],Tableau7[],18,FALSE)</f>
        <v>0</v>
      </c>
      <c r="AN163" s="3">
        <f>IF(Tableau3[[#This Row],[priorecol]]="R",1,0)</f>
        <v>0</v>
      </c>
      <c r="AO163" s="3">
        <f>VLOOKUP(Tableau3[[#This Row],[essence]],Tableau7[],19,FALSE)</f>
        <v>0</v>
      </c>
      <c r="AP163" s="3">
        <f>IF(Tableau3[[#This Row],[priorecol]]="S",1,0)</f>
        <v>1</v>
      </c>
      <c r="AQ163" s="3">
        <f>VLOOKUP(Tableau3[[#This Row],[essence]],Tableau7[],21,FALSE)</f>
        <v>0</v>
      </c>
      <c r="AR163" s="3">
        <f>VLOOKUP(Tableau3[[#This Row],[essence]],Tableau7[],16,FALSE)</f>
        <v>0</v>
      </c>
      <c r="AS16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1.9954000000000001</v>
      </c>
      <c r="AT163" s="3">
        <f>Tableau3[[#This Row],[xb_]]+Tableau3[[#This Row],[b_intercept_C]]</f>
        <v>2.2130999999999998</v>
      </c>
      <c r="AU163" s="3">
        <f>Tableau3[[#This Row],[xb_]]+Tableau3[[#This Row],[b_intercept_B]]</f>
        <v>0.15339999999999998</v>
      </c>
      <c r="AV163" s="3">
        <f>1/(1+EXP(-Tableau3[[#This Row],[xb_c]]))</f>
        <v>0.90141974261619195</v>
      </c>
      <c r="AW163" s="3">
        <f>1/(1+EXP(-Tableau3[[#This Row],[xb_b]]))</f>
        <v>0.53827497360004539</v>
      </c>
      <c r="AX163" s="3" t="str">
        <f t="shared" si="5"/>
        <v>NA</v>
      </c>
      <c r="AY163" s="3">
        <f>Tableau3[[#This Row],[prob_b]]</f>
        <v>0.53827497360004539</v>
      </c>
      <c r="AZ163" s="3">
        <f>Tableau3[[#This Row],[prob_c]]-Tableau3[[#This Row],[prob_b]]</f>
        <v>0.36314476901614656</v>
      </c>
      <c r="BA163" s="3">
        <f>1-Tableau3[[#This Row],[prob_c]]</f>
        <v>9.8580257383808045E-2</v>
      </c>
    </row>
    <row r="164" spans="1:53" x14ac:dyDescent="0.25">
      <c r="A164" s="2">
        <v>1</v>
      </c>
      <c r="B164" s="2">
        <v>1</v>
      </c>
      <c r="C164" s="4">
        <v>2.1</v>
      </c>
      <c r="D164" s="4">
        <v>700</v>
      </c>
      <c r="E164" s="4">
        <v>20</v>
      </c>
      <c r="F164" s="4">
        <v>1</v>
      </c>
      <c r="G164" s="2">
        <v>42</v>
      </c>
      <c r="H164" s="2">
        <v>39</v>
      </c>
      <c r="I164" s="2" t="s">
        <v>24</v>
      </c>
      <c r="J164" s="2" t="s">
        <v>29</v>
      </c>
      <c r="K164" s="2">
        <f>VLOOKUP(Tableau3[[#This Row],[essence]],Tableau7[],2,FALSE)</f>
        <v>-0.84530000000000005</v>
      </c>
      <c r="L164" s="3">
        <f>VLOOKUP(Tableau3[[#This Row],[essence]],Tableau7[],3,FALSE)</f>
        <v>0.93089999999999995</v>
      </c>
      <c r="M164" s="3">
        <f>VLOOKUP(Tableau3[[#This Row],[essence]],Tableau7[],4,FALSE)</f>
        <v>1.4276</v>
      </c>
      <c r="N164" s="3">
        <f>IF(Tableau3[[#This Row],[priorecol]]="C",1,0)</f>
        <v>0</v>
      </c>
      <c r="O164" s="3">
        <f>VLOOKUP(Tableau3[[#This Row],[essence]],Tableau7[],5,FALSE)</f>
        <v>2.468</v>
      </c>
      <c r="P164" s="3">
        <f>IF(Tableau3[[#This Row],[priorecol]]="R",1,0)</f>
        <v>0</v>
      </c>
      <c r="Q164" s="3">
        <f>VLOOKUP(Tableau3[[#This Row],[essence]],Tableau7[],6,FALSE)</f>
        <v>0.86019999999999996</v>
      </c>
      <c r="R164" s="3">
        <f>IF(Tableau3[[#This Row],[priorecol]]="S",1,0)</f>
        <v>1</v>
      </c>
      <c r="S164" s="3">
        <f>VLOOKUP(Tableau3[[#This Row],[essence]],Tableau7[],7,FALSE)</f>
        <v>0</v>
      </c>
      <c r="T164" s="3">
        <f>VLOOKUP(Tableau3[[#This Row],[essence]],Tableau7[],15,FALSE)</f>
        <v>1.7299999999999999E-2</v>
      </c>
      <c r="U164" s="3">
        <f>VLOOKUP(Tableau3[[#This Row],[essence]],Tableau7[],20,FALSE)</f>
        <v>-0.28799999999999998</v>
      </c>
      <c r="V164" s="3">
        <f>IF(Tableau3[[#This Row],[sdom]]=1,1,0)</f>
        <v>1</v>
      </c>
      <c r="W164" s="3">
        <f>VLOOKUP(Tableau3[[#This Row],[essence]],Tableau7[],8,FALSE)</f>
        <v>-0.18859999999999999</v>
      </c>
      <c r="X164" s="3">
        <f>IF(Tableau3[[#This Row],[sdom]]="2EST",1,0)</f>
        <v>0</v>
      </c>
      <c r="Y164" s="3">
        <f>VLOOKUP(Tableau3[[#This Row],[essence]],Tableau7[],9,FALSE)</f>
        <v>1.2699999999999999E-2</v>
      </c>
      <c r="Z164" s="3">
        <f>IF(Tableau3[[#This Row],[sdom]]="2OUEST",1,0)</f>
        <v>0</v>
      </c>
      <c r="AA164" s="3">
        <f>VLOOKUP(Tableau3[[#This Row],[essence]],Tableau7[],10,FALSE)</f>
        <v>0</v>
      </c>
      <c r="AB164" s="3">
        <f>IF(Tableau3[[#This Row],[sdom]]="3EST",1,0)</f>
        <v>0</v>
      </c>
      <c r="AC164" s="3">
        <f>VLOOKUP(Tableau3[[#This Row],[essence]],Tableau7[],11,FALSE)</f>
        <v>0.30009999999999998</v>
      </c>
      <c r="AD164" s="3">
        <f>IF(Tableau3[[#This Row],[sdom]]="3OUEST",1,0)</f>
        <v>0</v>
      </c>
      <c r="AE164" s="3">
        <f>VLOOKUP(Tableau3[[#This Row],[essence]],Tableau7[],12,FALSE)</f>
        <v>0</v>
      </c>
      <c r="AF164" s="3">
        <f>IF(Tableau3[[#This Row],[sdom]]="4EST",1,0)</f>
        <v>0</v>
      </c>
      <c r="AG164" s="3">
        <f>VLOOKUP(Tableau3[[#This Row],[essence]],Tableau7[],13,FALSE)</f>
        <v>0</v>
      </c>
      <c r="AH164" s="3">
        <f>IF(Tableau3[[#This Row],[sdom]]="4OUEST",1,0)</f>
        <v>0</v>
      </c>
      <c r="AI164" s="3">
        <f>VLOOKUP(Tableau3[[#This Row],[essence]],Tableau7[],14,FALSE)</f>
        <v>0</v>
      </c>
      <c r="AJ164" s="3">
        <f>IF(Tableau3[[#This Row],[sdom]]="5EST",1,0)</f>
        <v>0</v>
      </c>
      <c r="AK164" s="3">
        <f>VLOOKUP(Tableau3[[#This Row],[essence]],Tableau7[],17,FALSE)</f>
        <v>0</v>
      </c>
      <c r="AL164" s="3">
        <f>IF(Tableau3[[#This Row],[priorecol]]="C",1,0)</f>
        <v>0</v>
      </c>
      <c r="AM164" s="3">
        <f>VLOOKUP(Tableau3[[#This Row],[essence]],Tableau7[],18,FALSE)</f>
        <v>0</v>
      </c>
      <c r="AN164" s="3">
        <f>IF(Tableau3[[#This Row],[priorecol]]="R",1,0)</f>
        <v>0</v>
      </c>
      <c r="AO164" s="3">
        <f>VLOOKUP(Tableau3[[#This Row],[essence]],Tableau7[],19,FALSE)</f>
        <v>0</v>
      </c>
      <c r="AP164" s="3">
        <f>IF(Tableau3[[#This Row],[priorecol]]="S",1,0)</f>
        <v>1</v>
      </c>
      <c r="AQ164" s="3">
        <f>VLOOKUP(Tableau3[[#This Row],[essence]],Tableau7[],21,FALSE)</f>
        <v>0</v>
      </c>
      <c r="AR164" s="3">
        <f>VLOOKUP(Tableau3[[#This Row],[essence]],Tableau7[],16,FALSE)</f>
        <v>0</v>
      </c>
      <c r="AS16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0.91819999999999991</v>
      </c>
      <c r="AT164" s="3">
        <f>Tableau3[[#This Row],[xb_]]+Tableau3[[#This Row],[b_intercept_C]]</f>
        <v>1.8491</v>
      </c>
      <c r="AU164" s="3">
        <f>Tableau3[[#This Row],[xb_]]+Tableau3[[#This Row],[b_intercept_B]]</f>
        <v>7.2899999999999854E-2</v>
      </c>
      <c r="AV164" s="3">
        <f>1/(1+EXP(-Tableau3[[#This Row],[xb_c]]))</f>
        <v>0.86402139804942946</v>
      </c>
      <c r="AW164" s="3">
        <f>1/(1+EXP(-Tableau3[[#This Row],[xb_b]]))</f>
        <v>0.51821693302690564</v>
      </c>
      <c r="AX164" s="3" t="str">
        <f t="shared" si="5"/>
        <v>NA</v>
      </c>
      <c r="AY164" s="3">
        <f>Tableau3[[#This Row],[prob_b]]</f>
        <v>0.51821693302690564</v>
      </c>
      <c r="AZ164" s="3">
        <f>Tableau3[[#This Row],[prob_c]]-Tableau3[[#This Row],[prob_b]]</f>
        <v>0.34580446502252382</v>
      </c>
      <c r="BA164" s="3">
        <f>1-Tableau3[[#This Row],[prob_c]]</f>
        <v>0.13597860195057054</v>
      </c>
    </row>
    <row r="165" spans="1:53" x14ac:dyDescent="0.25">
      <c r="A165" s="3">
        <v>1</v>
      </c>
      <c r="B165" s="3">
        <v>1</v>
      </c>
      <c r="C165" s="1">
        <v>2.1</v>
      </c>
      <c r="D165" s="1">
        <v>700</v>
      </c>
      <c r="E165" s="1">
        <v>20</v>
      </c>
      <c r="F165" s="1">
        <v>1</v>
      </c>
      <c r="G165" s="3">
        <v>48</v>
      </c>
      <c r="H165" s="3">
        <v>39</v>
      </c>
      <c r="I165" s="3" t="s">
        <v>26</v>
      </c>
      <c r="J165" s="3" t="s">
        <v>29</v>
      </c>
      <c r="K165" s="3">
        <f>VLOOKUP(Tableau3[[#This Row],[essence]],Tableau7[],2,FALSE)</f>
        <v>-1.7838000000000001</v>
      </c>
      <c r="L165" s="3">
        <f>VLOOKUP(Tableau3[[#This Row],[essence]],Tableau7[],3,FALSE)</f>
        <v>-7.3400000000000007E-2</v>
      </c>
      <c r="M165" s="3">
        <f>VLOOKUP(Tableau3[[#This Row],[essence]],Tableau7[],4,FALSE)</f>
        <v>1.5893999999999999</v>
      </c>
      <c r="N165" s="3">
        <f>IF(Tableau3[[#This Row],[priorecol]]="C",1,0)</f>
        <v>0</v>
      </c>
      <c r="O165" s="3">
        <f>VLOOKUP(Tableau3[[#This Row],[essence]],Tableau7[],5,FALSE)</f>
        <v>2.1800000000000002</v>
      </c>
      <c r="P165" s="3">
        <f>IF(Tableau3[[#This Row],[priorecol]]="R",1,0)</f>
        <v>0</v>
      </c>
      <c r="Q165" s="3">
        <f>VLOOKUP(Tableau3[[#This Row],[essence]],Tableau7[],6,FALSE)</f>
        <v>0.91710000000000003</v>
      </c>
      <c r="R165" s="3">
        <f>IF(Tableau3[[#This Row],[priorecol]]="S",1,0)</f>
        <v>1</v>
      </c>
      <c r="S165" s="3">
        <f>VLOOKUP(Tableau3[[#This Row],[essence]],Tableau7[],7,FALSE)</f>
        <v>0</v>
      </c>
      <c r="T165" s="3">
        <f>VLOOKUP(Tableau3[[#This Row],[essence]],Tableau7[],15,FALSE)</f>
        <v>0</v>
      </c>
      <c r="U165" s="3">
        <f>VLOOKUP(Tableau3[[#This Row],[essence]],Tableau7[],20,FALSE)</f>
        <v>0</v>
      </c>
      <c r="V165" s="3">
        <f>IF(Tableau3[[#This Row],[sdom]]=1,1,0)</f>
        <v>1</v>
      </c>
      <c r="W165" s="3">
        <f>VLOOKUP(Tableau3[[#This Row],[essence]],Tableau7[],8,FALSE)</f>
        <v>0</v>
      </c>
      <c r="X165" s="3">
        <f>IF(Tableau3[[#This Row],[sdom]]="2EST",1,0)</f>
        <v>0</v>
      </c>
      <c r="Y165" s="3">
        <f>VLOOKUP(Tableau3[[#This Row],[essence]],Tableau7[],9,FALSE)</f>
        <v>-0.22550000000000001</v>
      </c>
      <c r="Z165" s="3">
        <f>IF(Tableau3[[#This Row],[sdom]]="2OUEST",1,0)</f>
        <v>0</v>
      </c>
      <c r="AA165" s="3">
        <f>VLOOKUP(Tableau3[[#This Row],[essence]],Tableau7[],10,FALSE)</f>
        <v>0</v>
      </c>
      <c r="AB165" s="3">
        <f>IF(Tableau3[[#This Row],[sdom]]="3EST",1,0)</f>
        <v>0</v>
      </c>
      <c r="AC165" s="3">
        <f>VLOOKUP(Tableau3[[#This Row],[essence]],Tableau7[],11,FALSE)</f>
        <v>0.3513</v>
      </c>
      <c r="AD165" s="3">
        <f>IF(Tableau3[[#This Row],[sdom]]="3OUEST",1,0)</f>
        <v>0</v>
      </c>
      <c r="AE165" s="3">
        <f>VLOOKUP(Tableau3[[#This Row],[essence]],Tableau7[],12,FALSE)</f>
        <v>-0.42259999999999998</v>
      </c>
      <c r="AF165" s="3">
        <f>IF(Tableau3[[#This Row],[sdom]]="4EST",1,0)</f>
        <v>0</v>
      </c>
      <c r="AG165" s="3">
        <f>VLOOKUP(Tableau3[[#This Row],[essence]],Tableau7[],13,FALSE)</f>
        <v>0.25390000000000001</v>
      </c>
      <c r="AH165" s="3">
        <f>IF(Tableau3[[#This Row],[sdom]]="4OUEST",1,0)</f>
        <v>0</v>
      </c>
      <c r="AI165" s="3">
        <f>VLOOKUP(Tableau3[[#This Row],[essence]],Tableau7[],14,FALSE)</f>
        <v>4.6199999999999998E-2</v>
      </c>
      <c r="AJ165" s="3">
        <f>IF(Tableau3[[#This Row],[sdom]]="5EST",1,0)</f>
        <v>0</v>
      </c>
      <c r="AK165" s="3">
        <f>VLOOKUP(Tableau3[[#This Row],[essence]],Tableau7[],17,FALSE)</f>
        <v>0</v>
      </c>
      <c r="AL165" s="3">
        <f>IF(Tableau3[[#This Row],[priorecol]]="C",1,0)</f>
        <v>0</v>
      </c>
      <c r="AM165" s="3">
        <f>VLOOKUP(Tableau3[[#This Row],[essence]],Tableau7[],18,FALSE)</f>
        <v>0</v>
      </c>
      <c r="AN165" s="3">
        <f>IF(Tableau3[[#This Row],[priorecol]]="R",1,0)</f>
        <v>0</v>
      </c>
      <c r="AO165" s="3">
        <f>VLOOKUP(Tableau3[[#This Row],[essence]],Tableau7[],19,FALSE)</f>
        <v>0</v>
      </c>
      <c r="AP165" s="3">
        <f>IF(Tableau3[[#This Row],[priorecol]]="S",1,0)</f>
        <v>1</v>
      </c>
      <c r="AQ165" s="3">
        <f>VLOOKUP(Tableau3[[#This Row],[essence]],Tableau7[],21,FALSE)</f>
        <v>0</v>
      </c>
      <c r="AR165" s="3">
        <f>VLOOKUP(Tableau3[[#This Row],[essence]],Tableau7[],16,FALSE)</f>
        <v>0.24340000000000001</v>
      </c>
      <c r="AS16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1.4282400000000002</v>
      </c>
      <c r="AT165" s="3">
        <f>Tableau3[[#This Row],[xb_]]+Tableau3[[#This Row],[b_intercept_C]]</f>
        <v>1.3548400000000003</v>
      </c>
      <c r="AU165" s="3">
        <f>Tableau3[[#This Row],[xb_]]+Tableau3[[#This Row],[b_intercept_B]]</f>
        <v>-0.35555999999999988</v>
      </c>
      <c r="AV165" s="3">
        <f>1/(1+EXP(-Tableau3[[#This Row],[xb_c]]))</f>
        <v>0.79491978256994666</v>
      </c>
      <c r="AW165" s="3">
        <f>1/(1+EXP(-Tableau3[[#This Row],[xb_b]]))</f>
        <v>0.41203478804965638</v>
      </c>
      <c r="AX165" s="3" t="str">
        <f t="shared" si="5"/>
        <v>NA</v>
      </c>
      <c r="AY165" s="3">
        <f>Tableau3[[#This Row],[prob_b]]</f>
        <v>0.41203478804965638</v>
      </c>
      <c r="AZ165" s="3">
        <f>Tableau3[[#This Row],[prob_c]]-Tableau3[[#This Row],[prob_b]]</f>
        <v>0.38288499452029029</v>
      </c>
      <c r="BA165" s="3">
        <f>1-Tableau3[[#This Row],[prob_c]]</f>
        <v>0.20508021743005334</v>
      </c>
    </row>
    <row r="166" spans="1:53" x14ac:dyDescent="0.25">
      <c r="A166" s="2">
        <v>2</v>
      </c>
      <c r="B166" s="2" t="s">
        <v>10</v>
      </c>
      <c r="C166" s="4">
        <v>2.1</v>
      </c>
      <c r="D166" s="4">
        <v>828</v>
      </c>
      <c r="E166" s="4">
        <v>29</v>
      </c>
      <c r="F166" s="4">
        <v>0</v>
      </c>
      <c r="G166" s="2">
        <v>30</v>
      </c>
      <c r="H166" s="2">
        <v>39</v>
      </c>
      <c r="I166" s="2" t="s">
        <v>20</v>
      </c>
      <c r="J166" s="2" t="s">
        <v>29</v>
      </c>
      <c r="K166" s="2">
        <f>VLOOKUP(Tableau3[[#This Row],[essence]],Tableau7[],2,FALSE)</f>
        <v>-0.80379999999999996</v>
      </c>
      <c r="L166" s="3">
        <f>VLOOKUP(Tableau3[[#This Row],[essence]],Tableau7[],3,FALSE)</f>
        <v>0.88800000000000001</v>
      </c>
      <c r="M166" s="3">
        <f>VLOOKUP(Tableau3[[#This Row],[essence]],Tableau7[],4,FALSE)</f>
        <v>1.5212000000000001</v>
      </c>
      <c r="N166" s="3">
        <f>IF(Tableau3[[#This Row],[priorecol]]="C",1,0)</f>
        <v>0</v>
      </c>
      <c r="O166" s="3">
        <f>VLOOKUP(Tableau3[[#This Row],[essence]],Tableau7[],5,FALSE)</f>
        <v>1.8714999999999999</v>
      </c>
      <c r="P166" s="3">
        <f>IF(Tableau3[[#This Row],[priorecol]]="R",1,0)</f>
        <v>0</v>
      </c>
      <c r="Q166" s="3">
        <f>VLOOKUP(Tableau3[[#This Row],[essence]],Tableau7[],6,FALSE)</f>
        <v>0.51549999999999996</v>
      </c>
      <c r="R166" s="3">
        <f>IF(Tableau3[[#This Row],[priorecol]]="S",1,0)</f>
        <v>1</v>
      </c>
      <c r="S166" s="3">
        <f>VLOOKUP(Tableau3[[#This Row],[essence]],Tableau7[],7,FALSE)</f>
        <v>0</v>
      </c>
      <c r="T166" s="3">
        <f>VLOOKUP(Tableau3[[#This Row],[essence]],Tableau7[],15,FALSE)</f>
        <v>9.0500000000000008E-3</v>
      </c>
      <c r="U166" s="3">
        <f>VLOOKUP(Tableau3[[#This Row],[essence]],Tableau7[],20,FALSE)</f>
        <v>0</v>
      </c>
      <c r="V166" s="3">
        <f>IF(Tableau3[[#This Row],[sdom]]=1,1,0)</f>
        <v>0</v>
      </c>
      <c r="W166" s="3">
        <f>VLOOKUP(Tableau3[[#This Row],[essence]],Tableau7[],8,FALSE)</f>
        <v>0</v>
      </c>
      <c r="X166" s="3">
        <f>IF(Tableau3[[#This Row],[sdom]]="2EST",1,0)</f>
        <v>1</v>
      </c>
      <c r="Y166" s="3">
        <f>VLOOKUP(Tableau3[[#This Row],[essence]],Tableau7[],9,FALSE)</f>
        <v>-4.5199999999999997E-2</v>
      </c>
      <c r="Z166" s="3">
        <f>IF(Tableau3[[#This Row],[sdom]]="2OUEST",1,0)</f>
        <v>0</v>
      </c>
      <c r="AA166" s="3">
        <f>VLOOKUP(Tableau3[[#This Row],[essence]],Tableau7[],10,FALSE)</f>
        <v>1.15E-2</v>
      </c>
      <c r="AB166" s="3">
        <f>IF(Tableau3[[#This Row],[sdom]]="3EST",1,0)</f>
        <v>0</v>
      </c>
      <c r="AC166" s="3">
        <f>VLOOKUP(Tableau3[[#This Row],[essence]],Tableau7[],11,FALSE)</f>
        <v>0.1169</v>
      </c>
      <c r="AD166" s="3">
        <f>IF(Tableau3[[#This Row],[sdom]]="3OUEST",1,0)</f>
        <v>0</v>
      </c>
      <c r="AE166" s="3">
        <f>VLOOKUP(Tableau3[[#This Row],[essence]],Tableau7[],12,FALSE)</f>
        <v>-0.1686</v>
      </c>
      <c r="AF166" s="3">
        <f>IF(Tableau3[[#This Row],[sdom]]="4EST",1,0)</f>
        <v>0</v>
      </c>
      <c r="AG166" s="3">
        <f>VLOOKUP(Tableau3[[#This Row],[essence]],Tableau7[],13,FALSE)</f>
        <v>0.11940000000000001</v>
      </c>
      <c r="AH166" s="3">
        <f>IF(Tableau3[[#This Row],[sdom]]="4OUEST",1,0)</f>
        <v>0</v>
      </c>
      <c r="AI166" s="3">
        <f>VLOOKUP(Tableau3[[#This Row],[essence]],Tableau7[],14,FALSE)</f>
        <v>-0.13100000000000001</v>
      </c>
      <c r="AJ166" s="3">
        <f>IF(Tableau3[[#This Row],[sdom]]="5EST",1,0)</f>
        <v>0</v>
      </c>
      <c r="AK166" s="3">
        <f>VLOOKUP(Tableau3[[#This Row],[essence]],Tableau7[],17,FALSE)</f>
        <v>-1.8599999999999998E-2</v>
      </c>
      <c r="AL166" s="3">
        <f>IF(Tableau3[[#This Row],[priorecol]]="C",1,0)</f>
        <v>0</v>
      </c>
      <c r="AM166" s="3">
        <f>VLOOKUP(Tableau3[[#This Row],[essence]],Tableau7[],18,FALSE)</f>
        <v>-8.5500000000000003E-3</v>
      </c>
      <c r="AN166" s="3">
        <f>IF(Tableau3[[#This Row],[priorecol]]="R",1,0)</f>
        <v>0</v>
      </c>
      <c r="AO166" s="3">
        <f>VLOOKUP(Tableau3[[#This Row],[essence]],Tableau7[],19,FALSE)</f>
        <v>1.54E-2</v>
      </c>
      <c r="AP166" s="3">
        <f>IF(Tableau3[[#This Row],[priorecol]]="S",1,0)</f>
        <v>1</v>
      </c>
      <c r="AQ166" s="3">
        <f>VLOOKUP(Tableau3[[#This Row],[essence]],Tableau7[],21,FALSE)</f>
        <v>0</v>
      </c>
      <c r="AR166" s="3">
        <f>VLOOKUP(Tableau3[[#This Row],[essence]],Tableau7[],16,FALSE)</f>
        <v>0</v>
      </c>
      <c r="AS16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1.2245499999999998</v>
      </c>
      <c r="AT166" s="3">
        <f>Tableau3[[#This Row],[xb_]]+Tableau3[[#This Row],[b_intercept_C]]</f>
        <v>2.1125499999999997</v>
      </c>
      <c r="AU166" s="3">
        <f>Tableau3[[#This Row],[xb_]]+Tableau3[[#This Row],[b_intercept_B]]</f>
        <v>0.42074999999999985</v>
      </c>
      <c r="AV166" s="3">
        <f>1/(1+EXP(-Tableau3[[#This Row],[xb_c]]))</f>
        <v>0.8921170016037554</v>
      </c>
      <c r="AW166" s="3">
        <f>1/(1+EXP(-Tableau3[[#This Row],[xb_b]]))</f>
        <v>0.60366270434116309</v>
      </c>
      <c r="AX166" s="3" t="str">
        <f t="shared" si="5"/>
        <v>NA</v>
      </c>
      <c r="AY166" s="3">
        <f>Tableau3[[#This Row],[prob_b]]</f>
        <v>0.60366270434116309</v>
      </c>
      <c r="AZ166" s="3">
        <f>Tableau3[[#This Row],[prob_c]]-Tableau3[[#This Row],[prob_b]]</f>
        <v>0.28845429726259231</v>
      </c>
      <c r="BA166" s="3">
        <f>1-Tableau3[[#This Row],[prob_c]]</f>
        <v>0.1078829983962446</v>
      </c>
    </row>
    <row r="167" spans="1:53" x14ac:dyDescent="0.25">
      <c r="A167" s="3">
        <v>2</v>
      </c>
      <c r="B167" s="3" t="s">
        <v>10</v>
      </c>
      <c r="C167" s="1">
        <v>2.1</v>
      </c>
      <c r="D167" s="1">
        <v>828</v>
      </c>
      <c r="E167" s="1">
        <v>29</v>
      </c>
      <c r="F167" s="1">
        <v>0</v>
      </c>
      <c r="G167" s="3">
        <v>36</v>
      </c>
      <c r="H167" s="3">
        <v>39</v>
      </c>
      <c r="I167" s="3" t="s">
        <v>22</v>
      </c>
      <c r="J167" s="3" t="s">
        <v>29</v>
      </c>
      <c r="K167" s="3">
        <f>VLOOKUP(Tableau3[[#This Row],[essence]],Tableau7[],2,FALSE)</f>
        <v>-1.8420000000000001</v>
      </c>
      <c r="L167" s="3">
        <f>VLOOKUP(Tableau3[[#This Row],[essence]],Tableau7[],3,FALSE)</f>
        <v>0.2177</v>
      </c>
      <c r="M167" s="3">
        <f>VLOOKUP(Tableau3[[#This Row],[essence]],Tableau7[],4,FALSE)</f>
        <v>1.9473</v>
      </c>
      <c r="N167" s="3">
        <f>IF(Tableau3[[#This Row],[priorecol]]="C",1,0)</f>
        <v>0</v>
      </c>
      <c r="O167" s="3">
        <f>VLOOKUP(Tableau3[[#This Row],[essence]],Tableau7[],5,FALSE)</f>
        <v>3.0630999999999999</v>
      </c>
      <c r="P167" s="3">
        <f>IF(Tableau3[[#This Row],[priorecol]]="R",1,0)</f>
        <v>0</v>
      </c>
      <c r="Q167" s="3">
        <f>VLOOKUP(Tableau3[[#This Row],[essence]],Tableau7[],6,FALSE)</f>
        <v>1.5014000000000001</v>
      </c>
      <c r="R167" s="3">
        <f>IF(Tableau3[[#This Row],[priorecol]]="S",1,0)</f>
        <v>1</v>
      </c>
      <c r="S167" s="3">
        <f>VLOOKUP(Tableau3[[#This Row],[essence]],Tableau7[],7,FALSE)</f>
        <v>0</v>
      </c>
      <c r="T167" s="3">
        <f>VLOOKUP(Tableau3[[#This Row],[essence]],Tableau7[],15,FALSE)</f>
        <v>0</v>
      </c>
      <c r="U167" s="3">
        <f>VLOOKUP(Tableau3[[#This Row],[essence]],Tableau7[],20,FALSE)</f>
        <v>0.49399999999999999</v>
      </c>
      <c r="V167" s="3">
        <f>IF(Tableau3[[#This Row],[sdom]]=1,1,0)</f>
        <v>0</v>
      </c>
      <c r="W167" s="3">
        <f>VLOOKUP(Tableau3[[#This Row],[essence]],Tableau7[],8,FALSE)</f>
        <v>0.42420000000000002</v>
      </c>
      <c r="X167" s="3">
        <f>IF(Tableau3[[#This Row],[sdom]]="2EST",1,0)</f>
        <v>1</v>
      </c>
      <c r="Y167" s="3">
        <f>VLOOKUP(Tableau3[[#This Row],[essence]],Tableau7[],9,FALSE)</f>
        <v>7.4300000000000005E-2</v>
      </c>
      <c r="Z167" s="3">
        <f>IF(Tableau3[[#This Row],[sdom]]="2OUEST",1,0)</f>
        <v>0</v>
      </c>
      <c r="AA167" s="3">
        <f>VLOOKUP(Tableau3[[#This Row],[essence]],Tableau7[],10,FALSE)</f>
        <v>-6.7000000000000004E-2</v>
      </c>
      <c r="AB167" s="3">
        <f>IF(Tableau3[[#This Row],[sdom]]="3EST",1,0)</f>
        <v>0</v>
      </c>
      <c r="AC167" s="3">
        <f>VLOOKUP(Tableau3[[#This Row],[essence]],Tableau7[],11,FALSE)</f>
        <v>-8.3400000000000002E-2</v>
      </c>
      <c r="AD167" s="3">
        <f>IF(Tableau3[[#This Row],[sdom]]="3OUEST",1,0)</f>
        <v>0</v>
      </c>
      <c r="AE167" s="3">
        <f>VLOOKUP(Tableau3[[#This Row],[essence]],Tableau7[],12,FALSE)</f>
        <v>-0.26840000000000003</v>
      </c>
      <c r="AF167" s="3">
        <f>IF(Tableau3[[#This Row],[sdom]]="4EST",1,0)</f>
        <v>0</v>
      </c>
      <c r="AG167" s="3">
        <f>VLOOKUP(Tableau3[[#This Row],[essence]],Tableau7[],13,FALSE)</f>
        <v>0</v>
      </c>
      <c r="AH167" s="3">
        <f>IF(Tableau3[[#This Row],[sdom]]="4OUEST",1,0)</f>
        <v>0</v>
      </c>
      <c r="AI167" s="3">
        <f>VLOOKUP(Tableau3[[#This Row],[essence]],Tableau7[],14,FALSE)</f>
        <v>0</v>
      </c>
      <c r="AJ167" s="3">
        <f>IF(Tableau3[[#This Row],[sdom]]="5EST",1,0)</f>
        <v>0</v>
      </c>
      <c r="AK167" s="3">
        <f>VLOOKUP(Tableau3[[#This Row],[essence]],Tableau7[],17,FALSE)</f>
        <v>0</v>
      </c>
      <c r="AL167" s="3">
        <f>IF(Tableau3[[#This Row],[priorecol]]="C",1,0)</f>
        <v>0</v>
      </c>
      <c r="AM167" s="3">
        <f>VLOOKUP(Tableau3[[#This Row],[essence]],Tableau7[],18,FALSE)</f>
        <v>0</v>
      </c>
      <c r="AN167" s="3">
        <f>IF(Tableau3[[#This Row],[priorecol]]="R",1,0)</f>
        <v>0</v>
      </c>
      <c r="AO167" s="3">
        <f>VLOOKUP(Tableau3[[#This Row],[essence]],Tableau7[],19,FALSE)</f>
        <v>0</v>
      </c>
      <c r="AP167" s="3">
        <f>IF(Tableau3[[#This Row],[priorecol]]="S",1,0)</f>
        <v>1</v>
      </c>
      <c r="AQ167" s="3">
        <f>VLOOKUP(Tableau3[[#This Row],[essence]],Tableau7[],21,FALSE)</f>
        <v>0</v>
      </c>
      <c r="AR167" s="3">
        <f>VLOOKUP(Tableau3[[#This Row],[essence]],Tableau7[],16,FALSE)</f>
        <v>0</v>
      </c>
      <c r="AS16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1.9256000000000002</v>
      </c>
      <c r="AT167" s="3">
        <f>Tableau3[[#This Row],[xb_]]+Tableau3[[#This Row],[b_intercept_C]]</f>
        <v>2.1433</v>
      </c>
      <c r="AU167" s="3">
        <f>Tableau3[[#This Row],[xb_]]+Tableau3[[#This Row],[b_intercept_B]]</f>
        <v>8.3600000000000119E-2</v>
      </c>
      <c r="AV167" s="3">
        <f>1/(1+EXP(-Tableau3[[#This Row],[xb_c]]))</f>
        <v>0.89504102540488706</v>
      </c>
      <c r="AW167" s="3">
        <f>1/(1+EXP(-Tableau3[[#This Row],[xb_b]]))</f>
        <v>0.52088783606258993</v>
      </c>
      <c r="AX167" s="3" t="str">
        <f t="shared" si="5"/>
        <v>NA</v>
      </c>
      <c r="AY167" s="3">
        <f>Tableau3[[#This Row],[prob_b]]</f>
        <v>0.52088783606258993</v>
      </c>
      <c r="AZ167" s="3">
        <f>Tableau3[[#This Row],[prob_c]]-Tableau3[[#This Row],[prob_b]]</f>
        <v>0.37415318934229713</v>
      </c>
      <c r="BA167" s="3">
        <f>1-Tableau3[[#This Row],[prob_c]]</f>
        <v>0.10495897459511294</v>
      </c>
    </row>
    <row r="168" spans="1:53" x14ac:dyDescent="0.25">
      <c r="A168" s="2">
        <v>2</v>
      </c>
      <c r="B168" s="2" t="s">
        <v>10</v>
      </c>
      <c r="C168" s="4">
        <v>2.1</v>
      </c>
      <c r="D168" s="4">
        <v>828</v>
      </c>
      <c r="E168" s="4">
        <v>29</v>
      </c>
      <c r="F168" s="4">
        <v>0</v>
      </c>
      <c r="G168" s="2">
        <v>42</v>
      </c>
      <c r="H168" s="2">
        <v>39</v>
      </c>
      <c r="I168" s="2" t="s">
        <v>24</v>
      </c>
      <c r="J168" s="2" t="s">
        <v>29</v>
      </c>
      <c r="K168" s="2">
        <f>VLOOKUP(Tableau3[[#This Row],[essence]],Tableau7[],2,FALSE)</f>
        <v>-0.84530000000000005</v>
      </c>
      <c r="L168" s="3">
        <f>VLOOKUP(Tableau3[[#This Row],[essence]],Tableau7[],3,FALSE)</f>
        <v>0.93089999999999995</v>
      </c>
      <c r="M168" s="3">
        <f>VLOOKUP(Tableau3[[#This Row],[essence]],Tableau7[],4,FALSE)</f>
        <v>1.4276</v>
      </c>
      <c r="N168" s="3">
        <f>IF(Tableau3[[#This Row],[priorecol]]="C",1,0)</f>
        <v>0</v>
      </c>
      <c r="O168" s="3">
        <f>VLOOKUP(Tableau3[[#This Row],[essence]],Tableau7[],5,FALSE)</f>
        <v>2.468</v>
      </c>
      <c r="P168" s="3">
        <f>IF(Tableau3[[#This Row],[priorecol]]="R",1,0)</f>
        <v>0</v>
      </c>
      <c r="Q168" s="3">
        <f>VLOOKUP(Tableau3[[#This Row],[essence]],Tableau7[],6,FALSE)</f>
        <v>0.86019999999999996</v>
      </c>
      <c r="R168" s="3">
        <f>IF(Tableau3[[#This Row],[priorecol]]="S",1,0)</f>
        <v>1</v>
      </c>
      <c r="S168" s="3">
        <f>VLOOKUP(Tableau3[[#This Row],[essence]],Tableau7[],7,FALSE)</f>
        <v>0</v>
      </c>
      <c r="T168" s="3">
        <f>VLOOKUP(Tableau3[[#This Row],[essence]],Tableau7[],15,FALSE)</f>
        <v>1.7299999999999999E-2</v>
      </c>
      <c r="U168" s="3">
        <f>VLOOKUP(Tableau3[[#This Row],[essence]],Tableau7[],20,FALSE)</f>
        <v>-0.28799999999999998</v>
      </c>
      <c r="V168" s="3">
        <f>IF(Tableau3[[#This Row],[sdom]]=1,1,0)</f>
        <v>0</v>
      </c>
      <c r="W168" s="3">
        <f>VLOOKUP(Tableau3[[#This Row],[essence]],Tableau7[],8,FALSE)</f>
        <v>-0.18859999999999999</v>
      </c>
      <c r="X168" s="3">
        <f>IF(Tableau3[[#This Row],[sdom]]="2EST",1,0)</f>
        <v>1</v>
      </c>
      <c r="Y168" s="3">
        <f>VLOOKUP(Tableau3[[#This Row],[essence]],Tableau7[],9,FALSE)</f>
        <v>1.2699999999999999E-2</v>
      </c>
      <c r="Z168" s="3">
        <f>IF(Tableau3[[#This Row],[sdom]]="2OUEST",1,0)</f>
        <v>0</v>
      </c>
      <c r="AA168" s="3">
        <f>VLOOKUP(Tableau3[[#This Row],[essence]],Tableau7[],10,FALSE)</f>
        <v>0</v>
      </c>
      <c r="AB168" s="3">
        <f>IF(Tableau3[[#This Row],[sdom]]="3EST",1,0)</f>
        <v>0</v>
      </c>
      <c r="AC168" s="3">
        <f>VLOOKUP(Tableau3[[#This Row],[essence]],Tableau7[],11,FALSE)</f>
        <v>0.30009999999999998</v>
      </c>
      <c r="AD168" s="3">
        <f>IF(Tableau3[[#This Row],[sdom]]="3OUEST",1,0)</f>
        <v>0</v>
      </c>
      <c r="AE168" s="3">
        <f>VLOOKUP(Tableau3[[#This Row],[essence]],Tableau7[],12,FALSE)</f>
        <v>0</v>
      </c>
      <c r="AF168" s="3">
        <f>IF(Tableau3[[#This Row],[sdom]]="4EST",1,0)</f>
        <v>0</v>
      </c>
      <c r="AG168" s="3">
        <f>VLOOKUP(Tableau3[[#This Row],[essence]],Tableau7[],13,FALSE)</f>
        <v>0</v>
      </c>
      <c r="AH168" s="3">
        <f>IF(Tableau3[[#This Row],[sdom]]="4OUEST",1,0)</f>
        <v>0</v>
      </c>
      <c r="AI168" s="3">
        <f>VLOOKUP(Tableau3[[#This Row],[essence]],Tableau7[],14,FALSE)</f>
        <v>0</v>
      </c>
      <c r="AJ168" s="3">
        <f>IF(Tableau3[[#This Row],[sdom]]="5EST",1,0)</f>
        <v>0</v>
      </c>
      <c r="AK168" s="3">
        <f>VLOOKUP(Tableau3[[#This Row],[essence]],Tableau7[],17,FALSE)</f>
        <v>0</v>
      </c>
      <c r="AL168" s="3">
        <f>IF(Tableau3[[#This Row],[priorecol]]="C",1,0)</f>
        <v>0</v>
      </c>
      <c r="AM168" s="3">
        <f>VLOOKUP(Tableau3[[#This Row],[essence]],Tableau7[],18,FALSE)</f>
        <v>0</v>
      </c>
      <c r="AN168" s="3">
        <f>IF(Tableau3[[#This Row],[priorecol]]="R",1,0)</f>
        <v>0</v>
      </c>
      <c r="AO168" s="3">
        <f>VLOOKUP(Tableau3[[#This Row],[essence]],Tableau7[],19,FALSE)</f>
        <v>0</v>
      </c>
      <c r="AP168" s="3">
        <f>IF(Tableau3[[#This Row],[priorecol]]="S",1,0)</f>
        <v>1</v>
      </c>
      <c r="AQ168" s="3">
        <f>VLOOKUP(Tableau3[[#This Row],[essence]],Tableau7[],21,FALSE)</f>
        <v>0</v>
      </c>
      <c r="AR168" s="3">
        <f>VLOOKUP(Tableau3[[#This Row],[essence]],Tableau7[],16,FALSE)</f>
        <v>0</v>
      </c>
      <c r="AS16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1.1732999999999998</v>
      </c>
      <c r="AT168" s="3">
        <f>Tableau3[[#This Row],[xb_]]+Tableau3[[#This Row],[b_intercept_C]]</f>
        <v>2.1041999999999996</v>
      </c>
      <c r="AU168" s="3">
        <f>Tableau3[[#This Row],[xb_]]+Tableau3[[#This Row],[b_intercept_B]]</f>
        <v>0.32799999999999974</v>
      </c>
      <c r="AV168" s="3">
        <f>1/(1+EXP(-Tableau3[[#This Row],[xb_c]]))</f>
        <v>0.89131072685577328</v>
      </c>
      <c r="AW168" s="3">
        <f>1/(1+EXP(-Tableau3[[#This Row],[xb_b]]))</f>
        <v>0.58127266660922539</v>
      </c>
      <c r="AX168" s="3" t="str">
        <f t="shared" si="5"/>
        <v>NA</v>
      </c>
      <c r="AY168" s="3">
        <f>Tableau3[[#This Row],[prob_b]]</f>
        <v>0.58127266660922539</v>
      </c>
      <c r="AZ168" s="3">
        <f>Tableau3[[#This Row],[prob_c]]-Tableau3[[#This Row],[prob_b]]</f>
        <v>0.3100380602465479</v>
      </c>
      <c r="BA168" s="3">
        <f>1-Tableau3[[#This Row],[prob_c]]</f>
        <v>0.10868927314422672</v>
      </c>
    </row>
    <row r="169" spans="1:53" x14ac:dyDescent="0.25">
      <c r="A169" s="3">
        <v>2</v>
      </c>
      <c r="B169" s="3" t="s">
        <v>10</v>
      </c>
      <c r="C169" s="1">
        <v>2.1</v>
      </c>
      <c r="D169" s="1">
        <v>828</v>
      </c>
      <c r="E169" s="1">
        <v>29</v>
      </c>
      <c r="F169" s="1">
        <v>0</v>
      </c>
      <c r="G169" s="3">
        <v>48</v>
      </c>
      <c r="H169" s="3">
        <v>39</v>
      </c>
      <c r="I169" s="3" t="s">
        <v>26</v>
      </c>
      <c r="J169" s="3" t="s">
        <v>29</v>
      </c>
      <c r="K169" s="3">
        <f>VLOOKUP(Tableau3[[#This Row],[essence]],Tableau7[],2,FALSE)</f>
        <v>-1.7838000000000001</v>
      </c>
      <c r="L169" s="3">
        <f>VLOOKUP(Tableau3[[#This Row],[essence]],Tableau7[],3,FALSE)</f>
        <v>-7.3400000000000007E-2</v>
      </c>
      <c r="M169" s="3">
        <f>VLOOKUP(Tableau3[[#This Row],[essence]],Tableau7[],4,FALSE)</f>
        <v>1.5893999999999999</v>
      </c>
      <c r="N169" s="3">
        <f>IF(Tableau3[[#This Row],[priorecol]]="C",1,0)</f>
        <v>0</v>
      </c>
      <c r="O169" s="3">
        <f>VLOOKUP(Tableau3[[#This Row],[essence]],Tableau7[],5,FALSE)</f>
        <v>2.1800000000000002</v>
      </c>
      <c r="P169" s="3">
        <f>IF(Tableau3[[#This Row],[priorecol]]="R",1,0)</f>
        <v>0</v>
      </c>
      <c r="Q169" s="3">
        <f>VLOOKUP(Tableau3[[#This Row],[essence]],Tableau7[],6,FALSE)</f>
        <v>0.91710000000000003</v>
      </c>
      <c r="R169" s="3">
        <f>IF(Tableau3[[#This Row],[priorecol]]="S",1,0)</f>
        <v>1</v>
      </c>
      <c r="S169" s="3">
        <f>VLOOKUP(Tableau3[[#This Row],[essence]],Tableau7[],7,FALSE)</f>
        <v>0</v>
      </c>
      <c r="T169" s="3">
        <f>VLOOKUP(Tableau3[[#This Row],[essence]],Tableau7[],15,FALSE)</f>
        <v>0</v>
      </c>
      <c r="U169" s="3">
        <f>VLOOKUP(Tableau3[[#This Row],[essence]],Tableau7[],20,FALSE)</f>
        <v>0</v>
      </c>
      <c r="V169" s="3">
        <f>IF(Tableau3[[#This Row],[sdom]]=1,1,0)</f>
        <v>0</v>
      </c>
      <c r="W169" s="3">
        <f>VLOOKUP(Tableau3[[#This Row],[essence]],Tableau7[],8,FALSE)</f>
        <v>0</v>
      </c>
      <c r="X169" s="3">
        <f>IF(Tableau3[[#This Row],[sdom]]="2EST",1,0)</f>
        <v>1</v>
      </c>
      <c r="Y169" s="3">
        <f>VLOOKUP(Tableau3[[#This Row],[essence]],Tableau7[],9,FALSE)</f>
        <v>-0.22550000000000001</v>
      </c>
      <c r="Z169" s="3">
        <f>IF(Tableau3[[#This Row],[sdom]]="2OUEST",1,0)</f>
        <v>0</v>
      </c>
      <c r="AA169" s="3">
        <f>VLOOKUP(Tableau3[[#This Row],[essence]],Tableau7[],10,FALSE)</f>
        <v>0</v>
      </c>
      <c r="AB169" s="3">
        <f>IF(Tableau3[[#This Row],[sdom]]="3EST",1,0)</f>
        <v>0</v>
      </c>
      <c r="AC169" s="3">
        <f>VLOOKUP(Tableau3[[#This Row],[essence]],Tableau7[],11,FALSE)</f>
        <v>0.3513</v>
      </c>
      <c r="AD169" s="3">
        <f>IF(Tableau3[[#This Row],[sdom]]="3OUEST",1,0)</f>
        <v>0</v>
      </c>
      <c r="AE169" s="3">
        <f>VLOOKUP(Tableau3[[#This Row],[essence]],Tableau7[],12,FALSE)</f>
        <v>-0.42259999999999998</v>
      </c>
      <c r="AF169" s="3">
        <f>IF(Tableau3[[#This Row],[sdom]]="4EST",1,0)</f>
        <v>0</v>
      </c>
      <c r="AG169" s="3">
        <f>VLOOKUP(Tableau3[[#This Row],[essence]],Tableau7[],13,FALSE)</f>
        <v>0.25390000000000001</v>
      </c>
      <c r="AH169" s="3">
        <f>IF(Tableau3[[#This Row],[sdom]]="4OUEST",1,0)</f>
        <v>0</v>
      </c>
      <c r="AI169" s="3">
        <f>VLOOKUP(Tableau3[[#This Row],[essence]],Tableau7[],14,FALSE)</f>
        <v>4.6199999999999998E-2</v>
      </c>
      <c r="AJ169" s="3">
        <f>IF(Tableau3[[#This Row],[sdom]]="5EST",1,0)</f>
        <v>0</v>
      </c>
      <c r="AK169" s="3">
        <f>VLOOKUP(Tableau3[[#This Row],[essence]],Tableau7[],17,FALSE)</f>
        <v>0</v>
      </c>
      <c r="AL169" s="3">
        <f>IF(Tableau3[[#This Row],[priorecol]]="C",1,0)</f>
        <v>0</v>
      </c>
      <c r="AM169" s="3">
        <f>VLOOKUP(Tableau3[[#This Row],[essence]],Tableau7[],18,FALSE)</f>
        <v>0</v>
      </c>
      <c r="AN169" s="3">
        <f>IF(Tableau3[[#This Row],[priorecol]]="R",1,0)</f>
        <v>0</v>
      </c>
      <c r="AO169" s="3">
        <f>VLOOKUP(Tableau3[[#This Row],[essence]],Tableau7[],19,FALSE)</f>
        <v>0</v>
      </c>
      <c r="AP169" s="3">
        <f>IF(Tableau3[[#This Row],[priorecol]]="S",1,0)</f>
        <v>1</v>
      </c>
      <c r="AQ169" s="3">
        <f>VLOOKUP(Tableau3[[#This Row],[essence]],Tableau7[],21,FALSE)</f>
        <v>0</v>
      </c>
      <c r="AR169" s="3">
        <f>VLOOKUP(Tableau3[[#This Row],[essence]],Tableau7[],16,FALSE)</f>
        <v>0.24340000000000001</v>
      </c>
      <c r="AS16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1.4282400000000002</v>
      </c>
      <c r="AT169" s="3">
        <f>Tableau3[[#This Row],[xb_]]+Tableau3[[#This Row],[b_intercept_C]]</f>
        <v>1.3548400000000003</v>
      </c>
      <c r="AU169" s="3">
        <f>Tableau3[[#This Row],[xb_]]+Tableau3[[#This Row],[b_intercept_B]]</f>
        <v>-0.35555999999999988</v>
      </c>
      <c r="AV169" s="3">
        <f>1/(1+EXP(-Tableau3[[#This Row],[xb_c]]))</f>
        <v>0.79491978256994666</v>
      </c>
      <c r="AW169" s="3">
        <f>1/(1+EXP(-Tableau3[[#This Row],[xb_b]]))</f>
        <v>0.41203478804965638</v>
      </c>
      <c r="AX169" s="3" t="str">
        <f t="shared" si="5"/>
        <v>NA</v>
      </c>
      <c r="AY169" s="3">
        <f>Tableau3[[#This Row],[prob_b]]</f>
        <v>0.41203478804965638</v>
      </c>
      <c r="AZ169" s="3">
        <f>Tableau3[[#This Row],[prob_c]]-Tableau3[[#This Row],[prob_b]]</f>
        <v>0.38288499452029029</v>
      </c>
      <c r="BA169" s="3">
        <f>1-Tableau3[[#This Row],[prob_c]]</f>
        <v>0.20508021743005334</v>
      </c>
    </row>
    <row r="170" spans="1:53" x14ac:dyDescent="0.25">
      <c r="A170" s="2">
        <v>3</v>
      </c>
      <c r="B170" s="2" t="s">
        <v>11</v>
      </c>
      <c r="C170" s="4">
        <v>2.1</v>
      </c>
      <c r="D170" s="4">
        <v>700</v>
      </c>
      <c r="E170" s="4">
        <v>20</v>
      </c>
      <c r="F170" s="4">
        <v>1</v>
      </c>
      <c r="G170" s="2">
        <v>30</v>
      </c>
      <c r="H170" s="2">
        <v>39</v>
      </c>
      <c r="I170" s="2" t="s">
        <v>20</v>
      </c>
      <c r="J170" s="2" t="s">
        <v>29</v>
      </c>
      <c r="K170" s="2">
        <f>VLOOKUP(Tableau3[[#This Row],[essence]],Tableau7[],2,FALSE)</f>
        <v>-0.80379999999999996</v>
      </c>
      <c r="L170" s="3">
        <f>VLOOKUP(Tableau3[[#This Row],[essence]],Tableau7[],3,FALSE)</f>
        <v>0.88800000000000001</v>
      </c>
      <c r="M170" s="3">
        <f>VLOOKUP(Tableau3[[#This Row],[essence]],Tableau7[],4,FALSE)</f>
        <v>1.5212000000000001</v>
      </c>
      <c r="N170" s="3">
        <f>IF(Tableau3[[#This Row],[priorecol]]="C",1,0)</f>
        <v>0</v>
      </c>
      <c r="O170" s="3">
        <f>VLOOKUP(Tableau3[[#This Row],[essence]],Tableau7[],5,FALSE)</f>
        <v>1.8714999999999999</v>
      </c>
      <c r="P170" s="3">
        <f>IF(Tableau3[[#This Row],[priorecol]]="R",1,0)</f>
        <v>0</v>
      </c>
      <c r="Q170" s="3">
        <f>VLOOKUP(Tableau3[[#This Row],[essence]],Tableau7[],6,FALSE)</f>
        <v>0.51549999999999996</v>
      </c>
      <c r="R170" s="3">
        <f>IF(Tableau3[[#This Row],[priorecol]]="S",1,0)</f>
        <v>1</v>
      </c>
      <c r="S170" s="3">
        <f>VLOOKUP(Tableau3[[#This Row],[essence]],Tableau7[],7,FALSE)</f>
        <v>0</v>
      </c>
      <c r="T170" s="3">
        <f>VLOOKUP(Tableau3[[#This Row],[essence]],Tableau7[],15,FALSE)</f>
        <v>9.0500000000000008E-3</v>
      </c>
      <c r="U170" s="3">
        <f>VLOOKUP(Tableau3[[#This Row],[essence]],Tableau7[],20,FALSE)</f>
        <v>0</v>
      </c>
      <c r="V170" s="3">
        <f>IF(Tableau3[[#This Row],[sdom]]=1,1,0)</f>
        <v>0</v>
      </c>
      <c r="W170" s="3">
        <f>VLOOKUP(Tableau3[[#This Row],[essence]],Tableau7[],8,FALSE)</f>
        <v>0</v>
      </c>
      <c r="X170" s="3">
        <f>IF(Tableau3[[#This Row],[sdom]]="2EST",1,0)</f>
        <v>0</v>
      </c>
      <c r="Y170" s="3">
        <f>VLOOKUP(Tableau3[[#This Row],[essence]],Tableau7[],9,FALSE)</f>
        <v>-4.5199999999999997E-2</v>
      </c>
      <c r="Z170" s="3">
        <f>IF(Tableau3[[#This Row],[sdom]]="2OUEST",1,0)</f>
        <v>1</v>
      </c>
      <c r="AA170" s="3">
        <f>VLOOKUP(Tableau3[[#This Row],[essence]],Tableau7[],10,FALSE)</f>
        <v>1.15E-2</v>
      </c>
      <c r="AB170" s="3">
        <f>IF(Tableau3[[#This Row],[sdom]]="3EST",1,0)</f>
        <v>0</v>
      </c>
      <c r="AC170" s="3">
        <f>VLOOKUP(Tableau3[[#This Row],[essence]],Tableau7[],11,FALSE)</f>
        <v>0.1169</v>
      </c>
      <c r="AD170" s="3">
        <f>IF(Tableau3[[#This Row],[sdom]]="3OUEST",1,0)</f>
        <v>0</v>
      </c>
      <c r="AE170" s="3">
        <f>VLOOKUP(Tableau3[[#This Row],[essence]],Tableau7[],12,FALSE)</f>
        <v>-0.1686</v>
      </c>
      <c r="AF170" s="3">
        <f>IF(Tableau3[[#This Row],[sdom]]="4EST",1,0)</f>
        <v>0</v>
      </c>
      <c r="AG170" s="3">
        <f>VLOOKUP(Tableau3[[#This Row],[essence]],Tableau7[],13,FALSE)</f>
        <v>0.11940000000000001</v>
      </c>
      <c r="AH170" s="3">
        <f>IF(Tableau3[[#This Row],[sdom]]="4OUEST",1,0)</f>
        <v>0</v>
      </c>
      <c r="AI170" s="3">
        <f>VLOOKUP(Tableau3[[#This Row],[essence]],Tableau7[],14,FALSE)</f>
        <v>-0.13100000000000001</v>
      </c>
      <c r="AJ170" s="3">
        <f>IF(Tableau3[[#This Row],[sdom]]="5EST",1,0)</f>
        <v>0</v>
      </c>
      <c r="AK170" s="3">
        <f>VLOOKUP(Tableau3[[#This Row],[essence]],Tableau7[],17,FALSE)</f>
        <v>-1.8599999999999998E-2</v>
      </c>
      <c r="AL170" s="3">
        <f>IF(Tableau3[[#This Row],[priorecol]]="C",1,0)</f>
        <v>0</v>
      </c>
      <c r="AM170" s="3">
        <f>VLOOKUP(Tableau3[[#This Row],[essence]],Tableau7[],18,FALSE)</f>
        <v>-8.5500000000000003E-3</v>
      </c>
      <c r="AN170" s="3">
        <f>IF(Tableau3[[#This Row],[priorecol]]="R",1,0)</f>
        <v>0</v>
      </c>
      <c r="AO170" s="3">
        <f>VLOOKUP(Tableau3[[#This Row],[essence]],Tableau7[],19,FALSE)</f>
        <v>1.54E-2</v>
      </c>
      <c r="AP170" s="3">
        <f>IF(Tableau3[[#This Row],[priorecol]]="S",1,0)</f>
        <v>1</v>
      </c>
      <c r="AQ170" s="3">
        <f>VLOOKUP(Tableau3[[#This Row],[essence]],Tableau7[],21,FALSE)</f>
        <v>0</v>
      </c>
      <c r="AR170" s="3">
        <f>VLOOKUP(Tableau3[[#This Row],[essence]],Tableau7[],16,FALSE)</f>
        <v>0</v>
      </c>
      <c r="AS17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0.95930000000000004</v>
      </c>
      <c r="AT170" s="3">
        <f>Tableau3[[#This Row],[xb_]]+Tableau3[[#This Row],[b_intercept_C]]</f>
        <v>1.8473000000000002</v>
      </c>
      <c r="AU170" s="3">
        <f>Tableau3[[#This Row],[xb_]]+Tableau3[[#This Row],[b_intercept_B]]</f>
        <v>0.15550000000000008</v>
      </c>
      <c r="AV170" s="3">
        <f>1/(1+EXP(-Tableau3[[#This Row],[xb_c]]))</f>
        <v>0.86380978028728583</v>
      </c>
      <c r="AW170" s="3">
        <f>1/(1+EXP(-Tableau3[[#This Row],[xb_b]]))</f>
        <v>0.53879685501619079</v>
      </c>
      <c r="AX170" s="3" t="str">
        <f t="shared" si="5"/>
        <v>NA</v>
      </c>
      <c r="AY170" s="3">
        <f>Tableau3[[#This Row],[prob_b]]</f>
        <v>0.53879685501619079</v>
      </c>
      <c r="AZ170" s="3">
        <f>Tableau3[[#This Row],[prob_c]]-Tableau3[[#This Row],[prob_b]]</f>
        <v>0.32501292527109504</v>
      </c>
      <c r="BA170" s="3">
        <f>1-Tableau3[[#This Row],[prob_c]]</f>
        <v>0.13619021971271417</v>
      </c>
    </row>
    <row r="171" spans="1:53" x14ac:dyDescent="0.25">
      <c r="A171" s="3">
        <v>3</v>
      </c>
      <c r="B171" s="3" t="s">
        <v>11</v>
      </c>
      <c r="C171" s="1">
        <v>2.1</v>
      </c>
      <c r="D171" s="1">
        <v>700</v>
      </c>
      <c r="E171" s="1">
        <v>20</v>
      </c>
      <c r="F171" s="1">
        <v>1</v>
      </c>
      <c r="G171" s="3">
        <v>36</v>
      </c>
      <c r="H171" s="3">
        <v>39</v>
      </c>
      <c r="I171" s="3" t="s">
        <v>22</v>
      </c>
      <c r="J171" s="3" t="s">
        <v>29</v>
      </c>
      <c r="K171" s="3">
        <f>VLOOKUP(Tableau3[[#This Row],[essence]],Tableau7[],2,FALSE)</f>
        <v>-1.8420000000000001</v>
      </c>
      <c r="L171" s="3">
        <f>VLOOKUP(Tableau3[[#This Row],[essence]],Tableau7[],3,FALSE)</f>
        <v>0.2177</v>
      </c>
      <c r="M171" s="3">
        <f>VLOOKUP(Tableau3[[#This Row],[essence]],Tableau7[],4,FALSE)</f>
        <v>1.9473</v>
      </c>
      <c r="N171" s="3">
        <f>IF(Tableau3[[#This Row],[priorecol]]="C",1,0)</f>
        <v>0</v>
      </c>
      <c r="O171" s="3">
        <f>VLOOKUP(Tableau3[[#This Row],[essence]],Tableau7[],5,FALSE)</f>
        <v>3.0630999999999999</v>
      </c>
      <c r="P171" s="3">
        <f>IF(Tableau3[[#This Row],[priorecol]]="R",1,0)</f>
        <v>0</v>
      </c>
      <c r="Q171" s="3">
        <f>VLOOKUP(Tableau3[[#This Row],[essence]],Tableau7[],6,FALSE)</f>
        <v>1.5014000000000001</v>
      </c>
      <c r="R171" s="3">
        <f>IF(Tableau3[[#This Row],[priorecol]]="S",1,0)</f>
        <v>1</v>
      </c>
      <c r="S171" s="3">
        <f>VLOOKUP(Tableau3[[#This Row],[essence]],Tableau7[],7,FALSE)</f>
        <v>0</v>
      </c>
      <c r="T171" s="3">
        <f>VLOOKUP(Tableau3[[#This Row],[essence]],Tableau7[],15,FALSE)</f>
        <v>0</v>
      </c>
      <c r="U171" s="3">
        <f>VLOOKUP(Tableau3[[#This Row],[essence]],Tableau7[],20,FALSE)</f>
        <v>0.49399999999999999</v>
      </c>
      <c r="V171" s="3">
        <f>IF(Tableau3[[#This Row],[sdom]]=1,1,0)</f>
        <v>0</v>
      </c>
      <c r="W171" s="3">
        <f>VLOOKUP(Tableau3[[#This Row],[essence]],Tableau7[],8,FALSE)</f>
        <v>0.42420000000000002</v>
      </c>
      <c r="X171" s="3">
        <f>IF(Tableau3[[#This Row],[sdom]]="2EST",1,0)</f>
        <v>0</v>
      </c>
      <c r="Y171" s="3">
        <f>VLOOKUP(Tableau3[[#This Row],[essence]],Tableau7[],9,FALSE)</f>
        <v>7.4300000000000005E-2</v>
      </c>
      <c r="Z171" s="3">
        <f>IF(Tableau3[[#This Row],[sdom]]="2OUEST",1,0)</f>
        <v>1</v>
      </c>
      <c r="AA171" s="3">
        <f>VLOOKUP(Tableau3[[#This Row],[essence]],Tableau7[],10,FALSE)</f>
        <v>-6.7000000000000004E-2</v>
      </c>
      <c r="AB171" s="3">
        <f>IF(Tableau3[[#This Row],[sdom]]="3EST",1,0)</f>
        <v>0</v>
      </c>
      <c r="AC171" s="3">
        <f>VLOOKUP(Tableau3[[#This Row],[essence]],Tableau7[],11,FALSE)</f>
        <v>-8.3400000000000002E-2</v>
      </c>
      <c r="AD171" s="3">
        <f>IF(Tableau3[[#This Row],[sdom]]="3OUEST",1,0)</f>
        <v>0</v>
      </c>
      <c r="AE171" s="3">
        <f>VLOOKUP(Tableau3[[#This Row],[essence]],Tableau7[],12,FALSE)</f>
        <v>-0.26840000000000003</v>
      </c>
      <c r="AF171" s="3">
        <f>IF(Tableau3[[#This Row],[sdom]]="4EST",1,0)</f>
        <v>0</v>
      </c>
      <c r="AG171" s="3">
        <f>VLOOKUP(Tableau3[[#This Row],[essence]],Tableau7[],13,FALSE)</f>
        <v>0</v>
      </c>
      <c r="AH171" s="3">
        <f>IF(Tableau3[[#This Row],[sdom]]="4OUEST",1,0)</f>
        <v>0</v>
      </c>
      <c r="AI171" s="3">
        <f>VLOOKUP(Tableau3[[#This Row],[essence]],Tableau7[],14,FALSE)</f>
        <v>0</v>
      </c>
      <c r="AJ171" s="3">
        <f>IF(Tableau3[[#This Row],[sdom]]="5EST",1,0)</f>
        <v>0</v>
      </c>
      <c r="AK171" s="3">
        <f>VLOOKUP(Tableau3[[#This Row],[essence]],Tableau7[],17,FALSE)</f>
        <v>0</v>
      </c>
      <c r="AL171" s="3">
        <f>IF(Tableau3[[#This Row],[priorecol]]="C",1,0)</f>
        <v>0</v>
      </c>
      <c r="AM171" s="3">
        <f>VLOOKUP(Tableau3[[#This Row],[essence]],Tableau7[],18,FALSE)</f>
        <v>0</v>
      </c>
      <c r="AN171" s="3">
        <f>IF(Tableau3[[#This Row],[priorecol]]="R",1,0)</f>
        <v>0</v>
      </c>
      <c r="AO171" s="3">
        <f>VLOOKUP(Tableau3[[#This Row],[essence]],Tableau7[],19,FALSE)</f>
        <v>0</v>
      </c>
      <c r="AP171" s="3">
        <f>IF(Tableau3[[#This Row],[priorecol]]="S",1,0)</f>
        <v>1</v>
      </c>
      <c r="AQ171" s="3">
        <f>VLOOKUP(Tableau3[[#This Row],[essence]],Tableau7[],21,FALSE)</f>
        <v>0</v>
      </c>
      <c r="AR171" s="3">
        <f>VLOOKUP(Tableau3[[#This Row],[essence]],Tableau7[],16,FALSE)</f>
        <v>0</v>
      </c>
      <c r="AS17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1.5757000000000001</v>
      </c>
      <c r="AT171" s="3">
        <f>Tableau3[[#This Row],[xb_]]+Tableau3[[#This Row],[b_intercept_C]]</f>
        <v>1.7934000000000001</v>
      </c>
      <c r="AU171" s="3">
        <f>Tableau3[[#This Row],[xb_]]+Tableau3[[#This Row],[b_intercept_B]]</f>
        <v>-0.26629999999999998</v>
      </c>
      <c r="AV171" s="3">
        <f>1/(1+EXP(-Tableau3[[#This Row],[xb_c]]))</f>
        <v>0.85734362078865145</v>
      </c>
      <c r="AW171" s="3">
        <f>1/(1+EXP(-Tableau3[[#This Row],[xb_b]]))</f>
        <v>0.43381566415040518</v>
      </c>
      <c r="AX171" s="3" t="str">
        <f t="shared" si="5"/>
        <v>NA</v>
      </c>
      <c r="AY171" s="3">
        <f>Tableau3[[#This Row],[prob_b]]</f>
        <v>0.43381566415040518</v>
      </c>
      <c r="AZ171" s="3">
        <f>Tableau3[[#This Row],[prob_c]]-Tableau3[[#This Row],[prob_b]]</f>
        <v>0.42352795663824627</v>
      </c>
      <c r="BA171" s="3">
        <f>1-Tableau3[[#This Row],[prob_c]]</f>
        <v>0.14265637921134855</v>
      </c>
    </row>
    <row r="172" spans="1:53" x14ac:dyDescent="0.25">
      <c r="A172" s="2">
        <v>3</v>
      </c>
      <c r="B172" s="2" t="s">
        <v>11</v>
      </c>
      <c r="C172" s="4">
        <v>2.1</v>
      </c>
      <c r="D172" s="4">
        <v>700</v>
      </c>
      <c r="E172" s="4">
        <v>20</v>
      </c>
      <c r="F172" s="4">
        <v>1</v>
      </c>
      <c r="G172" s="2">
        <v>42</v>
      </c>
      <c r="H172" s="2">
        <v>39</v>
      </c>
      <c r="I172" s="2" t="s">
        <v>24</v>
      </c>
      <c r="J172" s="2" t="s">
        <v>29</v>
      </c>
      <c r="K172" s="2">
        <f>VLOOKUP(Tableau3[[#This Row],[essence]],Tableau7[],2,FALSE)</f>
        <v>-0.84530000000000005</v>
      </c>
      <c r="L172" s="3">
        <f>VLOOKUP(Tableau3[[#This Row],[essence]],Tableau7[],3,FALSE)</f>
        <v>0.93089999999999995</v>
      </c>
      <c r="M172" s="3">
        <f>VLOOKUP(Tableau3[[#This Row],[essence]],Tableau7[],4,FALSE)</f>
        <v>1.4276</v>
      </c>
      <c r="N172" s="3">
        <f>IF(Tableau3[[#This Row],[priorecol]]="C",1,0)</f>
        <v>0</v>
      </c>
      <c r="O172" s="3">
        <f>VLOOKUP(Tableau3[[#This Row],[essence]],Tableau7[],5,FALSE)</f>
        <v>2.468</v>
      </c>
      <c r="P172" s="3">
        <f>IF(Tableau3[[#This Row],[priorecol]]="R",1,0)</f>
        <v>0</v>
      </c>
      <c r="Q172" s="3">
        <f>VLOOKUP(Tableau3[[#This Row],[essence]],Tableau7[],6,FALSE)</f>
        <v>0.86019999999999996</v>
      </c>
      <c r="R172" s="3">
        <f>IF(Tableau3[[#This Row],[priorecol]]="S",1,0)</f>
        <v>1</v>
      </c>
      <c r="S172" s="3">
        <f>VLOOKUP(Tableau3[[#This Row],[essence]],Tableau7[],7,FALSE)</f>
        <v>0</v>
      </c>
      <c r="T172" s="3">
        <f>VLOOKUP(Tableau3[[#This Row],[essence]],Tableau7[],15,FALSE)</f>
        <v>1.7299999999999999E-2</v>
      </c>
      <c r="U172" s="3">
        <f>VLOOKUP(Tableau3[[#This Row],[essence]],Tableau7[],20,FALSE)</f>
        <v>-0.28799999999999998</v>
      </c>
      <c r="V172" s="3">
        <f>IF(Tableau3[[#This Row],[sdom]]=1,1,0)</f>
        <v>0</v>
      </c>
      <c r="W172" s="3">
        <f>VLOOKUP(Tableau3[[#This Row],[essence]],Tableau7[],8,FALSE)</f>
        <v>-0.18859999999999999</v>
      </c>
      <c r="X172" s="3">
        <f>IF(Tableau3[[#This Row],[sdom]]="2EST",1,0)</f>
        <v>0</v>
      </c>
      <c r="Y172" s="3">
        <f>VLOOKUP(Tableau3[[#This Row],[essence]],Tableau7[],9,FALSE)</f>
        <v>1.2699999999999999E-2</v>
      </c>
      <c r="Z172" s="3">
        <f>IF(Tableau3[[#This Row],[sdom]]="2OUEST",1,0)</f>
        <v>1</v>
      </c>
      <c r="AA172" s="3">
        <f>VLOOKUP(Tableau3[[#This Row],[essence]],Tableau7[],10,FALSE)</f>
        <v>0</v>
      </c>
      <c r="AB172" s="3">
        <f>IF(Tableau3[[#This Row],[sdom]]="3EST",1,0)</f>
        <v>0</v>
      </c>
      <c r="AC172" s="3">
        <f>VLOOKUP(Tableau3[[#This Row],[essence]],Tableau7[],11,FALSE)</f>
        <v>0.30009999999999998</v>
      </c>
      <c r="AD172" s="3">
        <f>IF(Tableau3[[#This Row],[sdom]]="3OUEST",1,0)</f>
        <v>0</v>
      </c>
      <c r="AE172" s="3">
        <f>VLOOKUP(Tableau3[[#This Row],[essence]],Tableau7[],12,FALSE)</f>
        <v>0</v>
      </c>
      <c r="AF172" s="3">
        <f>IF(Tableau3[[#This Row],[sdom]]="4EST",1,0)</f>
        <v>0</v>
      </c>
      <c r="AG172" s="3">
        <f>VLOOKUP(Tableau3[[#This Row],[essence]],Tableau7[],13,FALSE)</f>
        <v>0</v>
      </c>
      <c r="AH172" s="3">
        <f>IF(Tableau3[[#This Row],[sdom]]="4OUEST",1,0)</f>
        <v>0</v>
      </c>
      <c r="AI172" s="3">
        <f>VLOOKUP(Tableau3[[#This Row],[essence]],Tableau7[],14,FALSE)</f>
        <v>0</v>
      </c>
      <c r="AJ172" s="3">
        <f>IF(Tableau3[[#This Row],[sdom]]="5EST",1,0)</f>
        <v>0</v>
      </c>
      <c r="AK172" s="3">
        <f>VLOOKUP(Tableau3[[#This Row],[essence]],Tableau7[],17,FALSE)</f>
        <v>0</v>
      </c>
      <c r="AL172" s="3">
        <f>IF(Tableau3[[#This Row],[priorecol]]="C",1,0)</f>
        <v>0</v>
      </c>
      <c r="AM172" s="3">
        <f>VLOOKUP(Tableau3[[#This Row],[essence]],Tableau7[],18,FALSE)</f>
        <v>0</v>
      </c>
      <c r="AN172" s="3">
        <f>IF(Tableau3[[#This Row],[priorecol]]="R",1,0)</f>
        <v>0</v>
      </c>
      <c r="AO172" s="3">
        <f>VLOOKUP(Tableau3[[#This Row],[essence]],Tableau7[],19,FALSE)</f>
        <v>0</v>
      </c>
      <c r="AP172" s="3">
        <f>IF(Tableau3[[#This Row],[priorecol]]="S",1,0)</f>
        <v>1</v>
      </c>
      <c r="AQ172" s="3">
        <f>VLOOKUP(Tableau3[[#This Row],[essence]],Tableau7[],21,FALSE)</f>
        <v>0</v>
      </c>
      <c r="AR172" s="3">
        <f>VLOOKUP(Tableau3[[#This Row],[essence]],Tableau7[],16,FALSE)</f>
        <v>0</v>
      </c>
      <c r="AS17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1.2188999999999999</v>
      </c>
      <c r="AT172" s="3">
        <f>Tableau3[[#This Row],[xb_]]+Tableau3[[#This Row],[b_intercept_C]]</f>
        <v>2.1497999999999999</v>
      </c>
      <c r="AU172" s="3">
        <f>Tableau3[[#This Row],[xb_]]+Tableau3[[#This Row],[b_intercept_B]]</f>
        <v>0.37359999999999982</v>
      </c>
      <c r="AV172" s="3">
        <f>1/(1+EXP(-Tableau3[[#This Row],[xb_c]]))</f>
        <v>0.89565008615819364</v>
      </c>
      <c r="AW172" s="3">
        <f>1/(1+EXP(-Tableau3[[#This Row],[xb_b]]))</f>
        <v>0.59232857809485484</v>
      </c>
      <c r="AX172" s="3" t="str">
        <f t="shared" si="5"/>
        <v>NA</v>
      </c>
      <c r="AY172" s="3">
        <f>Tableau3[[#This Row],[prob_b]]</f>
        <v>0.59232857809485484</v>
      </c>
      <c r="AZ172" s="3">
        <f>Tableau3[[#This Row],[prob_c]]-Tableau3[[#This Row],[prob_b]]</f>
        <v>0.3033215080633388</v>
      </c>
      <c r="BA172" s="3">
        <f>1-Tableau3[[#This Row],[prob_c]]</f>
        <v>0.10434991384180636</v>
      </c>
    </row>
    <row r="173" spans="1:53" x14ac:dyDescent="0.25">
      <c r="A173" s="3">
        <v>3</v>
      </c>
      <c r="B173" s="3" t="s">
        <v>11</v>
      </c>
      <c r="C173" s="1">
        <v>2.1</v>
      </c>
      <c r="D173" s="1">
        <v>700</v>
      </c>
      <c r="E173" s="1">
        <v>20</v>
      </c>
      <c r="F173" s="1">
        <v>1</v>
      </c>
      <c r="G173" s="3">
        <v>48</v>
      </c>
      <c r="H173" s="3">
        <v>39</v>
      </c>
      <c r="I173" s="3" t="s">
        <v>26</v>
      </c>
      <c r="J173" s="3" t="s">
        <v>29</v>
      </c>
      <c r="K173" s="3">
        <f>VLOOKUP(Tableau3[[#This Row],[essence]],Tableau7[],2,FALSE)</f>
        <v>-1.7838000000000001</v>
      </c>
      <c r="L173" s="3">
        <f>VLOOKUP(Tableau3[[#This Row],[essence]],Tableau7[],3,FALSE)</f>
        <v>-7.3400000000000007E-2</v>
      </c>
      <c r="M173" s="3">
        <f>VLOOKUP(Tableau3[[#This Row],[essence]],Tableau7[],4,FALSE)</f>
        <v>1.5893999999999999</v>
      </c>
      <c r="N173" s="3">
        <f>IF(Tableau3[[#This Row],[priorecol]]="C",1,0)</f>
        <v>0</v>
      </c>
      <c r="O173" s="3">
        <f>VLOOKUP(Tableau3[[#This Row],[essence]],Tableau7[],5,FALSE)</f>
        <v>2.1800000000000002</v>
      </c>
      <c r="P173" s="3">
        <f>IF(Tableau3[[#This Row],[priorecol]]="R",1,0)</f>
        <v>0</v>
      </c>
      <c r="Q173" s="3">
        <f>VLOOKUP(Tableau3[[#This Row],[essence]],Tableau7[],6,FALSE)</f>
        <v>0.91710000000000003</v>
      </c>
      <c r="R173" s="3">
        <f>IF(Tableau3[[#This Row],[priorecol]]="S",1,0)</f>
        <v>1</v>
      </c>
      <c r="S173" s="3">
        <f>VLOOKUP(Tableau3[[#This Row],[essence]],Tableau7[],7,FALSE)</f>
        <v>0</v>
      </c>
      <c r="T173" s="3">
        <f>VLOOKUP(Tableau3[[#This Row],[essence]],Tableau7[],15,FALSE)</f>
        <v>0</v>
      </c>
      <c r="U173" s="3">
        <f>VLOOKUP(Tableau3[[#This Row],[essence]],Tableau7[],20,FALSE)</f>
        <v>0</v>
      </c>
      <c r="V173" s="3">
        <f>IF(Tableau3[[#This Row],[sdom]]=1,1,0)</f>
        <v>0</v>
      </c>
      <c r="W173" s="3">
        <f>VLOOKUP(Tableau3[[#This Row],[essence]],Tableau7[],8,FALSE)</f>
        <v>0</v>
      </c>
      <c r="X173" s="3">
        <f>IF(Tableau3[[#This Row],[sdom]]="2EST",1,0)</f>
        <v>0</v>
      </c>
      <c r="Y173" s="3">
        <f>VLOOKUP(Tableau3[[#This Row],[essence]],Tableau7[],9,FALSE)</f>
        <v>-0.22550000000000001</v>
      </c>
      <c r="Z173" s="3">
        <f>IF(Tableau3[[#This Row],[sdom]]="2OUEST",1,0)</f>
        <v>1</v>
      </c>
      <c r="AA173" s="3">
        <f>VLOOKUP(Tableau3[[#This Row],[essence]],Tableau7[],10,FALSE)</f>
        <v>0</v>
      </c>
      <c r="AB173" s="3">
        <f>IF(Tableau3[[#This Row],[sdom]]="3EST",1,0)</f>
        <v>0</v>
      </c>
      <c r="AC173" s="3">
        <f>VLOOKUP(Tableau3[[#This Row],[essence]],Tableau7[],11,FALSE)</f>
        <v>0.3513</v>
      </c>
      <c r="AD173" s="3">
        <f>IF(Tableau3[[#This Row],[sdom]]="3OUEST",1,0)</f>
        <v>0</v>
      </c>
      <c r="AE173" s="3">
        <f>VLOOKUP(Tableau3[[#This Row],[essence]],Tableau7[],12,FALSE)</f>
        <v>-0.42259999999999998</v>
      </c>
      <c r="AF173" s="3">
        <f>IF(Tableau3[[#This Row],[sdom]]="4EST",1,0)</f>
        <v>0</v>
      </c>
      <c r="AG173" s="3">
        <f>VLOOKUP(Tableau3[[#This Row],[essence]],Tableau7[],13,FALSE)</f>
        <v>0.25390000000000001</v>
      </c>
      <c r="AH173" s="3">
        <f>IF(Tableau3[[#This Row],[sdom]]="4OUEST",1,0)</f>
        <v>0</v>
      </c>
      <c r="AI173" s="3">
        <f>VLOOKUP(Tableau3[[#This Row],[essence]],Tableau7[],14,FALSE)</f>
        <v>4.6199999999999998E-2</v>
      </c>
      <c r="AJ173" s="3">
        <f>IF(Tableau3[[#This Row],[sdom]]="5EST",1,0)</f>
        <v>0</v>
      </c>
      <c r="AK173" s="3">
        <f>VLOOKUP(Tableau3[[#This Row],[essence]],Tableau7[],17,FALSE)</f>
        <v>0</v>
      </c>
      <c r="AL173" s="3">
        <f>IF(Tableau3[[#This Row],[priorecol]]="C",1,0)</f>
        <v>0</v>
      </c>
      <c r="AM173" s="3">
        <f>VLOOKUP(Tableau3[[#This Row],[essence]],Tableau7[],18,FALSE)</f>
        <v>0</v>
      </c>
      <c r="AN173" s="3">
        <f>IF(Tableau3[[#This Row],[priorecol]]="R",1,0)</f>
        <v>0</v>
      </c>
      <c r="AO173" s="3">
        <f>VLOOKUP(Tableau3[[#This Row],[essence]],Tableau7[],19,FALSE)</f>
        <v>0</v>
      </c>
      <c r="AP173" s="3">
        <f>IF(Tableau3[[#This Row],[priorecol]]="S",1,0)</f>
        <v>1</v>
      </c>
      <c r="AQ173" s="3">
        <f>VLOOKUP(Tableau3[[#This Row],[essence]],Tableau7[],21,FALSE)</f>
        <v>0</v>
      </c>
      <c r="AR173" s="3">
        <f>VLOOKUP(Tableau3[[#This Row],[essence]],Tableau7[],16,FALSE)</f>
        <v>0.24340000000000001</v>
      </c>
      <c r="AS17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1.2027399999999999</v>
      </c>
      <c r="AT173" s="3">
        <f>Tableau3[[#This Row],[xb_]]+Tableau3[[#This Row],[b_intercept_C]]</f>
        <v>1.12934</v>
      </c>
      <c r="AU173" s="3">
        <f>Tableau3[[#This Row],[xb_]]+Tableau3[[#This Row],[b_intercept_B]]</f>
        <v>-0.58106000000000013</v>
      </c>
      <c r="AV173" s="3">
        <f>1/(1+EXP(-Tableau3[[#This Row],[xb_c]]))</f>
        <v>0.7557170778671688</v>
      </c>
      <c r="AW173" s="3">
        <f>1/(1+EXP(-Tableau3[[#This Row],[xb_b]]))</f>
        <v>0.35868872416809472</v>
      </c>
      <c r="AX173" s="3" t="str">
        <f t="shared" si="5"/>
        <v>NA</v>
      </c>
      <c r="AY173" s="3">
        <f>Tableau3[[#This Row],[prob_b]]</f>
        <v>0.35868872416809472</v>
      </c>
      <c r="AZ173" s="3">
        <f>Tableau3[[#This Row],[prob_c]]-Tableau3[[#This Row],[prob_b]]</f>
        <v>0.39702835369907408</v>
      </c>
      <c r="BA173" s="3">
        <f>1-Tableau3[[#This Row],[prob_c]]</f>
        <v>0.2442829221328312</v>
      </c>
    </row>
    <row r="174" spans="1:53" x14ac:dyDescent="0.25">
      <c r="A174" s="2">
        <v>4</v>
      </c>
      <c r="B174" s="2" t="s">
        <v>12</v>
      </c>
      <c r="C174" s="4">
        <v>2.1</v>
      </c>
      <c r="D174" s="4">
        <v>700</v>
      </c>
      <c r="E174" s="4">
        <v>20</v>
      </c>
      <c r="F174" s="4">
        <v>1</v>
      </c>
      <c r="G174" s="2">
        <v>30</v>
      </c>
      <c r="H174" s="2">
        <v>39</v>
      </c>
      <c r="I174" s="2" t="s">
        <v>20</v>
      </c>
      <c r="J174" s="2" t="s">
        <v>29</v>
      </c>
      <c r="K174" s="2">
        <f>VLOOKUP(Tableau3[[#This Row],[essence]],Tableau7[],2,FALSE)</f>
        <v>-0.80379999999999996</v>
      </c>
      <c r="L174" s="3">
        <f>VLOOKUP(Tableau3[[#This Row],[essence]],Tableau7[],3,FALSE)</f>
        <v>0.88800000000000001</v>
      </c>
      <c r="M174" s="3">
        <f>VLOOKUP(Tableau3[[#This Row],[essence]],Tableau7[],4,FALSE)</f>
        <v>1.5212000000000001</v>
      </c>
      <c r="N174" s="3">
        <f>IF(Tableau3[[#This Row],[priorecol]]="C",1,0)</f>
        <v>0</v>
      </c>
      <c r="O174" s="3">
        <f>VLOOKUP(Tableau3[[#This Row],[essence]],Tableau7[],5,FALSE)</f>
        <v>1.8714999999999999</v>
      </c>
      <c r="P174" s="3">
        <f>IF(Tableau3[[#This Row],[priorecol]]="R",1,0)</f>
        <v>0</v>
      </c>
      <c r="Q174" s="3">
        <f>VLOOKUP(Tableau3[[#This Row],[essence]],Tableau7[],6,FALSE)</f>
        <v>0.51549999999999996</v>
      </c>
      <c r="R174" s="3">
        <f>IF(Tableau3[[#This Row],[priorecol]]="S",1,0)</f>
        <v>1</v>
      </c>
      <c r="S174" s="3">
        <f>VLOOKUP(Tableau3[[#This Row],[essence]],Tableau7[],7,FALSE)</f>
        <v>0</v>
      </c>
      <c r="T174" s="3">
        <f>VLOOKUP(Tableau3[[#This Row],[essence]],Tableau7[],15,FALSE)</f>
        <v>9.0500000000000008E-3</v>
      </c>
      <c r="U174" s="3">
        <f>VLOOKUP(Tableau3[[#This Row],[essence]],Tableau7[],20,FALSE)</f>
        <v>0</v>
      </c>
      <c r="V174" s="3">
        <f>IF(Tableau3[[#This Row],[sdom]]=1,1,0)</f>
        <v>0</v>
      </c>
      <c r="W174" s="3">
        <f>VLOOKUP(Tableau3[[#This Row],[essence]],Tableau7[],8,FALSE)</f>
        <v>0</v>
      </c>
      <c r="X174" s="3">
        <f>IF(Tableau3[[#This Row],[sdom]]="2EST",1,0)</f>
        <v>0</v>
      </c>
      <c r="Y174" s="3">
        <f>VLOOKUP(Tableau3[[#This Row],[essence]],Tableau7[],9,FALSE)</f>
        <v>-4.5199999999999997E-2</v>
      </c>
      <c r="Z174" s="3">
        <f>IF(Tableau3[[#This Row],[sdom]]="2OUEST",1,0)</f>
        <v>0</v>
      </c>
      <c r="AA174" s="3">
        <f>VLOOKUP(Tableau3[[#This Row],[essence]],Tableau7[],10,FALSE)</f>
        <v>1.15E-2</v>
      </c>
      <c r="AB174" s="3">
        <f>IF(Tableau3[[#This Row],[sdom]]="3EST",1,0)</f>
        <v>1</v>
      </c>
      <c r="AC174" s="3">
        <f>VLOOKUP(Tableau3[[#This Row],[essence]],Tableau7[],11,FALSE)</f>
        <v>0.1169</v>
      </c>
      <c r="AD174" s="3">
        <f>IF(Tableau3[[#This Row],[sdom]]="3OUEST",1,0)</f>
        <v>0</v>
      </c>
      <c r="AE174" s="3">
        <f>VLOOKUP(Tableau3[[#This Row],[essence]],Tableau7[],12,FALSE)</f>
        <v>-0.1686</v>
      </c>
      <c r="AF174" s="3">
        <f>IF(Tableau3[[#This Row],[sdom]]="4EST",1,0)</f>
        <v>0</v>
      </c>
      <c r="AG174" s="3">
        <f>VLOOKUP(Tableau3[[#This Row],[essence]],Tableau7[],13,FALSE)</f>
        <v>0.11940000000000001</v>
      </c>
      <c r="AH174" s="3">
        <f>IF(Tableau3[[#This Row],[sdom]]="4OUEST",1,0)</f>
        <v>0</v>
      </c>
      <c r="AI174" s="3">
        <f>VLOOKUP(Tableau3[[#This Row],[essence]],Tableau7[],14,FALSE)</f>
        <v>-0.13100000000000001</v>
      </c>
      <c r="AJ174" s="3">
        <f>IF(Tableau3[[#This Row],[sdom]]="5EST",1,0)</f>
        <v>0</v>
      </c>
      <c r="AK174" s="3">
        <f>VLOOKUP(Tableau3[[#This Row],[essence]],Tableau7[],17,FALSE)</f>
        <v>-1.8599999999999998E-2</v>
      </c>
      <c r="AL174" s="3">
        <f>IF(Tableau3[[#This Row],[priorecol]]="C",1,0)</f>
        <v>0</v>
      </c>
      <c r="AM174" s="3">
        <f>VLOOKUP(Tableau3[[#This Row],[essence]],Tableau7[],18,FALSE)</f>
        <v>-8.5500000000000003E-3</v>
      </c>
      <c r="AN174" s="3">
        <f>IF(Tableau3[[#This Row],[priorecol]]="R",1,0)</f>
        <v>0</v>
      </c>
      <c r="AO174" s="3">
        <f>VLOOKUP(Tableau3[[#This Row],[essence]],Tableau7[],19,FALSE)</f>
        <v>1.54E-2</v>
      </c>
      <c r="AP174" s="3">
        <f>IF(Tableau3[[#This Row],[priorecol]]="S",1,0)</f>
        <v>1</v>
      </c>
      <c r="AQ174" s="3">
        <f>VLOOKUP(Tableau3[[#This Row],[essence]],Tableau7[],21,FALSE)</f>
        <v>0</v>
      </c>
      <c r="AR174" s="3">
        <f>VLOOKUP(Tableau3[[#This Row],[essence]],Tableau7[],16,FALSE)</f>
        <v>0</v>
      </c>
      <c r="AS17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1.016</v>
      </c>
      <c r="AT174" s="3">
        <f>Tableau3[[#This Row],[xb_]]+Tableau3[[#This Row],[b_intercept_C]]</f>
        <v>1.9039999999999999</v>
      </c>
      <c r="AU174" s="3">
        <f>Tableau3[[#This Row],[xb_]]+Tableau3[[#This Row],[b_intercept_B]]</f>
        <v>0.21220000000000006</v>
      </c>
      <c r="AV174" s="3">
        <f>1/(1+EXP(-Tableau3[[#This Row],[xb_c]]))</f>
        <v>0.87034357723109945</v>
      </c>
      <c r="AW174" s="3">
        <f>1/(1+EXP(-Tableau3[[#This Row],[xb_b]]))</f>
        <v>0.5528518273040175</v>
      </c>
      <c r="AX174" s="3" t="str">
        <f t="shared" si="5"/>
        <v>NA</v>
      </c>
      <c r="AY174" s="3">
        <f>Tableau3[[#This Row],[prob_b]]</f>
        <v>0.5528518273040175</v>
      </c>
      <c r="AZ174" s="3">
        <f>Tableau3[[#This Row],[prob_c]]-Tableau3[[#This Row],[prob_b]]</f>
        <v>0.31749174992708196</v>
      </c>
      <c r="BA174" s="3">
        <f>1-Tableau3[[#This Row],[prob_c]]</f>
        <v>0.12965642276890055</v>
      </c>
    </row>
    <row r="175" spans="1:53" x14ac:dyDescent="0.25">
      <c r="A175" s="3">
        <v>4</v>
      </c>
      <c r="B175" s="3" t="s">
        <v>12</v>
      </c>
      <c r="C175" s="1">
        <v>2.1</v>
      </c>
      <c r="D175" s="1">
        <v>700</v>
      </c>
      <c r="E175" s="1">
        <v>20</v>
      </c>
      <c r="F175" s="1">
        <v>1</v>
      </c>
      <c r="G175" s="3">
        <v>36</v>
      </c>
      <c r="H175" s="3">
        <v>39</v>
      </c>
      <c r="I175" s="3" t="s">
        <v>22</v>
      </c>
      <c r="J175" s="3" t="s">
        <v>29</v>
      </c>
      <c r="K175" s="3">
        <f>VLOOKUP(Tableau3[[#This Row],[essence]],Tableau7[],2,FALSE)</f>
        <v>-1.8420000000000001</v>
      </c>
      <c r="L175" s="3">
        <f>VLOOKUP(Tableau3[[#This Row],[essence]],Tableau7[],3,FALSE)</f>
        <v>0.2177</v>
      </c>
      <c r="M175" s="3">
        <f>VLOOKUP(Tableau3[[#This Row],[essence]],Tableau7[],4,FALSE)</f>
        <v>1.9473</v>
      </c>
      <c r="N175" s="3">
        <f>IF(Tableau3[[#This Row],[priorecol]]="C",1,0)</f>
        <v>0</v>
      </c>
      <c r="O175" s="3">
        <f>VLOOKUP(Tableau3[[#This Row],[essence]],Tableau7[],5,FALSE)</f>
        <v>3.0630999999999999</v>
      </c>
      <c r="P175" s="3">
        <f>IF(Tableau3[[#This Row],[priorecol]]="R",1,0)</f>
        <v>0</v>
      </c>
      <c r="Q175" s="3">
        <f>VLOOKUP(Tableau3[[#This Row],[essence]],Tableau7[],6,FALSE)</f>
        <v>1.5014000000000001</v>
      </c>
      <c r="R175" s="3">
        <f>IF(Tableau3[[#This Row],[priorecol]]="S",1,0)</f>
        <v>1</v>
      </c>
      <c r="S175" s="3">
        <f>VLOOKUP(Tableau3[[#This Row],[essence]],Tableau7[],7,FALSE)</f>
        <v>0</v>
      </c>
      <c r="T175" s="3">
        <f>VLOOKUP(Tableau3[[#This Row],[essence]],Tableau7[],15,FALSE)</f>
        <v>0</v>
      </c>
      <c r="U175" s="3">
        <f>VLOOKUP(Tableau3[[#This Row],[essence]],Tableau7[],20,FALSE)</f>
        <v>0.49399999999999999</v>
      </c>
      <c r="V175" s="3">
        <f>IF(Tableau3[[#This Row],[sdom]]=1,1,0)</f>
        <v>0</v>
      </c>
      <c r="W175" s="3">
        <f>VLOOKUP(Tableau3[[#This Row],[essence]],Tableau7[],8,FALSE)</f>
        <v>0.42420000000000002</v>
      </c>
      <c r="X175" s="3">
        <f>IF(Tableau3[[#This Row],[sdom]]="2EST",1,0)</f>
        <v>0</v>
      </c>
      <c r="Y175" s="3">
        <f>VLOOKUP(Tableau3[[#This Row],[essence]],Tableau7[],9,FALSE)</f>
        <v>7.4300000000000005E-2</v>
      </c>
      <c r="Z175" s="3">
        <f>IF(Tableau3[[#This Row],[sdom]]="2OUEST",1,0)</f>
        <v>0</v>
      </c>
      <c r="AA175" s="3">
        <f>VLOOKUP(Tableau3[[#This Row],[essence]],Tableau7[],10,FALSE)</f>
        <v>-6.7000000000000004E-2</v>
      </c>
      <c r="AB175" s="3">
        <f>IF(Tableau3[[#This Row],[sdom]]="3EST",1,0)</f>
        <v>1</v>
      </c>
      <c r="AC175" s="3">
        <f>VLOOKUP(Tableau3[[#This Row],[essence]],Tableau7[],11,FALSE)</f>
        <v>-8.3400000000000002E-2</v>
      </c>
      <c r="AD175" s="3">
        <f>IF(Tableau3[[#This Row],[sdom]]="3OUEST",1,0)</f>
        <v>0</v>
      </c>
      <c r="AE175" s="3">
        <f>VLOOKUP(Tableau3[[#This Row],[essence]],Tableau7[],12,FALSE)</f>
        <v>-0.26840000000000003</v>
      </c>
      <c r="AF175" s="3">
        <f>IF(Tableau3[[#This Row],[sdom]]="4EST",1,0)</f>
        <v>0</v>
      </c>
      <c r="AG175" s="3">
        <f>VLOOKUP(Tableau3[[#This Row],[essence]],Tableau7[],13,FALSE)</f>
        <v>0</v>
      </c>
      <c r="AH175" s="3">
        <f>IF(Tableau3[[#This Row],[sdom]]="4OUEST",1,0)</f>
        <v>0</v>
      </c>
      <c r="AI175" s="3">
        <f>VLOOKUP(Tableau3[[#This Row],[essence]],Tableau7[],14,FALSE)</f>
        <v>0</v>
      </c>
      <c r="AJ175" s="3">
        <f>IF(Tableau3[[#This Row],[sdom]]="5EST",1,0)</f>
        <v>0</v>
      </c>
      <c r="AK175" s="3">
        <f>VLOOKUP(Tableau3[[#This Row],[essence]],Tableau7[],17,FALSE)</f>
        <v>0</v>
      </c>
      <c r="AL175" s="3">
        <f>IF(Tableau3[[#This Row],[priorecol]]="C",1,0)</f>
        <v>0</v>
      </c>
      <c r="AM175" s="3">
        <f>VLOOKUP(Tableau3[[#This Row],[essence]],Tableau7[],18,FALSE)</f>
        <v>0</v>
      </c>
      <c r="AN175" s="3">
        <f>IF(Tableau3[[#This Row],[priorecol]]="R",1,0)</f>
        <v>0</v>
      </c>
      <c r="AO175" s="3">
        <f>VLOOKUP(Tableau3[[#This Row],[essence]],Tableau7[],19,FALSE)</f>
        <v>0</v>
      </c>
      <c r="AP175" s="3">
        <f>IF(Tableau3[[#This Row],[priorecol]]="S",1,0)</f>
        <v>1</v>
      </c>
      <c r="AQ175" s="3">
        <f>VLOOKUP(Tableau3[[#This Row],[essence]],Tableau7[],21,FALSE)</f>
        <v>0</v>
      </c>
      <c r="AR175" s="3">
        <f>VLOOKUP(Tableau3[[#This Row],[essence]],Tableau7[],16,FALSE)</f>
        <v>0</v>
      </c>
      <c r="AS17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1.4344000000000001</v>
      </c>
      <c r="AT175" s="3">
        <f>Tableau3[[#This Row],[xb_]]+Tableau3[[#This Row],[b_intercept_C]]</f>
        <v>1.6521000000000001</v>
      </c>
      <c r="AU175" s="3">
        <f>Tableau3[[#This Row],[xb_]]+Tableau3[[#This Row],[b_intercept_B]]</f>
        <v>-0.40759999999999996</v>
      </c>
      <c r="AV175" s="3">
        <f>1/(1+EXP(-Tableau3[[#This Row],[xb_c]]))</f>
        <v>0.83917466947315367</v>
      </c>
      <c r="AW175" s="3">
        <f>1/(1+EXP(-Tableau3[[#This Row],[xb_b]]))</f>
        <v>0.39948773550345651</v>
      </c>
      <c r="AX175" s="3" t="str">
        <f t="shared" si="5"/>
        <v>NA</v>
      </c>
      <c r="AY175" s="3">
        <f>Tableau3[[#This Row],[prob_b]]</f>
        <v>0.39948773550345651</v>
      </c>
      <c r="AZ175" s="3">
        <f>Tableau3[[#This Row],[prob_c]]-Tableau3[[#This Row],[prob_b]]</f>
        <v>0.43968693396969716</v>
      </c>
      <c r="BA175" s="3">
        <f>1-Tableau3[[#This Row],[prob_c]]</f>
        <v>0.16082533052684633</v>
      </c>
    </row>
    <row r="176" spans="1:53" x14ac:dyDescent="0.25">
      <c r="A176" s="2">
        <v>4</v>
      </c>
      <c r="B176" s="2" t="s">
        <v>12</v>
      </c>
      <c r="C176" s="4">
        <v>2.1</v>
      </c>
      <c r="D176" s="4">
        <v>700</v>
      </c>
      <c r="E176" s="4">
        <v>20</v>
      </c>
      <c r="F176" s="4">
        <v>1</v>
      </c>
      <c r="G176" s="2">
        <v>42</v>
      </c>
      <c r="H176" s="2">
        <v>39</v>
      </c>
      <c r="I176" s="2" t="s">
        <v>24</v>
      </c>
      <c r="J176" s="2" t="s">
        <v>29</v>
      </c>
      <c r="K176" s="2">
        <f>VLOOKUP(Tableau3[[#This Row],[essence]],Tableau7[],2,FALSE)</f>
        <v>-0.84530000000000005</v>
      </c>
      <c r="L176" s="3">
        <f>VLOOKUP(Tableau3[[#This Row],[essence]],Tableau7[],3,FALSE)</f>
        <v>0.93089999999999995</v>
      </c>
      <c r="M176" s="3">
        <f>VLOOKUP(Tableau3[[#This Row],[essence]],Tableau7[],4,FALSE)</f>
        <v>1.4276</v>
      </c>
      <c r="N176" s="3">
        <f>IF(Tableau3[[#This Row],[priorecol]]="C",1,0)</f>
        <v>0</v>
      </c>
      <c r="O176" s="3">
        <f>VLOOKUP(Tableau3[[#This Row],[essence]],Tableau7[],5,FALSE)</f>
        <v>2.468</v>
      </c>
      <c r="P176" s="3">
        <f>IF(Tableau3[[#This Row],[priorecol]]="R",1,0)</f>
        <v>0</v>
      </c>
      <c r="Q176" s="3">
        <f>VLOOKUP(Tableau3[[#This Row],[essence]],Tableau7[],6,FALSE)</f>
        <v>0.86019999999999996</v>
      </c>
      <c r="R176" s="3">
        <f>IF(Tableau3[[#This Row],[priorecol]]="S",1,0)</f>
        <v>1</v>
      </c>
      <c r="S176" s="3">
        <f>VLOOKUP(Tableau3[[#This Row],[essence]],Tableau7[],7,FALSE)</f>
        <v>0</v>
      </c>
      <c r="T176" s="3">
        <f>VLOOKUP(Tableau3[[#This Row],[essence]],Tableau7[],15,FALSE)</f>
        <v>1.7299999999999999E-2</v>
      </c>
      <c r="U176" s="3">
        <f>VLOOKUP(Tableau3[[#This Row],[essence]],Tableau7[],20,FALSE)</f>
        <v>-0.28799999999999998</v>
      </c>
      <c r="V176" s="3">
        <f>IF(Tableau3[[#This Row],[sdom]]=1,1,0)</f>
        <v>0</v>
      </c>
      <c r="W176" s="3">
        <f>VLOOKUP(Tableau3[[#This Row],[essence]],Tableau7[],8,FALSE)</f>
        <v>-0.18859999999999999</v>
      </c>
      <c r="X176" s="3">
        <f>IF(Tableau3[[#This Row],[sdom]]="2EST",1,0)</f>
        <v>0</v>
      </c>
      <c r="Y176" s="3">
        <f>VLOOKUP(Tableau3[[#This Row],[essence]],Tableau7[],9,FALSE)</f>
        <v>1.2699999999999999E-2</v>
      </c>
      <c r="Z176" s="3">
        <f>IF(Tableau3[[#This Row],[sdom]]="2OUEST",1,0)</f>
        <v>0</v>
      </c>
      <c r="AA176" s="3">
        <f>VLOOKUP(Tableau3[[#This Row],[essence]],Tableau7[],10,FALSE)</f>
        <v>0</v>
      </c>
      <c r="AB176" s="3">
        <f>IF(Tableau3[[#This Row],[sdom]]="3EST",1,0)</f>
        <v>1</v>
      </c>
      <c r="AC176" s="3">
        <f>VLOOKUP(Tableau3[[#This Row],[essence]],Tableau7[],11,FALSE)</f>
        <v>0.30009999999999998</v>
      </c>
      <c r="AD176" s="3">
        <f>IF(Tableau3[[#This Row],[sdom]]="3OUEST",1,0)</f>
        <v>0</v>
      </c>
      <c r="AE176" s="3">
        <f>VLOOKUP(Tableau3[[#This Row],[essence]],Tableau7[],12,FALSE)</f>
        <v>0</v>
      </c>
      <c r="AF176" s="3">
        <f>IF(Tableau3[[#This Row],[sdom]]="4EST",1,0)</f>
        <v>0</v>
      </c>
      <c r="AG176" s="3">
        <f>VLOOKUP(Tableau3[[#This Row],[essence]],Tableau7[],13,FALSE)</f>
        <v>0</v>
      </c>
      <c r="AH176" s="3">
        <f>IF(Tableau3[[#This Row],[sdom]]="4OUEST",1,0)</f>
        <v>0</v>
      </c>
      <c r="AI176" s="3">
        <f>VLOOKUP(Tableau3[[#This Row],[essence]],Tableau7[],14,FALSE)</f>
        <v>0</v>
      </c>
      <c r="AJ176" s="3">
        <f>IF(Tableau3[[#This Row],[sdom]]="5EST",1,0)</f>
        <v>0</v>
      </c>
      <c r="AK176" s="3">
        <f>VLOOKUP(Tableau3[[#This Row],[essence]],Tableau7[],17,FALSE)</f>
        <v>0</v>
      </c>
      <c r="AL176" s="3">
        <f>IF(Tableau3[[#This Row],[priorecol]]="C",1,0)</f>
        <v>0</v>
      </c>
      <c r="AM176" s="3">
        <f>VLOOKUP(Tableau3[[#This Row],[essence]],Tableau7[],18,FALSE)</f>
        <v>0</v>
      </c>
      <c r="AN176" s="3">
        <f>IF(Tableau3[[#This Row],[priorecol]]="R",1,0)</f>
        <v>0</v>
      </c>
      <c r="AO176" s="3">
        <f>VLOOKUP(Tableau3[[#This Row],[essence]],Tableau7[],19,FALSE)</f>
        <v>0</v>
      </c>
      <c r="AP176" s="3">
        <f>IF(Tableau3[[#This Row],[priorecol]]="S",1,0)</f>
        <v>1</v>
      </c>
      <c r="AQ176" s="3">
        <f>VLOOKUP(Tableau3[[#This Row],[essence]],Tableau7[],21,FALSE)</f>
        <v>0</v>
      </c>
      <c r="AR176" s="3">
        <f>VLOOKUP(Tableau3[[#This Row],[essence]],Tableau7[],16,FALSE)</f>
        <v>0</v>
      </c>
      <c r="AS17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1.2061999999999999</v>
      </c>
      <c r="AT176" s="3">
        <f>Tableau3[[#This Row],[xb_]]+Tableau3[[#This Row],[b_intercept_C]]</f>
        <v>2.1370999999999998</v>
      </c>
      <c r="AU176" s="3">
        <f>Tableau3[[#This Row],[xb_]]+Tableau3[[#This Row],[b_intercept_B]]</f>
        <v>0.36089999999999989</v>
      </c>
      <c r="AV176" s="3">
        <f>1/(1+EXP(-Tableau3[[#This Row],[xb_c]]))</f>
        <v>0.89445715317649188</v>
      </c>
      <c r="AW176" s="3">
        <f>1/(1+EXP(-Tableau3[[#This Row],[xb_b]]))</f>
        <v>0.58925828120746859</v>
      </c>
      <c r="AX176" s="3" t="str">
        <f t="shared" si="5"/>
        <v>NA</v>
      </c>
      <c r="AY176" s="3">
        <f>Tableau3[[#This Row],[prob_b]]</f>
        <v>0.58925828120746859</v>
      </c>
      <c r="AZ176" s="3">
        <f>Tableau3[[#This Row],[prob_c]]-Tableau3[[#This Row],[prob_b]]</f>
        <v>0.30519887196902329</v>
      </c>
      <c r="BA176" s="3">
        <f>1-Tableau3[[#This Row],[prob_c]]</f>
        <v>0.10554284682350812</v>
      </c>
    </row>
    <row r="177" spans="1:53" x14ac:dyDescent="0.25">
      <c r="A177" s="3">
        <v>4</v>
      </c>
      <c r="B177" s="3" t="s">
        <v>12</v>
      </c>
      <c r="C177" s="1">
        <v>2.1</v>
      </c>
      <c r="D177" s="1">
        <v>700</v>
      </c>
      <c r="E177" s="1">
        <v>20</v>
      </c>
      <c r="F177" s="1">
        <v>1</v>
      </c>
      <c r="G177" s="3">
        <v>48</v>
      </c>
      <c r="H177" s="3">
        <v>39</v>
      </c>
      <c r="I177" s="3" t="s">
        <v>26</v>
      </c>
      <c r="J177" s="3" t="s">
        <v>29</v>
      </c>
      <c r="K177" s="3">
        <f>VLOOKUP(Tableau3[[#This Row],[essence]],Tableau7[],2,FALSE)</f>
        <v>-1.7838000000000001</v>
      </c>
      <c r="L177" s="3">
        <f>VLOOKUP(Tableau3[[#This Row],[essence]],Tableau7[],3,FALSE)</f>
        <v>-7.3400000000000007E-2</v>
      </c>
      <c r="M177" s="3">
        <f>VLOOKUP(Tableau3[[#This Row],[essence]],Tableau7[],4,FALSE)</f>
        <v>1.5893999999999999</v>
      </c>
      <c r="N177" s="3">
        <f>IF(Tableau3[[#This Row],[priorecol]]="C",1,0)</f>
        <v>0</v>
      </c>
      <c r="O177" s="3">
        <f>VLOOKUP(Tableau3[[#This Row],[essence]],Tableau7[],5,FALSE)</f>
        <v>2.1800000000000002</v>
      </c>
      <c r="P177" s="3">
        <f>IF(Tableau3[[#This Row],[priorecol]]="R",1,0)</f>
        <v>0</v>
      </c>
      <c r="Q177" s="3">
        <f>VLOOKUP(Tableau3[[#This Row],[essence]],Tableau7[],6,FALSE)</f>
        <v>0.91710000000000003</v>
      </c>
      <c r="R177" s="3">
        <f>IF(Tableau3[[#This Row],[priorecol]]="S",1,0)</f>
        <v>1</v>
      </c>
      <c r="S177" s="3">
        <f>VLOOKUP(Tableau3[[#This Row],[essence]],Tableau7[],7,FALSE)</f>
        <v>0</v>
      </c>
      <c r="T177" s="3">
        <f>VLOOKUP(Tableau3[[#This Row],[essence]],Tableau7[],15,FALSE)</f>
        <v>0</v>
      </c>
      <c r="U177" s="3">
        <f>VLOOKUP(Tableau3[[#This Row],[essence]],Tableau7[],20,FALSE)</f>
        <v>0</v>
      </c>
      <c r="V177" s="3">
        <f>IF(Tableau3[[#This Row],[sdom]]=1,1,0)</f>
        <v>0</v>
      </c>
      <c r="W177" s="3">
        <f>VLOOKUP(Tableau3[[#This Row],[essence]],Tableau7[],8,FALSE)</f>
        <v>0</v>
      </c>
      <c r="X177" s="3">
        <f>IF(Tableau3[[#This Row],[sdom]]="2EST",1,0)</f>
        <v>0</v>
      </c>
      <c r="Y177" s="3">
        <f>VLOOKUP(Tableau3[[#This Row],[essence]],Tableau7[],9,FALSE)</f>
        <v>-0.22550000000000001</v>
      </c>
      <c r="Z177" s="3">
        <f>IF(Tableau3[[#This Row],[sdom]]="2OUEST",1,0)</f>
        <v>0</v>
      </c>
      <c r="AA177" s="3">
        <f>VLOOKUP(Tableau3[[#This Row],[essence]],Tableau7[],10,FALSE)</f>
        <v>0</v>
      </c>
      <c r="AB177" s="3">
        <f>IF(Tableau3[[#This Row],[sdom]]="3EST",1,0)</f>
        <v>1</v>
      </c>
      <c r="AC177" s="3">
        <f>VLOOKUP(Tableau3[[#This Row],[essence]],Tableau7[],11,FALSE)</f>
        <v>0.3513</v>
      </c>
      <c r="AD177" s="3">
        <f>IF(Tableau3[[#This Row],[sdom]]="3OUEST",1,0)</f>
        <v>0</v>
      </c>
      <c r="AE177" s="3">
        <f>VLOOKUP(Tableau3[[#This Row],[essence]],Tableau7[],12,FALSE)</f>
        <v>-0.42259999999999998</v>
      </c>
      <c r="AF177" s="3">
        <f>IF(Tableau3[[#This Row],[sdom]]="4EST",1,0)</f>
        <v>0</v>
      </c>
      <c r="AG177" s="3">
        <f>VLOOKUP(Tableau3[[#This Row],[essence]],Tableau7[],13,FALSE)</f>
        <v>0.25390000000000001</v>
      </c>
      <c r="AH177" s="3">
        <f>IF(Tableau3[[#This Row],[sdom]]="4OUEST",1,0)</f>
        <v>0</v>
      </c>
      <c r="AI177" s="3">
        <f>VLOOKUP(Tableau3[[#This Row],[essence]],Tableau7[],14,FALSE)</f>
        <v>4.6199999999999998E-2</v>
      </c>
      <c r="AJ177" s="3">
        <f>IF(Tableau3[[#This Row],[sdom]]="5EST",1,0)</f>
        <v>0</v>
      </c>
      <c r="AK177" s="3">
        <f>VLOOKUP(Tableau3[[#This Row],[essence]],Tableau7[],17,FALSE)</f>
        <v>0</v>
      </c>
      <c r="AL177" s="3">
        <f>IF(Tableau3[[#This Row],[priorecol]]="C",1,0)</f>
        <v>0</v>
      </c>
      <c r="AM177" s="3">
        <f>VLOOKUP(Tableau3[[#This Row],[essence]],Tableau7[],18,FALSE)</f>
        <v>0</v>
      </c>
      <c r="AN177" s="3">
        <f>IF(Tableau3[[#This Row],[priorecol]]="R",1,0)</f>
        <v>0</v>
      </c>
      <c r="AO177" s="3">
        <f>VLOOKUP(Tableau3[[#This Row],[essence]],Tableau7[],19,FALSE)</f>
        <v>0</v>
      </c>
      <c r="AP177" s="3">
        <f>IF(Tableau3[[#This Row],[priorecol]]="S",1,0)</f>
        <v>1</v>
      </c>
      <c r="AQ177" s="3">
        <f>VLOOKUP(Tableau3[[#This Row],[essence]],Tableau7[],21,FALSE)</f>
        <v>0</v>
      </c>
      <c r="AR177" s="3">
        <f>VLOOKUP(Tableau3[[#This Row],[essence]],Tableau7[],16,FALSE)</f>
        <v>0.24340000000000001</v>
      </c>
      <c r="AS17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1.4282400000000002</v>
      </c>
      <c r="AT177" s="3">
        <f>Tableau3[[#This Row],[xb_]]+Tableau3[[#This Row],[b_intercept_C]]</f>
        <v>1.3548400000000003</v>
      </c>
      <c r="AU177" s="3">
        <f>Tableau3[[#This Row],[xb_]]+Tableau3[[#This Row],[b_intercept_B]]</f>
        <v>-0.35555999999999988</v>
      </c>
      <c r="AV177" s="3">
        <f>1/(1+EXP(-Tableau3[[#This Row],[xb_c]]))</f>
        <v>0.79491978256994666</v>
      </c>
      <c r="AW177" s="3">
        <f>1/(1+EXP(-Tableau3[[#This Row],[xb_b]]))</f>
        <v>0.41203478804965638</v>
      </c>
      <c r="AX177" s="3" t="str">
        <f t="shared" si="5"/>
        <v>NA</v>
      </c>
      <c r="AY177" s="3">
        <f>Tableau3[[#This Row],[prob_b]]</f>
        <v>0.41203478804965638</v>
      </c>
      <c r="AZ177" s="3">
        <f>Tableau3[[#This Row],[prob_c]]-Tableau3[[#This Row],[prob_b]]</f>
        <v>0.38288499452029029</v>
      </c>
      <c r="BA177" s="3">
        <f>1-Tableau3[[#This Row],[prob_c]]</f>
        <v>0.20508021743005334</v>
      </c>
    </row>
    <row r="178" spans="1:53" x14ac:dyDescent="0.25">
      <c r="A178" s="2">
        <v>5</v>
      </c>
      <c r="B178" s="2" t="s">
        <v>13</v>
      </c>
      <c r="C178" s="4">
        <v>2.1</v>
      </c>
      <c r="D178" s="4">
        <v>700</v>
      </c>
      <c r="E178" s="4">
        <v>20</v>
      </c>
      <c r="F178" s="4">
        <v>1</v>
      </c>
      <c r="G178" s="2">
        <v>30</v>
      </c>
      <c r="H178" s="2">
        <v>39</v>
      </c>
      <c r="I178" s="2" t="s">
        <v>20</v>
      </c>
      <c r="J178" s="2" t="s">
        <v>29</v>
      </c>
      <c r="K178" s="2">
        <f>VLOOKUP(Tableau3[[#This Row],[essence]],Tableau7[],2,FALSE)</f>
        <v>-0.80379999999999996</v>
      </c>
      <c r="L178" s="3">
        <f>VLOOKUP(Tableau3[[#This Row],[essence]],Tableau7[],3,FALSE)</f>
        <v>0.88800000000000001</v>
      </c>
      <c r="M178" s="3">
        <f>VLOOKUP(Tableau3[[#This Row],[essence]],Tableau7[],4,FALSE)</f>
        <v>1.5212000000000001</v>
      </c>
      <c r="N178" s="3">
        <f>IF(Tableau3[[#This Row],[priorecol]]="C",1,0)</f>
        <v>0</v>
      </c>
      <c r="O178" s="3">
        <f>VLOOKUP(Tableau3[[#This Row],[essence]],Tableau7[],5,FALSE)</f>
        <v>1.8714999999999999</v>
      </c>
      <c r="P178" s="3">
        <f>IF(Tableau3[[#This Row],[priorecol]]="R",1,0)</f>
        <v>0</v>
      </c>
      <c r="Q178" s="3">
        <f>VLOOKUP(Tableau3[[#This Row],[essence]],Tableau7[],6,FALSE)</f>
        <v>0.51549999999999996</v>
      </c>
      <c r="R178" s="3">
        <f>IF(Tableau3[[#This Row],[priorecol]]="S",1,0)</f>
        <v>1</v>
      </c>
      <c r="S178" s="3">
        <f>VLOOKUP(Tableau3[[#This Row],[essence]],Tableau7[],7,FALSE)</f>
        <v>0</v>
      </c>
      <c r="T178" s="3">
        <f>VLOOKUP(Tableau3[[#This Row],[essence]],Tableau7[],15,FALSE)</f>
        <v>9.0500000000000008E-3</v>
      </c>
      <c r="U178" s="3">
        <f>VLOOKUP(Tableau3[[#This Row],[essence]],Tableau7[],20,FALSE)</f>
        <v>0</v>
      </c>
      <c r="V178" s="3">
        <f>IF(Tableau3[[#This Row],[sdom]]=1,1,0)</f>
        <v>0</v>
      </c>
      <c r="W178" s="3">
        <f>VLOOKUP(Tableau3[[#This Row],[essence]],Tableau7[],8,FALSE)</f>
        <v>0</v>
      </c>
      <c r="X178" s="3">
        <f>IF(Tableau3[[#This Row],[sdom]]="2EST",1,0)</f>
        <v>0</v>
      </c>
      <c r="Y178" s="3">
        <f>VLOOKUP(Tableau3[[#This Row],[essence]],Tableau7[],9,FALSE)</f>
        <v>-4.5199999999999997E-2</v>
      </c>
      <c r="Z178" s="3">
        <f>IF(Tableau3[[#This Row],[sdom]]="2OUEST",1,0)</f>
        <v>0</v>
      </c>
      <c r="AA178" s="3">
        <f>VLOOKUP(Tableau3[[#This Row],[essence]],Tableau7[],10,FALSE)</f>
        <v>1.15E-2</v>
      </c>
      <c r="AB178" s="3">
        <f>IF(Tableau3[[#This Row],[sdom]]="3EST",1,0)</f>
        <v>0</v>
      </c>
      <c r="AC178" s="3">
        <f>VLOOKUP(Tableau3[[#This Row],[essence]],Tableau7[],11,FALSE)</f>
        <v>0.1169</v>
      </c>
      <c r="AD178" s="3">
        <f>IF(Tableau3[[#This Row],[sdom]]="3OUEST",1,0)</f>
        <v>1</v>
      </c>
      <c r="AE178" s="3">
        <f>VLOOKUP(Tableau3[[#This Row],[essence]],Tableau7[],12,FALSE)</f>
        <v>-0.1686</v>
      </c>
      <c r="AF178" s="3">
        <f>IF(Tableau3[[#This Row],[sdom]]="4EST",1,0)</f>
        <v>0</v>
      </c>
      <c r="AG178" s="3">
        <f>VLOOKUP(Tableau3[[#This Row],[essence]],Tableau7[],13,FALSE)</f>
        <v>0.11940000000000001</v>
      </c>
      <c r="AH178" s="3">
        <f>IF(Tableau3[[#This Row],[sdom]]="4OUEST",1,0)</f>
        <v>0</v>
      </c>
      <c r="AI178" s="3">
        <f>VLOOKUP(Tableau3[[#This Row],[essence]],Tableau7[],14,FALSE)</f>
        <v>-0.13100000000000001</v>
      </c>
      <c r="AJ178" s="3">
        <f>IF(Tableau3[[#This Row],[sdom]]="5EST",1,0)</f>
        <v>0</v>
      </c>
      <c r="AK178" s="3">
        <f>VLOOKUP(Tableau3[[#This Row],[essence]],Tableau7[],17,FALSE)</f>
        <v>-1.8599999999999998E-2</v>
      </c>
      <c r="AL178" s="3">
        <f>IF(Tableau3[[#This Row],[priorecol]]="C",1,0)</f>
        <v>0</v>
      </c>
      <c r="AM178" s="3">
        <f>VLOOKUP(Tableau3[[#This Row],[essence]],Tableau7[],18,FALSE)</f>
        <v>-8.5500000000000003E-3</v>
      </c>
      <c r="AN178" s="3">
        <f>IF(Tableau3[[#This Row],[priorecol]]="R",1,0)</f>
        <v>0</v>
      </c>
      <c r="AO178" s="3">
        <f>VLOOKUP(Tableau3[[#This Row],[essence]],Tableau7[],19,FALSE)</f>
        <v>1.54E-2</v>
      </c>
      <c r="AP178" s="3">
        <f>IF(Tableau3[[#This Row],[priorecol]]="S",1,0)</f>
        <v>1</v>
      </c>
      <c r="AQ178" s="3">
        <f>VLOOKUP(Tableau3[[#This Row],[essence]],Tableau7[],21,FALSE)</f>
        <v>0</v>
      </c>
      <c r="AR178" s="3">
        <f>VLOOKUP(Tableau3[[#This Row],[essence]],Tableau7[],16,FALSE)</f>
        <v>0</v>
      </c>
      <c r="AS17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1.1214</v>
      </c>
      <c r="AT178" s="3">
        <f>Tableau3[[#This Row],[xb_]]+Tableau3[[#This Row],[b_intercept_C]]</f>
        <v>2.0093999999999999</v>
      </c>
      <c r="AU178" s="3">
        <f>Tableau3[[#This Row],[xb_]]+Tableau3[[#This Row],[b_intercept_B]]</f>
        <v>0.31759999999999999</v>
      </c>
      <c r="AV178" s="3">
        <f>1/(1+EXP(-Tableau3[[#This Row],[xb_c]]))</f>
        <v>0.88178049032234929</v>
      </c>
      <c r="AW178" s="3">
        <f>1/(1+EXP(-Tableau3[[#This Row],[xb_b]]))</f>
        <v>0.57873924266524801</v>
      </c>
      <c r="AX178" s="3" t="str">
        <f t="shared" si="5"/>
        <v>NA</v>
      </c>
      <c r="AY178" s="3">
        <f>Tableau3[[#This Row],[prob_b]]</f>
        <v>0.57873924266524801</v>
      </c>
      <c r="AZ178" s="3">
        <f>Tableau3[[#This Row],[prob_c]]-Tableau3[[#This Row],[prob_b]]</f>
        <v>0.30304124765710128</v>
      </c>
      <c r="BA178" s="3">
        <f>1-Tableau3[[#This Row],[prob_c]]</f>
        <v>0.11821950967765071</v>
      </c>
    </row>
    <row r="179" spans="1:53" x14ac:dyDescent="0.25">
      <c r="A179" s="3">
        <v>5</v>
      </c>
      <c r="B179" s="3" t="s">
        <v>13</v>
      </c>
      <c r="C179" s="1">
        <v>2.1</v>
      </c>
      <c r="D179" s="1">
        <v>700</v>
      </c>
      <c r="E179" s="1">
        <v>20</v>
      </c>
      <c r="F179" s="1">
        <v>1</v>
      </c>
      <c r="G179" s="3">
        <v>36</v>
      </c>
      <c r="H179" s="3">
        <v>39</v>
      </c>
      <c r="I179" s="3" t="s">
        <v>22</v>
      </c>
      <c r="J179" s="3" t="s">
        <v>29</v>
      </c>
      <c r="K179" s="3">
        <f>VLOOKUP(Tableau3[[#This Row],[essence]],Tableau7[],2,FALSE)</f>
        <v>-1.8420000000000001</v>
      </c>
      <c r="L179" s="3">
        <f>VLOOKUP(Tableau3[[#This Row],[essence]],Tableau7[],3,FALSE)</f>
        <v>0.2177</v>
      </c>
      <c r="M179" s="3">
        <f>VLOOKUP(Tableau3[[#This Row],[essence]],Tableau7[],4,FALSE)</f>
        <v>1.9473</v>
      </c>
      <c r="N179" s="3">
        <f>IF(Tableau3[[#This Row],[priorecol]]="C",1,0)</f>
        <v>0</v>
      </c>
      <c r="O179" s="3">
        <f>VLOOKUP(Tableau3[[#This Row],[essence]],Tableau7[],5,FALSE)</f>
        <v>3.0630999999999999</v>
      </c>
      <c r="P179" s="3">
        <f>IF(Tableau3[[#This Row],[priorecol]]="R",1,0)</f>
        <v>0</v>
      </c>
      <c r="Q179" s="3">
        <f>VLOOKUP(Tableau3[[#This Row],[essence]],Tableau7[],6,FALSE)</f>
        <v>1.5014000000000001</v>
      </c>
      <c r="R179" s="3">
        <f>IF(Tableau3[[#This Row],[priorecol]]="S",1,0)</f>
        <v>1</v>
      </c>
      <c r="S179" s="3">
        <f>VLOOKUP(Tableau3[[#This Row],[essence]],Tableau7[],7,FALSE)</f>
        <v>0</v>
      </c>
      <c r="T179" s="3">
        <f>VLOOKUP(Tableau3[[#This Row],[essence]],Tableau7[],15,FALSE)</f>
        <v>0</v>
      </c>
      <c r="U179" s="3">
        <f>VLOOKUP(Tableau3[[#This Row],[essence]],Tableau7[],20,FALSE)</f>
        <v>0.49399999999999999</v>
      </c>
      <c r="V179" s="3">
        <f>IF(Tableau3[[#This Row],[sdom]]=1,1,0)</f>
        <v>0</v>
      </c>
      <c r="W179" s="3">
        <f>VLOOKUP(Tableau3[[#This Row],[essence]],Tableau7[],8,FALSE)</f>
        <v>0.42420000000000002</v>
      </c>
      <c r="X179" s="3">
        <f>IF(Tableau3[[#This Row],[sdom]]="2EST",1,0)</f>
        <v>0</v>
      </c>
      <c r="Y179" s="3">
        <f>VLOOKUP(Tableau3[[#This Row],[essence]],Tableau7[],9,FALSE)</f>
        <v>7.4300000000000005E-2</v>
      </c>
      <c r="Z179" s="3">
        <f>IF(Tableau3[[#This Row],[sdom]]="2OUEST",1,0)</f>
        <v>0</v>
      </c>
      <c r="AA179" s="3">
        <f>VLOOKUP(Tableau3[[#This Row],[essence]],Tableau7[],10,FALSE)</f>
        <v>-6.7000000000000004E-2</v>
      </c>
      <c r="AB179" s="3">
        <f>IF(Tableau3[[#This Row],[sdom]]="3EST",1,0)</f>
        <v>0</v>
      </c>
      <c r="AC179" s="3">
        <f>VLOOKUP(Tableau3[[#This Row],[essence]],Tableau7[],11,FALSE)</f>
        <v>-8.3400000000000002E-2</v>
      </c>
      <c r="AD179" s="3">
        <f>IF(Tableau3[[#This Row],[sdom]]="3OUEST",1,0)</f>
        <v>1</v>
      </c>
      <c r="AE179" s="3">
        <f>VLOOKUP(Tableau3[[#This Row],[essence]],Tableau7[],12,FALSE)</f>
        <v>-0.26840000000000003</v>
      </c>
      <c r="AF179" s="3">
        <f>IF(Tableau3[[#This Row],[sdom]]="4EST",1,0)</f>
        <v>0</v>
      </c>
      <c r="AG179" s="3">
        <f>VLOOKUP(Tableau3[[#This Row],[essence]],Tableau7[],13,FALSE)</f>
        <v>0</v>
      </c>
      <c r="AH179" s="3">
        <f>IF(Tableau3[[#This Row],[sdom]]="4OUEST",1,0)</f>
        <v>0</v>
      </c>
      <c r="AI179" s="3">
        <f>VLOOKUP(Tableau3[[#This Row],[essence]],Tableau7[],14,FALSE)</f>
        <v>0</v>
      </c>
      <c r="AJ179" s="3">
        <f>IF(Tableau3[[#This Row],[sdom]]="5EST",1,0)</f>
        <v>0</v>
      </c>
      <c r="AK179" s="3">
        <f>VLOOKUP(Tableau3[[#This Row],[essence]],Tableau7[],17,FALSE)</f>
        <v>0</v>
      </c>
      <c r="AL179" s="3">
        <f>IF(Tableau3[[#This Row],[priorecol]]="C",1,0)</f>
        <v>0</v>
      </c>
      <c r="AM179" s="3">
        <f>VLOOKUP(Tableau3[[#This Row],[essence]],Tableau7[],18,FALSE)</f>
        <v>0</v>
      </c>
      <c r="AN179" s="3">
        <f>IF(Tableau3[[#This Row],[priorecol]]="R",1,0)</f>
        <v>0</v>
      </c>
      <c r="AO179" s="3">
        <f>VLOOKUP(Tableau3[[#This Row],[essence]],Tableau7[],19,FALSE)</f>
        <v>0</v>
      </c>
      <c r="AP179" s="3">
        <f>IF(Tableau3[[#This Row],[priorecol]]="S",1,0)</f>
        <v>1</v>
      </c>
      <c r="AQ179" s="3">
        <f>VLOOKUP(Tableau3[[#This Row],[essence]],Tableau7[],21,FALSE)</f>
        <v>0</v>
      </c>
      <c r="AR179" s="3">
        <f>VLOOKUP(Tableau3[[#This Row],[essence]],Tableau7[],16,FALSE)</f>
        <v>0</v>
      </c>
      <c r="AS17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1.4180000000000001</v>
      </c>
      <c r="AT179" s="3">
        <f>Tableau3[[#This Row],[xb_]]+Tableau3[[#This Row],[b_intercept_C]]</f>
        <v>1.6357000000000002</v>
      </c>
      <c r="AU179" s="3">
        <f>Tableau3[[#This Row],[xb_]]+Tableau3[[#This Row],[b_intercept_B]]</f>
        <v>-0.42399999999999993</v>
      </c>
      <c r="AV179" s="3">
        <f>1/(1+EXP(-Tableau3[[#This Row],[xb_c]]))</f>
        <v>0.8369489861584698</v>
      </c>
      <c r="AW179" s="3">
        <f>1/(1+EXP(-Tableau3[[#This Row],[xb_b]]))</f>
        <v>0.39555998258063746</v>
      </c>
      <c r="AX179" s="3" t="str">
        <f t="shared" si="5"/>
        <v>NA</v>
      </c>
      <c r="AY179" s="3">
        <f>Tableau3[[#This Row],[prob_b]]</f>
        <v>0.39555998258063746</v>
      </c>
      <c r="AZ179" s="3">
        <f>Tableau3[[#This Row],[prob_c]]-Tableau3[[#This Row],[prob_b]]</f>
        <v>0.44138900357783234</v>
      </c>
      <c r="BA179" s="3">
        <f>1-Tableau3[[#This Row],[prob_c]]</f>
        <v>0.1630510138415302</v>
      </c>
    </row>
    <row r="180" spans="1:53" x14ac:dyDescent="0.25">
      <c r="A180" s="2">
        <v>5</v>
      </c>
      <c r="B180" s="2" t="s">
        <v>13</v>
      </c>
      <c r="C180" s="4">
        <v>2.1</v>
      </c>
      <c r="D180" s="4">
        <v>700</v>
      </c>
      <c r="E180" s="4">
        <v>20</v>
      </c>
      <c r="F180" s="4">
        <v>1</v>
      </c>
      <c r="G180" s="2">
        <v>42</v>
      </c>
      <c r="H180" s="2">
        <v>39</v>
      </c>
      <c r="I180" s="2" t="s">
        <v>24</v>
      </c>
      <c r="J180" s="2" t="s">
        <v>29</v>
      </c>
      <c r="K180" s="2">
        <f>VLOOKUP(Tableau3[[#This Row],[essence]],Tableau7[],2,FALSE)</f>
        <v>-0.84530000000000005</v>
      </c>
      <c r="L180" s="3">
        <f>VLOOKUP(Tableau3[[#This Row],[essence]],Tableau7[],3,FALSE)</f>
        <v>0.93089999999999995</v>
      </c>
      <c r="M180" s="3">
        <f>VLOOKUP(Tableau3[[#This Row],[essence]],Tableau7[],4,FALSE)</f>
        <v>1.4276</v>
      </c>
      <c r="N180" s="3">
        <f>IF(Tableau3[[#This Row],[priorecol]]="C",1,0)</f>
        <v>0</v>
      </c>
      <c r="O180" s="3">
        <f>VLOOKUP(Tableau3[[#This Row],[essence]],Tableau7[],5,FALSE)</f>
        <v>2.468</v>
      </c>
      <c r="P180" s="3">
        <f>IF(Tableau3[[#This Row],[priorecol]]="R",1,0)</f>
        <v>0</v>
      </c>
      <c r="Q180" s="3">
        <f>VLOOKUP(Tableau3[[#This Row],[essence]],Tableau7[],6,FALSE)</f>
        <v>0.86019999999999996</v>
      </c>
      <c r="R180" s="3">
        <f>IF(Tableau3[[#This Row],[priorecol]]="S",1,0)</f>
        <v>1</v>
      </c>
      <c r="S180" s="3">
        <f>VLOOKUP(Tableau3[[#This Row],[essence]],Tableau7[],7,FALSE)</f>
        <v>0</v>
      </c>
      <c r="T180" s="3">
        <f>VLOOKUP(Tableau3[[#This Row],[essence]],Tableau7[],15,FALSE)</f>
        <v>1.7299999999999999E-2</v>
      </c>
      <c r="U180" s="3">
        <f>VLOOKUP(Tableau3[[#This Row],[essence]],Tableau7[],20,FALSE)</f>
        <v>-0.28799999999999998</v>
      </c>
      <c r="V180" s="3">
        <f>IF(Tableau3[[#This Row],[sdom]]=1,1,0)</f>
        <v>0</v>
      </c>
      <c r="W180" s="3">
        <f>VLOOKUP(Tableau3[[#This Row],[essence]],Tableau7[],8,FALSE)</f>
        <v>-0.18859999999999999</v>
      </c>
      <c r="X180" s="3">
        <f>IF(Tableau3[[#This Row],[sdom]]="2EST",1,0)</f>
        <v>0</v>
      </c>
      <c r="Y180" s="3">
        <f>VLOOKUP(Tableau3[[#This Row],[essence]],Tableau7[],9,FALSE)</f>
        <v>1.2699999999999999E-2</v>
      </c>
      <c r="Z180" s="3">
        <f>IF(Tableau3[[#This Row],[sdom]]="2OUEST",1,0)</f>
        <v>0</v>
      </c>
      <c r="AA180" s="3">
        <f>VLOOKUP(Tableau3[[#This Row],[essence]],Tableau7[],10,FALSE)</f>
        <v>0</v>
      </c>
      <c r="AB180" s="3">
        <f>IF(Tableau3[[#This Row],[sdom]]="3EST",1,0)</f>
        <v>0</v>
      </c>
      <c r="AC180" s="3">
        <f>VLOOKUP(Tableau3[[#This Row],[essence]],Tableau7[],11,FALSE)</f>
        <v>0.30009999999999998</v>
      </c>
      <c r="AD180" s="3">
        <f>IF(Tableau3[[#This Row],[sdom]]="3OUEST",1,0)</f>
        <v>1</v>
      </c>
      <c r="AE180" s="3">
        <f>VLOOKUP(Tableau3[[#This Row],[essence]],Tableau7[],12,FALSE)</f>
        <v>0</v>
      </c>
      <c r="AF180" s="3">
        <f>IF(Tableau3[[#This Row],[sdom]]="4EST",1,0)</f>
        <v>0</v>
      </c>
      <c r="AG180" s="3">
        <f>VLOOKUP(Tableau3[[#This Row],[essence]],Tableau7[],13,FALSE)</f>
        <v>0</v>
      </c>
      <c r="AH180" s="3">
        <f>IF(Tableau3[[#This Row],[sdom]]="4OUEST",1,0)</f>
        <v>0</v>
      </c>
      <c r="AI180" s="3">
        <f>VLOOKUP(Tableau3[[#This Row],[essence]],Tableau7[],14,FALSE)</f>
        <v>0</v>
      </c>
      <c r="AJ180" s="3">
        <f>IF(Tableau3[[#This Row],[sdom]]="5EST",1,0)</f>
        <v>0</v>
      </c>
      <c r="AK180" s="3">
        <f>VLOOKUP(Tableau3[[#This Row],[essence]],Tableau7[],17,FALSE)</f>
        <v>0</v>
      </c>
      <c r="AL180" s="3">
        <f>IF(Tableau3[[#This Row],[priorecol]]="C",1,0)</f>
        <v>0</v>
      </c>
      <c r="AM180" s="3">
        <f>VLOOKUP(Tableau3[[#This Row],[essence]],Tableau7[],18,FALSE)</f>
        <v>0</v>
      </c>
      <c r="AN180" s="3">
        <f>IF(Tableau3[[#This Row],[priorecol]]="R",1,0)</f>
        <v>0</v>
      </c>
      <c r="AO180" s="3">
        <f>VLOOKUP(Tableau3[[#This Row],[essence]],Tableau7[],19,FALSE)</f>
        <v>0</v>
      </c>
      <c r="AP180" s="3">
        <f>IF(Tableau3[[#This Row],[priorecol]]="S",1,0)</f>
        <v>1</v>
      </c>
      <c r="AQ180" s="3">
        <f>VLOOKUP(Tableau3[[#This Row],[essence]],Tableau7[],21,FALSE)</f>
        <v>0</v>
      </c>
      <c r="AR180" s="3">
        <f>VLOOKUP(Tableau3[[#This Row],[essence]],Tableau7[],16,FALSE)</f>
        <v>0</v>
      </c>
      <c r="AS18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1.5063</v>
      </c>
      <c r="AT180" s="3">
        <f>Tableau3[[#This Row],[xb_]]+Tableau3[[#This Row],[b_intercept_C]]</f>
        <v>2.4371999999999998</v>
      </c>
      <c r="AU180" s="3">
        <f>Tableau3[[#This Row],[xb_]]+Tableau3[[#This Row],[b_intercept_B]]</f>
        <v>0.66099999999999992</v>
      </c>
      <c r="AV180" s="3">
        <f>1/(1+EXP(-Tableau3[[#This Row],[xb_c]]))</f>
        <v>0.9196203583427518</v>
      </c>
      <c r="AW180" s="3">
        <f>1/(1+EXP(-Tableau3[[#This Row],[xb_b]]))</f>
        <v>0.65948498879140161</v>
      </c>
      <c r="AX180" s="3" t="str">
        <f t="shared" si="5"/>
        <v>NA</v>
      </c>
      <c r="AY180" s="3">
        <f>Tableau3[[#This Row],[prob_b]]</f>
        <v>0.65948498879140161</v>
      </c>
      <c r="AZ180" s="3">
        <f>Tableau3[[#This Row],[prob_c]]-Tableau3[[#This Row],[prob_b]]</f>
        <v>0.26013536955135019</v>
      </c>
      <c r="BA180" s="3">
        <f>1-Tableau3[[#This Row],[prob_c]]</f>
        <v>8.0379641657248202E-2</v>
      </c>
    </row>
    <row r="181" spans="1:53" x14ac:dyDescent="0.25">
      <c r="A181" s="3">
        <v>5</v>
      </c>
      <c r="B181" s="3" t="s">
        <v>13</v>
      </c>
      <c r="C181" s="1">
        <v>2.1</v>
      </c>
      <c r="D181" s="1">
        <v>700</v>
      </c>
      <c r="E181" s="1">
        <v>20</v>
      </c>
      <c r="F181" s="1">
        <v>1</v>
      </c>
      <c r="G181" s="3">
        <v>48</v>
      </c>
      <c r="H181" s="3">
        <v>39</v>
      </c>
      <c r="I181" s="3" t="s">
        <v>26</v>
      </c>
      <c r="J181" s="3" t="s">
        <v>29</v>
      </c>
      <c r="K181" s="3">
        <f>VLOOKUP(Tableau3[[#This Row],[essence]],Tableau7[],2,FALSE)</f>
        <v>-1.7838000000000001</v>
      </c>
      <c r="L181" s="3">
        <f>VLOOKUP(Tableau3[[#This Row],[essence]],Tableau7[],3,FALSE)</f>
        <v>-7.3400000000000007E-2</v>
      </c>
      <c r="M181" s="3">
        <f>VLOOKUP(Tableau3[[#This Row],[essence]],Tableau7[],4,FALSE)</f>
        <v>1.5893999999999999</v>
      </c>
      <c r="N181" s="3">
        <f>IF(Tableau3[[#This Row],[priorecol]]="C",1,0)</f>
        <v>0</v>
      </c>
      <c r="O181" s="3">
        <f>VLOOKUP(Tableau3[[#This Row],[essence]],Tableau7[],5,FALSE)</f>
        <v>2.1800000000000002</v>
      </c>
      <c r="P181" s="3">
        <f>IF(Tableau3[[#This Row],[priorecol]]="R",1,0)</f>
        <v>0</v>
      </c>
      <c r="Q181" s="3">
        <f>VLOOKUP(Tableau3[[#This Row],[essence]],Tableau7[],6,FALSE)</f>
        <v>0.91710000000000003</v>
      </c>
      <c r="R181" s="3">
        <f>IF(Tableau3[[#This Row],[priorecol]]="S",1,0)</f>
        <v>1</v>
      </c>
      <c r="S181" s="3">
        <f>VLOOKUP(Tableau3[[#This Row],[essence]],Tableau7[],7,FALSE)</f>
        <v>0</v>
      </c>
      <c r="T181" s="3">
        <f>VLOOKUP(Tableau3[[#This Row],[essence]],Tableau7[],15,FALSE)</f>
        <v>0</v>
      </c>
      <c r="U181" s="3">
        <f>VLOOKUP(Tableau3[[#This Row],[essence]],Tableau7[],20,FALSE)</f>
        <v>0</v>
      </c>
      <c r="V181" s="3">
        <f>IF(Tableau3[[#This Row],[sdom]]=1,1,0)</f>
        <v>0</v>
      </c>
      <c r="W181" s="3">
        <f>VLOOKUP(Tableau3[[#This Row],[essence]],Tableau7[],8,FALSE)</f>
        <v>0</v>
      </c>
      <c r="X181" s="3">
        <f>IF(Tableau3[[#This Row],[sdom]]="2EST",1,0)</f>
        <v>0</v>
      </c>
      <c r="Y181" s="3">
        <f>VLOOKUP(Tableau3[[#This Row],[essence]],Tableau7[],9,FALSE)</f>
        <v>-0.22550000000000001</v>
      </c>
      <c r="Z181" s="3">
        <f>IF(Tableau3[[#This Row],[sdom]]="2OUEST",1,0)</f>
        <v>0</v>
      </c>
      <c r="AA181" s="3">
        <f>VLOOKUP(Tableau3[[#This Row],[essence]],Tableau7[],10,FALSE)</f>
        <v>0</v>
      </c>
      <c r="AB181" s="3">
        <f>IF(Tableau3[[#This Row],[sdom]]="3EST",1,0)</f>
        <v>0</v>
      </c>
      <c r="AC181" s="3">
        <f>VLOOKUP(Tableau3[[#This Row],[essence]],Tableau7[],11,FALSE)</f>
        <v>0.3513</v>
      </c>
      <c r="AD181" s="3">
        <f>IF(Tableau3[[#This Row],[sdom]]="3OUEST",1,0)</f>
        <v>1</v>
      </c>
      <c r="AE181" s="3">
        <f>VLOOKUP(Tableau3[[#This Row],[essence]],Tableau7[],12,FALSE)</f>
        <v>-0.42259999999999998</v>
      </c>
      <c r="AF181" s="3">
        <f>IF(Tableau3[[#This Row],[sdom]]="4EST",1,0)</f>
        <v>0</v>
      </c>
      <c r="AG181" s="3">
        <f>VLOOKUP(Tableau3[[#This Row],[essence]],Tableau7[],13,FALSE)</f>
        <v>0.25390000000000001</v>
      </c>
      <c r="AH181" s="3">
        <f>IF(Tableau3[[#This Row],[sdom]]="4OUEST",1,0)</f>
        <v>0</v>
      </c>
      <c r="AI181" s="3">
        <f>VLOOKUP(Tableau3[[#This Row],[essence]],Tableau7[],14,FALSE)</f>
        <v>4.6199999999999998E-2</v>
      </c>
      <c r="AJ181" s="3">
        <f>IF(Tableau3[[#This Row],[sdom]]="5EST",1,0)</f>
        <v>0</v>
      </c>
      <c r="AK181" s="3">
        <f>VLOOKUP(Tableau3[[#This Row],[essence]],Tableau7[],17,FALSE)</f>
        <v>0</v>
      </c>
      <c r="AL181" s="3">
        <f>IF(Tableau3[[#This Row],[priorecol]]="C",1,0)</f>
        <v>0</v>
      </c>
      <c r="AM181" s="3">
        <f>VLOOKUP(Tableau3[[#This Row],[essence]],Tableau7[],18,FALSE)</f>
        <v>0</v>
      </c>
      <c r="AN181" s="3">
        <f>IF(Tableau3[[#This Row],[priorecol]]="R",1,0)</f>
        <v>0</v>
      </c>
      <c r="AO181" s="3">
        <f>VLOOKUP(Tableau3[[#This Row],[essence]],Tableau7[],19,FALSE)</f>
        <v>0</v>
      </c>
      <c r="AP181" s="3">
        <f>IF(Tableau3[[#This Row],[priorecol]]="S",1,0)</f>
        <v>1</v>
      </c>
      <c r="AQ181" s="3">
        <f>VLOOKUP(Tableau3[[#This Row],[essence]],Tableau7[],21,FALSE)</f>
        <v>0</v>
      </c>
      <c r="AR181" s="3">
        <f>VLOOKUP(Tableau3[[#This Row],[essence]],Tableau7[],16,FALSE)</f>
        <v>0.24340000000000001</v>
      </c>
      <c r="AS18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1.7795399999999999</v>
      </c>
      <c r="AT181" s="3">
        <f>Tableau3[[#This Row],[xb_]]+Tableau3[[#This Row],[b_intercept_C]]</f>
        <v>1.70614</v>
      </c>
      <c r="AU181" s="3">
        <f>Tableau3[[#This Row],[xb_]]+Tableau3[[#This Row],[b_intercept_B]]</f>
        <v>-4.2600000000001526E-3</v>
      </c>
      <c r="AV181" s="3">
        <f>1/(1+EXP(-Tableau3[[#This Row],[xb_c]]))</f>
        <v>0.8463349539575129</v>
      </c>
      <c r="AW181" s="3">
        <f>1/(1+EXP(-Tableau3[[#This Row],[xb_b]]))</f>
        <v>0.49893500161059656</v>
      </c>
      <c r="AX181" s="3" t="str">
        <f t="shared" si="5"/>
        <v>NA</v>
      </c>
      <c r="AY181" s="3">
        <f>Tableau3[[#This Row],[prob_b]]</f>
        <v>0.49893500161059656</v>
      </c>
      <c r="AZ181" s="3">
        <f>Tableau3[[#This Row],[prob_c]]-Tableau3[[#This Row],[prob_b]]</f>
        <v>0.34739995234691634</v>
      </c>
      <c r="BA181" s="3">
        <f>1-Tableau3[[#This Row],[prob_c]]</f>
        <v>0.1536650460424871</v>
      </c>
    </row>
    <row r="182" spans="1:53" x14ac:dyDescent="0.25">
      <c r="A182" s="2">
        <v>6</v>
      </c>
      <c r="B182" s="2" t="s">
        <v>14</v>
      </c>
      <c r="C182" s="4">
        <v>1.2</v>
      </c>
      <c r="D182" s="4">
        <v>1022</v>
      </c>
      <c r="E182" s="4">
        <v>25</v>
      </c>
      <c r="F182" s="4">
        <v>1</v>
      </c>
      <c r="G182" s="2">
        <v>30</v>
      </c>
      <c r="H182" s="2">
        <v>39</v>
      </c>
      <c r="I182" s="2" t="s">
        <v>20</v>
      </c>
      <c r="J182" s="2" t="s">
        <v>29</v>
      </c>
      <c r="K182" s="2">
        <f>VLOOKUP(Tableau3[[#This Row],[essence]],Tableau7[],2,FALSE)</f>
        <v>-0.80379999999999996</v>
      </c>
      <c r="L182" s="3">
        <f>VLOOKUP(Tableau3[[#This Row],[essence]],Tableau7[],3,FALSE)</f>
        <v>0.88800000000000001</v>
      </c>
      <c r="M182" s="3">
        <f>VLOOKUP(Tableau3[[#This Row],[essence]],Tableau7[],4,FALSE)</f>
        <v>1.5212000000000001</v>
      </c>
      <c r="N182" s="3">
        <f>IF(Tableau3[[#This Row],[priorecol]]="C",1,0)</f>
        <v>0</v>
      </c>
      <c r="O182" s="3">
        <f>VLOOKUP(Tableau3[[#This Row],[essence]],Tableau7[],5,FALSE)</f>
        <v>1.8714999999999999</v>
      </c>
      <c r="P182" s="3">
        <f>IF(Tableau3[[#This Row],[priorecol]]="R",1,0)</f>
        <v>0</v>
      </c>
      <c r="Q182" s="3">
        <f>VLOOKUP(Tableau3[[#This Row],[essence]],Tableau7[],6,FALSE)</f>
        <v>0.51549999999999996</v>
      </c>
      <c r="R182" s="3">
        <f>IF(Tableau3[[#This Row],[priorecol]]="S",1,0)</f>
        <v>1</v>
      </c>
      <c r="S182" s="3">
        <f>VLOOKUP(Tableau3[[#This Row],[essence]],Tableau7[],7,FALSE)</f>
        <v>0</v>
      </c>
      <c r="T182" s="3">
        <f>VLOOKUP(Tableau3[[#This Row],[essence]],Tableau7[],15,FALSE)</f>
        <v>9.0500000000000008E-3</v>
      </c>
      <c r="U182" s="3">
        <f>VLOOKUP(Tableau3[[#This Row],[essence]],Tableau7[],20,FALSE)</f>
        <v>0</v>
      </c>
      <c r="V182" s="3">
        <f>IF(Tableau3[[#This Row],[sdom]]=1,1,0)</f>
        <v>0</v>
      </c>
      <c r="W182" s="3">
        <f>VLOOKUP(Tableau3[[#This Row],[essence]],Tableau7[],8,FALSE)</f>
        <v>0</v>
      </c>
      <c r="X182" s="3">
        <f>IF(Tableau3[[#This Row],[sdom]]="2EST",1,0)</f>
        <v>0</v>
      </c>
      <c r="Y182" s="3">
        <f>VLOOKUP(Tableau3[[#This Row],[essence]],Tableau7[],9,FALSE)</f>
        <v>-4.5199999999999997E-2</v>
      </c>
      <c r="Z182" s="3">
        <f>IF(Tableau3[[#This Row],[sdom]]="2OUEST",1,0)</f>
        <v>0</v>
      </c>
      <c r="AA182" s="3">
        <f>VLOOKUP(Tableau3[[#This Row],[essence]],Tableau7[],10,FALSE)</f>
        <v>1.15E-2</v>
      </c>
      <c r="AB182" s="3">
        <f>IF(Tableau3[[#This Row],[sdom]]="3EST",1,0)</f>
        <v>0</v>
      </c>
      <c r="AC182" s="3">
        <f>VLOOKUP(Tableau3[[#This Row],[essence]],Tableau7[],11,FALSE)</f>
        <v>0.1169</v>
      </c>
      <c r="AD182" s="3">
        <f>IF(Tableau3[[#This Row],[sdom]]="3OUEST",1,0)</f>
        <v>0</v>
      </c>
      <c r="AE182" s="3">
        <f>VLOOKUP(Tableau3[[#This Row],[essence]],Tableau7[],12,FALSE)</f>
        <v>-0.1686</v>
      </c>
      <c r="AF182" s="3">
        <f>IF(Tableau3[[#This Row],[sdom]]="4EST",1,0)</f>
        <v>1</v>
      </c>
      <c r="AG182" s="3">
        <f>VLOOKUP(Tableau3[[#This Row],[essence]],Tableau7[],13,FALSE)</f>
        <v>0.11940000000000001</v>
      </c>
      <c r="AH182" s="3">
        <f>IF(Tableau3[[#This Row],[sdom]]="4OUEST",1,0)</f>
        <v>0</v>
      </c>
      <c r="AI182" s="3">
        <f>VLOOKUP(Tableau3[[#This Row],[essence]],Tableau7[],14,FALSE)</f>
        <v>-0.13100000000000001</v>
      </c>
      <c r="AJ182" s="3">
        <f>IF(Tableau3[[#This Row],[sdom]]="5EST",1,0)</f>
        <v>0</v>
      </c>
      <c r="AK182" s="3">
        <f>VLOOKUP(Tableau3[[#This Row],[essence]],Tableau7[],17,FALSE)</f>
        <v>-1.8599999999999998E-2</v>
      </c>
      <c r="AL182" s="3">
        <f>IF(Tableau3[[#This Row],[priorecol]]="C",1,0)</f>
        <v>0</v>
      </c>
      <c r="AM182" s="3">
        <f>VLOOKUP(Tableau3[[#This Row],[essence]],Tableau7[],18,FALSE)</f>
        <v>-8.5500000000000003E-3</v>
      </c>
      <c r="AN182" s="3">
        <f>IF(Tableau3[[#This Row],[priorecol]]="R",1,0)</f>
        <v>0</v>
      </c>
      <c r="AO182" s="3">
        <f>VLOOKUP(Tableau3[[#This Row],[essence]],Tableau7[],19,FALSE)</f>
        <v>1.54E-2</v>
      </c>
      <c r="AP182" s="3">
        <f>IF(Tableau3[[#This Row],[priorecol]]="S",1,0)</f>
        <v>1</v>
      </c>
      <c r="AQ182" s="3">
        <f>VLOOKUP(Tableau3[[#This Row],[essence]],Tableau7[],21,FALSE)</f>
        <v>0</v>
      </c>
      <c r="AR182" s="3">
        <f>VLOOKUP(Tableau3[[#This Row],[essence]],Tableau7[],16,FALSE)</f>
        <v>0</v>
      </c>
      <c r="AS18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0.95814999999999995</v>
      </c>
      <c r="AT182" s="3">
        <f>Tableau3[[#This Row],[xb_]]+Tableau3[[#This Row],[b_intercept_C]]</f>
        <v>1.84615</v>
      </c>
      <c r="AU182" s="3">
        <f>Tableau3[[#This Row],[xb_]]+Tableau3[[#This Row],[b_intercept_B]]</f>
        <v>0.15434999999999999</v>
      </c>
      <c r="AV182" s="3">
        <f>1/(1+EXP(-Tableau3[[#This Row],[xb_c]]))</f>
        <v>0.86367443486588336</v>
      </c>
      <c r="AW182" s="3">
        <f>1/(1+EXP(-Tableau3[[#This Row],[xb_b]]))</f>
        <v>0.53851107327249148</v>
      </c>
      <c r="AX182" s="3" t="str">
        <f t="shared" si="5"/>
        <v>NA</v>
      </c>
      <c r="AY182" s="3">
        <f>Tableau3[[#This Row],[prob_b]]</f>
        <v>0.53851107327249148</v>
      </c>
      <c r="AZ182" s="3">
        <f>Tableau3[[#This Row],[prob_c]]-Tableau3[[#This Row],[prob_b]]</f>
        <v>0.32516336159339188</v>
      </c>
      <c r="BA182" s="3">
        <f>1-Tableau3[[#This Row],[prob_c]]</f>
        <v>0.13632556513411664</v>
      </c>
    </row>
    <row r="183" spans="1:53" x14ac:dyDescent="0.25">
      <c r="A183" s="3">
        <v>6</v>
      </c>
      <c r="B183" s="3" t="s">
        <v>14</v>
      </c>
      <c r="C183" s="1">
        <v>1.2</v>
      </c>
      <c r="D183" s="1">
        <v>1022</v>
      </c>
      <c r="E183" s="1">
        <v>25</v>
      </c>
      <c r="F183" s="1">
        <v>1</v>
      </c>
      <c r="G183" s="3">
        <v>36</v>
      </c>
      <c r="H183" s="3">
        <v>39</v>
      </c>
      <c r="I183" s="3" t="s">
        <v>22</v>
      </c>
      <c r="J183" s="3" t="s">
        <v>29</v>
      </c>
      <c r="K183" s="3">
        <f>VLOOKUP(Tableau3[[#This Row],[essence]],Tableau7[],2,FALSE)</f>
        <v>-1.8420000000000001</v>
      </c>
      <c r="L183" s="3">
        <f>VLOOKUP(Tableau3[[#This Row],[essence]],Tableau7[],3,FALSE)</f>
        <v>0.2177</v>
      </c>
      <c r="M183" s="3">
        <f>VLOOKUP(Tableau3[[#This Row],[essence]],Tableau7[],4,FALSE)</f>
        <v>1.9473</v>
      </c>
      <c r="N183" s="3">
        <f>IF(Tableau3[[#This Row],[priorecol]]="C",1,0)</f>
        <v>0</v>
      </c>
      <c r="O183" s="3">
        <f>VLOOKUP(Tableau3[[#This Row],[essence]],Tableau7[],5,FALSE)</f>
        <v>3.0630999999999999</v>
      </c>
      <c r="P183" s="3">
        <f>IF(Tableau3[[#This Row],[priorecol]]="R",1,0)</f>
        <v>0</v>
      </c>
      <c r="Q183" s="3">
        <f>VLOOKUP(Tableau3[[#This Row],[essence]],Tableau7[],6,FALSE)</f>
        <v>1.5014000000000001</v>
      </c>
      <c r="R183" s="3">
        <f>IF(Tableau3[[#This Row],[priorecol]]="S",1,0)</f>
        <v>1</v>
      </c>
      <c r="S183" s="3">
        <f>VLOOKUP(Tableau3[[#This Row],[essence]],Tableau7[],7,FALSE)</f>
        <v>0</v>
      </c>
      <c r="T183" s="3">
        <f>VLOOKUP(Tableau3[[#This Row],[essence]],Tableau7[],15,FALSE)</f>
        <v>0</v>
      </c>
      <c r="U183" s="3">
        <f>VLOOKUP(Tableau3[[#This Row],[essence]],Tableau7[],20,FALSE)</f>
        <v>0.49399999999999999</v>
      </c>
      <c r="V183" s="3">
        <f>IF(Tableau3[[#This Row],[sdom]]=1,1,0)</f>
        <v>0</v>
      </c>
      <c r="W183" s="3">
        <f>VLOOKUP(Tableau3[[#This Row],[essence]],Tableau7[],8,FALSE)</f>
        <v>0.42420000000000002</v>
      </c>
      <c r="X183" s="3">
        <f>IF(Tableau3[[#This Row],[sdom]]="2EST",1,0)</f>
        <v>0</v>
      </c>
      <c r="Y183" s="3">
        <f>VLOOKUP(Tableau3[[#This Row],[essence]],Tableau7[],9,FALSE)</f>
        <v>7.4300000000000005E-2</v>
      </c>
      <c r="Z183" s="3">
        <f>IF(Tableau3[[#This Row],[sdom]]="2OUEST",1,0)</f>
        <v>0</v>
      </c>
      <c r="AA183" s="3">
        <f>VLOOKUP(Tableau3[[#This Row],[essence]],Tableau7[],10,FALSE)</f>
        <v>-6.7000000000000004E-2</v>
      </c>
      <c r="AB183" s="3">
        <f>IF(Tableau3[[#This Row],[sdom]]="3EST",1,0)</f>
        <v>0</v>
      </c>
      <c r="AC183" s="3">
        <f>VLOOKUP(Tableau3[[#This Row],[essence]],Tableau7[],11,FALSE)</f>
        <v>-8.3400000000000002E-2</v>
      </c>
      <c r="AD183" s="3">
        <f>IF(Tableau3[[#This Row],[sdom]]="3OUEST",1,0)</f>
        <v>0</v>
      </c>
      <c r="AE183" s="3">
        <f>VLOOKUP(Tableau3[[#This Row],[essence]],Tableau7[],12,FALSE)</f>
        <v>-0.26840000000000003</v>
      </c>
      <c r="AF183" s="3">
        <f>IF(Tableau3[[#This Row],[sdom]]="4EST",1,0)</f>
        <v>1</v>
      </c>
      <c r="AG183" s="3">
        <f>VLOOKUP(Tableau3[[#This Row],[essence]],Tableau7[],13,FALSE)</f>
        <v>0</v>
      </c>
      <c r="AH183" s="3">
        <f>IF(Tableau3[[#This Row],[sdom]]="4OUEST",1,0)</f>
        <v>0</v>
      </c>
      <c r="AI183" s="3">
        <f>VLOOKUP(Tableau3[[#This Row],[essence]],Tableau7[],14,FALSE)</f>
        <v>0</v>
      </c>
      <c r="AJ183" s="3">
        <f>IF(Tableau3[[#This Row],[sdom]]="5EST",1,0)</f>
        <v>0</v>
      </c>
      <c r="AK183" s="3">
        <f>VLOOKUP(Tableau3[[#This Row],[essence]],Tableau7[],17,FALSE)</f>
        <v>0</v>
      </c>
      <c r="AL183" s="3">
        <f>IF(Tableau3[[#This Row],[priorecol]]="C",1,0)</f>
        <v>0</v>
      </c>
      <c r="AM183" s="3">
        <f>VLOOKUP(Tableau3[[#This Row],[essence]],Tableau7[],18,FALSE)</f>
        <v>0</v>
      </c>
      <c r="AN183" s="3">
        <f>IF(Tableau3[[#This Row],[priorecol]]="R",1,0)</f>
        <v>0</v>
      </c>
      <c r="AO183" s="3">
        <f>VLOOKUP(Tableau3[[#This Row],[essence]],Tableau7[],19,FALSE)</f>
        <v>0</v>
      </c>
      <c r="AP183" s="3">
        <f>IF(Tableau3[[#This Row],[priorecol]]="S",1,0)</f>
        <v>1</v>
      </c>
      <c r="AQ183" s="3">
        <f>VLOOKUP(Tableau3[[#This Row],[essence]],Tableau7[],21,FALSE)</f>
        <v>0</v>
      </c>
      <c r="AR183" s="3">
        <f>VLOOKUP(Tableau3[[#This Row],[essence]],Tableau7[],16,FALSE)</f>
        <v>0</v>
      </c>
      <c r="AS18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1.2330000000000001</v>
      </c>
      <c r="AT183" s="3">
        <f>Tableau3[[#This Row],[xb_]]+Tableau3[[#This Row],[b_intercept_C]]</f>
        <v>1.4507000000000001</v>
      </c>
      <c r="AU183" s="3">
        <f>Tableau3[[#This Row],[xb_]]+Tableau3[[#This Row],[b_intercept_B]]</f>
        <v>-0.60899999999999999</v>
      </c>
      <c r="AV183" s="3">
        <f>1/(1+EXP(-Tableau3[[#This Row],[xb_c]]))</f>
        <v>0.8101061412875713</v>
      </c>
      <c r="AW183" s="3">
        <f>1/(1+EXP(-Tableau3[[#This Row],[xb_b]]))</f>
        <v>0.35228734517170474</v>
      </c>
      <c r="AX183" s="3" t="str">
        <f t="shared" si="5"/>
        <v>NA</v>
      </c>
      <c r="AY183" s="3">
        <f>Tableau3[[#This Row],[prob_b]]</f>
        <v>0.35228734517170474</v>
      </c>
      <c r="AZ183" s="3">
        <f>Tableau3[[#This Row],[prob_c]]-Tableau3[[#This Row],[prob_b]]</f>
        <v>0.45781879611586657</v>
      </c>
      <c r="BA183" s="3">
        <f>1-Tableau3[[#This Row],[prob_c]]</f>
        <v>0.1898938587124287</v>
      </c>
    </row>
    <row r="184" spans="1:53" x14ac:dyDescent="0.25">
      <c r="A184" s="2">
        <v>6</v>
      </c>
      <c r="B184" s="2" t="s">
        <v>14</v>
      </c>
      <c r="C184" s="4">
        <v>1.2</v>
      </c>
      <c r="D184" s="4">
        <v>1022</v>
      </c>
      <c r="E184" s="4">
        <v>25</v>
      </c>
      <c r="F184" s="4">
        <v>1</v>
      </c>
      <c r="G184" s="2">
        <v>42</v>
      </c>
      <c r="H184" s="2">
        <v>39</v>
      </c>
      <c r="I184" s="2" t="s">
        <v>24</v>
      </c>
      <c r="J184" s="2" t="s">
        <v>29</v>
      </c>
      <c r="K184" s="2">
        <f>VLOOKUP(Tableau3[[#This Row],[essence]],Tableau7[],2,FALSE)</f>
        <v>-0.84530000000000005</v>
      </c>
      <c r="L184" s="3">
        <f>VLOOKUP(Tableau3[[#This Row],[essence]],Tableau7[],3,FALSE)</f>
        <v>0.93089999999999995</v>
      </c>
      <c r="M184" s="3">
        <f>VLOOKUP(Tableau3[[#This Row],[essence]],Tableau7[],4,FALSE)</f>
        <v>1.4276</v>
      </c>
      <c r="N184" s="3">
        <f>IF(Tableau3[[#This Row],[priorecol]]="C",1,0)</f>
        <v>0</v>
      </c>
      <c r="O184" s="3">
        <f>VLOOKUP(Tableau3[[#This Row],[essence]],Tableau7[],5,FALSE)</f>
        <v>2.468</v>
      </c>
      <c r="P184" s="3">
        <f>IF(Tableau3[[#This Row],[priorecol]]="R",1,0)</f>
        <v>0</v>
      </c>
      <c r="Q184" s="3">
        <f>VLOOKUP(Tableau3[[#This Row],[essence]],Tableau7[],6,FALSE)</f>
        <v>0.86019999999999996</v>
      </c>
      <c r="R184" s="3">
        <f>IF(Tableau3[[#This Row],[priorecol]]="S",1,0)</f>
        <v>1</v>
      </c>
      <c r="S184" s="3">
        <f>VLOOKUP(Tableau3[[#This Row],[essence]],Tableau7[],7,FALSE)</f>
        <v>0</v>
      </c>
      <c r="T184" s="3">
        <f>VLOOKUP(Tableau3[[#This Row],[essence]],Tableau7[],15,FALSE)</f>
        <v>1.7299999999999999E-2</v>
      </c>
      <c r="U184" s="3">
        <f>VLOOKUP(Tableau3[[#This Row],[essence]],Tableau7[],20,FALSE)</f>
        <v>-0.28799999999999998</v>
      </c>
      <c r="V184" s="3">
        <f>IF(Tableau3[[#This Row],[sdom]]=1,1,0)</f>
        <v>0</v>
      </c>
      <c r="W184" s="3">
        <f>VLOOKUP(Tableau3[[#This Row],[essence]],Tableau7[],8,FALSE)</f>
        <v>-0.18859999999999999</v>
      </c>
      <c r="X184" s="3">
        <f>IF(Tableau3[[#This Row],[sdom]]="2EST",1,0)</f>
        <v>0</v>
      </c>
      <c r="Y184" s="3">
        <f>VLOOKUP(Tableau3[[#This Row],[essence]],Tableau7[],9,FALSE)</f>
        <v>1.2699999999999999E-2</v>
      </c>
      <c r="Z184" s="3">
        <f>IF(Tableau3[[#This Row],[sdom]]="2OUEST",1,0)</f>
        <v>0</v>
      </c>
      <c r="AA184" s="3">
        <f>VLOOKUP(Tableau3[[#This Row],[essence]],Tableau7[],10,FALSE)</f>
        <v>0</v>
      </c>
      <c r="AB184" s="3">
        <f>IF(Tableau3[[#This Row],[sdom]]="3EST",1,0)</f>
        <v>0</v>
      </c>
      <c r="AC184" s="3">
        <f>VLOOKUP(Tableau3[[#This Row],[essence]],Tableau7[],11,FALSE)</f>
        <v>0.30009999999999998</v>
      </c>
      <c r="AD184" s="3">
        <f>IF(Tableau3[[#This Row],[sdom]]="3OUEST",1,0)</f>
        <v>0</v>
      </c>
      <c r="AE184" s="3">
        <f>VLOOKUP(Tableau3[[#This Row],[essence]],Tableau7[],12,FALSE)</f>
        <v>0</v>
      </c>
      <c r="AF184" s="3">
        <f>IF(Tableau3[[#This Row],[sdom]]="4EST",1,0)</f>
        <v>1</v>
      </c>
      <c r="AG184" s="3">
        <f>VLOOKUP(Tableau3[[#This Row],[essence]],Tableau7[],13,FALSE)</f>
        <v>0</v>
      </c>
      <c r="AH184" s="3">
        <f>IF(Tableau3[[#This Row],[sdom]]="4OUEST",1,0)</f>
        <v>0</v>
      </c>
      <c r="AI184" s="3">
        <f>VLOOKUP(Tableau3[[#This Row],[essence]],Tableau7[],14,FALSE)</f>
        <v>0</v>
      </c>
      <c r="AJ184" s="3">
        <f>IF(Tableau3[[#This Row],[sdom]]="5EST",1,0)</f>
        <v>0</v>
      </c>
      <c r="AK184" s="3">
        <f>VLOOKUP(Tableau3[[#This Row],[essence]],Tableau7[],17,FALSE)</f>
        <v>0</v>
      </c>
      <c r="AL184" s="3">
        <f>IF(Tableau3[[#This Row],[priorecol]]="C",1,0)</f>
        <v>0</v>
      </c>
      <c r="AM184" s="3">
        <f>VLOOKUP(Tableau3[[#This Row],[essence]],Tableau7[],18,FALSE)</f>
        <v>0</v>
      </c>
      <c r="AN184" s="3">
        <f>IF(Tableau3[[#This Row],[priorecol]]="R",1,0)</f>
        <v>0</v>
      </c>
      <c r="AO184" s="3">
        <f>VLOOKUP(Tableau3[[#This Row],[essence]],Tableau7[],19,FALSE)</f>
        <v>0</v>
      </c>
      <c r="AP184" s="3">
        <f>IF(Tableau3[[#This Row],[priorecol]]="S",1,0)</f>
        <v>1</v>
      </c>
      <c r="AQ184" s="3">
        <f>VLOOKUP(Tableau3[[#This Row],[essence]],Tableau7[],21,FALSE)</f>
        <v>0</v>
      </c>
      <c r="AR184" s="3">
        <f>VLOOKUP(Tableau3[[#This Row],[essence]],Tableau7[],16,FALSE)</f>
        <v>0</v>
      </c>
      <c r="AS184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1.2927</v>
      </c>
      <c r="AT184" s="3">
        <f>Tableau3[[#This Row],[xb_]]+Tableau3[[#This Row],[b_intercept_C]]</f>
        <v>2.2235999999999998</v>
      </c>
      <c r="AU184" s="3">
        <f>Tableau3[[#This Row],[xb_]]+Tableau3[[#This Row],[b_intercept_B]]</f>
        <v>0.44739999999999991</v>
      </c>
      <c r="AV184" s="3">
        <f>1/(1+EXP(-Tableau3[[#This Row],[xb_c]]))</f>
        <v>0.9023488708878078</v>
      </c>
      <c r="AW184" s="3">
        <f>1/(1+EXP(-Tableau3[[#This Row],[xb_b]]))</f>
        <v>0.61002088312575087</v>
      </c>
      <c r="AX184" s="3" t="str">
        <f t="shared" si="5"/>
        <v>NA</v>
      </c>
      <c r="AY184" s="3">
        <f>Tableau3[[#This Row],[prob_b]]</f>
        <v>0.61002088312575087</v>
      </c>
      <c r="AZ184" s="3">
        <f>Tableau3[[#This Row],[prob_c]]-Tableau3[[#This Row],[prob_b]]</f>
        <v>0.29232798776205693</v>
      </c>
      <c r="BA184" s="3">
        <f>1-Tableau3[[#This Row],[prob_c]]</f>
        <v>9.7651129112192203E-2</v>
      </c>
    </row>
    <row r="185" spans="1:53" x14ac:dyDescent="0.25">
      <c r="A185" s="3">
        <v>6</v>
      </c>
      <c r="B185" s="3" t="s">
        <v>14</v>
      </c>
      <c r="C185" s="1">
        <v>1.2</v>
      </c>
      <c r="D185" s="1">
        <v>1022</v>
      </c>
      <c r="E185" s="1">
        <v>25</v>
      </c>
      <c r="F185" s="1">
        <v>1</v>
      </c>
      <c r="G185" s="3">
        <v>48</v>
      </c>
      <c r="H185" s="3">
        <v>39</v>
      </c>
      <c r="I185" s="3" t="s">
        <v>26</v>
      </c>
      <c r="J185" s="3" t="s">
        <v>29</v>
      </c>
      <c r="K185" s="3">
        <f>VLOOKUP(Tableau3[[#This Row],[essence]],Tableau7[],2,FALSE)</f>
        <v>-1.7838000000000001</v>
      </c>
      <c r="L185" s="3">
        <f>VLOOKUP(Tableau3[[#This Row],[essence]],Tableau7[],3,FALSE)</f>
        <v>-7.3400000000000007E-2</v>
      </c>
      <c r="M185" s="3">
        <f>VLOOKUP(Tableau3[[#This Row],[essence]],Tableau7[],4,FALSE)</f>
        <v>1.5893999999999999</v>
      </c>
      <c r="N185" s="3">
        <f>IF(Tableau3[[#This Row],[priorecol]]="C",1,0)</f>
        <v>0</v>
      </c>
      <c r="O185" s="3">
        <f>VLOOKUP(Tableau3[[#This Row],[essence]],Tableau7[],5,FALSE)</f>
        <v>2.1800000000000002</v>
      </c>
      <c r="P185" s="3">
        <f>IF(Tableau3[[#This Row],[priorecol]]="R",1,0)</f>
        <v>0</v>
      </c>
      <c r="Q185" s="3">
        <f>VLOOKUP(Tableau3[[#This Row],[essence]],Tableau7[],6,FALSE)</f>
        <v>0.91710000000000003</v>
      </c>
      <c r="R185" s="3">
        <f>IF(Tableau3[[#This Row],[priorecol]]="S",1,0)</f>
        <v>1</v>
      </c>
      <c r="S185" s="3">
        <f>VLOOKUP(Tableau3[[#This Row],[essence]],Tableau7[],7,FALSE)</f>
        <v>0</v>
      </c>
      <c r="T185" s="3">
        <f>VLOOKUP(Tableau3[[#This Row],[essence]],Tableau7[],15,FALSE)</f>
        <v>0</v>
      </c>
      <c r="U185" s="3">
        <f>VLOOKUP(Tableau3[[#This Row],[essence]],Tableau7[],20,FALSE)</f>
        <v>0</v>
      </c>
      <c r="V185" s="3">
        <f>IF(Tableau3[[#This Row],[sdom]]=1,1,0)</f>
        <v>0</v>
      </c>
      <c r="W185" s="3">
        <f>VLOOKUP(Tableau3[[#This Row],[essence]],Tableau7[],8,FALSE)</f>
        <v>0</v>
      </c>
      <c r="X185" s="3">
        <f>IF(Tableau3[[#This Row],[sdom]]="2EST",1,0)</f>
        <v>0</v>
      </c>
      <c r="Y185" s="3">
        <f>VLOOKUP(Tableau3[[#This Row],[essence]],Tableau7[],9,FALSE)</f>
        <v>-0.22550000000000001</v>
      </c>
      <c r="Z185" s="3">
        <f>IF(Tableau3[[#This Row],[sdom]]="2OUEST",1,0)</f>
        <v>0</v>
      </c>
      <c r="AA185" s="3">
        <f>VLOOKUP(Tableau3[[#This Row],[essence]],Tableau7[],10,FALSE)</f>
        <v>0</v>
      </c>
      <c r="AB185" s="3">
        <f>IF(Tableau3[[#This Row],[sdom]]="3EST",1,0)</f>
        <v>0</v>
      </c>
      <c r="AC185" s="3">
        <f>VLOOKUP(Tableau3[[#This Row],[essence]],Tableau7[],11,FALSE)</f>
        <v>0.3513</v>
      </c>
      <c r="AD185" s="3">
        <f>IF(Tableau3[[#This Row],[sdom]]="3OUEST",1,0)</f>
        <v>0</v>
      </c>
      <c r="AE185" s="3">
        <f>VLOOKUP(Tableau3[[#This Row],[essence]],Tableau7[],12,FALSE)</f>
        <v>-0.42259999999999998</v>
      </c>
      <c r="AF185" s="3">
        <f>IF(Tableau3[[#This Row],[sdom]]="4EST",1,0)</f>
        <v>1</v>
      </c>
      <c r="AG185" s="3">
        <f>VLOOKUP(Tableau3[[#This Row],[essence]],Tableau7[],13,FALSE)</f>
        <v>0.25390000000000001</v>
      </c>
      <c r="AH185" s="3">
        <f>IF(Tableau3[[#This Row],[sdom]]="4OUEST",1,0)</f>
        <v>0</v>
      </c>
      <c r="AI185" s="3">
        <f>VLOOKUP(Tableau3[[#This Row],[essence]],Tableau7[],14,FALSE)</f>
        <v>4.6199999999999998E-2</v>
      </c>
      <c r="AJ185" s="3">
        <f>IF(Tableau3[[#This Row],[sdom]]="5EST",1,0)</f>
        <v>0</v>
      </c>
      <c r="AK185" s="3">
        <f>VLOOKUP(Tableau3[[#This Row],[essence]],Tableau7[],17,FALSE)</f>
        <v>0</v>
      </c>
      <c r="AL185" s="3">
        <f>IF(Tableau3[[#This Row],[priorecol]]="C",1,0)</f>
        <v>0</v>
      </c>
      <c r="AM185" s="3">
        <f>VLOOKUP(Tableau3[[#This Row],[essence]],Tableau7[],18,FALSE)</f>
        <v>0</v>
      </c>
      <c r="AN185" s="3">
        <f>IF(Tableau3[[#This Row],[priorecol]]="R",1,0)</f>
        <v>0</v>
      </c>
      <c r="AO185" s="3">
        <f>VLOOKUP(Tableau3[[#This Row],[essence]],Tableau7[],19,FALSE)</f>
        <v>0</v>
      </c>
      <c r="AP185" s="3">
        <f>IF(Tableau3[[#This Row],[priorecol]]="S",1,0)</f>
        <v>1</v>
      </c>
      <c r="AQ185" s="3">
        <f>VLOOKUP(Tableau3[[#This Row],[essence]],Tableau7[],21,FALSE)</f>
        <v>0</v>
      </c>
      <c r="AR185" s="3">
        <f>VLOOKUP(Tableau3[[#This Row],[essence]],Tableau7[],16,FALSE)</f>
        <v>0.24340000000000001</v>
      </c>
      <c r="AS185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0.78658000000000006</v>
      </c>
      <c r="AT185" s="3">
        <f>Tableau3[[#This Row],[xb_]]+Tableau3[[#This Row],[b_intercept_C]]</f>
        <v>0.71318000000000004</v>
      </c>
      <c r="AU185" s="3">
        <f>Tableau3[[#This Row],[xb_]]+Tableau3[[#This Row],[b_intercept_B]]</f>
        <v>-0.99722</v>
      </c>
      <c r="AV185" s="3">
        <f>1/(1+EXP(-Tableau3[[#This Row],[xb_c]]))</f>
        <v>0.67110344242144093</v>
      </c>
      <c r="AW185" s="3">
        <f>1/(1+EXP(-Tableau3[[#This Row],[xb_b]]))</f>
        <v>0.2694883535101128</v>
      </c>
      <c r="AX185" s="3" t="str">
        <f t="shared" si="5"/>
        <v>NA</v>
      </c>
      <c r="AY185" s="3">
        <f>Tableau3[[#This Row],[prob_b]]</f>
        <v>0.2694883535101128</v>
      </c>
      <c r="AZ185" s="3">
        <f>Tableau3[[#This Row],[prob_c]]-Tableau3[[#This Row],[prob_b]]</f>
        <v>0.40161508891132813</v>
      </c>
      <c r="BA185" s="3">
        <f>1-Tableau3[[#This Row],[prob_c]]</f>
        <v>0.32889655757855907</v>
      </c>
    </row>
    <row r="186" spans="1:53" x14ac:dyDescent="0.25">
      <c r="A186" s="2">
        <v>7</v>
      </c>
      <c r="B186" s="2" t="s">
        <v>15</v>
      </c>
      <c r="C186" s="4">
        <v>2.1</v>
      </c>
      <c r="D186" s="4">
        <v>700</v>
      </c>
      <c r="E186" s="4">
        <v>20</v>
      </c>
      <c r="F186" s="4">
        <v>1</v>
      </c>
      <c r="G186" s="2">
        <v>30</v>
      </c>
      <c r="H186" s="2">
        <v>39</v>
      </c>
      <c r="I186" s="2" t="s">
        <v>20</v>
      </c>
      <c r="J186" s="2" t="s">
        <v>29</v>
      </c>
      <c r="K186" s="2">
        <f>VLOOKUP(Tableau3[[#This Row],[essence]],Tableau7[],2,FALSE)</f>
        <v>-0.80379999999999996</v>
      </c>
      <c r="L186" s="3">
        <f>VLOOKUP(Tableau3[[#This Row],[essence]],Tableau7[],3,FALSE)</f>
        <v>0.88800000000000001</v>
      </c>
      <c r="M186" s="3">
        <f>VLOOKUP(Tableau3[[#This Row],[essence]],Tableau7[],4,FALSE)</f>
        <v>1.5212000000000001</v>
      </c>
      <c r="N186" s="3">
        <f>IF(Tableau3[[#This Row],[priorecol]]="C",1,0)</f>
        <v>0</v>
      </c>
      <c r="O186" s="3">
        <f>VLOOKUP(Tableau3[[#This Row],[essence]],Tableau7[],5,FALSE)</f>
        <v>1.8714999999999999</v>
      </c>
      <c r="P186" s="3">
        <f>IF(Tableau3[[#This Row],[priorecol]]="R",1,0)</f>
        <v>0</v>
      </c>
      <c r="Q186" s="3">
        <f>VLOOKUP(Tableau3[[#This Row],[essence]],Tableau7[],6,FALSE)</f>
        <v>0.51549999999999996</v>
      </c>
      <c r="R186" s="3">
        <f>IF(Tableau3[[#This Row],[priorecol]]="S",1,0)</f>
        <v>1</v>
      </c>
      <c r="S186" s="3">
        <f>VLOOKUP(Tableau3[[#This Row],[essence]],Tableau7[],7,FALSE)</f>
        <v>0</v>
      </c>
      <c r="T186" s="3">
        <f>VLOOKUP(Tableau3[[#This Row],[essence]],Tableau7[],15,FALSE)</f>
        <v>9.0500000000000008E-3</v>
      </c>
      <c r="U186" s="3">
        <f>VLOOKUP(Tableau3[[#This Row],[essence]],Tableau7[],20,FALSE)</f>
        <v>0</v>
      </c>
      <c r="V186" s="3">
        <f>IF(Tableau3[[#This Row],[sdom]]=1,1,0)</f>
        <v>0</v>
      </c>
      <c r="W186" s="3">
        <f>VLOOKUP(Tableau3[[#This Row],[essence]],Tableau7[],8,FALSE)</f>
        <v>0</v>
      </c>
      <c r="X186" s="3">
        <f>IF(Tableau3[[#This Row],[sdom]]="2EST",1,0)</f>
        <v>0</v>
      </c>
      <c r="Y186" s="3">
        <f>VLOOKUP(Tableau3[[#This Row],[essence]],Tableau7[],9,FALSE)</f>
        <v>-4.5199999999999997E-2</v>
      </c>
      <c r="Z186" s="3">
        <f>IF(Tableau3[[#This Row],[sdom]]="2OUEST",1,0)</f>
        <v>0</v>
      </c>
      <c r="AA186" s="3">
        <f>VLOOKUP(Tableau3[[#This Row],[essence]],Tableau7[],10,FALSE)</f>
        <v>1.15E-2</v>
      </c>
      <c r="AB186" s="3">
        <f>IF(Tableau3[[#This Row],[sdom]]="3EST",1,0)</f>
        <v>0</v>
      </c>
      <c r="AC186" s="3">
        <f>VLOOKUP(Tableau3[[#This Row],[essence]],Tableau7[],11,FALSE)</f>
        <v>0.1169</v>
      </c>
      <c r="AD186" s="3">
        <f>IF(Tableau3[[#This Row],[sdom]]="3OUEST",1,0)</f>
        <v>0</v>
      </c>
      <c r="AE186" s="3">
        <f>VLOOKUP(Tableau3[[#This Row],[essence]],Tableau7[],12,FALSE)</f>
        <v>-0.1686</v>
      </c>
      <c r="AF186" s="3">
        <f>IF(Tableau3[[#This Row],[sdom]]="4EST",1,0)</f>
        <v>0</v>
      </c>
      <c r="AG186" s="3">
        <f>VLOOKUP(Tableau3[[#This Row],[essence]],Tableau7[],13,FALSE)</f>
        <v>0.11940000000000001</v>
      </c>
      <c r="AH186" s="3">
        <f>IF(Tableau3[[#This Row],[sdom]]="4OUEST",1,0)</f>
        <v>1</v>
      </c>
      <c r="AI186" s="3">
        <f>VLOOKUP(Tableau3[[#This Row],[essence]],Tableau7[],14,FALSE)</f>
        <v>-0.13100000000000001</v>
      </c>
      <c r="AJ186" s="3">
        <f>IF(Tableau3[[#This Row],[sdom]]="5EST",1,0)</f>
        <v>0</v>
      </c>
      <c r="AK186" s="3">
        <f>VLOOKUP(Tableau3[[#This Row],[essence]],Tableau7[],17,FALSE)</f>
        <v>-1.8599999999999998E-2</v>
      </c>
      <c r="AL186" s="3">
        <f>IF(Tableau3[[#This Row],[priorecol]]="C",1,0)</f>
        <v>0</v>
      </c>
      <c r="AM186" s="3">
        <f>VLOOKUP(Tableau3[[#This Row],[essence]],Tableau7[],18,FALSE)</f>
        <v>-8.5500000000000003E-3</v>
      </c>
      <c r="AN186" s="3">
        <f>IF(Tableau3[[#This Row],[priorecol]]="R",1,0)</f>
        <v>0</v>
      </c>
      <c r="AO186" s="3">
        <f>VLOOKUP(Tableau3[[#This Row],[essence]],Tableau7[],19,FALSE)</f>
        <v>1.54E-2</v>
      </c>
      <c r="AP186" s="3">
        <f>IF(Tableau3[[#This Row],[priorecol]]="S",1,0)</f>
        <v>1</v>
      </c>
      <c r="AQ186" s="3">
        <f>VLOOKUP(Tableau3[[#This Row],[essence]],Tableau7[],21,FALSE)</f>
        <v>0</v>
      </c>
      <c r="AR186" s="3">
        <f>VLOOKUP(Tableau3[[#This Row],[essence]],Tableau7[],16,FALSE)</f>
        <v>0</v>
      </c>
      <c r="AS186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1.1239000000000001</v>
      </c>
      <c r="AT186" s="3">
        <f>Tableau3[[#This Row],[xb_]]+Tableau3[[#This Row],[b_intercept_C]]</f>
        <v>2.0119000000000002</v>
      </c>
      <c r="AU186" s="3">
        <f>Tableau3[[#This Row],[xb_]]+Tableau3[[#This Row],[b_intercept_B]]</f>
        <v>0.32010000000000016</v>
      </c>
      <c r="AV186" s="3">
        <f>1/(1+EXP(-Tableau3[[#This Row],[xb_c]]))</f>
        <v>0.88204085082836392</v>
      </c>
      <c r="AW186" s="3">
        <f>1/(1+EXP(-Tableau3[[#This Row],[xb_b]]))</f>
        <v>0.5793486227217135</v>
      </c>
      <c r="AX186" s="3" t="str">
        <f t="shared" si="5"/>
        <v>NA</v>
      </c>
      <c r="AY186" s="3">
        <f>Tableau3[[#This Row],[prob_b]]</f>
        <v>0.5793486227217135</v>
      </c>
      <c r="AZ186" s="3">
        <f>Tableau3[[#This Row],[prob_c]]-Tableau3[[#This Row],[prob_b]]</f>
        <v>0.30269222810665042</v>
      </c>
      <c r="BA186" s="3">
        <f>1-Tableau3[[#This Row],[prob_c]]</f>
        <v>0.11795914917163608</v>
      </c>
    </row>
    <row r="187" spans="1:53" x14ac:dyDescent="0.25">
      <c r="A187" s="3">
        <v>7</v>
      </c>
      <c r="B187" s="3" t="s">
        <v>15</v>
      </c>
      <c r="C187" s="1">
        <v>2.1</v>
      </c>
      <c r="D187" s="1">
        <v>700</v>
      </c>
      <c r="E187" s="1">
        <v>20</v>
      </c>
      <c r="F187" s="1">
        <v>1</v>
      </c>
      <c r="G187" s="3">
        <v>36</v>
      </c>
      <c r="H187" s="3">
        <v>39</v>
      </c>
      <c r="I187" s="3" t="s">
        <v>22</v>
      </c>
      <c r="J187" s="3" t="s">
        <v>29</v>
      </c>
      <c r="K187" s="3">
        <f>VLOOKUP(Tableau3[[#This Row],[essence]],Tableau7[],2,FALSE)</f>
        <v>-1.8420000000000001</v>
      </c>
      <c r="L187" s="3">
        <f>VLOOKUP(Tableau3[[#This Row],[essence]],Tableau7[],3,FALSE)</f>
        <v>0.2177</v>
      </c>
      <c r="M187" s="3">
        <f>VLOOKUP(Tableau3[[#This Row],[essence]],Tableau7[],4,FALSE)</f>
        <v>1.9473</v>
      </c>
      <c r="N187" s="3">
        <f>IF(Tableau3[[#This Row],[priorecol]]="C",1,0)</f>
        <v>0</v>
      </c>
      <c r="O187" s="3">
        <f>VLOOKUP(Tableau3[[#This Row],[essence]],Tableau7[],5,FALSE)</f>
        <v>3.0630999999999999</v>
      </c>
      <c r="P187" s="3">
        <f>IF(Tableau3[[#This Row],[priorecol]]="R",1,0)</f>
        <v>0</v>
      </c>
      <c r="Q187" s="3">
        <f>VLOOKUP(Tableau3[[#This Row],[essence]],Tableau7[],6,FALSE)</f>
        <v>1.5014000000000001</v>
      </c>
      <c r="R187" s="3">
        <f>IF(Tableau3[[#This Row],[priorecol]]="S",1,0)</f>
        <v>1</v>
      </c>
      <c r="S187" s="3">
        <f>VLOOKUP(Tableau3[[#This Row],[essence]],Tableau7[],7,FALSE)</f>
        <v>0</v>
      </c>
      <c r="T187" s="3">
        <f>VLOOKUP(Tableau3[[#This Row],[essence]],Tableau7[],15,FALSE)</f>
        <v>0</v>
      </c>
      <c r="U187" s="3">
        <f>VLOOKUP(Tableau3[[#This Row],[essence]],Tableau7[],20,FALSE)</f>
        <v>0.49399999999999999</v>
      </c>
      <c r="V187" s="3">
        <f>IF(Tableau3[[#This Row],[sdom]]=1,1,0)</f>
        <v>0</v>
      </c>
      <c r="W187" s="3">
        <f>VLOOKUP(Tableau3[[#This Row],[essence]],Tableau7[],8,FALSE)</f>
        <v>0.42420000000000002</v>
      </c>
      <c r="X187" s="3">
        <f>IF(Tableau3[[#This Row],[sdom]]="2EST",1,0)</f>
        <v>0</v>
      </c>
      <c r="Y187" s="3">
        <f>VLOOKUP(Tableau3[[#This Row],[essence]],Tableau7[],9,FALSE)</f>
        <v>7.4300000000000005E-2</v>
      </c>
      <c r="Z187" s="3">
        <f>IF(Tableau3[[#This Row],[sdom]]="2OUEST",1,0)</f>
        <v>0</v>
      </c>
      <c r="AA187" s="3">
        <f>VLOOKUP(Tableau3[[#This Row],[essence]],Tableau7[],10,FALSE)</f>
        <v>-6.7000000000000004E-2</v>
      </c>
      <c r="AB187" s="3">
        <f>IF(Tableau3[[#This Row],[sdom]]="3EST",1,0)</f>
        <v>0</v>
      </c>
      <c r="AC187" s="3">
        <f>VLOOKUP(Tableau3[[#This Row],[essence]],Tableau7[],11,FALSE)</f>
        <v>-8.3400000000000002E-2</v>
      </c>
      <c r="AD187" s="3">
        <f>IF(Tableau3[[#This Row],[sdom]]="3OUEST",1,0)</f>
        <v>0</v>
      </c>
      <c r="AE187" s="3">
        <f>VLOOKUP(Tableau3[[#This Row],[essence]],Tableau7[],12,FALSE)</f>
        <v>-0.26840000000000003</v>
      </c>
      <c r="AF187" s="3">
        <f>IF(Tableau3[[#This Row],[sdom]]="4EST",1,0)</f>
        <v>0</v>
      </c>
      <c r="AG187" s="3">
        <f>VLOOKUP(Tableau3[[#This Row],[essence]],Tableau7[],13,FALSE)</f>
        <v>0</v>
      </c>
      <c r="AH187" s="3">
        <f>IF(Tableau3[[#This Row],[sdom]]="4OUEST",1,0)</f>
        <v>1</v>
      </c>
      <c r="AI187" s="3">
        <f>VLOOKUP(Tableau3[[#This Row],[essence]],Tableau7[],14,FALSE)</f>
        <v>0</v>
      </c>
      <c r="AJ187" s="3">
        <f>IF(Tableau3[[#This Row],[sdom]]="5EST",1,0)</f>
        <v>0</v>
      </c>
      <c r="AK187" s="3">
        <f>VLOOKUP(Tableau3[[#This Row],[essence]],Tableau7[],17,FALSE)</f>
        <v>0</v>
      </c>
      <c r="AL187" s="3">
        <f>IF(Tableau3[[#This Row],[priorecol]]="C",1,0)</f>
        <v>0</v>
      </c>
      <c r="AM187" s="3">
        <f>VLOOKUP(Tableau3[[#This Row],[essence]],Tableau7[],18,FALSE)</f>
        <v>0</v>
      </c>
      <c r="AN187" s="3">
        <f>IF(Tableau3[[#This Row],[priorecol]]="R",1,0)</f>
        <v>0</v>
      </c>
      <c r="AO187" s="3">
        <f>VLOOKUP(Tableau3[[#This Row],[essence]],Tableau7[],19,FALSE)</f>
        <v>0</v>
      </c>
      <c r="AP187" s="3">
        <f>IF(Tableau3[[#This Row],[priorecol]]="S",1,0)</f>
        <v>1</v>
      </c>
      <c r="AQ187" s="3">
        <f>VLOOKUP(Tableau3[[#This Row],[essence]],Tableau7[],21,FALSE)</f>
        <v>0</v>
      </c>
      <c r="AR187" s="3">
        <f>VLOOKUP(Tableau3[[#This Row],[essence]],Tableau7[],16,FALSE)</f>
        <v>0</v>
      </c>
      <c r="AS187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1.5014000000000001</v>
      </c>
      <c r="AT187" s="3">
        <f>Tableau3[[#This Row],[xb_]]+Tableau3[[#This Row],[b_intercept_C]]</f>
        <v>1.7191000000000001</v>
      </c>
      <c r="AU187" s="3">
        <f>Tableau3[[#This Row],[xb_]]+Tableau3[[#This Row],[b_intercept_B]]</f>
        <v>-0.34060000000000001</v>
      </c>
      <c r="AV187" s="3">
        <f>1/(1+EXP(-Tableau3[[#This Row],[xb_c]]))</f>
        <v>0.84801287433644579</v>
      </c>
      <c r="AW187" s="3">
        <f>1/(1+EXP(-Tableau3[[#This Row],[xb_b]]))</f>
        <v>0.41566373725740247</v>
      </c>
      <c r="AX187" s="3" t="str">
        <f t="shared" si="5"/>
        <v>NA</v>
      </c>
      <c r="AY187" s="3">
        <f>Tableau3[[#This Row],[prob_b]]</f>
        <v>0.41566373725740247</v>
      </c>
      <c r="AZ187" s="3">
        <f>Tableau3[[#This Row],[prob_c]]-Tableau3[[#This Row],[prob_b]]</f>
        <v>0.43234913707904332</v>
      </c>
      <c r="BA187" s="3">
        <f>1-Tableau3[[#This Row],[prob_c]]</f>
        <v>0.15198712566355421</v>
      </c>
    </row>
    <row r="188" spans="1:53" x14ac:dyDescent="0.25">
      <c r="A188" s="2">
        <v>7</v>
      </c>
      <c r="B188" s="2" t="s">
        <v>15</v>
      </c>
      <c r="C188" s="4">
        <v>2.1</v>
      </c>
      <c r="D188" s="4">
        <v>700</v>
      </c>
      <c r="E188" s="4">
        <v>20</v>
      </c>
      <c r="F188" s="4">
        <v>1</v>
      </c>
      <c r="G188" s="2">
        <v>42</v>
      </c>
      <c r="H188" s="2">
        <v>39</v>
      </c>
      <c r="I188" s="2" t="s">
        <v>24</v>
      </c>
      <c r="J188" s="2" t="s">
        <v>29</v>
      </c>
      <c r="K188" s="2">
        <f>VLOOKUP(Tableau3[[#This Row],[essence]],Tableau7[],2,FALSE)</f>
        <v>-0.84530000000000005</v>
      </c>
      <c r="L188" s="3">
        <f>VLOOKUP(Tableau3[[#This Row],[essence]],Tableau7[],3,FALSE)</f>
        <v>0.93089999999999995</v>
      </c>
      <c r="M188" s="3">
        <f>VLOOKUP(Tableau3[[#This Row],[essence]],Tableau7[],4,FALSE)</f>
        <v>1.4276</v>
      </c>
      <c r="N188" s="3">
        <f>IF(Tableau3[[#This Row],[priorecol]]="C",1,0)</f>
        <v>0</v>
      </c>
      <c r="O188" s="3">
        <f>VLOOKUP(Tableau3[[#This Row],[essence]],Tableau7[],5,FALSE)</f>
        <v>2.468</v>
      </c>
      <c r="P188" s="3">
        <f>IF(Tableau3[[#This Row],[priorecol]]="R",1,0)</f>
        <v>0</v>
      </c>
      <c r="Q188" s="3">
        <f>VLOOKUP(Tableau3[[#This Row],[essence]],Tableau7[],6,FALSE)</f>
        <v>0.86019999999999996</v>
      </c>
      <c r="R188" s="3">
        <f>IF(Tableau3[[#This Row],[priorecol]]="S",1,0)</f>
        <v>1</v>
      </c>
      <c r="S188" s="3">
        <f>VLOOKUP(Tableau3[[#This Row],[essence]],Tableau7[],7,FALSE)</f>
        <v>0</v>
      </c>
      <c r="T188" s="3">
        <f>VLOOKUP(Tableau3[[#This Row],[essence]],Tableau7[],15,FALSE)</f>
        <v>1.7299999999999999E-2</v>
      </c>
      <c r="U188" s="3">
        <f>VLOOKUP(Tableau3[[#This Row],[essence]],Tableau7[],20,FALSE)</f>
        <v>-0.28799999999999998</v>
      </c>
      <c r="V188" s="3">
        <f>IF(Tableau3[[#This Row],[sdom]]=1,1,0)</f>
        <v>0</v>
      </c>
      <c r="W188" s="3">
        <f>VLOOKUP(Tableau3[[#This Row],[essence]],Tableau7[],8,FALSE)</f>
        <v>-0.18859999999999999</v>
      </c>
      <c r="X188" s="3">
        <f>IF(Tableau3[[#This Row],[sdom]]="2EST",1,0)</f>
        <v>0</v>
      </c>
      <c r="Y188" s="3">
        <f>VLOOKUP(Tableau3[[#This Row],[essence]],Tableau7[],9,FALSE)</f>
        <v>1.2699999999999999E-2</v>
      </c>
      <c r="Z188" s="3">
        <f>IF(Tableau3[[#This Row],[sdom]]="2OUEST",1,0)</f>
        <v>0</v>
      </c>
      <c r="AA188" s="3">
        <f>VLOOKUP(Tableau3[[#This Row],[essence]],Tableau7[],10,FALSE)</f>
        <v>0</v>
      </c>
      <c r="AB188" s="3">
        <f>IF(Tableau3[[#This Row],[sdom]]="3EST",1,0)</f>
        <v>0</v>
      </c>
      <c r="AC188" s="3">
        <f>VLOOKUP(Tableau3[[#This Row],[essence]],Tableau7[],11,FALSE)</f>
        <v>0.30009999999999998</v>
      </c>
      <c r="AD188" s="3">
        <f>IF(Tableau3[[#This Row],[sdom]]="3OUEST",1,0)</f>
        <v>0</v>
      </c>
      <c r="AE188" s="3">
        <f>VLOOKUP(Tableau3[[#This Row],[essence]],Tableau7[],12,FALSE)</f>
        <v>0</v>
      </c>
      <c r="AF188" s="3">
        <f>IF(Tableau3[[#This Row],[sdom]]="4EST",1,0)</f>
        <v>0</v>
      </c>
      <c r="AG188" s="3">
        <f>VLOOKUP(Tableau3[[#This Row],[essence]],Tableau7[],13,FALSE)</f>
        <v>0</v>
      </c>
      <c r="AH188" s="3">
        <f>IF(Tableau3[[#This Row],[sdom]]="4OUEST",1,0)</f>
        <v>1</v>
      </c>
      <c r="AI188" s="3">
        <f>VLOOKUP(Tableau3[[#This Row],[essence]],Tableau7[],14,FALSE)</f>
        <v>0</v>
      </c>
      <c r="AJ188" s="3">
        <f>IF(Tableau3[[#This Row],[sdom]]="5EST",1,0)</f>
        <v>0</v>
      </c>
      <c r="AK188" s="3">
        <f>VLOOKUP(Tableau3[[#This Row],[essence]],Tableau7[],17,FALSE)</f>
        <v>0</v>
      </c>
      <c r="AL188" s="3">
        <f>IF(Tableau3[[#This Row],[priorecol]]="C",1,0)</f>
        <v>0</v>
      </c>
      <c r="AM188" s="3">
        <f>VLOOKUP(Tableau3[[#This Row],[essence]],Tableau7[],18,FALSE)</f>
        <v>0</v>
      </c>
      <c r="AN188" s="3">
        <f>IF(Tableau3[[#This Row],[priorecol]]="R",1,0)</f>
        <v>0</v>
      </c>
      <c r="AO188" s="3">
        <f>VLOOKUP(Tableau3[[#This Row],[essence]],Tableau7[],19,FALSE)</f>
        <v>0</v>
      </c>
      <c r="AP188" s="3">
        <f>IF(Tableau3[[#This Row],[priorecol]]="S",1,0)</f>
        <v>1</v>
      </c>
      <c r="AQ188" s="3">
        <f>VLOOKUP(Tableau3[[#This Row],[essence]],Tableau7[],21,FALSE)</f>
        <v>0</v>
      </c>
      <c r="AR188" s="3">
        <f>VLOOKUP(Tableau3[[#This Row],[essence]],Tableau7[],16,FALSE)</f>
        <v>0</v>
      </c>
      <c r="AS188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1.2061999999999999</v>
      </c>
      <c r="AT188" s="3">
        <f>Tableau3[[#This Row],[xb_]]+Tableau3[[#This Row],[b_intercept_C]]</f>
        <v>2.1370999999999998</v>
      </c>
      <c r="AU188" s="3">
        <f>Tableau3[[#This Row],[xb_]]+Tableau3[[#This Row],[b_intercept_B]]</f>
        <v>0.36089999999999989</v>
      </c>
      <c r="AV188" s="3">
        <f>1/(1+EXP(-Tableau3[[#This Row],[xb_c]]))</f>
        <v>0.89445715317649188</v>
      </c>
      <c r="AW188" s="3">
        <f>1/(1+EXP(-Tableau3[[#This Row],[xb_b]]))</f>
        <v>0.58925828120746859</v>
      </c>
      <c r="AX188" s="3" t="str">
        <f t="shared" si="5"/>
        <v>NA</v>
      </c>
      <c r="AY188" s="3">
        <f>Tableau3[[#This Row],[prob_b]]</f>
        <v>0.58925828120746859</v>
      </c>
      <c r="AZ188" s="3">
        <f>Tableau3[[#This Row],[prob_c]]-Tableau3[[#This Row],[prob_b]]</f>
        <v>0.30519887196902329</v>
      </c>
      <c r="BA188" s="3">
        <f>1-Tableau3[[#This Row],[prob_c]]</f>
        <v>0.10554284682350812</v>
      </c>
    </row>
    <row r="189" spans="1:53" x14ac:dyDescent="0.25">
      <c r="A189" s="3">
        <v>7</v>
      </c>
      <c r="B189" s="3" t="s">
        <v>15</v>
      </c>
      <c r="C189" s="1">
        <v>2.1</v>
      </c>
      <c r="D189" s="1">
        <v>700</v>
      </c>
      <c r="E189" s="1">
        <v>20</v>
      </c>
      <c r="F189" s="1">
        <v>1</v>
      </c>
      <c r="G189" s="3">
        <v>48</v>
      </c>
      <c r="H189" s="3">
        <v>39</v>
      </c>
      <c r="I189" s="3" t="s">
        <v>26</v>
      </c>
      <c r="J189" s="3" t="s">
        <v>29</v>
      </c>
      <c r="K189" s="3">
        <f>VLOOKUP(Tableau3[[#This Row],[essence]],Tableau7[],2,FALSE)</f>
        <v>-1.7838000000000001</v>
      </c>
      <c r="L189" s="3">
        <f>VLOOKUP(Tableau3[[#This Row],[essence]],Tableau7[],3,FALSE)</f>
        <v>-7.3400000000000007E-2</v>
      </c>
      <c r="M189" s="3">
        <f>VLOOKUP(Tableau3[[#This Row],[essence]],Tableau7[],4,FALSE)</f>
        <v>1.5893999999999999</v>
      </c>
      <c r="N189" s="3">
        <f>IF(Tableau3[[#This Row],[priorecol]]="C",1,0)</f>
        <v>0</v>
      </c>
      <c r="O189" s="3">
        <f>VLOOKUP(Tableau3[[#This Row],[essence]],Tableau7[],5,FALSE)</f>
        <v>2.1800000000000002</v>
      </c>
      <c r="P189" s="3">
        <f>IF(Tableau3[[#This Row],[priorecol]]="R",1,0)</f>
        <v>0</v>
      </c>
      <c r="Q189" s="3">
        <f>VLOOKUP(Tableau3[[#This Row],[essence]],Tableau7[],6,FALSE)</f>
        <v>0.91710000000000003</v>
      </c>
      <c r="R189" s="3">
        <f>IF(Tableau3[[#This Row],[priorecol]]="S",1,0)</f>
        <v>1</v>
      </c>
      <c r="S189" s="3">
        <f>VLOOKUP(Tableau3[[#This Row],[essence]],Tableau7[],7,FALSE)</f>
        <v>0</v>
      </c>
      <c r="T189" s="3">
        <f>VLOOKUP(Tableau3[[#This Row],[essence]],Tableau7[],15,FALSE)</f>
        <v>0</v>
      </c>
      <c r="U189" s="3">
        <f>VLOOKUP(Tableau3[[#This Row],[essence]],Tableau7[],20,FALSE)</f>
        <v>0</v>
      </c>
      <c r="V189" s="3">
        <f>IF(Tableau3[[#This Row],[sdom]]=1,1,0)</f>
        <v>0</v>
      </c>
      <c r="W189" s="3">
        <f>VLOOKUP(Tableau3[[#This Row],[essence]],Tableau7[],8,FALSE)</f>
        <v>0</v>
      </c>
      <c r="X189" s="3">
        <f>IF(Tableau3[[#This Row],[sdom]]="2EST",1,0)</f>
        <v>0</v>
      </c>
      <c r="Y189" s="3">
        <f>VLOOKUP(Tableau3[[#This Row],[essence]],Tableau7[],9,FALSE)</f>
        <v>-0.22550000000000001</v>
      </c>
      <c r="Z189" s="3">
        <f>IF(Tableau3[[#This Row],[sdom]]="2OUEST",1,0)</f>
        <v>0</v>
      </c>
      <c r="AA189" s="3">
        <f>VLOOKUP(Tableau3[[#This Row],[essence]],Tableau7[],10,FALSE)</f>
        <v>0</v>
      </c>
      <c r="AB189" s="3">
        <f>IF(Tableau3[[#This Row],[sdom]]="3EST",1,0)</f>
        <v>0</v>
      </c>
      <c r="AC189" s="3">
        <f>VLOOKUP(Tableau3[[#This Row],[essence]],Tableau7[],11,FALSE)</f>
        <v>0.3513</v>
      </c>
      <c r="AD189" s="3">
        <f>IF(Tableau3[[#This Row],[sdom]]="3OUEST",1,0)</f>
        <v>0</v>
      </c>
      <c r="AE189" s="3">
        <f>VLOOKUP(Tableau3[[#This Row],[essence]],Tableau7[],12,FALSE)</f>
        <v>-0.42259999999999998</v>
      </c>
      <c r="AF189" s="3">
        <f>IF(Tableau3[[#This Row],[sdom]]="4EST",1,0)</f>
        <v>0</v>
      </c>
      <c r="AG189" s="3">
        <f>VLOOKUP(Tableau3[[#This Row],[essence]],Tableau7[],13,FALSE)</f>
        <v>0.25390000000000001</v>
      </c>
      <c r="AH189" s="3">
        <f>IF(Tableau3[[#This Row],[sdom]]="4OUEST",1,0)</f>
        <v>1</v>
      </c>
      <c r="AI189" s="3">
        <f>VLOOKUP(Tableau3[[#This Row],[essence]],Tableau7[],14,FALSE)</f>
        <v>4.6199999999999998E-2</v>
      </c>
      <c r="AJ189" s="3">
        <f>IF(Tableau3[[#This Row],[sdom]]="5EST",1,0)</f>
        <v>0</v>
      </c>
      <c r="AK189" s="3">
        <f>VLOOKUP(Tableau3[[#This Row],[essence]],Tableau7[],17,FALSE)</f>
        <v>0</v>
      </c>
      <c r="AL189" s="3">
        <f>IF(Tableau3[[#This Row],[priorecol]]="C",1,0)</f>
        <v>0</v>
      </c>
      <c r="AM189" s="3">
        <f>VLOOKUP(Tableau3[[#This Row],[essence]],Tableau7[],18,FALSE)</f>
        <v>0</v>
      </c>
      <c r="AN189" s="3">
        <f>IF(Tableau3[[#This Row],[priorecol]]="R",1,0)</f>
        <v>0</v>
      </c>
      <c r="AO189" s="3">
        <f>VLOOKUP(Tableau3[[#This Row],[essence]],Tableau7[],19,FALSE)</f>
        <v>0</v>
      </c>
      <c r="AP189" s="3">
        <f>IF(Tableau3[[#This Row],[priorecol]]="S",1,0)</f>
        <v>1</v>
      </c>
      <c r="AQ189" s="3">
        <f>VLOOKUP(Tableau3[[#This Row],[essence]],Tableau7[],21,FALSE)</f>
        <v>0</v>
      </c>
      <c r="AR189" s="3">
        <f>VLOOKUP(Tableau3[[#This Row],[essence]],Tableau7[],16,FALSE)</f>
        <v>0.24340000000000001</v>
      </c>
      <c r="AS189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1.68214</v>
      </c>
      <c r="AT189" s="3">
        <f>Tableau3[[#This Row],[xb_]]+Tableau3[[#This Row],[b_intercept_C]]</f>
        <v>1.6087400000000001</v>
      </c>
      <c r="AU189" s="3">
        <f>Tableau3[[#This Row],[xb_]]+Tableau3[[#This Row],[b_intercept_B]]</f>
        <v>-0.10166000000000008</v>
      </c>
      <c r="AV189" s="3">
        <f>1/(1+EXP(-Tableau3[[#This Row],[xb_c]]))</f>
        <v>0.83323637849942678</v>
      </c>
      <c r="AW189" s="3">
        <f>1/(1+EXP(-Tableau3[[#This Row],[xb_b]]))</f>
        <v>0.47460686555389359</v>
      </c>
      <c r="AX189" s="3" t="str">
        <f t="shared" si="5"/>
        <v>NA</v>
      </c>
      <c r="AY189" s="3">
        <f>Tableau3[[#This Row],[prob_b]]</f>
        <v>0.47460686555389359</v>
      </c>
      <c r="AZ189" s="3">
        <f>Tableau3[[#This Row],[prob_c]]-Tableau3[[#This Row],[prob_b]]</f>
        <v>0.35862951294553319</v>
      </c>
      <c r="BA189" s="3">
        <f>1-Tableau3[[#This Row],[prob_c]]</f>
        <v>0.16676362150057322</v>
      </c>
    </row>
    <row r="190" spans="1:53" x14ac:dyDescent="0.25">
      <c r="A190" s="2">
        <v>8</v>
      </c>
      <c r="B190" s="2" t="s">
        <v>16</v>
      </c>
      <c r="C190" s="4">
        <v>2.1</v>
      </c>
      <c r="D190" s="4">
        <v>700</v>
      </c>
      <c r="E190" s="4">
        <v>20</v>
      </c>
      <c r="F190" s="4">
        <v>1</v>
      </c>
      <c r="G190" s="2">
        <v>30</v>
      </c>
      <c r="H190" s="2">
        <v>39</v>
      </c>
      <c r="I190" s="2" t="s">
        <v>20</v>
      </c>
      <c r="J190" s="2" t="s">
        <v>29</v>
      </c>
      <c r="K190" s="2">
        <f>VLOOKUP(Tableau3[[#This Row],[essence]],Tableau7[],2,FALSE)</f>
        <v>-0.80379999999999996</v>
      </c>
      <c r="L190" s="3">
        <f>VLOOKUP(Tableau3[[#This Row],[essence]],Tableau7[],3,FALSE)</f>
        <v>0.88800000000000001</v>
      </c>
      <c r="M190" s="3">
        <f>VLOOKUP(Tableau3[[#This Row],[essence]],Tableau7[],4,FALSE)</f>
        <v>1.5212000000000001</v>
      </c>
      <c r="N190" s="3">
        <f>IF(Tableau3[[#This Row],[priorecol]]="C",1,0)</f>
        <v>0</v>
      </c>
      <c r="O190" s="3">
        <f>VLOOKUP(Tableau3[[#This Row],[essence]],Tableau7[],5,FALSE)</f>
        <v>1.8714999999999999</v>
      </c>
      <c r="P190" s="3">
        <f>IF(Tableau3[[#This Row],[priorecol]]="R",1,0)</f>
        <v>0</v>
      </c>
      <c r="Q190" s="3">
        <f>VLOOKUP(Tableau3[[#This Row],[essence]],Tableau7[],6,FALSE)</f>
        <v>0.51549999999999996</v>
      </c>
      <c r="R190" s="3">
        <f>IF(Tableau3[[#This Row],[priorecol]]="S",1,0)</f>
        <v>1</v>
      </c>
      <c r="S190" s="3">
        <f>VLOOKUP(Tableau3[[#This Row],[essence]],Tableau7[],7,FALSE)</f>
        <v>0</v>
      </c>
      <c r="T190" s="3">
        <f>VLOOKUP(Tableau3[[#This Row],[essence]],Tableau7[],15,FALSE)</f>
        <v>9.0500000000000008E-3</v>
      </c>
      <c r="U190" s="3">
        <f>VLOOKUP(Tableau3[[#This Row],[essence]],Tableau7[],20,FALSE)</f>
        <v>0</v>
      </c>
      <c r="V190" s="3">
        <f>IF(Tableau3[[#This Row],[sdom]]=1,1,0)</f>
        <v>0</v>
      </c>
      <c r="W190" s="3">
        <f>VLOOKUP(Tableau3[[#This Row],[essence]],Tableau7[],8,FALSE)</f>
        <v>0</v>
      </c>
      <c r="X190" s="3">
        <f>IF(Tableau3[[#This Row],[sdom]]="2EST",1,0)</f>
        <v>0</v>
      </c>
      <c r="Y190" s="3">
        <f>VLOOKUP(Tableau3[[#This Row],[essence]],Tableau7[],9,FALSE)</f>
        <v>-4.5199999999999997E-2</v>
      </c>
      <c r="Z190" s="3">
        <f>IF(Tableau3[[#This Row],[sdom]]="2OUEST",1,0)</f>
        <v>0</v>
      </c>
      <c r="AA190" s="3">
        <f>VLOOKUP(Tableau3[[#This Row],[essence]],Tableau7[],10,FALSE)</f>
        <v>1.15E-2</v>
      </c>
      <c r="AB190" s="3">
        <f>IF(Tableau3[[#This Row],[sdom]]="3EST",1,0)</f>
        <v>0</v>
      </c>
      <c r="AC190" s="3">
        <f>VLOOKUP(Tableau3[[#This Row],[essence]],Tableau7[],11,FALSE)</f>
        <v>0.1169</v>
      </c>
      <c r="AD190" s="3">
        <f>IF(Tableau3[[#This Row],[sdom]]="3OUEST",1,0)</f>
        <v>0</v>
      </c>
      <c r="AE190" s="3">
        <f>VLOOKUP(Tableau3[[#This Row],[essence]],Tableau7[],12,FALSE)</f>
        <v>-0.1686</v>
      </c>
      <c r="AF190" s="3">
        <f>IF(Tableau3[[#This Row],[sdom]]="4EST",1,0)</f>
        <v>0</v>
      </c>
      <c r="AG190" s="3">
        <f>VLOOKUP(Tableau3[[#This Row],[essence]],Tableau7[],13,FALSE)</f>
        <v>0.11940000000000001</v>
      </c>
      <c r="AH190" s="3">
        <f>IF(Tableau3[[#This Row],[sdom]]="4OUEST",1,0)</f>
        <v>0</v>
      </c>
      <c r="AI190" s="3">
        <f>VLOOKUP(Tableau3[[#This Row],[essence]],Tableau7[],14,FALSE)</f>
        <v>-0.13100000000000001</v>
      </c>
      <c r="AJ190" s="3">
        <f>IF(Tableau3[[#This Row],[sdom]]="5EST",1,0)</f>
        <v>1</v>
      </c>
      <c r="AK190" s="3">
        <f>VLOOKUP(Tableau3[[#This Row],[essence]],Tableau7[],17,FALSE)</f>
        <v>-1.8599999999999998E-2</v>
      </c>
      <c r="AL190" s="3">
        <f>IF(Tableau3[[#This Row],[priorecol]]="C",1,0)</f>
        <v>0</v>
      </c>
      <c r="AM190" s="3">
        <f>VLOOKUP(Tableau3[[#This Row],[essence]],Tableau7[],18,FALSE)</f>
        <v>-8.5500000000000003E-3</v>
      </c>
      <c r="AN190" s="3">
        <f>IF(Tableau3[[#This Row],[priorecol]]="R",1,0)</f>
        <v>0</v>
      </c>
      <c r="AO190" s="3">
        <f>VLOOKUP(Tableau3[[#This Row],[essence]],Tableau7[],19,FALSE)</f>
        <v>1.54E-2</v>
      </c>
      <c r="AP190" s="3">
        <f>IF(Tableau3[[#This Row],[priorecol]]="S",1,0)</f>
        <v>1</v>
      </c>
      <c r="AQ190" s="3">
        <f>VLOOKUP(Tableau3[[#This Row],[essence]],Tableau7[],21,FALSE)</f>
        <v>0</v>
      </c>
      <c r="AR190" s="3">
        <f>VLOOKUP(Tableau3[[#This Row],[essence]],Tableau7[],16,FALSE)</f>
        <v>0</v>
      </c>
      <c r="AS190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0.87349999999999994</v>
      </c>
      <c r="AT190" s="3">
        <f>Tableau3[[#This Row],[xb_]]+Tableau3[[#This Row],[b_intercept_C]]</f>
        <v>1.7614999999999998</v>
      </c>
      <c r="AU190" s="3">
        <f>Tableau3[[#This Row],[xb_]]+Tableau3[[#This Row],[b_intercept_B]]</f>
        <v>6.9699999999999984E-2</v>
      </c>
      <c r="AV190" s="3">
        <f>1/(1+EXP(-Tableau3[[#This Row],[xb_c]]))</f>
        <v>0.85339742508676664</v>
      </c>
      <c r="AW190" s="3">
        <f>1/(1+EXP(-Tableau3[[#This Row],[xb_b]]))</f>
        <v>0.51741794907386274</v>
      </c>
      <c r="AX190" s="3" t="str">
        <f t="shared" si="5"/>
        <v>NA</v>
      </c>
      <c r="AY190" s="3">
        <f>Tableau3[[#This Row],[prob_b]]</f>
        <v>0.51741794907386274</v>
      </c>
      <c r="AZ190" s="3">
        <f>Tableau3[[#This Row],[prob_c]]-Tableau3[[#This Row],[prob_b]]</f>
        <v>0.3359794760129039</v>
      </c>
      <c r="BA190" s="3">
        <f>1-Tableau3[[#This Row],[prob_c]]</f>
        <v>0.14660257491323336</v>
      </c>
    </row>
    <row r="191" spans="1:53" x14ac:dyDescent="0.25">
      <c r="A191" s="3">
        <v>8</v>
      </c>
      <c r="B191" s="3" t="s">
        <v>16</v>
      </c>
      <c r="C191" s="1">
        <v>2.1</v>
      </c>
      <c r="D191" s="1">
        <v>700</v>
      </c>
      <c r="E191" s="1">
        <v>20</v>
      </c>
      <c r="F191" s="1">
        <v>1</v>
      </c>
      <c r="G191" s="3">
        <v>36</v>
      </c>
      <c r="H191" s="3">
        <v>39</v>
      </c>
      <c r="I191" s="3" t="s">
        <v>22</v>
      </c>
      <c r="J191" s="3" t="s">
        <v>29</v>
      </c>
      <c r="K191" s="3">
        <f>VLOOKUP(Tableau3[[#This Row],[essence]],Tableau7[],2,FALSE)</f>
        <v>-1.8420000000000001</v>
      </c>
      <c r="L191" s="3">
        <f>VLOOKUP(Tableau3[[#This Row],[essence]],Tableau7[],3,FALSE)</f>
        <v>0.2177</v>
      </c>
      <c r="M191" s="3">
        <f>VLOOKUP(Tableau3[[#This Row],[essence]],Tableau7[],4,FALSE)</f>
        <v>1.9473</v>
      </c>
      <c r="N191" s="3">
        <f>IF(Tableau3[[#This Row],[priorecol]]="C",1,0)</f>
        <v>0</v>
      </c>
      <c r="O191" s="3">
        <f>VLOOKUP(Tableau3[[#This Row],[essence]],Tableau7[],5,FALSE)</f>
        <v>3.0630999999999999</v>
      </c>
      <c r="P191" s="3">
        <f>IF(Tableau3[[#This Row],[priorecol]]="R",1,0)</f>
        <v>0</v>
      </c>
      <c r="Q191" s="3">
        <f>VLOOKUP(Tableau3[[#This Row],[essence]],Tableau7[],6,FALSE)</f>
        <v>1.5014000000000001</v>
      </c>
      <c r="R191" s="3">
        <f>IF(Tableau3[[#This Row],[priorecol]]="S",1,0)</f>
        <v>1</v>
      </c>
      <c r="S191" s="3">
        <f>VLOOKUP(Tableau3[[#This Row],[essence]],Tableau7[],7,FALSE)</f>
        <v>0</v>
      </c>
      <c r="T191" s="3">
        <f>VLOOKUP(Tableau3[[#This Row],[essence]],Tableau7[],15,FALSE)</f>
        <v>0</v>
      </c>
      <c r="U191" s="3">
        <f>VLOOKUP(Tableau3[[#This Row],[essence]],Tableau7[],20,FALSE)</f>
        <v>0.49399999999999999</v>
      </c>
      <c r="V191" s="3">
        <f>IF(Tableau3[[#This Row],[sdom]]=1,1,0)</f>
        <v>0</v>
      </c>
      <c r="W191" s="3">
        <f>VLOOKUP(Tableau3[[#This Row],[essence]],Tableau7[],8,FALSE)</f>
        <v>0.42420000000000002</v>
      </c>
      <c r="X191" s="3">
        <f>IF(Tableau3[[#This Row],[sdom]]="2EST",1,0)</f>
        <v>0</v>
      </c>
      <c r="Y191" s="3">
        <f>VLOOKUP(Tableau3[[#This Row],[essence]],Tableau7[],9,FALSE)</f>
        <v>7.4300000000000005E-2</v>
      </c>
      <c r="Z191" s="3">
        <f>IF(Tableau3[[#This Row],[sdom]]="2OUEST",1,0)</f>
        <v>0</v>
      </c>
      <c r="AA191" s="3">
        <f>VLOOKUP(Tableau3[[#This Row],[essence]],Tableau7[],10,FALSE)</f>
        <v>-6.7000000000000004E-2</v>
      </c>
      <c r="AB191" s="3">
        <f>IF(Tableau3[[#This Row],[sdom]]="3EST",1,0)</f>
        <v>0</v>
      </c>
      <c r="AC191" s="3">
        <f>VLOOKUP(Tableau3[[#This Row],[essence]],Tableau7[],11,FALSE)</f>
        <v>-8.3400000000000002E-2</v>
      </c>
      <c r="AD191" s="3">
        <f>IF(Tableau3[[#This Row],[sdom]]="3OUEST",1,0)</f>
        <v>0</v>
      </c>
      <c r="AE191" s="3">
        <f>VLOOKUP(Tableau3[[#This Row],[essence]],Tableau7[],12,FALSE)</f>
        <v>-0.26840000000000003</v>
      </c>
      <c r="AF191" s="3">
        <f>IF(Tableau3[[#This Row],[sdom]]="4EST",1,0)</f>
        <v>0</v>
      </c>
      <c r="AG191" s="3">
        <f>VLOOKUP(Tableau3[[#This Row],[essence]],Tableau7[],13,FALSE)</f>
        <v>0</v>
      </c>
      <c r="AH191" s="3">
        <f>IF(Tableau3[[#This Row],[sdom]]="4OUEST",1,0)</f>
        <v>0</v>
      </c>
      <c r="AI191" s="3">
        <f>VLOOKUP(Tableau3[[#This Row],[essence]],Tableau7[],14,FALSE)</f>
        <v>0</v>
      </c>
      <c r="AJ191" s="3">
        <f>IF(Tableau3[[#This Row],[sdom]]="5EST",1,0)</f>
        <v>1</v>
      </c>
      <c r="AK191" s="3">
        <f>VLOOKUP(Tableau3[[#This Row],[essence]],Tableau7[],17,FALSE)</f>
        <v>0</v>
      </c>
      <c r="AL191" s="3">
        <f>IF(Tableau3[[#This Row],[priorecol]]="C",1,0)</f>
        <v>0</v>
      </c>
      <c r="AM191" s="3">
        <f>VLOOKUP(Tableau3[[#This Row],[essence]],Tableau7[],18,FALSE)</f>
        <v>0</v>
      </c>
      <c r="AN191" s="3">
        <f>IF(Tableau3[[#This Row],[priorecol]]="R",1,0)</f>
        <v>0</v>
      </c>
      <c r="AO191" s="3">
        <f>VLOOKUP(Tableau3[[#This Row],[essence]],Tableau7[],19,FALSE)</f>
        <v>0</v>
      </c>
      <c r="AP191" s="3">
        <f>IF(Tableau3[[#This Row],[priorecol]]="S",1,0)</f>
        <v>1</v>
      </c>
      <c r="AQ191" s="3">
        <f>VLOOKUP(Tableau3[[#This Row],[essence]],Tableau7[],21,FALSE)</f>
        <v>0</v>
      </c>
      <c r="AR191" s="3">
        <f>VLOOKUP(Tableau3[[#This Row],[essence]],Tableau7[],16,FALSE)</f>
        <v>0</v>
      </c>
      <c r="AS191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1.5014000000000001</v>
      </c>
      <c r="AT191" s="3">
        <f>Tableau3[[#This Row],[xb_]]+Tableau3[[#This Row],[b_intercept_C]]</f>
        <v>1.7191000000000001</v>
      </c>
      <c r="AU191" s="3">
        <f>Tableau3[[#This Row],[xb_]]+Tableau3[[#This Row],[b_intercept_B]]</f>
        <v>-0.34060000000000001</v>
      </c>
      <c r="AV191" s="3">
        <f>1/(1+EXP(-Tableau3[[#This Row],[xb_c]]))</f>
        <v>0.84801287433644579</v>
      </c>
      <c r="AW191" s="3">
        <f>1/(1+EXP(-Tableau3[[#This Row],[xb_b]]))</f>
        <v>0.41566373725740247</v>
      </c>
      <c r="AX191" s="3" t="str">
        <f t="shared" si="5"/>
        <v>NA</v>
      </c>
      <c r="AY191" s="3">
        <f>Tableau3[[#This Row],[prob_b]]</f>
        <v>0.41566373725740247</v>
      </c>
      <c r="AZ191" s="3">
        <f>Tableau3[[#This Row],[prob_c]]-Tableau3[[#This Row],[prob_b]]</f>
        <v>0.43234913707904332</v>
      </c>
      <c r="BA191" s="3">
        <f>1-Tableau3[[#This Row],[prob_c]]</f>
        <v>0.15198712566355421</v>
      </c>
    </row>
    <row r="192" spans="1:53" x14ac:dyDescent="0.25">
      <c r="A192" s="2">
        <v>8</v>
      </c>
      <c r="B192" s="2" t="s">
        <v>16</v>
      </c>
      <c r="C192" s="4">
        <v>2.1</v>
      </c>
      <c r="D192" s="4">
        <v>700</v>
      </c>
      <c r="E192" s="4">
        <v>20</v>
      </c>
      <c r="F192" s="4">
        <v>1</v>
      </c>
      <c r="G192" s="2">
        <v>42</v>
      </c>
      <c r="H192" s="2">
        <v>39</v>
      </c>
      <c r="I192" s="2" t="s">
        <v>24</v>
      </c>
      <c r="J192" s="2" t="s">
        <v>29</v>
      </c>
      <c r="K192" s="2">
        <f>VLOOKUP(Tableau3[[#This Row],[essence]],Tableau7[],2,FALSE)</f>
        <v>-0.84530000000000005</v>
      </c>
      <c r="L192" s="3">
        <f>VLOOKUP(Tableau3[[#This Row],[essence]],Tableau7[],3,FALSE)</f>
        <v>0.93089999999999995</v>
      </c>
      <c r="M192" s="3">
        <f>VLOOKUP(Tableau3[[#This Row],[essence]],Tableau7[],4,FALSE)</f>
        <v>1.4276</v>
      </c>
      <c r="N192" s="3">
        <f>IF(Tableau3[[#This Row],[priorecol]]="C",1,0)</f>
        <v>0</v>
      </c>
      <c r="O192" s="3">
        <f>VLOOKUP(Tableau3[[#This Row],[essence]],Tableau7[],5,FALSE)</f>
        <v>2.468</v>
      </c>
      <c r="P192" s="3">
        <f>IF(Tableau3[[#This Row],[priorecol]]="R",1,0)</f>
        <v>0</v>
      </c>
      <c r="Q192" s="3">
        <f>VLOOKUP(Tableau3[[#This Row],[essence]],Tableau7[],6,FALSE)</f>
        <v>0.86019999999999996</v>
      </c>
      <c r="R192" s="3">
        <f>IF(Tableau3[[#This Row],[priorecol]]="S",1,0)</f>
        <v>1</v>
      </c>
      <c r="S192" s="3">
        <f>VLOOKUP(Tableau3[[#This Row],[essence]],Tableau7[],7,FALSE)</f>
        <v>0</v>
      </c>
      <c r="T192" s="3">
        <f>VLOOKUP(Tableau3[[#This Row],[essence]],Tableau7[],15,FALSE)</f>
        <v>1.7299999999999999E-2</v>
      </c>
      <c r="U192" s="3">
        <f>VLOOKUP(Tableau3[[#This Row],[essence]],Tableau7[],20,FALSE)</f>
        <v>-0.28799999999999998</v>
      </c>
      <c r="V192" s="3">
        <f>IF(Tableau3[[#This Row],[sdom]]=1,1,0)</f>
        <v>0</v>
      </c>
      <c r="W192" s="3">
        <f>VLOOKUP(Tableau3[[#This Row],[essence]],Tableau7[],8,FALSE)</f>
        <v>-0.18859999999999999</v>
      </c>
      <c r="X192" s="3">
        <f>IF(Tableau3[[#This Row],[sdom]]="2EST",1,0)</f>
        <v>0</v>
      </c>
      <c r="Y192" s="3">
        <f>VLOOKUP(Tableau3[[#This Row],[essence]],Tableau7[],9,FALSE)</f>
        <v>1.2699999999999999E-2</v>
      </c>
      <c r="Z192" s="3">
        <f>IF(Tableau3[[#This Row],[sdom]]="2OUEST",1,0)</f>
        <v>0</v>
      </c>
      <c r="AA192" s="3">
        <f>VLOOKUP(Tableau3[[#This Row],[essence]],Tableau7[],10,FALSE)</f>
        <v>0</v>
      </c>
      <c r="AB192" s="3">
        <f>IF(Tableau3[[#This Row],[sdom]]="3EST",1,0)</f>
        <v>0</v>
      </c>
      <c r="AC192" s="3">
        <f>VLOOKUP(Tableau3[[#This Row],[essence]],Tableau7[],11,FALSE)</f>
        <v>0.30009999999999998</v>
      </c>
      <c r="AD192" s="3">
        <f>IF(Tableau3[[#This Row],[sdom]]="3OUEST",1,0)</f>
        <v>0</v>
      </c>
      <c r="AE192" s="3">
        <f>VLOOKUP(Tableau3[[#This Row],[essence]],Tableau7[],12,FALSE)</f>
        <v>0</v>
      </c>
      <c r="AF192" s="3">
        <f>IF(Tableau3[[#This Row],[sdom]]="4EST",1,0)</f>
        <v>0</v>
      </c>
      <c r="AG192" s="3">
        <f>VLOOKUP(Tableau3[[#This Row],[essence]],Tableau7[],13,FALSE)</f>
        <v>0</v>
      </c>
      <c r="AH192" s="3">
        <f>IF(Tableau3[[#This Row],[sdom]]="4OUEST",1,0)</f>
        <v>0</v>
      </c>
      <c r="AI192" s="3">
        <f>VLOOKUP(Tableau3[[#This Row],[essence]],Tableau7[],14,FALSE)</f>
        <v>0</v>
      </c>
      <c r="AJ192" s="3">
        <f>IF(Tableau3[[#This Row],[sdom]]="5EST",1,0)</f>
        <v>1</v>
      </c>
      <c r="AK192" s="3">
        <f>VLOOKUP(Tableau3[[#This Row],[essence]],Tableau7[],17,FALSE)</f>
        <v>0</v>
      </c>
      <c r="AL192" s="3">
        <f>IF(Tableau3[[#This Row],[priorecol]]="C",1,0)</f>
        <v>0</v>
      </c>
      <c r="AM192" s="3">
        <f>VLOOKUP(Tableau3[[#This Row],[essence]],Tableau7[],18,FALSE)</f>
        <v>0</v>
      </c>
      <c r="AN192" s="3">
        <f>IF(Tableau3[[#This Row],[priorecol]]="R",1,0)</f>
        <v>0</v>
      </c>
      <c r="AO192" s="3">
        <f>VLOOKUP(Tableau3[[#This Row],[essence]],Tableau7[],19,FALSE)</f>
        <v>0</v>
      </c>
      <c r="AP192" s="3">
        <f>IF(Tableau3[[#This Row],[priorecol]]="S",1,0)</f>
        <v>1</v>
      </c>
      <c r="AQ192" s="3">
        <f>VLOOKUP(Tableau3[[#This Row],[essence]],Tableau7[],21,FALSE)</f>
        <v>0</v>
      </c>
      <c r="AR192" s="3">
        <f>VLOOKUP(Tableau3[[#This Row],[essence]],Tableau7[],16,FALSE)</f>
        <v>0</v>
      </c>
      <c r="AS192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1.2061999999999999</v>
      </c>
      <c r="AT192" s="3">
        <f>Tableau3[[#This Row],[xb_]]+Tableau3[[#This Row],[b_intercept_C]]</f>
        <v>2.1370999999999998</v>
      </c>
      <c r="AU192" s="3">
        <f>Tableau3[[#This Row],[xb_]]+Tableau3[[#This Row],[b_intercept_B]]</f>
        <v>0.36089999999999989</v>
      </c>
      <c r="AV192" s="3">
        <f>1/(1+EXP(-Tableau3[[#This Row],[xb_c]]))</f>
        <v>0.89445715317649188</v>
      </c>
      <c r="AW192" s="3">
        <f>1/(1+EXP(-Tableau3[[#This Row],[xb_b]]))</f>
        <v>0.58925828120746859</v>
      </c>
      <c r="AX192" s="3" t="str">
        <f t="shared" si="5"/>
        <v>NA</v>
      </c>
      <c r="AY192" s="3">
        <f>Tableau3[[#This Row],[prob_b]]</f>
        <v>0.58925828120746859</v>
      </c>
      <c r="AZ192" s="3">
        <f>Tableau3[[#This Row],[prob_c]]-Tableau3[[#This Row],[prob_b]]</f>
        <v>0.30519887196902329</v>
      </c>
      <c r="BA192" s="3">
        <f>1-Tableau3[[#This Row],[prob_c]]</f>
        <v>0.10554284682350812</v>
      </c>
    </row>
    <row r="193" spans="1:53" x14ac:dyDescent="0.25">
      <c r="A193" s="3">
        <v>8</v>
      </c>
      <c r="B193" s="3" t="s">
        <v>16</v>
      </c>
      <c r="C193" s="1">
        <v>2.1</v>
      </c>
      <c r="D193" s="1">
        <v>700</v>
      </c>
      <c r="E193" s="1">
        <v>20</v>
      </c>
      <c r="F193" s="1">
        <v>1</v>
      </c>
      <c r="G193" s="3">
        <v>48</v>
      </c>
      <c r="H193" s="3">
        <v>39</v>
      </c>
      <c r="I193" s="3" t="s">
        <v>26</v>
      </c>
      <c r="J193" s="3" t="s">
        <v>29</v>
      </c>
      <c r="K193" s="3">
        <f>VLOOKUP(Tableau3[[#This Row],[essence]],Tableau7[],2,FALSE)</f>
        <v>-1.7838000000000001</v>
      </c>
      <c r="L193" s="3">
        <f>VLOOKUP(Tableau3[[#This Row],[essence]],Tableau7[],3,FALSE)</f>
        <v>-7.3400000000000007E-2</v>
      </c>
      <c r="M193" s="3">
        <f>VLOOKUP(Tableau3[[#This Row],[essence]],Tableau7[],4,FALSE)</f>
        <v>1.5893999999999999</v>
      </c>
      <c r="N193" s="3">
        <f>IF(Tableau3[[#This Row],[priorecol]]="C",1,0)</f>
        <v>0</v>
      </c>
      <c r="O193" s="3">
        <f>VLOOKUP(Tableau3[[#This Row],[essence]],Tableau7[],5,FALSE)</f>
        <v>2.1800000000000002</v>
      </c>
      <c r="P193" s="3">
        <f>IF(Tableau3[[#This Row],[priorecol]]="R",1,0)</f>
        <v>0</v>
      </c>
      <c r="Q193" s="3">
        <f>VLOOKUP(Tableau3[[#This Row],[essence]],Tableau7[],6,FALSE)</f>
        <v>0.91710000000000003</v>
      </c>
      <c r="R193" s="3">
        <f>IF(Tableau3[[#This Row],[priorecol]]="S",1,0)</f>
        <v>1</v>
      </c>
      <c r="S193" s="3">
        <f>VLOOKUP(Tableau3[[#This Row],[essence]],Tableau7[],7,FALSE)</f>
        <v>0</v>
      </c>
      <c r="T193" s="3">
        <f>VLOOKUP(Tableau3[[#This Row],[essence]],Tableau7[],15,FALSE)</f>
        <v>0</v>
      </c>
      <c r="U193" s="3">
        <f>VLOOKUP(Tableau3[[#This Row],[essence]],Tableau7[],20,FALSE)</f>
        <v>0</v>
      </c>
      <c r="V193" s="3">
        <f>IF(Tableau3[[#This Row],[sdom]]=1,1,0)</f>
        <v>0</v>
      </c>
      <c r="W193" s="3">
        <f>VLOOKUP(Tableau3[[#This Row],[essence]],Tableau7[],8,FALSE)</f>
        <v>0</v>
      </c>
      <c r="X193" s="3">
        <f>IF(Tableau3[[#This Row],[sdom]]="2EST",1,0)</f>
        <v>0</v>
      </c>
      <c r="Y193" s="3">
        <f>VLOOKUP(Tableau3[[#This Row],[essence]],Tableau7[],9,FALSE)</f>
        <v>-0.22550000000000001</v>
      </c>
      <c r="Z193" s="3">
        <f>IF(Tableau3[[#This Row],[sdom]]="2OUEST",1,0)</f>
        <v>0</v>
      </c>
      <c r="AA193" s="3">
        <f>VLOOKUP(Tableau3[[#This Row],[essence]],Tableau7[],10,FALSE)</f>
        <v>0</v>
      </c>
      <c r="AB193" s="3">
        <f>IF(Tableau3[[#This Row],[sdom]]="3EST",1,0)</f>
        <v>0</v>
      </c>
      <c r="AC193" s="3">
        <f>VLOOKUP(Tableau3[[#This Row],[essence]],Tableau7[],11,FALSE)</f>
        <v>0.3513</v>
      </c>
      <c r="AD193" s="3">
        <f>IF(Tableau3[[#This Row],[sdom]]="3OUEST",1,0)</f>
        <v>0</v>
      </c>
      <c r="AE193" s="3">
        <f>VLOOKUP(Tableau3[[#This Row],[essence]],Tableau7[],12,FALSE)</f>
        <v>-0.42259999999999998</v>
      </c>
      <c r="AF193" s="3">
        <f>IF(Tableau3[[#This Row],[sdom]]="4EST",1,0)</f>
        <v>0</v>
      </c>
      <c r="AG193" s="3">
        <f>VLOOKUP(Tableau3[[#This Row],[essence]],Tableau7[],13,FALSE)</f>
        <v>0.25390000000000001</v>
      </c>
      <c r="AH193" s="3">
        <f>IF(Tableau3[[#This Row],[sdom]]="4OUEST",1,0)</f>
        <v>0</v>
      </c>
      <c r="AI193" s="3">
        <f>VLOOKUP(Tableau3[[#This Row],[essence]],Tableau7[],14,FALSE)</f>
        <v>4.6199999999999998E-2</v>
      </c>
      <c r="AJ193" s="3">
        <f>IF(Tableau3[[#This Row],[sdom]]="5EST",1,0)</f>
        <v>1</v>
      </c>
      <c r="AK193" s="3">
        <f>VLOOKUP(Tableau3[[#This Row],[essence]],Tableau7[],17,FALSE)</f>
        <v>0</v>
      </c>
      <c r="AL193" s="3">
        <f>IF(Tableau3[[#This Row],[priorecol]]="C",1,0)</f>
        <v>0</v>
      </c>
      <c r="AM193" s="3">
        <f>VLOOKUP(Tableau3[[#This Row],[essence]],Tableau7[],18,FALSE)</f>
        <v>0</v>
      </c>
      <c r="AN193" s="3">
        <f>IF(Tableau3[[#This Row],[priorecol]]="R",1,0)</f>
        <v>0</v>
      </c>
      <c r="AO193" s="3">
        <f>VLOOKUP(Tableau3[[#This Row],[essence]],Tableau7[],19,FALSE)</f>
        <v>0</v>
      </c>
      <c r="AP193" s="3">
        <f>IF(Tableau3[[#This Row],[priorecol]]="S",1,0)</f>
        <v>1</v>
      </c>
      <c r="AQ193" s="3">
        <f>VLOOKUP(Tableau3[[#This Row],[essence]],Tableau7[],21,FALSE)</f>
        <v>0</v>
      </c>
      <c r="AR193" s="3">
        <f>VLOOKUP(Tableau3[[#This Row],[essence]],Tableau7[],16,FALSE)</f>
        <v>0.24340000000000001</v>
      </c>
      <c r="AS193" s="3">
        <f>Tableau3[[#This Row],[b_priorecol_C]]*Tableau3[[#This Row],[uPC]]+Tableau3[[#This Row],[b_priorecol_R]]*Tableau3[[#This Row],[uPR]]+Tableau3[[#This Row],[b_priorecol_S]]*Tableau3[[#This Row],[uPS]]+Tableau3[[#This Row],[b_dhpcm]]*Tableau3[[#This Row],[dhpcm]]+Tableau3[[#This Row],[b_sum_st_ha]]*Tableau3[[#This Row],[sum_st_ha]]+Tableau3[[#This Row],[b_sdom_1]]*Tableau3[[#This Row],[u1]]+Tableau3[[#This Row],[b_sdom_2EST]]*Tableau3[[#This Row],[u2e]]+Tableau3[[#This Row],[b_sdom_2OUEST]]*Tableau3[[#This Row],[u2o]]+Tableau3[[#This Row],[b_sdom_3EST]]*Tableau3[[#This Row],[u3e]]+Tableau3[[#This Row],[b_sdom_3OUEST]]*Tableau3[[#This Row],[u3o]]+Tableau3[[#This Row],[b_sdom_4EST]]*Tableau3[[#This Row],[u4e]]+Tableau3[[#This Row],[b_sdom_4OUEST]]*Tableau3[[#This Row],[u4o]]+Tableau3[[#This Row],[b_sdom_5EST]]*Tableau3[[#This Row],[u5e]]+Tableau3[[#This Row],[b_sum_st_ha*priorecol_C]]*Tableau3[[#This Row],[udpc]]*Tableau3[[#This Row],[sum_st_ha]]+Tableau3[[#This Row],[b_sum_st_ha*priorecol_R]]*Tableau3[[#This Row],[udpr]]*Tableau3[[#This Row],[sum_st_ha]]+Tableau3[[#This Row],[b_sum_st_ha*priorecol_S]]*Tableau3[[#This Row],[udps]]*Tableau3[[#This Row],[sum_st_ha]]+Tableau3[[#This Row],[b_coupe]]*Tableau3[[#This Row],[coupe]]+Tableau3[[#This Row],[b_tmoy]]*Tableau3[[#This Row],[tmoy]]</f>
        <v>1.47444</v>
      </c>
      <c r="AT193" s="3">
        <f>Tableau3[[#This Row],[xb_]]+Tableau3[[#This Row],[b_intercept_C]]</f>
        <v>1.4010400000000001</v>
      </c>
      <c r="AU193" s="3">
        <f>Tableau3[[#This Row],[xb_]]+Tableau3[[#This Row],[b_intercept_B]]</f>
        <v>-0.30936000000000008</v>
      </c>
      <c r="AV193" s="3">
        <f>1/(1+EXP(-Tableau3[[#This Row],[xb_c]]))</f>
        <v>0.802348868988502</v>
      </c>
      <c r="AW193" s="3">
        <f>1/(1+EXP(-Tableau3[[#This Row],[xb_b]]))</f>
        <v>0.42327096329012592</v>
      </c>
      <c r="AX193" s="3" t="str">
        <f t="shared" si="5"/>
        <v>NA</v>
      </c>
      <c r="AY193" s="3">
        <f>Tableau3[[#This Row],[prob_b]]</f>
        <v>0.42327096329012592</v>
      </c>
      <c r="AZ193" s="3">
        <f>Tableau3[[#This Row],[prob_c]]-Tableau3[[#This Row],[prob_b]]</f>
        <v>0.37907790569837607</v>
      </c>
      <c r="BA193" s="3">
        <f>1-Tableau3[[#This Row],[prob_c]]</f>
        <v>0.197651131011498</v>
      </c>
    </row>
    <row r="195" spans="1:53" x14ac:dyDescent="0.25">
      <c r="A195" s="11">
        <v>1</v>
      </c>
      <c r="B195" s="11">
        <v>2</v>
      </c>
      <c r="C195" s="11">
        <v>3</v>
      </c>
      <c r="D195" s="11">
        <v>4</v>
      </c>
      <c r="E195" s="11">
        <v>5</v>
      </c>
      <c r="F195" s="11">
        <v>6</v>
      </c>
      <c r="G195" s="11">
        <v>7</v>
      </c>
      <c r="H195" s="11">
        <v>8</v>
      </c>
      <c r="I195" s="11">
        <v>9</v>
      </c>
      <c r="J195" s="11">
        <v>10</v>
      </c>
      <c r="K195" s="11">
        <v>11</v>
      </c>
      <c r="L195" s="11">
        <v>12</v>
      </c>
      <c r="M195" s="11">
        <v>13</v>
      </c>
      <c r="N195" s="11">
        <v>14</v>
      </c>
      <c r="O195" s="11">
        <v>15</v>
      </c>
      <c r="P195" s="11">
        <v>16</v>
      </c>
      <c r="Q195" s="11">
        <v>17</v>
      </c>
      <c r="R195" s="11">
        <v>18</v>
      </c>
      <c r="S195" s="11">
        <v>19</v>
      </c>
      <c r="T195" s="11">
        <v>20</v>
      </c>
      <c r="U195" s="11">
        <v>21</v>
      </c>
    </row>
    <row r="196" spans="1:53" x14ac:dyDescent="0.25">
      <c r="A196" s="6" t="s">
        <v>8</v>
      </c>
      <c r="B196" s="6" t="s">
        <v>77</v>
      </c>
      <c r="C196" s="6" t="s">
        <v>30</v>
      </c>
      <c r="D196" s="6" t="s">
        <v>31</v>
      </c>
      <c r="E196" s="6" t="s">
        <v>32</v>
      </c>
      <c r="F196" s="6" t="s">
        <v>33</v>
      </c>
      <c r="G196" s="6" t="s">
        <v>34</v>
      </c>
      <c r="H196" s="6" t="s">
        <v>37</v>
      </c>
      <c r="I196" s="6" t="s">
        <v>38</v>
      </c>
      <c r="J196" s="6" t="s">
        <v>39</v>
      </c>
      <c r="K196" s="6" t="s">
        <v>40</v>
      </c>
      <c r="L196" s="6" t="s">
        <v>41</v>
      </c>
      <c r="M196" s="6" t="s">
        <v>42</v>
      </c>
      <c r="N196" s="6" t="s">
        <v>43</v>
      </c>
      <c r="O196" s="6" t="s">
        <v>35</v>
      </c>
      <c r="P196" s="6" t="s">
        <v>66</v>
      </c>
      <c r="Q196" s="6" t="s">
        <v>78</v>
      </c>
      <c r="R196" s="6" t="s">
        <v>79</v>
      </c>
      <c r="S196" s="6" t="s">
        <v>80</v>
      </c>
      <c r="T196" s="6" t="s">
        <v>36</v>
      </c>
      <c r="U196" s="6" t="s">
        <v>64</v>
      </c>
    </row>
    <row r="197" spans="1:53" x14ac:dyDescent="0.25">
      <c r="A197" s="14" t="s">
        <v>19</v>
      </c>
      <c r="B197" s="8">
        <v>-3.7313999999999998</v>
      </c>
      <c r="C197" s="8">
        <v>-1.7194</v>
      </c>
      <c r="D197" s="8">
        <v>1.5371999999999999</v>
      </c>
      <c r="E197" s="8">
        <v>2.5815000000000001</v>
      </c>
      <c r="F197" s="8">
        <v>0.96079999999999999</v>
      </c>
      <c r="G197" s="8">
        <v>4.2799999999999998E-2</v>
      </c>
      <c r="H197" s="8">
        <v>2.3900000000000001E-2</v>
      </c>
      <c r="I197" s="8">
        <v>-0.4793</v>
      </c>
      <c r="J197" s="8">
        <v>0.13880000000000001</v>
      </c>
      <c r="K197" s="8">
        <v>0.27039999999999997</v>
      </c>
      <c r="L197" s="8">
        <v>4.6600000000000001E-3</v>
      </c>
      <c r="M197" s="8">
        <v>0.1986</v>
      </c>
      <c r="N197" s="8">
        <v>-0.2535</v>
      </c>
      <c r="O197" s="8">
        <v>1.54E-2</v>
      </c>
      <c r="P197" s="8">
        <v>0.123</v>
      </c>
      <c r="Q197" s="10"/>
      <c r="R197" s="10"/>
      <c r="S197" s="10"/>
      <c r="T197" s="10"/>
      <c r="U197" s="10"/>
    </row>
    <row r="198" spans="1:53" x14ac:dyDescent="0.25">
      <c r="A198" s="14" t="s">
        <v>20</v>
      </c>
      <c r="B198" s="8">
        <v>-0.80379999999999996</v>
      </c>
      <c r="C198" s="8">
        <v>0.88800000000000001</v>
      </c>
      <c r="D198" s="8">
        <v>1.5212000000000001</v>
      </c>
      <c r="E198" s="8">
        <v>1.8714999999999999</v>
      </c>
      <c r="F198" s="8">
        <v>0.51549999999999996</v>
      </c>
      <c r="G198" s="10"/>
      <c r="H198" s="10"/>
      <c r="I198" s="8">
        <v>-4.5199999999999997E-2</v>
      </c>
      <c r="J198" s="8">
        <v>1.15E-2</v>
      </c>
      <c r="K198" s="8">
        <v>0.1169</v>
      </c>
      <c r="L198" s="8">
        <v>-0.1686</v>
      </c>
      <c r="M198" s="8">
        <v>0.11940000000000001</v>
      </c>
      <c r="N198" s="8">
        <v>-0.13100000000000001</v>
      </c>
      <c r="O198" s="8">
        <v>9.0500000000000008E-3</v>
      </c>
      <c r="P198" s="10"/>
      <c r="Q198" s="8">
        <v>-1.8599999999999998E-2</v>
      </c>
      <c r="R198" s="8">
        <v>-8.5500000000000003E-3</v>
      </c>
      <c r="S198" s="8">
        <v>1.54E-2</v>
      </c>
      <c r="T198" s="10"/>
      <c r="U198" s="10"/>
    </row>
    <row r="199" spans="1:53" x14ac:dyDescent="0.25">
      <c r="A199" s="14" t="s">
        <v>21</v>
      </c>
      <c r="B199" s="8">
        <v>-0.68799999999999994</v>
      </c>
      <c r="C199" s="8">
        <v>1.3924000000000001</v>
      </c>
      <c r="D199" s="8">
        <v>0.41599999999999998</v>
      </c>
      <c r="E199" s="8">
        <v>1.5604</v>
      </c>
      <c r="F199" s="8">
        <v>-0.64770000000000005</v>
      </c>
      <c r="G199" s="10"/>
      <c r="H199" s="10"/>
      <c r="I199" s="8">
        <v>-0.27589999999999998</v>
      </c>
      <c r="J199" s="10"/>
      <c r="K199" s="10"/>
      <c r="L199" s="10"/>
      <c r="M199" s="10"/>
      <c r="N199" s="10"/>
      <c r="O199" s="8">
        <v>-2.4500000000000001E-2</v>
      </c>
      <c r="P199" s="10"/>
      <c r="Q199" s="8">
        <v>6.4199999999999993E-2</v>
      </c>
      <c r="R199" s="8">
        <v>6.3399999999999998E-2</v>
      </c>
      <c r="S199" s="8">
        <v>8.2400000000000001E-2</v>
      </c>
      <c r="T199" s="8">
        <v>0.15179999999999999</v>
      </c>
      <c r="U199" s="10"/>
    </row>
    <row r="200" spans="1:53" x14ac:dyDescent="0.25">
      <c r="A200" s="14" t="s">
        <v>22</v>
      </c>
      <c r="B200" s="8">
        <v>-1.8420000000000001</v>
      </c>
      <c r="C200" s="8">
        <v>0.2177</v>
      </c>
      <c r="D200" s="8">
        <v>1.9473</v>
      </c>
      <c r="E200" s="8">
        <v>3.0630999999999999</v>
      </c>
      <c r="F200" s="8">
        <v>1.5014000000000001</v>
      </c>
      <c r="G200" s="10"/>
      <c r="H200" s="8">
        <v>0.42420000000000002</v>
      </c>
      <c r="I200" s="8">
        <v>7.4300000000000005E-2</v>
      </c>
      <c r="J200" s="8">
        <v>-6.7000000000000004E-2</v>
      </c>
      <c r="K200" s="8">
        <v>-8.3400000000000002E-2</v>
      </c>
      <c r="L200" s="8">
        <v>-0.26840000000000003</v>
      </c>
      <c r="M200" s="10"/>
      <c r="N200" s="10"/>
      <c r="O200" s="10"/>
      <c r="P200" s="10"/>
      <c r="Q200" s="10"/>
      <c r="R200" s="10"/>
      <c r="S200" s="10"/>
      <c r="T200" s="8">
        <v>0.49399999999999999</v>
      </c>
      <c r="U200" s="10"/>
    </row>
    <row r="201" spans="1:53" x14ac:dyDescent="0.25">
      <c r="A201" s="14" t="s">
        <v>23</v>
      </c>
      <c r="B201" s="8">
        <v>-3.9003999999999999</v>
      </c>
      <c r="C201" s="8">
        <v>-1.7661</v>
      </c>
      <c r="D201" s="8">
        <v>1.9438</v>
      </c>
      <c r="E201" s="8">
        <v>2.9834000000000001</v>
      </c>
      <c r="F201" s="8">
        <v>1.0873999999999999</v>
      </c>
      <c r="G201" s="8">
        <v>6.4000000000000001E-2</v>
      </c>
      <c r="H201" s="8">
        <v>0.29430000000000001</v>
      </c>
      <c r="I201" s="8">
        <v>0.11260000000000001</v>
      </c>
      <c r="J201" s="8">
        <v>1.2999999999999999E-2</v>
      </c>
      <c r="K201" s="8">
        <v>0.17150000000000001</v>
      </c>
      <c r="L201" s="8">
        <v>-0.1308</v>
      </c>
      <c r="M201" s="8">
        <v>-0.2858</v>
      </c>
      <c r="N201" s="10"/>
      <c r="O201" s="8">
        <v>7.5199999999999998E-3</v>
      </c>
      <c r="P201" s="10"/>
      <c r="Q201" s="10"/>
      <c r="R201" s="10"/>
      <c r="S201" s="10"/>
      <c r="T201" s="8">
        <v>0.17810000000000001</v>
      </c>
      <c r="U201" s="10"/>
    </row>
    <row r="202" spans="1:53" x14ac:dyDescent="0.25">
      <c r="A202" s="14" t="s">
        <v>24</v>
      </c>
      <c r="B202" s="8">
        <v>-0.84530000000000005</v>
      </c>
      <c r="C202" s="8">
        <v>0.93089999999999995</v>
      </c>
      <c r="D202" s="8">
        <v>1.4276</v>
      </c>
      <c r="E202" s="8">
        <v>2.468</v>
      </c>
      <c r="F202" s="8">
        <v>0.86019999999999996</v>
      </c>
      <c r="G202" s="10"/>
      <c r="H202" s="8">
        <v>-0.18859999999999999</v>
      </c>
      <c r="I202" s="8">
        <v>1.2699999999999999E-2</v>
      </c>
      <c r="J202" s="10"/>
      <c r="K202" s="8">
        <v>0.30009999999999998</v>
      </c>
      <c r="L202" s="10"/>
      <c r="M202" s="10"/>
      <c r="N202" s="10"/>
      <c r="O202" s="8">
        <v>1.7299999999999999E-2</v>
      </c>
      <c r="P202" s="10"/>
      <c r="Q202" s="10"/>
      <c r="R202" s="10"/>
      <c r="S202" s="10"/>
      <c r="T202" s="8">
        <v>-0.28799999999999998</v>
      </c>
      <c r="U202" s="10"/>
    </row>
    <row r="203" spans="1:53" x14ac:dyDescent="0.25">
      <c r="A203" s="14" t="s">
        <v>25</v>
      </c>
      <c r="B203" s="8">
        <v>-2.9584999999999999</v>
      </c>
      <c r="C203" s="8">
        <v>-1.1581999999999999</v>
      </c>
      <c r="D203" s="8">
        <v>1.3563000000000001</v>
      </c>
      <c r="E203" s="8">
        <v>2.0564</v>
      </c>
      <c r="F203" s="8">
        <v>1.3911</v>
      </c>
      <c r="G203" s="10"/>
      <c r="H203" s="8">
        <v>0.19420000000000001</v>
      </c>
      <c r="I203" s="8">
        <v>-0.1956</v>
      </c>
      <c r="J203" s="8">
        <v>-0.1221</v>
      </c>
      <c r="K203" s="8">
        <v>0.16789999999999999</v>
      </c>
      <c r="L203" s="10"/>
      <c r="M203" s="10"/>
      <c r="N203" s="10"/>
      <c r="O203" s="10"/>
      <c r="P203" s="8">
        <v>0.154</v>
      </c>
      <c r="Q203" s="10"/>
      <c r="R203" s="10"/>
      <c r="S203" s="10"/>
      <c r="T203" s="10"/>
      <c r="U203" s="8">
        <v>0.2979</v>
      </c>
    </row>
    <row r="204" spans="1:53" x14ac:dyDescent="0.25">
      <c r="A204" s="14" t="s">
        <v>26</v>
      </c>
      <c r="B204" s="8">
        <v>-1.7838000000000001</v>
      </c>
      <c r="C204" s="8">
        <v>-7.3400000000000007E-2</v>
      </c>
      <c r="D204" s="8">
        <v>1.5893999999999999</v>
      </c>
      <c r="E204" s="8">
        <v>2.1800000000000002</v>
      </c>
      <c r="F204" s="8">
        <v>0.91710000000000003</v>
      </c>
      <c r="G204" s="10"/>
      <c r="H204" s="10"/>
      <c r="I204" s="8">
        <v>-0.22550000000000001</v>
      </c>
      <c r="J204" s="10"/>
      <c r="K204" s="8">
        <v>0.3513</v>
      </c>
      <c r="L204" s="8">
        <v>-0.42259999999999998</v>
      </c>
      <c r="M204" s="8">
        <v>0.25390000000000001</v>
      </c>
      <c r="N204" s="8">
        <v>4.6199999999999998E-2</v>
      </c>
      <c r="O204" s="10"/>
      <c r="P204" s="8">
        <v>0.24340000000000001</v>
      </c>
      <c r="Q204" s="10"/>
      <c r="R204" s="10"/>
      <c r="S204" s="10"/>
      <c r="T204" s="10"/>
      <c r="U204" s="10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CAD6-5564-45A9-B742-2508875D2F48}">
  <dimension ref="A1:BM204"/>
  <sheetViews>
    <sheetView topLeftCell="AS160" workbookViewId="0">
      <selection activeCell="BJ2" sqref="BJ2:BM193"/>
    </sheetView>
  </sheetViews>
  <sheetFormatPr baseColWidth="10" defaultRowHeight="15" x14ac:dyDescent="0.25"/>
  <cols>
    <col min="1" max="1" width="9" style="12" bestFit="1" customWidth="1"/>
    <col min="2" max="2" width="13.42578125" style="12" bestFit="1" customWidth="1"/>
    <col min="3" max="6" width="13.28515625" style="12" bestFit="1" customWidth="1"/>
    <col min="7" max="7" width="13.140625" style="12" bestFit="1" customWidth="1"/>
    <col min="8" max="8" width="13.28515625" style="12" bestFit="1" customWidth="1"/>
    <col min="9" max="9" width="15.5703125" style="12" bestFit="1" customWidth="1"/>
    <col min="10" max="10" width="13.28515625" style="12" bestFit="1" customWidth="1"/>
    <col min="11" max="12" width="15.5703125" style="12" bestFit="1" customWidth="1"/>
    <col min="13" max="13" width="15.85546875" style="12" bestFit="1" customWidth="1"/>
    <col min="14" max="14" width="15.7109375" style="12" bestFit="1" customWidth="1"/>
    <col min="15" max="15" width="12.7109375" style="12" bestFit="1" customWidth="1"/>
    <col min="16" max="16" width="15.5703125" style="12" bestFit="1" customWidth="1"/>
    <col min="17" max="18" width="23.5703125" style="12" bestFit="1" customWidth="1"/>
    <col min="19" max="19" width="23.28515625" style="12" bestFit="1" customWidth="1"/>
    <col min="20" max="20" width="11.42578125" style="12" bestFit="1" customWidth="1"/>
    <col min="21" max="22" width="20.85546875" style="12" bestFit="1" customWidth="1"/>
    <col min="23" max="23" width="20.7109375" style="12" bestFit="1" customWidth="1"/>
    <col min="24" max="24" width="21" style="12" bestFit="1" customWidth="1"/>
    <col min="25" max="26" width="20.85546875" style="12" bestFit="1" customWidth="1"/>
    <col min="27" max="27" width="8.85546875" style="12" bestFit="1" customWidth="1"/>
    <col min="28" max="28" width="15.42578125" style="12" bestFit="1" customWidth="1"/>
    <col min="29" max="29" width="6.5703125" style="12" bestFit="1" customWidth="1"/>
    <col min="30" max="30" width="18.140625" style="12" bestFit="1" customWidth="1"/>
    <col min="31" max="31" width="6.5703125" style="12" bestFit="1" customWidth="1"/>
    <col min="32" max="32" width="15.42578125" style="12" bestFit="1" customWidth="1"/>
    <col min="33" max="33" width="6.5703125" style="12" bestFit="1" customWidth="1"/>
    <col min="34" max="34" width="18.140625" style="12" bestFit="1" customWidth="1"/>
    <col min="35" max="35" width="6.5703125" style="12" bestFit="1" customWidth="1"/>
    <col min="36" max="36" width="15.42578125" style="12" bestFit="1" customWidth="1"/>
    <col min="37" max="37" width="6.5703125" style="12" bestFit="1" customWidth="1"/>
    <col min="38" max="38" width="26.42578125" style="12" bestFit="1" customWidth="1"/>
    <col min="39" max="39" width="7.5703125" style="12" bestFit="1" customWidth="1"/>
    <col min="40" max="40" width="26.28515625" style="12" bestFit="1" customWidth="1"/>
    <col min="41" max="41" width="7.28515625" style="12" bestFit="1" customWidth="1"/>
    <col min="42" max="42" width="26.140625" style="12" bestFit="1" customWidth="1"/>
    <col min="43" max="43" width="7.5703125" style="12" bestFit="1" customWidth="1"/>
    <col min="44" max="44" width="23" style="12" bestFit="1" customWidth="1"/>
    <col min="45" max="45" width="7.7109375" style="12" customWidth="1"/>
    <col min="46" max="46" width="22.85546875" style="12" bestFit="1" customWidth="1"/>
    <col min="47" max="47" width="7.42578125" style="12" bestFit="1" customWidth="1"/>
    <col min="48" max="48" width="22.7109375" style="12" bestFit="1" customWidth="1"/>
    <col min="49" max="49" width="7.7109375" style="12" customWidth="1"/>
    <col min="50" max="50" width="21" style="12" bestFit="1" customWidth="1"/>
    <col min="51" max="52" width="20.85546875" style="12" bestFit="1" customWidth="1"/>
    <col min="53" max="53" width="9.85546875" style="12" bestFit="1" customWidth="1"/>
    <col min="54" max="54" width="9" style="12" bestFit="1" customWidth="1"/>
    <col min="55" max="57" width="8.7109375" style="12" bestFit="1" customWidth="1"/>
    <col min="58" max="58" width="9.28515625" style="12" bestFit="1" customWidth="1"/>
    <col min="59" max="59" width="9.42578125" style="12" bestFit="1" customWidth="1"/>
    <col min="60" max="60" width="9.28515625" style="12" bestFit="1" customWidth="1"/>
    <col min="61" max="61" width="9.42578125" style="12" bestFit="1" customWidth="1"/>
    <col min="62" max="62" width="9.28515625" style="12" bestFit="1" customWidth="1"/>
    <col min="63" max="63" width="9.42578125" style="12" bestFit="1" customWidth="1"/>
    <col min="64" max="65" width="9.28515625" style="12" bestFit="1" customWidth="1"/>
    <col min="66" max="16384" width="11.42578125" style="12"/>
  </cols>
  <sheetData>
    <row r="1" spans="1:6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87</v>
      </c>
      <c r="L1" s="15" t="s">
        <v>77</v>
      </c>
      <c r="M1" s="15" t="s">
        <v>30</v>
      </c>
      <c r="N1" s="15" t="s">
        <v>31</v>
      </c>
      <c r="O1" s="15" t="s">
        <v>48</v>
      </c>
      <c r="P1" s="15" t="s">
        <v>32</v>
      </c>
      <c r="Q1" s="15" t="s">
        <v>49</v>
      </c>
      <c r="R1" s="15" t="s">
        <v>33</v>
      </c>
      <c r="S1" s="15" t="s">
        <v>50</v>
      </c>
      <c r="T1" s="15" t="s">
        <v>34</v>
      </c>
      <c r="U1" s="15" t="s">
        <v>35</v>
      </c>
      <c r="V1" s="15" t="s">
        <v>36</v>
      </c>
      <c r="W1" s="15" t="s">
        <v>47</v>
      </c>
      <c r="X1" s="15" t="s">
        <v>37</v>
      </c>
      <c r="Y1" s="15" t="s">
        <v>86</v>
      </c>
      <c r="Z1" s="15" t="s">
        <v>38</v>
      </c>
      <c r="AA1" s="15" t="s">
        <v>46</v>
      </c>
      <c r="AB1" s="15" t="s">
        <v>39</v>
      </c>
      <c r="AC1" s="15" t="s">
        <v>51</v>
      </c>
      <c r="AD1" s="15" t="s">
        <v>40</v>
      </c>
      <c r="AE1" s="15" t="s">
        <v>52</v>
      </c>
      <c r="AF1" s="15" t="s">
        <v>41</v>
      </c>
      <c r="AG1" s="15" t="s">
        <v>53</v>
      </c>
      <c r="AH1" s="15" t="s">
        <v>42</v>
      </c>
      <c r="AI1" s="15" t="s">
        <v>54</v>
      </c>
      <c r="AJ1" s="15" t="s">
        <v>43</v>
      </c>
      <c r="AK1" s="15" t="s">
        <v>55</v>
      </c>
      <c r="AL1" s="15" t="s">
        <v>81</v>
      </c>
      <c r="AM1" s="15" t="s">
        <v>94</v>
      </c>
      <c r="AN1" s="15" t="s">
        <v>82</v>
      </c>
      <c r="AO1" s="15" t="s">
        <v>95</v>
      </c>
      <c r="AP1" s="15" t="s">
        <v>83</v>
      </c>
      <c r="AQ1" s="15" t="s">
        <v>96</v>
      </c>
      <c r="AR1" s="5" t="s">
        <v>58</v>
      </c>
      <c r="AS1" s="5" t="s">
        <v>59</v>
      </c>
      <c r="AT1" s="5" t="s">
        <v>60</v>
      </c>
      <c r="AU1" s="5" t="s">
        <v>61</v>
      </c>
      <c r="AV1" s="5" t="s">
        <v>62</v>
      </c>
      <c r="AW1" s="5" t="s">
        <v>63</v>
      </c>
      <c r="AX1" s="6" t="s">
        <v>89</v>
      </c>
      <c r="AY1" s="6" t="s">
        <v>90</v>
      </c>
      <c r="AZ1" s="6" t="s">
        <v>91</v>
      </c>
      <c r="BA1" s="15" t="s">
        <v>66</v>
      </c>
      <c r="BB1" s="15" t="s">
        <v>88</v>
      </c>
      <c r="BC1" s="15" t="s">
        <v>97</v>
      </c>
      <c r="BD1" s="15" t="s">
        <v>72</v>
      </c>
      <c r="BE1" s="15" t="s">
        <v>84</v>
      </c>
      <c r="BF1" s="15" t="s">
        <v>92</v>
      </c>
      <c r="BG1" s="15" t="s">
        <v>71</v>
      </c>
      <c r="BH1" s="15" t="s">
        <v>85</v>
      </c>
      <c r="BI1" s="15" t="s">
        <v>93</v>
      </c>
      <c r="BJ1" s="15" t="s">
        <v>76</v>
      </c>
      <c r="BK1" s="15" t="s">
        <v>75</v>
      </c>
      <c r="BL1" s="15" t="s">
        <v>74</v>
      </c>
      <c r="BM1" s="15" t="s">
        <v>73</v>
      </c>
    </row>
    <row r="2" spans="1:65" x14ac:dyDescent="0.25">
      <c r="A2" s="12">
        <v>1</v>
      </c>
      <c r="B2" s="12">
        <v>1</v>
      </c>
      <c r="C2" s="12">
        <v>2.1</v>
      </c>
      <c r="D2" s="12">
        <v>700</v>
      </c>
      <c r="E2" s="12">
        <v>20</v>
      </c>
      <c r="F2" s="12">
        <v>1</v>
      </c>
      <c r="G2" s="12">
        <v>49</v>
      </c>
      <c r="H2" s="12">
        <v>40</v>
      </c>
      <c r="I2" s="12" t="s">
        <v>19</v>
      </c>
      <c r="J2" s="12" t="s">
        <v>27</v>
      </c>
      <c r="K2" s="12">
        <f>VLOOKUP(Tableau4[[#This Row],[essence]],Tableau6[],2,FALSE)</f>
        <v>-1.7937000000000001</v>
      </c>
      <c r="L2" s="12">
        <f>VLOOKUP(Tableau4[[#This Row],[essence]],Tableau6[],3,FALSE)</f>
        <v>-0.68110000000000004</v>
      </c>
      <c r="M2" s="12">
        <f>VLOOKUP(Tableau4[[#This Row],[essence]],Tableau6[],4,FALSE)</f>
        <v>0.82179999999999997</v>
      </c>
      <c r="N2" s="12">
        <f>VLOOKUP(Tableau4[[#This Row],[essence]],Tableau6[],5,FALSE)</f>
        <v>1.5014000000000001</v>
      </c>
      <c r="O2" s="12">
        <f>IF(Tableau4[[#This Row],[priorecol]]="C",1,0)</f>
        <v>1</v>
      </c>
      <c r="P2" s="12">
        <f>VLOOKUP(Tableau4[[#This Row],[essence]],Tableau6[],6,FALSE)</f>
        <v>2.3875000000000002</v>
      </c>
      <c r="Q2" s="12">
        <f>IF(Tableau4[[#This Row],[priorecol]]="R",1,0)</f>
        <v>0</v>
      </c>
      <c r="R2" s="12">
        <f>VLOOKUP(Tableau4[[#This Row],[essence]],Tableau6[],7,FALSE)</f>
        <v>0.94669999999999999</v>
      </c>
      <c r="S2" s="12">
        <f>IF(Tableau4[[#This Row],[priorecol]]="S",1,0)</f>
        <v>0</v>
      </c>
      <c r="T2" s="12">
        <f>VLOOKUP(Tableau4[[#This Row],[essence]],Tableau6[],20,FALSE)</f>
        <v>0</v>
      </c>
      <c r="U2" s="12">
        <f>VLOOKUP(Tableau4[[#This Row],[essence]],Tableau6[],15,FALSE)</f>
        <v>6.4000000000000003E-3</v>
      </c>
      <c r="V2" s="12">
        <f>VLOOKUP(Tableau4[[#This Row],[essence]],Tableau6[],28,FALSE)</f>
        <v>0</v>
      </c>
      <c r="W2" s="12">
        <f>IF(Tableau4[[#This Row],[sdom]]=1,1,0)</f>
        <v>1</v>
      </c>
      <c r="X2" s="12">
        <f>VLOOKUP(Tableau4[[#This Row],[essence]],Tableau6[],8,FALSE)</f>
        <v>9.4399999999999998E-2</v>
      </c>
      <c r="Y2" s="12">
        <f>IF(Tableau4[[#This Row],[sdom]]="2EST",1,0)</f>
        <v>0</v>
      </c>
      <c r="Z2" s="12">
        <f>VLOOKUP(Tableau4[[#This Row],[essence]],Tableau6[],9,FALSE)</f>
        <v>-0.40260000000000001</v>
      </c>
      <c r="AA2" s="12">
        <f>IF(Tableau4[[#This Row],[sdom]]="2OUEST",1,0)</f>
        <v>0</v>
      </c>
      <c r="AB2" s="12">
        <f>VLOOKUP(Tableau4[[#This Row],[essence]],Tableau6[],10,FALSE)</f>
        <v>-3.5699999999999998E-3</v>
      </c>
      <c r="AC2" s="12">
        <f>IF(Tableau4[[#This Row],[sdom]]="3EST",1,0)</f>
        <v>0</v>
      </c>
      <c r="AD2" s="12">
        <f>VLOOKUP(Tableau4[[#This Row],[essence]],Tableau6[],11,FALSE)</f>
        <v>0.14949999999999999</v>
      </c>
      <c r="AE2" s="12">
        <f>IF(Tableau4[[#This Row],[sdom]]="3OUEST",1,0)</f>
        <v>0</v>
      </c>
      <c r="AF2" s="12">
        <f>VLOOKUP(Tableau4[[#This Row],[essence]],Tableau6[],12,FALSE)</f>
        <v>-0.1822</v>
      </c>
      <c r="AG2" s="12">
        <f>IF(Tableau4[[#This Row],[sdom]]="4EST",1,0)</f>
        <v>0</v>
      </c>
      <c r="AH2" s="12">
        <f>VLOOKUP(Tableau4[[#This Row],[essence]],Tableau6[],13,FALSE)</f>
        <v>-0.1013</v>
      </c>
      <c r="AI2" s="12">
        <f>IF(Tableau4[[#This Row],[sdom]]="4OUEST",1,0)</f>
        <v>0</v>
      </c>
      <c r="AJ2" s="12">
        <f>VLOOKUP(Tableau4[[#This Row],[essence]],Tableau6[],14,FALSE)</f>
        <v>-0.33779999999999999</v>
      </c>
      <c r="AK2" s="12">
        <f>IF(Tableau4[[#This Row],[sdom]]="5EST",1,0)</f>
        <v>0</v>
      </c>
      <c r="AL2" s="12">
        <f>VLOOKUP(Tableau4[[#This Row],[essence]],Tableau6[],17,FALSE)</f>
        <v>1.03E-2</v>
      </c>
      <c r="AM2" s="12">
        <f>IF(Tableau4[[#This Row],[priorecol]]="C",1,0)</f>
        <v>1</v>
      </c>
      <c r="AN2" s="12">
        <f>VLOOKUP(Tableau4[[#This Row],[essence]],Tableau6[],18,FALSE)</f>
        <v>1.23E-2</v>
      </c>
      <c r="AO2" s="12">
        <f>IF(Tableau4[[#This Row],[priorecol]]="R",1,0)</f>
        <v>0</v>
      </c>
      <c r="AP2" s="12">
        <f>VLOOKUP(Tableau4[[#This Row],[essence]],Tableau6[],19,FALSE)</f>
        <v>1.2800000000000001E-2</v>
      </c>
      <c r="AQ2" s="12">
        <f>IF(Tableau4[[#This Row],[priorecol]]="S",1,0)</f>
        <v>0</v>
      </c>
      <c r="AR2" s="12">
        <f>VLOOKUP(Tableau4[[#This Row],[essence]],Tableau6[],21,FALSE)</f>
        <v>0</v>
      </c>
      <c r="AS2" s="12">
        <f>IF(Tableau4[[#This Row],[priorecol]]="C",1,0)</f>
        <v>1</v>
      </c>
      <c r="AT2" s="12">
        <f>VLOOKUP(Tableau4[[#This Row],[essence]],Tableau6[],22,FALSE)</f>
        <v>0</v>
      </c>
      <c r="AU2" s="12">
        <f>IF(Tableau4[[#This Row],[priorecol]]="R",1,0)</f>
        <v>0</v>
      </c>
      <c r="AV2" s="12">
        <f>VLOOKUP(Tableau4[[#This Row],[essence]],Tableau6[],23,FALSE)</f>
        <v>0</v>
      </c>
      <c r="AW2" s="12">
        <f>IF(Tableau4[[#This Row],[priorecol]]="S",1,0)</f>
        <v>0</v>
      </c>
      <c r="AX2" s="12">
        <f>VLOOKUP(Tableau4[[#This Row],[essence]],Tableau6[],24,FALSE)</f>
        <v>0</v>
      </c>
      <c r="AY2" s="12">
        <f>VLOOKUP(Tableau4[[#This Row],[essence]],Tableau6[],25,FALSE)</f>
        <v>0</v>
      </c>
      <c r="AZ2" s="12">
        <f>VLOOKUP(Tableau4[[#This Row],[essence]],Tableau6[],26,FALSE)</f>
        <v>0</v>
      </c>
      <c r="BA2" s="12">
        <f>VLOOKUP(Tableau4[[#This Row],[essence]],Tableau6[],27,FALSE)</f>
        <v>0</v>
      </c>
      <c r="BB2" s="12">
        <f>VLOOKUP(Tableau4[[#This Row],[essence]],Tableau6[],16,FALSE)</f>
        <v>-4.8999999999999998E-4</v>
      </c>
      <c r="BC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1.4923999999999999</v>
      </c>
      <c r="BD2" s="12">
        <f>Tableau4[[#This Row],[xb_]]+Tableau4[[#This Row],[b_intercept_C]]+Tableau4[[#This Row],[b_dhpcm_x_intercept_C]]*Tableau4[[#This Row],[dhpcm]]</f>
        <v>2.3142</v>
      </c>
      <c r="BE2" s="12">
        <f>Tableau4[[#This Row],[xb_]]+Tableau4[[#This Row],[b_intercept_B]]+Tableau4[[#This Row],[b_dhpcm_x_intercept_B]]*Tableau4[[#This Row],[dhpcm]]</f>
        <v>0.81129999999999991</v>
      </c>
      <c r="BF2" s="12">
        <f>Tableau4[[#This Row],[xb_]]+Tableau4[[#This Row],[b_intercept_A]]+Tableau4[[#This Row],[b_dhpcm_x_intercept_A]]*Tableau4[[#This Row],[dhpcm]]</f>
        <v>-0.30130000000000012</v>
      </c>
      <c r="BG2" s="12">
        <f>1/(1+EXP(-Tableau4[[#This Row],[xb_c]]))</f>
        <v>0.9100462685794154</v>
      </c>
      <c r="BH2" s="12">
        <f>1/(1+EXP(-Tableau4[[#This Row],[xb_b]]))</f>
        <v>0.69238645721577474</v>
      </c>
      <c r="BI2" s="12">
        <f>1/(1+EXP(-Tableau4[[#This Row],[xb_a]]))</f>
        <v>0.42523971817968997</v>
      </c>
      <c r="BJ2" s="12">
        <f>Tableau4[[#This Row],[prob_a]]</f>
        <v>0.42523971817968997</v>
      </c>
      <c r="BK2" s="12">
        <f>Tableau4[[#This Row],[prob_b]]-Tableau4[[#This Row],[prob_a]]</f>
        <v>0.26714673903608477</v>
      </c>
      <c r="BL2" s="12">
        <f>Tableau4[[#This Row],[prob_c]]-Tableau4[[#This Row],[prob_b]]</f>
        <v>0.21765981136364065</v>
      </c>
      <c r="BM2" s="12">
        <f>1-Tableau4[[#This Row],[prob_c]]</f>
        <v>8.9953731420584604E-2</v>
      </c>
    </row>
    <row r="3" spans="1:65" x14ac:dyDescent="0.25">
      <c r="A3" s="12">
        <v>1</v>
      </c>
      <c r="B3" s="12">
        <v>1</v>
      </c>
      <c r="C3" s="12">
        <v>2.1</v>
      </c>
      <c r="D3" s="12">
        <v>700</v>
      </c>
      <c r="E3" s="12">
        <v>20</v>
      </c>
      <c r="F3" s="12">
        <v>1</v>
      </c>
      <c r="G3" s="12">
        <v>50</v>
      </c>
      <c r="H3" s="12">
        <v>41</v>
      </c>
      <c r="I3" s="12" t="s">
        <v>19</v>
      </c>
      <c r="J3" s="12" t="s">
        <v>28</v>
      </c>
      <c r="K3" s="12">
        <f>VLOOKUP(Tableau4[[#This Row],[essence]],Tableau6[],2,FALSE)</f>
        <v>-1.7937000000000001</v>
      </c>
      <c r="L3" s="12">
        <f>VLOOKUP(Tableau4[[#This Row],[essence]],Tableau6[],3,FALSE)</f>
        <v>-0.68110000000000004</v>
      </c>
      <c r="M3" s="12">
        <f>VLOOKUP(Tableau4[[#This Row],[essence]],Tableau6[],4,FALSE)</f>
        <v>0.82179999999999997</v>
      </c>
      <c r="N3" s="12">
        <f>VLOOKUP(Tableau4[[#This Row],[essence]],Tableau6[],5,FALSE)</f>
        <v>1.5014000000000001</v>
      </c>
      <c r="O3" s="12">
        <f>IF(Tableau4[[#This Row],[priorecol]]="C",1,0)</f>
        <v>0</v>
      </c>
      <c r="P3" s="12">
        <f>VLOOKUP(Tableau4[[#This Row],[essence]],Tableau6[],6,FALSE)</f>
        <v>2.3875000000000002</v>
      </c>
      <c r="Q3" s="12">
        <f>IF(Tableau4[[#This Row],[priorecol]]="R",1,0)</f>
        <v>1</v>
      </c>
      <c r="R3" s="12">
        <f>VLOOKUP(Tableau4[[#This Row],[essence]],Tableau6[],7,FALSE)</f>
        <v>0.94669999999999999</v>
      </c>
      <c r="S3" s="12">
        <f>IF(Tableau4[[#This Row],[priorecol]]="S",1,0)</f>
        <v>0</v>
      </c>
      <c r="T3" s="12">
        <f>VLOOKUP(Tableau4[[#This Row],[essence]],Tableau6[],20,FALSE)</f>
        <v>0</v>
      </c>
      <c r="U3" s="12">
        <f>VLOOKUP(Tableau4[[#This Row],[essence]],Tableau6[],15,FALSE)</f>
        <v>6.4000000000000003E-3</v>
      </c>
      <c r="V3" s="12">
        <f>VLOOKUP(Tableau4[[#This Row],[essence]],Tableau6[],28,FALSE)</f>
        <v>0</v>
      </c>
      <c r="W3" s="12">
        <f>IF(Tableau4[[#This Row],[sdom]]=1,1,0)</f>
        <v>1</v>
      </c>
      <c r="X3" s="12">
        <f>VLOOKUP(Tableau4[[#This Row],[essence]],Tableau6[],8,FALSE)</f>
        <v>9.4399999999999998E-2</v>
      </c>
      <c r="Y3" s="12">
        <f>IF(Tableau4[[#This Row],[sdom]]="2EST",1,0)</f>
        <v>0</v>
      </c>
      <c r="Z3" s="12">
        <f>VLOOKUP(Tableau4[[#This Row],[essence]],Tableau6[],9,FALSE)</f>
        <v>-0.40260000000000001</v>
      </c>
      <c r="AA3" s="12">
        <f>IF(Tableau4[[#This Row],[sdom]]="2OUEST",1,0)</f>
        <v>0</v>
      </c>
      <c r="AB3" s="12">
        <f>VLOOKUP(Tableau4[[#This Row],[essence]],Tableau6[],10,FALSE)</f>
        <v>-3.5699999999999998E-3</v>
      </c>
      <c r="AC3" s="12">
        <f>IF(Tableau4[[#This Row],[sdom]]="3EST",1,0)</f>
        <v>0</v>
      </c>
      <c r="AD3" s="12">
        <f>VLOOKUP(Tableau4[[#This Row],[essence]],Tableau6[],11,FALSE)</f>
        <v>0.14949999999999999</v>
      </c>
      <c r="AE3" s="12">
        <f>IF(Tableau4[[#This Row],[sdom]]="3OUEST",1,0)</f>
        <v>0</v>
      </c>
      <c r="AF3" s="12">
        <f>VLOOKUP(Tableau4[[#This Row],[essence]],Tableau6[],12,FALSE)</f>
        <v>-0.1822</v>
      </c>
      <c r="AG3" s="12">
        <f>IF(Tableau4[[#This Row],[sdom]]="4EST",1,0)</f>
        <v>0</v>
      </c>
      <c r="AH3" s="12">
        <f>VLOOKUP(Tableau4[[#This Row],[essence]],Tableau6[],13,FALSE)</f>
        <v>-0.1013</v>
      </c>
      <c r="AI3" s="12">
        <f>IF(Tableau4[[#This Row],[sdom]]="4OUEST",1,0)</f>
        <v>0</v>
      </c>
      <c r="AJ3" s="12">
        <f>VLOOKUP(Tableau4[[#This Row],[essence]],Tableau6[],14,FALSE)</f>
        <v>-0.33779999999999999</v>
      </c>
      <c r="AK3" s="12">
        <f>IF(Tableau4[[#This Row],[sdom]]="5EST",1,0)</f>
        <v>0</v>
      </c>
      <c r="AL3" s="12">
        <f>VLOOKUP(Tableau4[[#This Row],[essence]],Tableau6[],17,FALSE)</f>
        <v>1.03E-2</v>
      </c>
      <c r="AM3" s="12">
        <f>IF(Tableau4[[#This Row],[priorecol]]="C",1,0)</f>
        <v>0</v>
      </c>
      <c r="AN3" s="12">
        <f>VLOOKUP(Tableau4[[#This Row],[essence]],Tableau6[],18,FALSE)</f>
        <v>1.23E-2</v>
      </c>
      <c r="AO3" s="12">
        <f>IF(Tableau4[[#This Row],[priorecol]]="R",1,0)</f>
        <v>1</v>
      </c>
      <c r="AP3" s="12">
        <f>VLOOKUP(Tableau4[[#This Row],[essence]],Tableau6[],19,FALSE)</f>
        <v>1.2800000000000001E-2</v>
      </c>
      <c r="AQ3" s="12">
        <f>IF(Tableau4[[#This Row],[priorecol]]="S",1,0)</f>
        <v>0</v>
      </c>
      <c r="AR3" s="12">
        <f>VLOOKUP(Tableau4[[#This Row],[essence]],Tableau6[],21,FALSE)</f>
        <v>0</v>
      </c>
      <c r="AS3" s="12">
        <f>IF(Tableau4[[#This Row],[priorecol]]="C",1,0)</f>
        <v>0</v>
      </c>
      <c r="AT3" s="12">
        <f>VLOOKUP(Tableau4[[#This Row],[essence]],Tableau6[],22,FALSE)</f>
        <v>0</v>
      </c>
      <c r="AU3" s="12">
        <f>IF(Tableau4[[#This Row],[priorecol]]="R",1,0)</f>
        <v>1</v>
      </c>
      <c r="AV3" s="12">
        <f>VLOOKUP(Tableau4[[#This Row],[essence]],Tableau6[],23,FALSE)</f>
        <v>0</v>
      </c>
      <c r="AW3" s="12">
        <f>IF(Tableau4[[#This Row],[priorecol]]="S",1,0)</f>
        <v>0</v>
      </c>
      <c r="AX3" s="12">
        <f>VLOOKUP(Tableau4[[#This Row],[essence]],Tableau6[],24,FALSE)</f>
        <v>0</v>
      </c>
      <c r="AY3" s="12">
        <f>VLOOKUP(Tableau4[[#This Row],[essence]],Tableau6[],25,FALSE)</f>
        <v>0</v>
      </c>
      <c r="AZ3" s="12">
        <f>VLOOKUP(Tableau4[[#This Row],[essence]],Tableau6[],26,FALSE)</f>
        <v>0</v>
      </c>
      <c r="BA3" s="12">
        <f>VLOOKUP(Tableau4[[#This Row],[essence]],Tableau6[],27,FALSE)</f>
        <v>0</v>
      </c>
      <c r="BB3" s="12">
        <f>VLOOKUP(Tableau4[[#This Row],[essence]],Tableau6[],16,FALSE)</f>
        <v>-4.8999999999999998E-4</v>
      </c>
      <c r="BC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2.4185000000000003</v>
      </c>
      <c r="BD3" s="12">
        <f>Tableau4[[#This Row],[xb_]]+Tableau4[[#This Row],[b_intercept_C]]+Tableau4[[#This Row],[b_dhpcm_x_intercept_C]]*Tableau4[[#This Row],[dhpcm]]</f>
        <v>3.2403000000000004</v>
      </c>
      <c r="BE3" s="12">
        <f>Tableau4[[#This Row],[xb_]]+Tableau4[[#This Row],[b_intercept_B]]+Tableau4[[#This Row],[b_dhpcm_x_intercept_B]]*Tableau4[[#This Row],[dhpcm]]</f>
        <v>1.7374000000000003</v>
      </c>
      <c r="BF3" s="12">
        <f>Tableau4[[#This Row],[xb_]]+Tableau4[[#This Row],[b_intercept_A]]+Tableau4[[#This Row],[b_dhpcm_x_intercept_A]]*Tableau4[[#This Row],[dhpcm]]</f>
        <v>0.62480000000000024</v>
      </c>
      <c r="BG3" s="12">
        <f>1/(1+EXP(-Tableau4[[#This Row],[xb_c]]))</f>
        <v>0.96232298823652507</v>
      </c>
      <c r="BH3" s="12">
        <f>1/(1+EXP(-Tableau4[[#This Row],[xb_b]]))</f>
        <v>0.850356515951328</v>
      </c>
      <c r="BI3" s="12">
        <f>1/(1+EXP(-Tableau4[[#This Row],[xb_a]]))</f>
        <v>0.65130944495031828</v>
      </c>
      <c r="BJ3" s="12">
        <f>Tableau4[[#This Row],[prob_a]]</f>
        <v>0.65130944495031828</v>
      </c>
      <c r="BK3" s="12">
        <f>Tableau4[[#This Row],[prob_b]]-Tableau4[[#This Row],[prob_a]]</f>
        <v>0.19904707100100971</v>
      </c>
      <c r="BL3" s="12">
        <f>Tableau4[[#This Row],[prob_c]]-Tableau4[[#This Row],[prob_b]]</f>
        <v>0.11196647228519707</v>
      </c>
      <c r="BM3" s="12">
        <f>1-Tableau4[[#This Row],[prob_c]]</f>
        <v>3.7677011763474932E-2</v>
      </c>
    </row>
    <row r="4" spans="1:65" x14ac:dyDescent="0.25">
      <c r="A4" s="12">
        <v>1</v>
      </c>
      <c r="B4" s="12">
        <v>1</v>
      </c>
      <c r="C4" s="12">
        <v>2.1</v>
      </c>
      <c r="D4" s="12">
        <v>700</v>
      </c>
      <c r="E4" s="12">
        <v>20</v>
      </c>
      <c r="F4" s="12">
        <v>1</v>
      </c>
      <c r="G4" s="12">
        <v>51</v>
      </c>
      <c r="H4" s="12">
        <v>42</v>
      </c>
      <c r="I4" s="12" t="s">
        <v>19</v>
      </c>
      <c r="J4" s="12" t="s">
        <v>29</v>
      </c>
      <c r="K4" s="12">
        <f>VLOOKUP(Tableau4[[#This Row],[essence]],Tableau6[],2,FALSE)</f>
        <v>-1.7937000000000001</v>
      </c>
      <c r="L4" s="12">
        <f>VLOOKUP(Tableau4[[#This Row],[essence]],Tableau6[],3,FALSE)</f>
        <v>-0.68110000000000004</v>
      </c>
      <c r="M4" s="12">
        <f>VLOOKUP(Tableau4[[#This Row],[essence]],Tableau6[],4,FALSE)</f>
        <v>0.82179999999999997</v>
      </c>
      <c r="N4" s="12">
        <f>VLOOKUP(Tableau4[[#This Row],[essence]],Tableau6[],5,FALSE)</f>
        <v>1.5014000000000001</v>
      </c>
      <c r="O4" s="12">
        <f>IF(Tableau4[[#This Row],[priorecol]]="C",1,0)</f>
        <v>0</v>
      </c>
      <c r="P4" s="12">
        <f>VLOOKUP(Tableau4[[#This Row],[essence]],Tableau6[],6,FALSE)</f>
        <v>2.3875000000000002</v>
      </c>
      <c r="Q4" s="12">
        <f>IF(Tableau4[[#This Row],[priorecol]]="R",1,0)</f>
        <v>0</v>
      </c>
      <c r="R4" s="12">
        <f>VLOOKUP(Tableau4[[#This Row],[essence]],Tableau6[],7,FALSE)</f>
        <v>0.94669999999999999</v>
      </c>
      <c r="S4" s="12">
        <f>IF(Tableau4[[#This Row],[priorecol]]="S",1,0)</f>
        <v>1</v>
      </c>
      <c r="T4" s="12">
        <f>VLOOKUP(Tableau4[[#This Row],[essence]],Tableau6[],20,FALSE)</f>
        <v>0</v>
      </c>
      <c r="U4" s="12">
        <f>VLOOKUP(Tableau4[[#This Row],[essence]],Tableau6[],15,FALSE)</f>
        <v>6.4000000000000003E-3</v>
      </c>
      <c r="V4" s="12">
        <f>VLOOKUP(Tableau4[[#This Row],[essence]],Tableau6[],28,FALSE)</f>
        <v>0</v>
      </c>
      <c r="W4" s="12">
        <f>IF(Tableau4[[#This Row],[sdom]]=1,1,0)</f>
        <v>1</v>
      </c>
      <c r="X4" s="12">
        <f>VLOOKUP(Tableau4[[#This Row],[essence]],Tableau6[],8,FALSE)</f>
        <v>9.4399999999999998E-2</v>
      </c>
      <c r="Y4" s="12">
        <f>IF(Tableau4[[#This Row],[sdom]]="2EST",1,0)</f>
        <v>0</v>
      </c>
      <c r="Z4" s="12">
        <f>VLOOKUP(Tableau4[[#This Row],[essence]],Tableau6[],9,FALSE)</f>
        <v>-0.40260000000000001</v>
      </c>
      <c r="AA4" s="12">
        <f>IF(Tableau4[[#This Row],[sdom]]="2OUEST",1,0)</f>
        <v>0</v>
      </c>
      <c r="AB4" s="12">
        <f>VLOOKUP(Tableau4[[#This Row],[essence]],Tableau6[],10,FALSE)</f>
        <v>-3.5699999999999998E-3</v>
      </c>
      <c r="AC4" s="12">
        <f>IF(Tableau4[[#This Row],[sdom]]="3EST",1,0)</f>
        <v>0</v>
      </c>
      <c r="AD4" s="12">
        <f>VLOOKUP(Tableau4[[#This Row],[essence]],Tableau6[],11,FALSE)</f>
        <v>0.14949999999999999</v>
      </c>
      <c r="AE4" s="12">
        <f>IF(Tableau4[[#This Row],[sdom]]="3OUEST",1,0)</f>
        <v>0</v>
      </c>
      <c r="AF4" s="12">
        <f>VLOOKUP(Tableau4[[#This Row],[essence]],Tableau6[],12,FALSE)</f>
        <v>-0.1822</v>
      </c>
      <c r="AG4" s="12">
        <f>IF(Tableau4[[#This Row],[sdom]]="4EST",1,0)</f>
        <v>0</v>
      </c>
      <c r="AH4" s="12">
        <f>VLOOKUP(Tableau4[[#This Row],[essence]],Tableau6[],13,FALSE)</f>
        <v>-0.1013</v>
      </c>
      <c r="AI4" s="12">
        <f>IF(Tableau4[[#This Row],[sdom]]="4OUEST",1,0)</f>
        <v>0</v>
      </c>
      <c r="AJ4" s="12">
        <f>VLOOKUP(Tableau4[[#This Row],[essence]],Tableau6[],14,FALSE)</f>
        <v>-0.33779999999999999</v>
      </c>
      <c r="AK4" s="12">
        <f>IF(Tableau4[[#This Row],[sdom]]="5EST",1,0)</f>
        <v>0</v>
      </c>
      <c r="AL4" s="12">
        <f>VLOOKUP(Tableau4[[#This Row],[essence]],Tableau6[],17,FALSE)</f>
        <v>1.03E-2</v>
      </c>
      <c r="AM4" s="12">
        <f>IF(Tableau4[[#This Row],[priorecol]]="C",1,0)</f>
        <v>0</v>
      </c>
      <c r="AN4" s="12">
        <f>VLOOKUP(Tableau4[[#This Row],[essence]],Tableau6[],18,FALSE)</f>
        <v>1.23E-2</v>
      </c>
      <c r="AO4" s="12">
        <f>IF(Tableau4[[#This Row],[priorecol]]="R",1,0)</f>
        <v>0</v>
      </c>
      <c r="AP4" s="12">
        <f>VLOOKUP(Tableau4[[#This Row],[essence]],Tableau6[],19,FALSE)</f>
        <v>1.2800000000000001E-2</v>
      </c>
      <c r="AQ4" s="12">
        <f>IF(Tableau4[[#This Row],[priorecol]]="S",1,0)</f>
        <v>1</v>
      </c>
      <c r="AR4" s="12">
        <f>VLOOKUP(Tableau4[[#This Row],[essence]],Tableau6[],21,FALSE)</f>
        <v>0</v>
      </c>
      <c r="AS4" s="12">
        <f>IF(Tableau4[[#This Row],[priorecol]]="C",1,0)</f>
        <v>0</v>
      </c>
      <c r="AT4" s="12">
        <f>VLOOKUP(Tableau4[[#This Row],[essence]],Tableau6[],22,FALSE)</f>
        <v>0</v>
      </c>
      <c r="AU4" s="12">
        <f>IF(Tableau4[[#This Row],[priorecol]]="R",1,0)</f>
        <v>0</v>
      </c>
      <c r="AV4" s="12">
        <f>VLOOKUP(Tableau4[[#This Row],[essence]],Tableau6[],23,FALSE)</f>
        <v>0</v>
      </c>
      <c r="AW4" s="12">
        <f>IF(Tableau4[[#This Row],[priorecol]]="S",1,0)</f>
        <v>1</v>
      </c>
      <c r="AX4" s="12">
        <f>VLOOKUP(Tableau4[[#This Row],[essence]],Tableau6[],24,FALSE)</f>
        <v>0</v>
      </c>
      <c r="AY4" s="12">
        <f>VLOOKUP(Tableau4[[#This Row],[essence]],Tableau6[],25,FALSE)</f>
        <v>0</v>
      </c>
      <c r="AZ4" s="12">
        <f>VLOOKUP(Tableau4[[#This Row],[essence]],Tableau6[],26,FALSE)</f>
        <v>0</v>
      </c>
      <c r="BA4" s="12">
        <f>VLOOKUP(Tableau4[[#This Row],[essence]],Tableau6[],27,FALSE)</f>
        <v>0</v>
      </c>
      <c r="BB4" s="12">
        <f>VLOOKUP(Tableau4[[#This Row],[essence]],Tableau6[],16,FALSE)</f>
        <v>-4.8999999999999998E-4</v>
      </c>
      <c r="BC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0.98770000000000002</v>
      </c>
      <c r="BD4" s="12">
        <f>Tableau4[[#This Row],[xb_]]+Tableau4[[#This Row],[b_intercept_C]]+Tableau4[[#This Row],[b_dhpcm_x_intercept_C]]*Tableau4[[#This Row],[dhpcm]]</f>
        <v>1.8094999999999999</v>
      </c>
      <c r="BE4" s="12">
        <f>Tableau4[[#This Row],[xb_]]+Tableau4[[#This Row],[b_intercept_B]]+Tableau4[[#This Row],[b_dhpcm_x_intercept_B]]*Tableau4[[#This Row],[dhpcm]]</f>
        <v>0.30659999999999998</v>
      </c>
      <c r="BF4" s="12">
        <f>Tableau4[[#This Row],[xb_]]+Tableau4[[#This Row],[b_intercept_A]]+Tableau4[[#This Row],[b_dhpcm_x_intercept_A]]*Tableau4[[#This Row],[dhpcm]]</f>
        <v>-0.80600000000000005</v>
      </c>
      <c r="BG4" s="12">
        <f>1/(1+EXP(-Tableau4[[#This Row],[xb_c]]))</f>
        <v>0.85930143388547875</v>
      </c>
      <c r="BH4" s="12">
        <f>1/(1+EXP(-Tableau4[[#This Row],[xb_b]]))</f>
        <v>0.57605514349825837</v>
      </c>
      <c r="BI4" s="12">
        <f>1/(1+EXP(-Tableau4[[#This Row],[xb_a]]))</f>
        <v>0.30874352581503794</v>
      </c>
      <c r="BJ4" s="12">
        <f>Tableau4[[#This Row],[prob_a]]</f>
        <v>0.30874352581503794</v>
      </c>
      <c r="BK4" s="12">
        <f>Tableau4[[#This Row],[prob_b]]-Tableau4[[#This Row],[prob_a]]</f>
        <v>0.26731161768322043</v>
      </c>
      <c r="BL4" s="12">
        <f>Tableau4[[#This Row],[prob_c]]-Tableau4[[#This Row],[prob_b]]</f>
        <v>0.28324629038722038</v>
      </c>
      <c r="BM4" s="12">
        <f>1-Tableau4[[#This Row],[prob_c]]</f>
        <v>0.14069856611452125</v>
      </c>
    </row>
    <row r="5" spans="1:65" x14ac:dyDescent="0.25">
      <c r="A5" s="12">
        <v>1</v>
      </c>
      <c r="B5" s="12">
        <v>1</v>
      </c>
      <c r="C5" s="12">
        <v>2.1</v>
      </c>
      <c r="D5" s="12">
        <v>700</v>
      </c>
      <c r="E5" s="12">
        <v>20</v>
      </c>
      <c r="F5" s="12">
        <v>1</v>
      </c>
      <c r="G5" s="12">
        <v>52</v>
      </c>
      <c r="H5" s="12">
        <v>43</v>
      </c>
      <c r="I5" s="12" t="s">
        <v>20</v>
      </c>
      <c r="J5" s="12" t="s">
        <v>27</v>
      </c>
      <c r="K5" s="12">
        <f>VLOOKUP(Tableau4[[#This Row],[essence]],Tableau6[],2,FALSE)</f>
        <v>1.0688</v>
      </c>
      <c r="L5" s="12">
        <f>VLOOKUP(Tableau4[[#This Row],[essence]],Tableau6[],3,FALSE)</f>
        <v>2.0478000000000001</v>
      </c>
      <c r="M5" s="12">
        <f>VLOOKUP(Tableau4[[#This Row],[essence]],Tableau6[],4,FALSE)</f>
        <v>3.3382999999999998</v>
      </c>
      <c r="N5" s="12">
        <f>VLOOKUP(Tableau4[[#This Row],[essence]],Tableau6[],5,FALSE)</f>
        <v>-1.2143999999999999</v>
      </c>
      <c r="O5" s="12">
        <f>IF(Tableau4[[#This Row],[priorecol]]="C",1,0)</f>
        <v>1</v>
      </c>
      <c r="P5" s="12">
        <f>VLOOKUP(Tableau4[[#This Row],[essence]],Tableau6[],6,FALSE)</f>
        <v>-1.2690999999999999</v>
      </c>
      <c r="Q5" s="12">
        <f>IF(Tableau4[[#This Row],[priorecol]]="R",1,0)</f>
        <v>0</v>
      </c>
      <c r="R5" s="12">
        <f>VLOOKUP(Tableau4[[#This Row],[essence]],Tableau6[],7,FALSE)</f>
        <v>-7.1900000000000006E-2</v>
      </c>
      <c r="S5" s="12">
        <f>IF(Tableau4[[#This Row],[priorecol]]="S",1,0)</f>
        <v>0</v>
      </c>
      <c r="T5" s="12">
        <f>VLOOKUP(Tableau4[[#This Row],[essence]],Tableau6[],20,FALSE)</f>
        <v>-3.04E-2</v>
      </c>
      <c r="U5" s="12">
        <f>VLOOKUP(Tableau4[[#This Row],[essence]],Tableau6[],15,FALSE)</f>
        <v>1.4200000000000001E-2</v>
      </c>
      <c r="V5" s="12">
        <f>VLOOKUP(Tableau4[[#This Row],[essence]],Tableau6[],28,FALSE)</f>
        <v>0</v>
      </c>
      <c r="W5" s="12">
        <f>IF(Tableau4[[#This Row],[sdom]]=1,1,0)</f>
        <v>1</v>
      </c>
      <c r="X5" s="12">
        <f>VLOOKUP(Tableau4[[#This Row],[essence]],Tableau6[],8,FALSE)</f>
        <v>0</v>
      </c>
      <c r="Y5" s="12">
        <f>IF(Tableau4[[#This Row],[sdom]]="2EST",1,0)</f>
        <v>0</v>
      </c>
      <c r="Z5" s="12">
        <f>VLOOKUP(Tableau4[[#This Row],[essence]],Tableau6[],9,FALSE)</f>
        <v>0</v>
      </c>
      <c r="AA5" s="12">
        <f>IF(Tableau4[[#This Row],[sdom]]="2OUEST",1,0)</f>
        <v>0</v>
      </c>
      <c r="AB5" s="12">
        <f>VLOOKUP(Tableau4[[#This Row],[essence]],Tableau6[],10,FALSE)</f>
        <v>0</v>
      </c>
      <c r="AC5" s="12">
        <f>IF(Tableau4[[#This Row],[sdom]]="3EST",1,0)</f>
        <v>0</v>
      </c>
      <c r="AD5" s="12">
        <f>VLOOKUP(Tableau4[[#This Row],[essence]],Tableau6[],11,FALSE)</f>
        <v>0</v>
      </c>
      <c r="AE5" s="12">
        <f>IF(Tableau4[[#This Row],[sdom]]="3OUEST",1,0)</f>
        <v>0</v>
      </c>
      <c r="AF5" s="12">
        <f>VLOOKUP(Tableau4[[#This Row],[essence]],Tableau6[],12,FALSE)</f>
        <v>0</v>
      </c>
      <c r="AG5" s="12">
        <f>IF(Tableau4[[#This Row],[sdom]]="4EST",1,0)</f>
        <v>0</v>
      </c>
      <c r="AH5" s="12">
        <f>VLOOKUP(Tableau4[[#This Row],[essence]],Tableau6[],13,FALSE)</f>
        <v>0</v>
      </c>
      <c r="AI5" s="12">
        <f>IF(Tableau4[[#This Row],[sdom]]="4OUEST",1,0)</f>
        <v>0</v>
      </c>
      <c r="AJ5" s="12">
        <f>VLOOKUP(Tableau4[[#This Row],[essence]],Tableau6[],14,FALSE)</f>
        <v>0</v>
      </c>
      <c r="AK5" s="12">
        <f>IF(Tableau4[[#This Row],[sdom]]="5EST",1,0)</f>
        <v>0</v>
      </c>
      <c r="AL5" s="12">
        <f>VLOOKUP(Tableau4[[#This Row],[essence]],Tableau6[],17,FALSE)</f>
        <v>0</v>
      </c>
      <c r="AM5" s="12">
        <f>IF(Tableau4[[#This Row],[priorecol]]="C",1,0)</f>
        <v>1</v>
      </c>
      <c r="AN5" s="12">
        <f>VLOOKUP(Tableau4[[#This Row],[essence]],Tableau6[],18,FALSE)</f>
        <v>0</v>
      </c>
      <c r="AO5" s="12">
        <f>IF(Tableau4[[#This Row],[priorecol]]="R",1,0)</f>
        <v>0</v>
      </c>
      <c r="AP5" s="12">
        <f>VLOOKUP(Tableau4[[#This Row],[essence]],Tableau6[],19,FALSE)</f>
        <v>0</v>
      </c>
      <c r="AQ5" s="12">
        <f>IF(Tableau4[[#This Row],[priorecol]]="S",1,0)</f>
        <v>0</v>
      </c>
      <c r="AR5" s="12">
        <f>VLOOKUP(Tableau4[[#This Row],[essence]],Tableau6[],21,FALSE)</f>
        <v>5.4600000000000003E-2</v>
      </c>
      <c r="AS5" s="12">
        <f>IF(Tableau4[[#This Row],[priorecol]]="C",1,0)</f>
        <v>1</v>
      </c>
      <c r="AT5" s="12">
        <f>VLOOKUP(Tableau4[[#This Row],[essence]],Tableau6[],22,FALSE)</f>
        <v>6.7900000000000002E-2</v>
      </c>
      <c r="AU5" s="12">
        <f>IF(Tableau4[[#This Row],[priorecol]]="R",1,0)</f>
        <v>0</v>
      </c>
      <c r="AV5" s="12">
        <f>VLOOKUP(Tableau4[[#This Row],[essence]],Tableau6[],23,FALSE)</f>
        <v>1.8700000000000001E-2</v>
      </c>
      <c r="AW5" s="12">
        <f>IF(Tableau4[[#This Row],[priorecol]]="S",1,0)</f>
        <v>0</v>
      </c>
      <c r="AX5" s="12">
        <f>VLOOKUP(Tableau4[[#This Row],[essence]],Tableau6[],24,FALSE)</f>
        <v>0</v>
      </c>
      <c r="AY5" s="12">
        <f>VLOOKUP(Tableau4[[#This Row],[essence]],Tableau6[],25,FALSE)</f>
        <v>0</v>
      </c>
      <c r="AZ5" s="12">
        <f>VLOOKUP(Tableau4[[#This Row],[essence]],Tableau6[],26,FALSE)</f>
        <v>0</v>
      </c>
      <c r="BA5" s="12">
        <f>VLOOKUP(Tableau4[[#This Row],[essence]],Tableau6[],27,FALSE)</f>
        <v>0</v>
      </c>
      <c r="BB5" s="12">
        <f>VLOOKUP(Tableau4[[#This Row],[essence]],Tableau6[],16,FALSE)</f>
        <v>-1.33E-3</v>
      </c>
      <c r="BC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-0.82079999999999931</v>
      </c>
      <c r="BD5" s="12">
        <f>Tableau4[[#This Row],[xb_]]+Tableau4[[#This Row],[b_intercept_C]]+Tableau4[[#This Row],[b_dhpcm_x_intercept_C]]*Tableau4[[#This Row],[dhpcm]]</f>
        <v>2.5175000000000005</v>
      </c>
      <c r="BE5" s="12">
        <f>Tableau4[[#This Row],[xb_]]+Tableau4[[#This Row],[b_intercept_B]]+Tableau4[[#This Row],[b_dhpcm_x_intercept_B]]*Tableau4[[#This Row],[dhpcm]]</f>
        <v>1.2270000000000008</v>
      </c>
      <c r="BF5" s="12">
        <f>Tableau4[[#This Row],[xb_]]+Tableau4[[#This Row],[b_intercept_A]]+Tableau4[[#This Row],[b_dhpcm_x_intercept_A]]*Tableau4[[#This Row],[dhpcm]]</f>
        <v>0.24800000000000066</v>
      </c>
      <c r="BG5" s="12">
        <f>1/(1+EXP(-Tableau4[[#This Row],[xb_c]]))</f>
        <v>0.92535956524841889</v>
      </c>
      <c r="BH5" s="12">
        <f>1/(1+EXP(-Tableau4[[#This Row],[xb_b]]))</f>
        <v>0.77329307282225368</v>
      </c>
      <c r="BI5" s="12">
        <f>1/(1+EXP(-Tableau4[[#This Row],[xb_a]]))</f>
        <v>0.56168417166181595</v>
      </c>
      <c r="BJ5" s="12">
        <f>Tableau4[[#This Row],[prob_a]]</f>
        <v>0.56168417166181595</v>
      </c>
      <c r="BK5" s="12">
        <f>Tableau4[[#This Row],[prob_b]]-Tableau4[[#This Row],[prob_a]]</f>
        <v>0.21160890116043773</v>
      </c>
      <c r="BL5" s="12">
        <f>Tableau4[[#This Row],[prob_c]]-Tableau4[[#This Row],[prob_b]]</f>
        <v>0.15206649242616521</v>
      </c>
      <c r="BM5" s="12">
        <f>1-Tableau4[[#This Row],[prob_c]]</f>
        <v>7.4640434751581108E-2</v>
      </c>
    </row>
    <row r="6" spans="1:65" x14ac:dyDescent="0.25">
      <c r="A6" s="12">
        <v>1</v>
      </c>
      <c r="B6" s="12">
        <v>1</v>
      </c>
      <c r="C6" s="12">
        <v>2.1</v>
      </c>
      <c r="D6" s="12">
        <v>700</v>
      </c>
      <c r="E6" s="12">
        <v>20</v>
      </c>
      <c r="F6" s="12">
        <v>1</v>
      </c>
      <c r="G6" s="12">
        <v>53</v>
      </c>
      <c r="H6" s="12">
        <v>44</v>
      </c>
      <c r="I6" s="12" t="s">
        <v>20</v>
      </c>
      <c r="J6" s="12" t="s">
        <v>28</v>
      </c>
      <c r="K6" s="12">
        <f>VLOOKUP(Tableau4[[#This Row],[essence]],Tableau6[],2,FALSE)</f>
        <v>1.0688</v>
      </c>
      <c r="L6" s="12">
        <f>VLOOKUP(Tableau4[[#This Row],[essence]],Tableau6[],3,FALSE)</f>
        <v>2.0478000000000001</v>
      </c>
      <c r="M6" s="12">
        <f>VLOOKUP(Tableau4[[#This Row],[essence]],Tableau6[],4,FALSE)</f>
        <v>3.3382999999999998</v>
      </c>
      <c r="N6" s="12">
        <f>VLOOKUP(Tableau4[[#This Row],[essence]],Tableau6[],5,FALSE)</f>
        <v>-1.2143999999999999</v>
      </c>
      <c r="O6" s="12">
        <f>IF(Tableau4[[#This Row],[priorecol]]="C",1,0)</f>
        <v>0</v>
      </c>
      <c r="P6" s="12">
        <f>VLOOKUP(Tableau4[[#This Row],[essence]],Tableau6[],6,FALSE)</f>
        <v>-1.2690999999999999</v>
      </c>
      <c r="Q6" s="12">
        <f>IF(Tableau4[[#This Row],[priorecol]]="R",1,0)</f>
        <v>1</v>
      </c>
      <c r="R6" s="12">
        <f>VLOOKUP(Tableau4[[#This Row],[essence]],Tableau6[],7,FALSE)</f>
        <v>-7.1900000000000006E-2</v>
      </c>
      <c r="S6" s="12">
        <f>IF(Tableau4[[#This Row],[priorecol]]="S",1,0)</f>
        <v>0</v>
      </c>
      <c r="T6" s="12">
        <f>VLOOKUP(Tableau4[[#This Row],[essence]],Tableau6[],20,FALSE)</f>
        <v>-3.04E-2</v>
      </c>
      <c r="U6" s="12">
        <f>VLOOKUP(Tableau4[[#This Row],[essence]],Tableau6[],15,FALSE)</f>
        <v>1.4200000000000001E-2</v>
      </c>
      <c r="V6" s="12">
        <f>VLOOKUP(Tableau4[[#This Row],[essence]],Tableau6[],28,FALSE)</f>
        <v>0</v>
      </c>
      <c r="W6" s="12">
        <f>IF(Tableau4[[#This Row],[sdom]]=1,1,0)</f>
        <v>1</v>
      </c>
      <c r="X6" s="12">
        <f>VLOOKUP(Tableau4[[#This Row],[essence]],Tableau6[],8,FALSE)</f>
        <v>0</v>
      </c>
      <c r="Y6" s="12">
        <f>IF(Tableau4[[#This Row],[sdom]]="2EST",1,0)</f>
        <v>0</v>
      </c>
      <c r="Z6" s="12">
        <f>VLOOKUP(Tableau4[[#This Row],[essence]],Tableau6[],9,FALSE)</f>
        <v>0</v>
      </c>
      <c r="AA6" s="12">
        <f>IF(Tableau4[[#This Row],[sdom]]="2OUEST",1,0)</f>
        <v>0</v>
      </c>
      <c r="AB6" s="12">
        <f>VLOOKUP(Tableau4[[#This Row],[essence]],Tableau6[],10,FALSE)</f>
        <v>0</v>
      </c>
      <c r="AC6" s="12">
        <f>IF(Tableau4[[#This Row],[sdom]]="3EST",1,0)</f>
        <v>0</v>
      </c>
      <c r="AD6" s="12">
        <f>VLOOKUP(Tableau4[[#This Row],[essence]],Tableau6[],11,FALSE)</f>
        <v>0</v>
      </c>
      <c r="AE6" s="12">
        <f>IF(Tableau4[[#This Row],[sdom]]="3OUEST",1,0)</f>
        <v>0</v>
      </c>
      <c r="AF6" s="12">
        <f>VLOOKUP(Tableau4[[#This Row],[essence]],Tableau6[],12,FALSE)</f>
        <v>0</v>
      </c>
      <c r="AG6" s="12">
        <f>IF(Tableau4[[#This Row],[sdom]]="4EST",1,0)</f>
        <v>0</v>
      </c>
      <c r="AH6" s="12">
        <f>VLOOKUP(Tableau4[[#This Row],[essence]],Tableau6[],13,FALSE)</f>
        <v>0</v>
      </c>
      <c r="AI6" s="12">
        <f>IF(Tableau4[[#This Row],[sdom]]="4OUEST",1,0)</f>
        <v>0</v>
      </c>
      <c r="AJ6" s="12">
        <f>VLOOKUP(Tableau4[[#This Row],[essence]],Tableau6[],14,FALSE)</f>
        <v>0</v>
      </c>
      <c r="AK6" s="12">
        <f>IF(Tableau4[[#This Row],[sdom]]="5EST",1,0)</f>
        <v>0</v>
      </c>
      <c r="AL6" s="12">
        <f>VLOOKUP(Tableau4[[#This Row],[essence]],Tableau6[],17,FALSE)</f>
        <v>0</v>
      </c>
      <c r="AM6" s="12">
        <f>IF(Tableau4[[#This Row],[priorecol]]="C",1,0)</f>
        <v>0</v>
      </c>
      <c r="AN6" s="12">
        <f>VLOOKUP(Tableau4[[#This Row],[essence]],Tableau6[],18,FALSE)</f>
        <v>0</v>
      </c>
      <c r="AO6" s="12">
        <f>IF(Tableau4[[#This Row],[priorecol]]="R",1,0)</f>
        <v>1</v>
      </c>
      <c r="AP6" s="12">
        <f>VLOOKUP(Tableau4[[#This Row],[essence]],Tableau6[],19,FALSE)</f>
        <v>0</v>
      </c>
      <c r="AQ6" s="12">
        <f>IF(Tableau4[[#This Row],[priorecol]]="S",1,0)</f>
        <v>0</v>
      </c>
      <c r="AR6" s="12">
        <f>VLOOKUP(Tableau4[[#This Row],[essence]],Tableau6[],21,FALSE)</f>
        <v>5.4600000000000003E-2</v>
      </c>
      <c r="AS6" s="12">
        <f>IF(Tableau4[[#This Row],[priorecol]]="C",1,0)</f>
        <v>0</v>
      </c>
      <c r="AT6" s="12">
        <f>VLOOKUP(Tableau4[[#This Row],[essence]],Tableau6[],22,FALSE)</f>
        <v>6.7900000000000002E-2</v>
      </c>
      <c r="AU6" s="12">
        <f>IF(Tableau4[[#This Row],[priorecol]]="R",1,0)</f>
        <v>1</v>
      </c>
      <c r="AV6" s="12">
        <f>VLOOKUP(Tableau4[[#This Row],[essence]],Tableau6[],23,FALSE)</f>
        <v>1.8700000000000001E-2</v>
      </c>
      <c r="AW6" s="12">
        <f>IF(Tableau4[[#This Row],[priorecol]]="S",1,0)</f>
        <v>0</v>
      </c>
      <c r="AX6" s="12">
        <f>VLOOKUP(Tableau4[[#This Row],[essence]],Tableau6[],24,FALSE)</f>
        <v>0</v>
      </c>
      <c r="AY6" s="12">
        <f>VLOOKUP(Tableau4[[#This Row],[essence]],Tableau6[],25,FALSE)</f>
        <v>0</v>
      </c>
      <c r="AZ6" s="12">
        <f>VLOOKUP(Tableau4[[#This Row],[essence]],Tableau6[],26,FALSE)</f>
        <v>0</v>
      </c>
      <c r="BA6" s="12">
        <f>VLOOKUP(Tableau4[[#This Row],[essence]],Tableau6[],27,FALSE)</f>
        <v>0</v>
      </c>
      <c r="BB6" s="12">
        <f>VLOOKUP(Tableau4[[#This Row],[essence]],Tableau6[],16,FALSE)</f>
        <v>-1.33E-3</v>
      </c>
      <c r="BC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-0.26610000000000023</v>
      </c>
      <c r="BD6" s="12">
        <f>Tableau4[[#This Row],[xb_]]+Tableau4[[#This Row],[b_intercept_C]]+Tableau4[[#This Row],[b_dhpcm_x_intercept_C]]*Tableau4[[#This Row],[dhpcm]]</f>
        <v>3.0721999999999996</v>
      </c>
      <c r="BE6" s="12">
        <f>Tableau4[[#This Row],[xb_]]+Tableau4[[#This Row],[b_intercept_B]]+Tableau4[[#This Row],[b_dhpcm_x_intercept_B]]*Tableau4[[#This Row],[dhpcm]]</f>
        <v>1.7816999999999998</v>
      </c>
      <c r="BF6" s="12">
        <f>Tableau4[[#This Row],[xb_]]+Tableau4[[#This Row],[b_intercept_A]]+Tableau4[[#This Row],[b_dhpcm_x_intercept_A]]*Tableau4[[#This Row],[dhpcm]]</f>
        <v>0.80269999999999975</v>
      </c>
      <c r="BG6" s="12">
        <f>1/(1+EXP(-Tableau4[[#This Row],[xb_c]]))</f>
        <v>0.95573134545908212</v>
      </c>
      <c r="BH6" s="12">
        <f>1/(1+EXP(-Tableau4[[#This Row],[xb_b]]))</f>
        <v>0.85590665456026538</v>
      </c>
      <c r="BI6" s="12">
        <f>1/(1+EXP(-Tableau4[[#This Row],[xb_a]]))</f>
        <v>0.69055174086306148</v>
      </c>
      <c r="BJ6" s="12">
        <f>Tableau4[[#This Row],[prob_a]]</f>
        <v>0.69055174086306148</v>
      </c>
      <c r="BK6" s="12">
        <f>Tableau4[[#This Row],[prob_b]]-Tableau4[[#This Row],[prob_a]]</f>
        <v>0.1653549136972039</v>
      </c>
      <c r="BL6" s="12">
        <f>Tableau4[[#This Row],[prob_c]]-Tableau4[[#This Row],[prob_b]]</f>
        <v>9.9824690898816737E-2</v>
      </c>
      <c r="BM6" s="12">
        <f>1-Tableau4[[#This Row],[prob_c]]</f>
        <v>4.4268654540917884E-2</v>
      </c>
    </row>
    <row r="7" spans="1:65" x14ac:dyDescent="0.25">
      <c r="A7" s="12">
        <v>1</v>
      </c>
      <c r="B7" s="12">
        <v>1</v>
      </c>
      <c r="C7" s="12">
        <v>2.1</v>
      </c>
      <c r="D7" s="12">
        <v>700</v>
      </c>
      <c r="E7" s="12">
        <v>20</v>
      </c>
      <c r="F7" s="12">
        <v>1</v>
      </c>
      <c r="G7" s="12">
        <v>54</v>
      </c>
      <c r="H7" s="12">
        <v>45</v>
      </c>
      <c r="I7" s="12" t="s">
        <v>20</v>
      </c>
      <c r="J7" s="12" t="s">
        <v>29</v>
      </c>
      <c r="K7" s="12">
        <f>VLOOKUP(Tableau4[[#This Row],[essence]],Tableau6[],2,FALSE)</f>
        <v>1.0688</v>
      </c>
      <c r="L7" s="12">
        <f>VLOOKUP(Tableau4[[#This Row],[essence]],Tableau6[],3,FALSE)</f>
        <v>2.0478000000000001</v>
      </c>
      <c r="M7" s="12">
        <f>VLOOKUP(Tableau4[[#This Row],[essence]],Tableau6[],4,FALSE)</f>
        <v>3.3382999999999998</v>
      </c>
      <c r="N7" s="12">
        <f>VLOOKUP(Tableau4[[#This Row],[essence]],Tableau6[],5,FALSE)</f>
        <v>-1.2143999999999999</v>
      </c>
      <c r="O7" s="12">
        <f>IF(Tableau4[[#This Row],[priorecol]]="C",1,0)</f>
        <v>0</v>
      </c>
      <c r="P7" s="12">
        <f>VLOOKUP(Tableau4[[#This Row],[essence]],Tableau6[],6,FALSE)</f>
        <v>-1.2690999999999999</v>
      </c>
      <c r="Q7" s="12">
        <f>IF(Tableau4[[#This Row],[priorecol]]="R",1,0)</f>
        <v>0</v>
      </c>
      <c r="R7" s="12">
        <f>VLOOKUP(Tableau4[[#This Row],[essence]],Tableau6[],7,FALSE)</f>
        <v>-7.1900000000000006E-2</v>
      </c>
      <c r="S7" s="12">
        <f>IF(Tableau4[[#This Row],[priorecol]]="S",1,0)</f>
        <v>1</v>
      </c>
      <c r="T7" s="12">
        <f>VLOOKUP(Tableau4[[#This Row],[essence]],Tableau6[],20,FALSE)</f>
        <v>-3.04E-2</v>
      </c>
      <c r="U7" s="12">
        <f>VLOOKUP(Tableau4[[#This Row],[essence]],Tableau6[],15,FALSE)</f>
        <v>1.4200000000000001E-2</v>
      </c>
      <c r="V7" s="12">
        <f>VLOOKUP(Tableau4[[#This Row],[essence]],Tableau6[],28,FALSE)</f>
        <v>0</v>
      </c>
      <c r="W7" s="12">
        <f>IF(Tableau4[[#This Row],[sdom]]=1,1,0)</f>
        <v>1</v>
      </c>
      <c r="X7" s="12">
        <f>VLOOKUP(Tableau4[[#This Row],[essence]],Tableau6[],8,FALSE)</f>
        <v>0</v>
      </c>
      <c r="Y7" s="12">
        <f>IF(Tableau4[[#This Row],[sdom]]="2EST",1,0)</f>
        <v>0</v>
      </c>
      <c r="Z7" s="12">
        <f>VLOOKUP(Tableau4[[#This Row],[essence]],Tableau6[],9,FALSE)</f>
        <v>0</v>
      </c>
      <c r="AA7" s="12">
        <f>IF(Tableau4[[#This Row],[sdom]]="2OUEST",1,0)</f>
        <v>0</v>
      </c>
      <c r="AB7" s="12">
        <f>VLOOKUP(Tableau4[[#This Row],[essence]],Tableau6[],10,FALSE)</f>
        <v>0</v>
      </c>
      <c r="AC7" s="12">
        <f>IF(Tableau4[[#This Row],[sdom]]="3EST",1,0)</f>
        <v>0</v>
      </c>
      <c r="AD7" s="12">
        <f>VLOOKUP(Tableau4[[#This Row],[essence]],Tableau6[],11,FALSE)</f>
        <v>0</v>
      </c>
      <c r="AE7" s="12">
        <f>IF(Tableau4[[#This Row],[sdom]]="3OUEST",1,0)</f>
        <v>0</v>
      </c>
      <c r="AF7" s="12">
        <f>VLOOKUP(Tableau4[[#This Row],[essence]],Tableau6[],12,FALSE)</f>
        <v>0</v>
      </c>
      <c r="AG7" s="12">
        <f>IF(Tableau4[[#This Row],[sdom]]="4EST",1,0)</f>
        <v>0</v>
      </c>
      <c r="AH7" s="12">
        <f>VLOOKUP(Tableau4[[#This Row],[essence]],Tableau6[],13,FALSE)</f>
        <v>0</v>
      </c>
      <c r="AI7" s="12">
        <f>IF(Tableau4[[#This Row],[sdom]]="4OUEST",1,0)</f>
        <v>0</v>
      </c>
      <c r="AJ7" s="12">
        <f>VLOOKUP(Tableau4[[#This Row],[essence]],Tableau6[],14,FALSE)</f>
        <v>0</v>
      </c>
      <c r="AK7" s="12">
        <f>IF(Tableau4[[#This Row],[sdom]]="5EST",1,0)</f>
        <v>0</v>
      </c>
      <c r="AL7" s="12">
        <f>VLOOKUP(Tableau4[[#This Row],[essence]],Tableau6[],17,FALSE)</f>
        <v>0</v>
      </c>
      <c r="AM7" s="12">
        <f>IF(Tableau4[[#This Row],[priorecol]]="C",1,0)</f>
        <v>0</v>
      </c>
      <c r="AN7" s="12">
        <f>VLOOKUP(Tableau4[[#This Row],[essence]],Tableau6[],18,FALSE)</f>
        <v>0</v>
      </c>
      <c r="AO7" s="12">
        <f>IF(Tableau4[[#This Row],[priorecol]]="R",1,0)</f>
        <v>0</v>
      </c>
      <c r="AP7" s="12">
        <f>VLOOKUP(Tableau4[[#This Row],[essence]],Tableau6[],19,FALSE)</f>
        <v>0</v>
      </c>
      <c r="AQ7" s="12">
        <f>IF(Tableau4[[#This Row],[priorecol]]="S",1,0)</f>
        <v>1</v>
      </c>
      <c r="AR7" s="12">
        <f>VLOOKUP(Tableau4[[#This Row],[essence]],Tableau6[],21,FALSE)</f>
        <v>5.4600000000000003E-2</v>
      </c>
      <c r="AS7" s="12">
        <f>IF(Tableau4[[#This Row],[priorecol]]="C",1,0)</f>
        <v>0</v>
      </c>
      <c r="AT7" s="12">
        <f>VLOOKUP(Tableau4[[#This Row],[essence]],Tableau6[],22,FALSE)</f>
        <v>6.7900000000000002E-2</v>
      </c>
      <c r="AU7" s="12">
        <f>IF(Tableau4[[#This Row],[priorecol]]="R",1,0)</f>
        <v>0</v>
      </c>
      <c r="AV7" s="12">
        <f>VLOOKUP(Tableau4[[#This Row],[essence]],Tableau6[],23,FALSE)</f>
        <v>1.8700000000000001E-2</v>
      </c>
      <c r="AW7" s="12">
        <f>IF(Tableau4[[#This Row],[priorecol]]="S",1,0)</f>
        <v>1</v>
      </c>
      <c r="AX7" s="12">
        <f>VLOOKUP(Tableau4[[#This Row],[essence]],Tableau6[],24,FALSE)</f>
        <v>0</v>
      </c>
      <c r="AY7" s="12">
        <f>VLOOKUP(Tableau4[[#This Row],[essence]],Tableau6[],25,FALSE)</f>
        <v>0</v>
      </c>
      <c r="AZ7" s="12">
        <f>VLOOKUP(Tableau4[[#This Row],[essence]],Tableau6[],26,FALSE)</f>
        <v>0</v>
      </c>
      <c r="BA7" s="12">
        <f>VLOOKUP(Tableau4[[#This Row],[essence]],Tableau6[],27,FALSE)</f>
        <v>0</v>
      </c>
      <c r="BB7" s="12">
        <f>VLOOKUP(Tableau4[[#This Row],[essence]],Tableau6[],16,FALSE)</f>
        <v>-1.33E-3</v>
      </c>
      <c r="BC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-1.2454000000000001</v>
      </c>
      <c r="BD7" s="12">
        <f>Tableau4[[#This Row],[xb_]]+Tableau4[[#This Row],[b_intercept_C]]+Tableau4[[#This Row],[b_dhpcm_x_intercept_C]]*Tableau4[[#This Row],[dhpcm]]</f>
        <v>2.0928999999999998</v>
      </c>
      <c r="BE7" s="12">
        <f>Tableau4[[#This Row],[xb_]]+Tableau4[[#This Row],[b_intercept_B]]+Tableau4[[#This Row],[b_dhpcm_x_intercept_B]]*Tableau4[[#This Row],[dhpcm]]</f>
        <v>0.8024</v>
      </c>
      <c r="BF7" s="12">
        <f>Tableau4[[#This Row],[xb_]]+Tableau4[[#This Row],[b_intercept_A]]+Tableau4[[#This Row],[b_dhpcm_x_intercept_A]]*Tableau4[[#This Row],[dhpcm]]</f>
        <v>-0.17660000000000009</v>
      </c>
      <c r="BG7" s="12">
        <f>1/(1+EXP(-Tableau4[[#This Row],[xb_c]]))</f>
        <v>0.89021117872154909</v>
      </c>
      <c r="BH7" s="12">
        <f>1/(1+EXP(-Tableau4[[#This Row],[xb_b]]))</f>
        <v>0.69048763018840587</v>
      </c>
      <c r="BI7" s="12">
        <f>1/(1+EXP(-Tableau4[[#This Row],[xb_a]]))</f>
        <v>0.45596438749771256</v>
      </c>
      <c r="BJ7" s="12">
        <f>Tableau4[[#This Row],[prob_a]]</f>
        <v>0.45596438749771256</v>
      </c>
      <c r="BK7" s="12">
        <f>Tableau4[[#This Row],[prob_b]]-Tableau4[[#This Row],[prob_a]]</f>
        <v>0.2345232426906933</v>
      </c>
      <c r="BL7" s="12">
        <f>Tableau4[[#This Row],[prob_c]]-Tableau4[[#This Row],[prob_b]]</f>
        <v>0.19972354853314322</v>
      </c>
      <c r="BM7" s="12">
        <f>1-Tableau4[[#This Row],[prob_c]]</f>
        <v>0.10978882127845091</v>
      </c>
    </row>
    <row r="8" spans="1:65" x14ac:dyDescent="0.25">
      <c r="A8" s="12">
        <v>1</v>
      </c>
      <c r="B8" s="12">
        <v>1</v>
      </c>
      <c r="C8" s="12">
        <v>2.1</v>
      </c>
      <c r="D8" s="12">
        <v>700</v>
      </c>
      <c r="E8" s="12">
        <v>20</v>
      </c>
      <c r="F8" s="12">
        <v>1</v>
      </c>
      <c r="G8" s="12">
        <v>55</v>
      </c>
      <c r="H8" s="12">
        <v>46</v>
      </c>
      <c r="I8" s="12" t="s">
        <v>21</v>
      </c>
      <c r="J8" s="12" t="s">
        <v>27</v>
      </c>
      <c r="K8" s="12">
        <f>VLOOKUP(Tableau4[[#This Row],[essence]],Tableau6[],2,FALSE)</f>
        <v>-2.4091999999999998</v>
      </c>
      <c r="L8" s="12">
        <f>VLOOKUP(Tableau4[[#This Row],[essence]],Tableau6[],3,FALSE)</f>
        <v>-1.3315999999999999</v>
      </c>
      <c r="M8" s="12">
        <f>VLOOKUP(Tableau4[[#This Row],[essence]],Tableau6[],4,FALSE)</f>
        <v>0.2475</v>
      </c>
      <c r="N8" s="12">
        <f>VLOOKUP(Tableau4[[#This Row],[essence]],Tableau6[],5,FALSE)</f>
        <v>1.9658</v>
      </c>
      <c r="O8" s="12">
        <f>IF(Tableau4[[#This Row],[priorecol]]="C",1,0)</f>
        <v>1</v>
      </c>
      <c r="P8" s="12">
        <f>VLOOKUP(Tableau4[[#This Row],[essence]],Tableau6[],6,FALSE)</f>
        <v>2.8807</v>
      </c>
      <c r="Q8" s="12">
        <f>IF(Tableau4[[#This Row],[priorecol]]="R",1,0)</f>
        <v>0</v>
      </c>
      <c r="R8" s="12">
        <f>VLOOKUP(Tableau4[[#This Row],[essence]],Tableau6[],7,FALSE)</f>
        <v>1.1791</v>
      </c>
      <c r="S8" s="12">
        <f>IF(Tableau4[[#This Row],[priorecol]]="S",1,0)</f>
        <v>0</v>
      </c>
      <c r="T8" s="12">
        <f>VLOOKUP(Tableau4[[#This Row],[essence]],Tableau6[],20,FALSE)</f>
        <v>0</v>
      </c>
      <c r="U8" s="12">
        <f>VLOOKUP(Tableau4[[#This Row],[essence]],Tableau6[],15,FALSE)</f>
        <v>2.4500000000000001E-2</v>
      </c>
      <c r="V8" s="12">
        <f>VLOOKUP(Tableau4[[#This Row],[essence]],Tableau6[],28,FALSE)</f>
        <v>0</v>
      </c>
      <c r="W8" s="12">
        <f>IF(Tableau4[[#This Row],[sdom]]=1,1,0)</f>
        <v>1</v>
      </c>
      <c r="X8" s="12">
        <f>VLOOKUP(Tableau4[[#This Row],[essence]],Tableau6[],8,FALSE)</f>
        <v>0</v>
      </c>
      <c r="Y8" s="12">
        <f>IF(Tableau4[[#This Row],[sdom]]="2EST",1,0)</f>
        <v>0</v>
      </c>
      <c r="Z8" s="12">
        <f>VLOOKUP(Tableau4[[#This Row],[essence]],Tableau6[],9,FALSE)</f>
        <v>0</v>
      </c>
      <c r="AA8" s="12">
        <f>IF(Tableau4[[#This Row],[sdom]]="2OUEST",1,0)</f>
        <v>0</v>
      </c>
      <c r="AB8" s="12">
        <f>VLOOKUP(Tableau4[[#This Row],[essence]],Tableau6[],10,FALSE)</f>
        <v>0</v>
      </c>
      <c r="AC8" s="12">
        <f>IF(Tableau4[[#This Row],[sdom]]="3EST",1,0)</f>
        <v>0</v>
      </c>
      <c r="AD8" s="12">
        <f>VLOOKUP(Tableau4[[#This Row],[essence]],Tableau6[],11,FALSE)</f>
        <v>0</v>
      </c>
      <c r="AE8" s="12">
        <f>IF(Tableau4[[#This Row],[sdom]]="3OUEST",1,0)</f>
        <v>0</v>
      </c>
      <c r="AF8" s="12">
        <f>VLOOKUP(Tableau4[[#This Row],[essence]],Tableau6[],12,FALSE)</f>
        <v>0</v>
      </c>
      <c r="AG8" s="12">
        <f>IF(Tableau4[[#This Row],[sdom]]="4EST",1,0)</f>
        <v>0</v>
      </c>
      <c r="AH8" s="12">
        <f>VLOOKUP(Tableau4[[#This Row],[essence]],Tableau6[],13,FALSE)</f>
        <v>0</v>
      </c>
      <c r="AI8" s="12">
        <f>IF(Tableau4[[#This Row],[sdom]]="4OUEST",1,0)</f>
        <v>0</v>
      </c>
      <c r="AJ8" s="12">
        <f>VLOOKUP(Tableau4[[#This Row],[essence]],Tableau6[],14,FALSE)</f>
        <v>0</v>
      </c>
      <c r="AK8" s="12">
        <f>IF(Tableau4[[#This Row],[sdom]]="5EST",1,0)</f>
        <v>0</v>
      </c>
      <c r="AL8" s="12">
        <f>VLOOKUP(Tableau4[[#This Row],[essence]],Tableau6[],17,FALSE)</f>
        <v>0</v>
      </c>
      <c r="AM8" s="12">
        <f>IF(Tableau4[[#This Row],[priorecol]]="C",1,0)</f>
        <v>1</v>
      </c>
      <c r="AN8" s="12">
        <f>VLOOKUP(Tableau4[[#This Row],[essence]],Tableau6[],18,FALSE)</f>
        <v>0</v>
      </c>
      <c r="AO8" s="12">
        <f>IF(Tableau4[[#This Row],[priorecol]]="R",1,0)</f>
        <v>0</v>
      </c>
      <c r="AP8" s="12">
        <f>VLOOKUP(Tableau4[[#This Row],[essence]],Tableau6[],19,FALSE)</f>
        <v>0</v>
      </c>
      <c r="AQ8" s="12">
        <f>IF(Tableau4[[#This Row],[priorecol]]="S",1,0)</f>
        <v>0</v>
      </c>
      <c r="AR8" s="12">
        <f>VLOOKUP(Tableau4[[#This Row],[essence]],Tableau6[],21,FALSE)</f>
        <v>0</v>
      </c>
      <c r="AS8" s="12">
        <f>IF(Tableau4[[#This Row],[priorecol]]="C",1,0)</f>
        <v>1</v>
      </c>
      <c r="AT8" s="12">
        <f>VLOOKUP(Tableau4[[#This Row],[essence]],Tableau6[],22,FALSE)</f>
        <v>0</v>
      </c>
      <c r="AU8" s="12">
        <f>IF(Tableau4[[#This Row],[priorecol]]="R",1,0)</f>
        <v>0</v>
      </c>
      <c r="AV8" s="12">
        <f>VLOOKUP(Tableau4[[#This Row],[essence]],Tableau6[],23,FALSE)</f>
        <v>0</v>
      </c>
      <c r="AW8" s="12">
        <f>IF(Tableau4[[#This Row],[priorecol]]="S",1,0)</f>
        <v>0</v>
      </c>
      <c r="AX8" s="12">
        <f>VLOOKUP(Tableau4[[#This Row],[essence]],Tableau6[],24,FALSE)</f>
        <v>0</v>
      </c>
      <c r="AY8" s="12">
        <f>VLOOKUP(Tableau4[[#This Row],[essence]],Tableau6[],25,FALSE)</f>
        <v>0</v>
      </c>
      <c r="AZ8" s="12">
        <f>VLOOKUP(Tableau4[[#This Row],[essence]],Tableau6[],26,FALSE)</f>
        <v>0</v>
      </c>
      <c r="BA8" s="12">
        <f>VLOOKUP(Tableau4[[#This Row],[essence]],Tableau6[],27,FALSE)</f>
        <v>0</v>
      </c>
      <c r="BB8" s="12">
        <f>VLOOKUP(Tableau4[[#This Row],[essence]],Tableau6[],16,FALSE)</f>
        <v>0</v>
      </c>
      <c r="BC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8" s="12">
        <f>Tableau4[[#This Row],[xb_]]+Tableau4[[#This Row],[b_intercept_C]]+Tableau4[[#This Row],[b_dhpcm_x_intercept_C]]*Tableau4[[#This Row],[dhpcm]]</f>
        <v>2.7033</v>
      </c>
      <c r="BE8" s="12">
        <f>Tableau4[[#This Row],[xb_]]+Tableau4[[#This Row],[b_intercept_B]]+Tableau4[[#This Row],[b_dhpcm_x_intercept_B]]*Tableau4[[#This Row],[dhpcm]]</f>
        <v>1.1242000000000001</v>
      </c>
      <c r="BF8" s="12">
        <f>Tableau4[[#This Row],[xb_]]+Tableau4[[#This Row],[b_intercept_A]]+Tableau4[[#This Row],[b_dhpcm_x_intercept_A]]*Tableau4[[#This Row],[dhpcm]]</f>
        <v>4.6600000000000197E-2</v>
      </c>
      <c r="BG8" s="12">
        <f>1/(1+EXP(-Tableau4[[#This Row],[xb_c]]))</f>
        <v>0.93722108879172883</v>
      </c>
      <c r="BH8" s="12">
        <f>1/(1+EXP(-Tableau4[[#This Row],[xb_b]]))</f>
        <v>0.75476694200486438</v>
      </c>
      <c r="BI8" s="12">
        <f>1/(1+EXP(-Tableau4[[#This Row],[xb_a]]))</f>
        <v>0.51164789223487939</v>
      </c>
      <c r="BJ8" s="12">
        <f>Tableau4[[#This Row],[prob_a]]</f>
        <v>0.51164789223487939</v>
      </c>
      <c r="BK8" s="12">
        <f>Tableau4[[#This Row],[prob_b]]-Tableau4[[#This Row],[prob_a]]</f>
        <v>0.243119049769985</v>
      </c>
      <c r="BL8" s="12">
        <f>Tableau4[[#This Row],[prob_c]]-Tableau4[[#This Row],[prob_b]]</f>
        <v>0.18245414678686445</v>
      </c>
      <c r="BM8" s="12">
        <f>1-Tableau4[[#This Row],[prob_c]]</f>
        <v>6.2778911208271171E-2</v>
      </c>
    </row>
    <row r="9" spans="1:65" x14ac:dyDescent="0.25">
      <c r="A9" s="12">
        <v>1</v>
      </c>
      <c r="B9" s="12">
        <v>1</v>
      </c>
      <c r="C9" s="12">
        <v>2.1</v>
      </c>
      <c r="D9" s="12">
        <v>700</v>
      </c>
      <c r="E9" s="12">
        <v>20</v>
      </c>
      <c r="F9" s="12">
        <v>1</v>
      </c>
      <c r="G9" s="12">
        <v>56</v>
      </c>
      <c r="H9" s="12">
        <v>47</v>
      </c>
      <c r="I9" s="12" t="s">
        <v>21</v>
      </c>
      <c r="J9" s="12" t="s">
        <v>28</v>
      </c>
      <c r="K9" s="12">
        <f>VLOOKUP(Tableau4[[#This Row],[essence]],Tableau6[],2,FALSE)</f>
        <v>-2.4091999999999998</v>
      </c>
      <c r="L9" s="12">
        <f>VLOOKUP(Tableau4[[#This Row],[essence]],Tableau6[],3,FALSE)</f>
        <v>-1.3315999999999999</v>
      </c>
      <c r="M9" s="12">
        <f>VLOOKUP(Tableau4[[#This Row],[essence]],Tableau6[],4,FALSE)</f>
        <v>0.2475</v>
      </c>
      <c r="N9" s="12">
        <f>VLOOKUP(Tableau4[[#This Row],[essence]],Tableau6[],5,FALSE)</f>
        <v>1.9658</v>
      </c>
      <c r="O9" s="12">
        <f>IF(Tableau4[[#This Row],[priorecol]]="C",1,0)</f>
        <v>0</v>
      </c>
      <c r="P9" s="12">
        <f>VLOOKUP(Tableau4[[#This Row],[essence]],Tableau6[],6,FALSE)</f>
        <v>2.8807</v>
      </c>
      <c r="Q9" s="12">
        <f>IF(Tableau4[[#This Row],[priorecol]]="R",1,0)</f>
        <v>1</v>
      </c>
      <c r="R9" s="12">
        <f>VLOOKUP(Tableau4[[#This Row],[essence]],Tableau6[],7,FALSE)</f>
        <v>1.1791</v>
      </c>
      <c r="S9" s="12">
        <f>IF(Tableau4[[#This Row],[priorecol]]="S",1,0)</f>
        <v>0</v>
      </c>
      <c r="T9" s="12">
        <f>VLOOKUP(Tableau4[[#This Row],[essence]],Tableau6[],20,FALSE)</f>
        <v>0</v>
      </c>
      <c r="U9" s="12">
        <f>VLOOKUP(Tableau4[[#This Row],[essence]],Tableau6[],15,FALSE)</f>
        <v>2.4500000000000001E-2</v>
      </c>
      <c r="V9" s="12">
        <f>VLOOKUP(Tableau4[[#This Row],[essence]],Tableau6[],28,FALSE)</f>
        <v>0</v>
      </c>
      <c r="W9" s="12">
        <f>IF(Tableau4[[#This Row],[sdom]]=1,1,0)</f>
        <v>1</v>
      </c>
      <c r="X9" s="12">
        <f>VLOOKUP(Tableau4[[#This Row],[essence]],Tableau6[],8,FALSE)</f>
        <v>0</v>
      </c>
      <c r="Y9" s="12">
        <f>IF(Tableau4[[#This Row],[sdom]]="2EST",1,0)</f>
        <v>0</v>
      </c>
      <c r="Z9" s="12">
        <f>VLOOKUP(Tableau4[[#This Row],[essence]],Tableau6[],9,FALSE)</f>
        <v>0</v>
      </c>
      <c r="AA9" s="12">
        <f>IF(Tableau4[[#This Row],[sdom]]="2OUEST",1,0)</f>
        <v>0</v>
      </c>
      <c r="AB9" s="12">
        <f>VLOOKUP(Tableau4[[#This Row],[essence]],Tableau6[],10,FALSE)</f>
        <v>0</v>
      </c>
      <c r="AC9" s="12">
        <f>IF(Tableau4[[#This Row],[sdom]]="3EST",1,0)</f>
        <v>0</v>
      </c>
      <c r="AD9" s="12">
        <f>VLOOKUP(Tableau4[[#This Row],[essence]],Tableau6[],11,FALSE)</f>
        <v>0</v>
      </c>
      <c r="AE9" s="12">
        <f>IF(Tableau4[[#This Row],[sdom]]="3OUEST",1,0)</f>
        <v>0</v>
      </c>
      <c r="AF9" s="12">
        <f>VLOOKUP(Tableau4[[#This Row],[essence]],Tableau6[],12,FALSE)</f>
        <v>0</v>
      </c>
      <c r="AG9" s="12">
        <f>IF(Tableau4[[#This Row],[sdom]]="4EST",1,0)</f>
        <v>0</v>
      </c>
      <c r="AH9" s="12">
        <f>VLOOKUP(Tableau4[[#This Row],[essence]],Tableau6[],13,FALSE)</f>
        <v>0</v>
      </c>
      <c r="AI9" s="12">
        <f>IF(Tableau4[[#This Row],[sdom]]="4OUEST",1,0)</f>
        <v>0</v>
      </c>
      <c r="AJ9" s="12">
        <f>VLOOKUP(Tableau4[[#This Row],[essence]],Tableau6[],14,FALSE)</f>
        <v>0</v>
      </c>
      <c r="AK9" s="12">
        <f>IF(Tableau4[[#This Row],[sdom]]="5EST",1,0)</f>
        <v>0</v>
      </c>
      <c r="AL9" s="12">
        <f>VLOOKUP(Tableau4[[#This Row],[essence]],Tableau6[],17,FALSE)</f>
        <v>0</v>
      </c>
      <c r="AM9" s="12">
        <f>IF(Tableau4[[#This Row],[priorecol]]="C",1,0)</f>
        <v>0</v>
      </c>
      <c r="AN9" s="12">
        <f>VLOOKUP(Tableau4[[#This Row],[essence]],Tableau6[],18,FALSE)</f>
        <v>0</v>
      </c>
      <c r="AO9" s="12">
        <f>IF(Tableau4[[#This Row],[priorecol]]="R",1,0)</f>
        <v>1</v>
      </c>
      <c r="AP9" s="12">
        <f>VLOOKUP(Tableau4[[#This Row],[essence]],Tableau6[],19,FALSE)</f>
        <v>0</v>
      </c>
      <c r="AQ9" s="12">
        <f>IF(Tableau4[[#This Row],[priorecol]]="S",1,0)</f>
        <v>0</v>
      </c>
      <c r="AR9" s="12">
        <f>VLOOKUP(Tableau4[[#This Row],[essence]],Tableau6[],21,FALSE)</f>
        <v>0</v>
      </c>
      <c r="AS9" s="12">
        <f>IF(Tableau4[[#This Row],[priorecol]]="C",1,0)</f>
        <v>0</v>
      </c>
      <c r="AT9" s="12">
        <f>VLOOKUP(Tableau4[[#This Row],[essence]],Tableau6[],22,FALSE)</f>
        <v>0</v>
      </c>
      <c r="AU9" s="12">
        <f>IF(Tableau4[[#This Row],[priorecol]]="R",1,0)</f>
        <v>1</v>
      </c>
      <c r="AV9" s="12">
        <f>VLOOKUP(Tableau4[[#This Row],[essence]],Tableau6[],23,FALSE)</f>
        <v>0</v>
      </c>
      <c r="AW9" s="12">
        <f>IF(Tableau4[[#This Row],[priorecol]]="S",1,0)</f>
        <v>0</v>
      </c>
      <c r="AX9" s="12">
        <f>VLOOKUP(Tableau4[[#This Row],[essence]],Tableau6[],24,FALSE)</f>
        <v>0</v>
      </c>
      <c r="AY9" s="12">
        <f>VLOOKUP(Tableau4[[#This Row],[essence]],Tableau6[],25,FALSE)</f>
        <v>0</v>
      </c>
      <c r="AZ9" s="12">
        <f>VLOOKUP(Tableau4[[#This Row],[essence]],Tableau6[],26,FALSE)</f>
        <v>0</v>
      </c>
      <c r="BA9" s="12">
        <f>VLOOKUP(Tableau4[[#This Row],[essence]],Tableau6[],27,FALSE)</f>
        <v>0</v>
      </c>
      <c r="BB9" s="12">
        <f>VLOOKUP(Tableau4[[#This Row],[essence]],Tableau6[],16,FALSE)</f>
        <v>0</v>
      </c>
      <c r="BC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9" s="12">
        <f>Tableau4[[#This Row],[xb_]]+Tableau4[[#This Row],[b_intercept_C]]+Tableau4[[#This Row],[b_dhpcm_x_intercept_C]]*Tableau4[[#This Row],[dhpcm]]</f>
        <v>3.6182000000000003</v>
      </c>
      <c r="BE9" s="12">
        <f>Tableau4[[#This Row],[xb_]]+Tableau4[[#This Row],[b_intercept_B]]+Tableau4[[#This Row],[b_dhpcm_x_intercept_B]]*Tableau4[[#This Row],[dhpcm]]</f>
        <v>2.0391000000000004</v>
      </c>
      <c r="BF9" s="12">
        <f>Tableau4[[#This Row],[xb_]]+Tableau4[[#This Row],[b_intercept_A]]+Tableau4[[#This Row],[b_dhpcm_x_intercept_A]]*Tableau4[[#This Row],[dhpcm]]</f>
        <v>0.96150000000000047</v>
      </c>
      <c r="BG9" s="12">
        <f>1/(1+EXP(-Tableau4[[#This Row],[xb_c]]))</f>
        <v>0.97387015917251429</v>
      </c>
      <c r="BH9" s="12">
        <f>1/(1+EXP(-Tableau4[[#This Row],[xb_b]]))</f>
        <v>0.88484159245928551</v>
      </c>
      <c r="BI9" s="12">
        <f>1/(1+EXP(-Tableau4[[#This Row],[xb_a]]))</f>
        <v>0.72342202957828172</v>
      </c>
      <c r="BJ9" s="12">
        <f>Tableau4[[#This Row],[prob_a]]</f>
        <v>0.72342202957828172</v>
      </c>
      <c r="BK9" s="12">
        <f>Tableau4[[#This Row],[prob_b]]-Tableau4[[#This Row],[prob_a]]</f>
        <v>0.16141956288100379</v>
      </c>
      <c r="BL9" s="12">
        <f>Tableau4[[#This Row],[prob_c]]-Tableau4[[#This Row],[prob_b]]</f>
        <v>8.9028566713228785E-2</v>
      </c>
      <c r="BM9" s="12">
        <f>1-Tableau4[[#This Row],[prob_c]]</f>
        <v>2.6129840827485706E-2</v>
      </c>
    </row>
    <row r="10" spans="1:65" x14ac:dyDescent="0.25">
      <c r="A10" s="12">
        <v>1</v>
      </c>
      <c r="B10" s="12">
        <v>1</v>
      </c>
      <c r="C10" s="12">
        <v>2.1</v>
      </c>
      <c r="D10" s="12">
        <v>700</v>
      </c>
      <c r="E10" s="12">
        <v>20</v>
      </c>
      <c r="F10" s="12">
        <v>1</v>
      </c>
      <c r="G10" s="12">
        <v>57</v>
      </c>
      <c r="H10" s="12">
        <v>48</v>
      </c>
      <c r="I10" s="12" t="s">
        <v>21</v>
      </c>
      <c r="J10" s="12" t="s">
        <v>29</v>
      </c>
      <c r="K10" s="12">
        <f>VLOOKUP(Tableau4[[#This Row],[essence]],Tableau6[],2,FALSE)</f>
        <v>-2.4091999999999998</v>
      </c>
      <c r="L10" s="12">
        <f>VLOOKUP(Tableau4[[#This Row],[essence]],Tableau6[],3,FALSE)</f>
        <v>-1.3315999999999999</v>
      </c>
      <c r="M10" s="12">
        <f>VLOOKUP(Tableau4[[#This Row],[essence]],Tableau6[],4,FALSE)</f>
        <v>0.2475</v>
      </c>
      <c r="N10" s="12">
        <f>VLOOKUP(Tableau4[[#This Row],[essence]],Tableau6[],5,FALSE)</f>
        <v>1.9658</v>
      </c>
      <c r="O10" s="12">
        <f>IF(Tableau4[[#This Row],[priorecol]]="C",1,0)</f>
        <v>0</v>
      </c>
      <c r="P10" s="12">
        <f>VLOOKUP(Tableau4[[#This Row],[essence]],Tableau6[],6,FALSE)</f>
        <v>2.8807</v>
      </c>
      <c r="Q10" s="12">
        <f>IF(Tableau4[[#This Row],[priorecol]]="R",1,0)</f>
        <v>0</v>
      </c>
      <c r="R10" s="12">
        <f>VLOOKUP(Tableau4[[#This Row],[essence]],Tableau6[],7,FALSE)</f>
        <v>1.1791</v>
      </c>
      <c r="S10" s="12">
        <f>IF(Tableau4[[#This Row],[priorecol]]="S",1,0)</f>
        <v>1</v>
      </c>
      <c r="T10" s="12">
        <f>VLOOKUP(Tableau4[[#This Row],[essence]],Tableau6[],20,FALSE)</f>
        <v>0</v>
      </c>
      <c r="U10" s="12">
        <f>VLOOKUP(Tableau4[[#This Row],[essence]],Tableau6[],15,FALSE)</f>
        <v>2.4500000000000001E-2</v>
      </c>
      <c r="V10" s="12">
        <f>VLOOKUP(Tableau4[[#This Row],[essence]],Tableau6[],28,FALSE)</f>
        <v>0</v>
      </c>
      <c r="W10" s="12">
        <f>IF(Tableau4[[#This Row],[sdom]]=1,1,0)</f>
        <v>1</v>
      </c>
      <c r="X10" s="12">
        <f>VLOOKUP(Tableau4[[#This Row],[essence]],Tableau6[],8,FALSE)</f>
        <v>0</v>
      </c>
      <c r="Y10" s="12">
        <f>IF(Tableau4[[#This Row],[sdom]]="2EST",1,0)</f>
        <v>0</v>
      </c>
      <c r="Z10" s="12">
        <f>VLOOKUP(Tableau4[[#This Row],[essence]],Tableau6[],9,FALSE)</f>
        <v>0</v>
      </c>
      <c r="AA10" s="12">
        <f>IF(Tableau4[[#This Row],[sdom]]="2OUEST",1,0)</f>
        <v>0</v>
      </c>
      <c r="AB10" s="12">
        <f>VLOOKUP(Tableau4[[#This Row],[essence]],Tableau6[],10,FALSE)</f>
        <v>0</v>
      </c>
      <c r="AC10" s="12">
        <f>IF(Tableau4[[#This Row],[sdom]]="3EST",1,0)</f>
        <v>0</v>
      </c>
      <c r="AD10" s="12">
        <f>VLOOKUP(Tableau4[[#This Row],[essence]],Tableau6[],11,FALSE)</f>
        <v>0</v>
      </c>
      <c r="AE10" s="12">
        <f>IF(Tableau4[[#This Row],[sdom]]="3OUEST",1,0)</f>
        <v>0</v>
      </c>
      <c r="AF10" s="12">
        <f>VLOOKUP(Tableau4[[#This Row],[essence]],Tableau6[],12,FALSE)</f>
        <v>0</v>
      </c>
      <c r="AG10" s="12">
        <f>IF(Tableau4[[#This Row],[sdom]]="4EST",1,0)</f>
        <v>0</v>
      </c>
      <c r="AH10" s="12">
        <f>VLOOKUP(Tableau4[[#This Row],[essence]],Tableau6[],13,FALSE)</f>
        <v>0</v>
      </c>
      <c r="AI10" s="12">
        <f>IF(Tableau4[[#This Row],[sdom]]="4OUEST",1,0)</f>
        <v>0</v>
      </c>
      <c r="AJ10" s="12">
        <f>VLOOKUP(Tableau4[[#This Row],[essence]],Tableau6[],14,FALSE)</f>
        <v>0</v>
      </c>
      <c r="AK10" s="12">
        <f>IF(Tableau4[[#This Row],[sdom]]="5EST",1,0)</f>
        <v>0</v>
      </c>
      <c r="AL10" s="12">
        <f>VLOOKUP(Tableau4[[#This Row],[essence]],Tableau6[],17,FALSE)</f>
        <v>0</v>
      </c>
      <c r="AM10" s="12">
        <f>IF(Tableau4[[#This Row],[priorecol]]="C",1,0)</f>
        <v>0</v>
      </c>
      <c r="AN10" s="12">
        <f>VLOOKUP(Tableau4[[#This Row],[essence]],Tableau6[],18,FALSE)</f>
        <v>0</v>
      </c>
      <c r="AO10" s="12">
        <f>IF(Tableau4[[#This Row],[priorecol]]="R",1,0)</f>
        <v>0</v>
      </c>
      <c r="AP10" s="12">
        <f>VLOOKUP(Tableau4[[#This Row],[essence]],Tableau6[],19,FALSE)</f>
        <v>0</v>
      </c>
      <c r="AQ10" s="12">
        <f>IF(Tableau4[[#This Row],[priorecol]]="S",1,0)</f>
        <v>1</v>
      </c>
      <c r="AR10" s="12">
        <f>VLOOKUP(Tableau4[[#This Row],[essence]],Tableau6[],21,FALSE)</f>
        <v>0</v>
      </c>
      <c r="AS10" s="12">
        <f>IF(Tableau4[[#This Row],[priorecol]]="C",1,0)</f>
        <v>0</v>
      </c>
      <c r="AT10" s="12">
        <f>VLOOKUP(Tableau4[[#This Row],[essence]],Tableau6[],22,FALSE)</f>
        <v>0</v>
      </c>
      <c r="AU10" s="12">
        <f>IF(Tableau4[[#This Row],[priorecol]]="R",1,0)</f>
        <v>0</v>
      </c>
      <c r="AV10" s="12">
        <f>VLOOKUP(Tableau4[[#This Row],[essence]],Tableau6[],23,FALSE)</f>
        <v>0</v>
      </c>
      <c r="AW10" s="12">
        <f>IF(Tableau4[[#This Row],[priorecol]]="S",1,0)</f>
        <v>1</v>
      </c>
      <c r="AX10" s="12">
        <f>VLOOKUP(Tableau4[[#This Row],[essence]],Tableau6[],24,FALSE)</f>
        <v>0</v>
      </c>
      <c r="AY10" s="12">
        <f>VLOOKUP(Tableau4[[#This Row],[essence]],Tableau6[],25,FALSE)</f>
        <v>0</v>
      </c>
      <c r="AZ10" s="12">
        <f>VLOOKUP(Tableau4[[#This Row],[essence]],Tableau6[],26,FALSE)</f>
        <v>0</v>
      </c>
      <c r="BA10" s="12">
        <f>VLOOKUP(Tableau4[[#This Row],[essence]],Tableau6[],27,FALSE)</f>
        <v>0</v>
      </c>
      <c r="BB10" s="12">
        <f>VLOOKUP(Tableau4[[#This Row],[essence]],Tableau6[],16,FALSE)</f>
        <v>0</v>
      </c>
      <c r="BC1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0" s="12">
        <f>Tableau4[[#This Row],[xb_]]+Tableau4[[#This Row],[b_intercept_C]]+Tableau4[[#This Row],[b_dhpcm_x_intercept_C]]*Tableau4[[#This Row],[dhpcm]]</f>
        <v>1.9166000000000001</v>
      </c>
      <c r="BE10" s="12">
        <f>Tableau4[[#This Row],[xb_]]+Tableau4[[#This Row],[b_intercept_B]]+Tableau4[[#This Row],[b_dhpcm_x_intercept_B]]*Tableau4[[#This Row],[dhpcm]]</f>
        <v>0.33750000000000013</v>
      </c>
      <c r="BF10" s="12">
        <f>Tableau4[[#This Row],[xb_]]+Tableau4[[#This Row],[b_intercept_A]]+Tableau4[[#This Row],[b_dhpcm_x_intercept_A]]*Tableau4[[#This Row],[dhpcm]]</f>
        <v>-0.74009999999999976</v>
      </c>
      <c r="BG10" s="12">
        <f>1/(1+EXP(-Tableau4[[#This Row],[xb_c]]))</f>
        <v>0.87175880956636009</v>
      </c>
      <c r="BH10" s="12">
        <f>1/(1+EXP(-Tableau4[[#This Row],[xb_b]]))</f>
        <v>0.58358311551727526</v>
      </c>
      <c r="BI10" s="12">
        <f>1/(1+EXP(-Tableau4[[#This Row],[xb_a]]))</f>
        <v>0.32298227690184222</v>
      </c>
      <c r="BJ10" s="12">
        <f>Tableau4[[#This Row],[prob_a]]</f>
        <v>0.32298227690184222</v>
      </c>
      <c r="BK10" s="12">
        <f>Tableau4[[#This Row],[prob_b]]-Tableau4[[#This Row],[prob_a]]</f>
        <v>0.26060083861543304</v>
      </c>
      <c r="BL10" s="12">
        <f>Tableau4[[#This Row],[prob_c]]-Tableau4[[#This Row],[prob_b]]</f>
        <v>0.28817569404908483</v>
      </c>
      <c r="BM10" s="12">
        <f>1-Tableau4[[#This Row],[prob_c]]</f>
        <v>0.12824119043363991</v>
      </c>
    </row>
    <row r="11" spans="1:65" x14ac:dyDescent="0.25">
      <c r="A11" s="12">
        <v>1</v>
      </c>
      <c r="B11" s="12">
        <v>1</v>
      </c>
      <c r="C11" s="12">
        <v>2.1</v>
      </c>
      <c r="D11" s="12">
        <v>700</v>
      </c>
      <c r="E11" s="12">
        <v>20</v>
      </c>
      <c r="F11" s="12">
        <v>1</v>
      </c>
      <c r="G11" s="12">
        <v>58</v>
      </c>
      <c r="H11" s="12">
        <v>49</v>
      </c>
      <c r="I11" s="12" t="s">
        <v>22</v>
      </c>
      <c r="J11" s="12" t="s">
        <v>27</v>
      </c>
      <c r="K11" s="12">
        <f>VLOOKUP(Tableau4[[#This Row],[essence]],Tableau6[],2,FALSE)</f>
        <v>-3.5731999999999999</v>
      </c>
      <c r="L11" s="12">
        <f>VLOOKUP(Tableau4[[#This Row],[essence]],Tableau6[],3,FALSE)</f>
        <v>-1.9289000000000001</v>
      </c>
      <c r="M11" s="12">
        <f>VLOOKUP(Tableau4[[#This Row],[essence]],Tableau6[],4,FALSE)</f>
        <v>0.40949999999999998</v>
      </c>
      <c r="N11" s="12">
        <f>VLOOKUP(Tableau4[[#This Row],[essence]],Tableau6[],5,FALSE)</f>
        <v>2.0705</v>
      </c>
      <c r="O11" s="12">
        <f>IF(Tableau4[[#This Row],[priorecol]]="C",1,0)</f>
        <v>1</v>
      </c>
      <c r="P11" s="12">
        <f>VLOOKUP(Tableau4[[#This Row],[essence]],Tableau6[],6,FALSE)</f>
        <v>2.9992999999999999</v>
      </c>
      <c r="Q11" s="12">
        <f>IF(Tableau4[[#This Row],[priorecol]]="R",1,0)</f>
        <v>0</v>
      </c>
      <c r="R11" s="12">
        <f>VLOOKUP(Tableau4[[#This Row],[essence]],Tableau6[],7,FALSE)</f>
        <v>1.3050999999999999</v>
      </c>
      <c r="S11" s="12">
        <f>IF(Tableau4[[#This Row],[priorecol]]="S",1,0)</f>
        <v>0</v>
      </c>
      <c r="T11" s="12">
        <f>VLOOKUP(Tableau4[[#This Row],[essence]],Tableau6[],20,FALSE)</f>
        <v>0</v>
      </c>
      <c r="U11" s="12">
        <f>VLOOKUP(Tableau4[[#This Row],[essence]],Tableau6[],15,FALSE)</f>
        <v>0</v>
      </c>
      <c r="V11" s="12">
        <f>VLOOKUP(Tableau4[[#This Row],[essence]],Tableau6[],28,FALSE)</f>
        <v>0</v>
      </c>
      <c r="W11" s="12">
        <f>IF(Tableau4[[#This Row],[sdom]]=1,1,0)</f>
        <v>1</v>
      </c>
      <c r="X11" s="12">
        <f>VLOOKUP(Tableau4[[#This Row],[essence]],Tableau6[],8,FALSE)</f>
        <v>0</v>
      </c>
      <c r="Y11" s="12">
        <f>IF(Tableau4[[#This Row],[sdom]]="2EST",1,0)</f>
        <v>0</v>
      </c>
      <c r="Z11" s="12">
        <f>VLOOKUP(Tableau4[[#This Row],[essence]],Tableau6[],9,FALSE)</f>
        <v>0</v>
      </c>
      <c r="AA11" s="12">
        <f>IF(Tableau4[[#This Row],[sdom]]="2OUEST",1,0)</f>
        <v>0</v>
      </c>
      <c r="AB11" s="12">
        <f>VLOOKUP(Tableau4[[#This Row],[essence]],Tableau6[],10,FALSE)</f>
        <v>0</v>
      </c>
      <c r="AC11" s="12">
        <f>IF(Tableau4[[#This Row],[sdom]]="3EST",1,0)</f>
        <v>0</v>
      </c>
      <c r="AD11" s="12">
        <f>VLOOKUP(Tableau4[[#This Row],[essence]],Tableau6[],11,FALSE)</f>
        <v>0</v>
      </c>
      <c r="AE11" s="12">
        <f>IF(Tableau4[[#This Row],[sdom]]="3OUEST",1,0)</f>
        <v>0</v>
      </c>
      <c r="AF11" s="12">
        <f>VLOOKUP(Tableau4[[#This Row],[essence]],Tableau6[],12,FALSE)</f>
        <v>0</v>
      </c>
      <c r="AG11" s="12">
        <f>IF(Tableau4[[#This Row],[sdom]]="4EST",1,0)</f>
        <v>0</v>
      </c>
      <c r="AH11" s="12">
        <f>VLOOKUP(Tableau4[[#This Row],[essence]],Tableau6[],13,FALSE)</f>
        <v>0</v>
      </c>
      <c r="AI11" s="12">
        <f>IF(Tableau4[[#This Row],[sdom]]="4OUEST",1,0)</f>
        <v>0</v>
      </c>
      <c r="AJ11" s="12">
        <f>VLOOKUP(Tableau4[[#This Row],[essence]],Tableau6[],14,FALSE)</f>
        <v>0</v>
      </c>
      <c r="AK11" s="12">
        <f>IF(Tableau4[[#This Row],[sdom]]="5EST",1,0)</f>
        <v>0</v>
      </c>
      <c r="AL11" s="12">
        <f>VLOOKUP(Tableau4[[#This Row],[essence]],Tableau6[],17,FALSE)</f>
        <v>0</v>
      </c>
      <c r="AM11" s="12">
        <f>IF(Tableau4[[#This Row],[priorecol]]="C",1,0)</f>
        <v>1</v>
      </c>
      <c r="AN11" s="12">
        <f>VLOOKUP(Tableau4[[#This Row],[essence]],Tableau6[],18,FALSE)</f>
        <v>0</v>
      </c>
      <c r="AO11" s="12">
        <f>IF(Tableau4[[#This Row],[priorecol]]="R",1,0)</f>
        <v>0</v>
      </c>
      <c r="AP11" s="12">
        <f>VLOOKUP(Tableau4[[#This Row],[essence]],Tableau6[],19,FALSE)</f>
        <v>0</v>
      </c>
      <c r="AQ11" s="12">
        <f>IF(Tableau4[[#This Row],[priorecol]]="S",1,0)</f>
        <v>0</v>
      </c>
      <c r="AR11" s="12">
        <f>VLOOKUP(Tableau4[[#This Row],[essence]],Tableau6[],21,FALSE)</f>
        <v>0</v>
      </c>
      <c r="AS11" s="12">
        <f>IF(Tableau4[[#This Row],[priorecol]]="C",1,0)</f>
        <v>1</v>
      </c>
      <c r="AT11" s="12">
        <f>VLOOKUP(Tableau4[[#This Row],[essence]],Tableau6[],22,FALSE)</f>
        <v>0</v>
      </c>
      <c r="AU11" s="12">
        <f>IF(Tableau4[[#This Row],[priorecol]]="R",1,0)</f>
        <v>0</v>
      </c>
      <c r="AV11" s="12">
        <f>VLOOKUP(Tableau4[[#This Row],[essence]],Tableau6[],23,FALSE)</f>
        <v>0</v>
      </c>
      <c r="AW11" s="12">
        <f>IF(Tableau4[[#This Row],[priorecol]]="S",1,0)</f>
        <v>0</v>
      </c>
      <c r="AX11" s="12">
        <f>VLOOKUP(Tableau4[[#This Row],[essence]],Tableau6[],24,FALSE)</f>
        <v>-2.1000000000000001E-4</v>
      </c>
      <c r="AY11" s="12">
        <f>VLOOKUP(Tableau4[[#This Row],[essence]],Tableau6[],25,FALSE)</f>
        <v>-1.34E-2</v>
      </c>
      <c r="AZ11" s="12">
        <f>VLOOKUP(Tableau4[[#This Row],[essence]],Tableau6[],26,FALSE)</f>
        <v>-2.8899999999999999E-2</v>
      </c>
      <c r="BA11" s="12">
        <f>VLOOKUP(Tableau4[[#This Row],[essence]],Tableau6[],27,FALSE)</f>
        <v>0.2873</v>
      </c>
      <c r="BB11" s="12">
        <f>VLOOKUP(Tableau4[[#This Row],[essence]],Tableau6[],16,FALSE)</f>
        <v>0</v>
      </c>
      <c r="BC1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1" s="12">
        <f>Tableau4[[#This Row],[xb_]]+Tableau4[[#This Row],[b_intercept_C]]+Tableau4[[#This Row],[b_dhpcm_x_intercept_C]]*Tableau4[[#This Row],[dhpcm]]</f>
        <v>1.6672300000000002</v>
      </c>
      <c r="BE11" s="12">
        <f>Tableau4[[#This Row],[xb_]]+Tableau4[[#This Row],[b_intercept_B]]+Tableau4[[#This Row],[b_dhpcm_x_intercept_B]]*Tableau4[[#This Row],[dhpcm]]</f>
        <v>8.833000000000002E-2</v>
      </c>
      <c r="BF11" s="12">
        <f>Tableau4[[#This Row],[xb_]]+Tableau4[[#This Row],[b_intercept_A]]+Tableau4[[#This Row],[b_dhpcm_x_intercept_A]]*Tableau4[[#This Row],[dhpcm]]</f>
        <v>-0.9096599999999998</v>
      </c>
      <c r="BG11" s="12">
        <f>1/(1+EXP(-Tableau4[[#This Row],[xb_c]]))</f>
        <v>0.84120615872497295</v>
      </c>
      <c r="BH11" s="12">
        <f>1/(1+EXP(-Tableau4[[#This Row],[xb_b]]))</f>
        <v>0.52206815354024294</v>
      </c>
      <c r="BI11" s="12">
        <f>1/(1+EXP(-Tableau4[[#This Row],[xb_a]]))</f>
        <v>0.28706941680243026</v>
      </c>
      <c r="BJ11" s="12">
        <f>Tableau4[[#This Row],[prob_a]]</f>
        <v>0.28706941680243026</v>
      </c>
      <c r="BK11" s="12">
        <f>Tableau4[[#This Row],[prob_b]]-Tableau4[[#This Row],[prob_a]]</f>
        <v>0.23499873673781269</v>
      </c>
      <c r="BL11" s="12">
        <f>Tableau4[[#This Row],[prob_c]]-Tableau4[[#This Row],[prob_b]]</f>
        <v>0.31913800518473001</v>
      </c>
      <c r="BM11" s="12">
        <f>1-Tableau4[[#This Row],[prob_c]]</f>
        <v>0.15879384127502705</v>
      </c>
    </row>
    <row r="12" spans="1:65" x14ac:dyDescent="0.25">
      <c r="A12" s="12">
        <v>1</v>
      </c>
      <c r="B12" s="12">
        <v>1</v>
      </c>
      <c r="C12" s="12">
        <v>2.1</v>
      </c>
      <c r="D12" s="12">
        <v>700</v>
      </c>
      <c r="E12" s="12">
        <v>20</v>
      </c>
      <c r="F12" s="12">
        <v>1</v>
      </c>
      <c r="G12" s="12">
        <v>59</v>
      </c>
      <c r="H12" s="12">
        <v>50</v>
      </c>
      <c r="I12" s="12" t="s">
        <v>22</v>
      </c>
      <c r="J12" s="12" t="s">
        <v>28</v>
      </c>
      <c r="K12" s="12">
        <f>VLOOKUP(Tableau4[[#This Row],[essence]],Tableau6[],2,FALSE)</f>
        <v>-3.5731999999999999</v>
      </c>
      <c r="L12" s="12">
        <f>VLOOKUP(Tableau4[[#This Row],[essence]],Tableau6[],3,FALSE)</f>
        <v>-1.9289000000000001</v>
      </c>
      <c r="M12" s="12">
        <f>VLOOKUP(Tableau4[[#This Row],[essence]],Tableau6[],4,FALSE)</f>
        <v>0.40949999999999998</v>
      </c>
      <c r="N12" s="12">
        <f>VLOOKUP(Tableau4[[#This Row],[essence]],Tableau6[],5,FALSE)</f>
        <v>2.0705</v>
      </c>
      <c r="O12" s="12">
        <f>IF(Tableau4[[#This Row],[priorecol]]="C",1,0)</f>
        <v>0</v>
      </c>
      <c r="P12" s="12">
        <f>VLOOKUP(Tableau4[[#This Row],[essence]],Tableau6[],6,FALSE)</f>
        <v>2.9992999999999999</v>
      </c>
      <c r="Q12" s="12">
        <f>IF(Tableau4[[#This Row],[priorecol]]="R",1,0)</f>
        <v>1</v>
      </c>
      <c r="R12" s="12">
        <f>VLOOKUP(Tableau4[[#This Row],[essence]],Tableau6[],7,FALSE)</f>
        <v>1.3050999999999999</v>
      </c>
      <c r="S12" s="12">
        <f>IF(Tableau4[[#This Row],[priorecol]]="S",1,0)</f>
        <v>0</v>
      </c>
      <c r="T12" s="12">
        <f>VLOOKUP(Tableau4[[#This Row],[essence]],Tableau6[],20,FALSE)</f>
        <v>0</v>
      </c>
      <c r="U12" s="12">
        <f>VLOOKUP(Tableau4[[#This Row],[essence]],Tableau6[],15,FALSE)</f>
        <v>0</v>
      </c>
      <c r="V12" s="12">
        <f>VLOOKUP(Tableau4[[#This Row],[essence]],Tableau6[],28,FALSE)</f>
        <v>0</v>
      </c>
      <c r="W12" s="12">
        <f>IF(Tableau4[[#This Row],[sdom]]=1,1,0)</f>
        <v>1</v>
      </c>
      <c r="X12" s="12">
        <f>VLOOKUP(Tableau4[[#This Row],[essence]],Tableau6[],8,FALSE)</f>
        <v>0</v>
      </c>
      <c r="Y12" s="12">
        <f>IF(Tableau4[[#This Row],[sdom]]="2EST",1,0)</f>
        <v>0</v>
      </c>
      <c r="Z12" s="12">
        <f>VLOOKUP(Tableau4[[#This Row],[essence]],Tableau6[],9,FALSE)</f>
        <v>0</v>
      </c>
      <c r="AA12" s="12">
        <f>IF(Tableau4[[#This Row],[sdom]]="2OUEST",1,0)</f>
        <v>0</v>
      </c>
      <c r="AB12" s="12">
        <f>VLOOKUP(Tableau4[[#This Row],[essence]],Tableau6[],10,FALSE)</f>
        <v>0</v>
      </c>
      <c r="AC12" s="12">
        <f>IF(Tableau4[[#This Row],[sdom]]="3EST",1,0)</f>
        <v>0</v>
      </c>
      <c r="AD12" s="12">
        <f>VLOOKUP(Tableau4[[#This Row],[essence]],Tableau6[],11,FALSE)</f>
        <v>0</v>
      </c>
      <c r="AE12" s="12">
        <f>IF(Tableau4[[#This Row],[sdom]]="3OUEST",1,0)</f>
        <v>0</v>
      </c>
      <c r="AF12" s="12">
        <f>VLOOKUP(Tableau4[[#This Row],[essence]],Tableau6[],12,FALSE)</f>
        <v>0</v>
      </c>
      <c r="AG12" s="12">
        <f>IF(Tableau4[[#This Row],[sdom]]="4EST",1,0)</f>
        <v>0</v>
      </c>
      <c r="AH12" s="12">
        <f>VLOOKUP(Tableau4[[#This Row],[essence]],Tableau6[],13,FALSE)</f>
        <v>0</v>
      </c>
      <c r="AI12" s="12">
        <f>IF(Tableau4[[#This Row],[sdom]]="4OUEST",1,0)</f>
        <v>0</v>
      </c>
      <c r="AJ12" s="12">
        <f>VLOOKUP(Tableau4[[#This Row],[essence]],Tableau6[],14,FALSE)</f>
        <v>0</v>
      </c>
      <c r="AK12" s="12">
        <f>IF(Tableau4[[#This Row],[sdom]]="5EST",1,0)</f>
        <v>0</v>
      </c>
      <c r="AL12" s="12">
        <f>VLOOKUP(Tableau4[[#This Row],[essence]],Tableau6[],17,FALSE)</f>
        <v>0</v>
      </c>
      <c r="AM12" s="12">
        <f>IF(Tableau4[[#This Row],[priorecol]]="C",1,0)</f>
        <v>0</v>
      </c>
      <c r="AN12" s="12">
        <f>VLOOKUP(Tableau4[[#This Row],[essence]],Tableau6[],18,FALSE)</f>
        <v>0</v>
      </c>
      <c r="AO12" s="12">
        <f>IF(Tableau4[[#This Row],[priorecol]]="R",1,0)</f>
        <v>1</v>
      </c>
      <c r="AP12" s="12">
        <f>VLOOKUP(Tableau4[[#This Row],[essence]],Tableau6[],19,FALSE)</f>
        <v>0</v>
      </c>
      <c r="AQ12" s="12">
        <f>IF(Tableau4[[#This Row],[priorecol]]="S",1,0)</f>
        <v>0</v>
      </c>
      <c r="AR12" s="12">
        <f>VLOOKUP(Tableau4[[#This Row],[essence]],Tableau6[],21,FALSE)</f>
        <v>0</v>
      </c>
      <c r="AS12" s="12">
        <f>IF(Tableau4[[#This Row],[priorecol]]="C",1,0)</f>
        <v>0</v>
      </c>
      <c r="AT12" s="12">
        <f>VLOOKUP(Tableau4[[#This Row],[essence]],Tableau6[],22,FALSE)</f>
        <v>0</v>
      </c>
      <c r="AU12" s="12">
        <f>IF(Tableau4[[#This Row],[priorecol]]="R",1,0)</f>
        <v>1</v>
      </c>
      <c r="AV12" s="12">
        <f>VLOOKUP(Tableau4[[#This Row],[essence]],Tableau6[],23,FALSE)</f>
        <v>0</v>
      </c>
      <c r="AW12" s="12">
        <f>IF(Tableau4[[#This Row],[priorecol]]="S",1,0)</f>
        <v>0</v>
      </c>
      <c r="AX12" s="12">
        <f>VLOOKUP(Tableau4[[#This Row],[essence]],Tableau6[],24,FALSE)</f>
        <v>-2.1000000000000001E-4</v>
      </c>
      <c r="AY12" s="12">
        <f>VLOOKUP(Tableau4[[#This Row],[essence]],Tableau6[],25,FALSE)</f>
        <v>-1.34E-2</v>
      </c>
      <c r="AZ12" s="12">
        <f>VLOOKUP(Tableau4[[#This Row],[essence]],Tableau6[],26,FALSE)</f>
        <v>-2.8899999999999999E-2</v>
      </c>
      <c r="BA12" s="12">
        <f>VLOOKUP(Tableau4[[#This Row],[essence]],Tableau6[],27,FALSE)</f>
        <v>0.2873</v>
      </c>
      <c r="BB12" s="12">
        <f>VLOOKUP(Tableau4[[#This Row],[essence]],Tableau6[],16,FALSE)</f>
        <v>0</v>
      </c>
      <c r="BC1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2" s="12">
        <f>Tableau4[[#This Row],[xb_]]+Tableau4[[#This Row],[b_intercept_C]]+Tableau4[[#This Row],[b_dhpcm_x_intercept_C]]*Tableau4[[#This Row],[dhpcm]]</f>
        <v>2.5671300000000001</v>
      </c>
      <c r="BE12" s="12">
        <f>Tableau4[[#This Row],[xb_]]+Tableau4[[#This Row],[b_intercept_B]]+Tableau4[[#This Row],[b_dhpcm_x_intercept_B]]*Tableau4[[#This Row],[dhpcm]]</f>
        <v>1.00373</v>
      </c>
      <c r="BF12" s="12">
        <f>Tableau4[[#This Row],[xb_]]+Tableau4[[#This Row],[b_intercept_A]]+Tableau4[[#This Row],[b_dhpcm_x_intercept_A]]*Tableau4[[#This Row],[dhpcm]]</f>
        <v>1.8930000000000065E-2</v>
      </c>
      <c r="BG12" s="12">
        <f>1/(1+EXP(-Tableau4[[#This Row],[xb_c]]))</f>
        <v>0.9287159279247772</v>
      </c>
      <c r="BH12" s="12">
        <f>1/(1+EXP(-Tableau4[[#This Row],[xb_b]]))</f>
        <v>0.73179130878907517</v>
      </c>
      <c r="BI12" s="12">
        <f>1/(1+EXP(-Tableau4[[#This Row],[xb_a]]))</f>
        <v>0.50473235868279409</v>
      </c>
      <c r="BJ12" s="12">
        <f>Tableau4[[#This Row],[prob_a]]</f>
        <v>0.50473235868279409</v>
      </c>
      <c r="BK12" s="12">
        <f>Tableau4[[#This Row],[prob_b]]-Tableau4[[#This Row],[prob_a]]</f>
        <v>0.22705895010628108</v>
      </c>
      <c r="BL12" s="12">
        <f>Tableau4[[#This Row],[prob_c]]-Tableau4[[#This Row],[prob_b]]</f>
        <v>0.19692461913570203</v>
      </c>
      <c r="BM12" s="12">
        <f>1-Tableau4[[#This Row],[prob_c]]</f>
        <v>7.1284072075222804E-2</v>
      </c>
    </row>
    <row r="13" spans="1:65" x14ac:dyDescent="0.25">
      <c r="A13" s="12">
        <v>1</v>
      </c>
      <c r="B13" s="12">
        <v>1</v>
      </c>
      <c r="C13" s="12">
        <v>2.1</v>
      </c>
      <c r="D13" s="12">
        <v>700</v>
      </c>
      <c r="E13" s="12">
        <v>20</v>
      </c>
      <c r="F13" s="12">
        <v>1</v>
      </c>
      <c r="G13" s="12">
        <v>60</v>
      </c>
      <c r="H13" s="12">
        <v>51</v>
      </c>
      <c r="I13" s="12" t="s">
        <v>22</v>
      </c>
      <c r="J13" s="12" t="s">
        <v>29</v>
      </c>
      <c r="K13" s="12">
        <f>VLOOKUP(Tableau4[[#This Row],[essence]],Tableau6[],2,FALSE)</f>
        <v>-3.5731999999999999</v>
      </c>
      <c r="L13" s="12">
        <f>VLOOKUP(Tableau4[[#This Row],[essence]],Tableau6[],3,FALSE)</f>
        <v>-1.9289000000000001</v>
      </c>
      <c r="M13" s="12">
        <f>VLOOKUP(Tableau4[[#This Row],[essence]],Tableau6[],4,FALSE)</f>
        <v>0.40949999999999998</v>
      </c>
      <c r="N13" s="12">
        <f>VLOOKUP(Tableau4[[#This Row],[essence]],Tableau6[],5,FALSE)</f>
        <v>2.0705</v>
      </c>
      <c r="O13" s="12">
        <f>IF(Tableau4[[#This Row],[priorecol]]="C",1,0)</f>
        <v>0</v>
      </c>
      <c r="P13" s="12">
        <f>VLOOKUP(Tableau4[[#This Row],[essence]],Tableau6[],6,FALSE)</f>
        <v>2.9992999999999999</v>
      </c>
      <c r="Q13" s="12">
        <f>IF(Tableau4[[#This Row],[priorecol]]="R",1,0)</f>
        <v>0</v>
      </c>
      <c r="R13" s="12">
        <f>VLOOKUP(Tableau4[[#This Row],[essence]],Tableau6[],7,FALSE)</f>
        <v>1.3050999999999999</v>
      </c>
      <c r="S13" s="12">
        <f>IF(Tableau4[[#This Row],[priorecol]]="S",1,0)</f>
        <v>1</v>
      </c>
      <c r="T13" s="12">
        <f>VLOOKUP(Tableau4[[#This Row],[essence]],Tableau6[],20,FALSE)</f>
        <v>0</v>
      </c>
      <c r="U13" s="12">
        <f>VLOOKUP(Tableau4[[#This Row],[essence]],Tableau6[],15,FALSE)</f>
        <v>0</v>
      </c>
      <c r="V13" s="12">
        <f>VLOOKUP(Tableau4[[#This Row],[essence]],Tableau6[],28,FALSE)</f>
        <v>0</v>
      </c>
      <c r="W13" s="12">
        <f>IF(Tableau4[[#This Row],[sdom]]=1,1,0)</f>
        <v>1</v>
      </c>
      <c r="X13" s="12">
        <f>VLOOKUP(Tableau4[[#This Row],[essence]],Tableau6[],8,FALSE)</f>
        <v>0</v>
      </c>
      <c r="Y13" s="12">
        <f>IF(Tableau4[[#This Row],[sdom]]="2EST",1,0)</f>
        <v>0</v>
      </c>
      <c r="Z13" s="12">
        <f>VLOOKUP(Tableau4[[#This Row],[essence]],Tableau6[],9,FALSE)</f>
        <v>0</v>
      </c>
      <c r="AA13" s="12">
        <f>IF(Tableau4[[#This Row],[sdom]]="2OUEST",1,0)</f>
        <v>0</v>
      </c>
      <c r="AB13" s="12">
        <f>VLOOKUP(Tableau4[[#This Row],[essence]],Tableau6[],10,FALSE)</f>
        <v>0</v>
      </c>
      <c r="AC13" s="12">
        <f>IF(Tableau4[[#This Row],[sdom]]="3EST",1,0)</f>
        <v>0</v>
      </c>
      <c r="AD13" s="12">
        <f>VLOOKUP(Tableau4[[#This Row],[essence]],Tableau6[],11,FALSE)</f>
        <v>0</v>
      </c>
      <c r="AE13" s="12">
        <f>IF(Tableau4[[#This Row],[sdom]]="3OUEST",1,0)</f>
        <v>0</v>
      </c>
      <c r="AF13" s="12">
        <f>VLOOKUP(Tableau4[[#This Row],[essence]],Tableau6[],12,FALSE)</f>
        <v>0</v>
      </c>
      <c r="AG13" s="12">
        <f>IF(Tableau4[[#This Row],[sdom]]="4EST",1,0)</f>
        <v>0</v>
      </c>
      <c r="AH13" s="12">
        <f>VLOOKUP(Tableau4[[#This Row],[essence]],Tableau6[],13,FALSE)</f>
        <v>0</v>
      </c>
      <c r="AI13" s="12">
        <f>IF(Tableau4[[#This Row],[sdom]]="4OUEST",1,0)</f>
        <v>0</v>
      </c>
      <c r="AJ13" s="12">
        <f>VLOOKUP(Tableau4[[#This Row],[essence]],Tableau6[],14,FALSE)</f>
        <v>0</v>
      </c>
      <c r="AK13" s="12">
        <f>IF(Tableau4[[#This Row],[sdom]]="5EST",1,0)</f>
        <v>0</v>
      </c>
      <c r="AL13" s="12">
        <f>VLOOKUP(Tableau4[[#This Row],[essence]],Tableau6[],17,FALSE)</f>
        <v>0</v>
      </c>
      <c r="AM13" s="12">
        <f>IF(Tableau4[[#This Row],[priorecol]]="C",1,0)</f>
        <v>0</v>
      </c>
      <c r="AN13" s="12">
        <f>VLOOKUP(Tableau4[[#This Row],[essence]],Tableau6[],18,FALSE)</f>
        <v>0</v>
      </c>
      <c r="AO13" s="12">
        <f>IF(Tableau4[[#This Row],[priorecol]]="R",1,0)</f>
        <v>0</v>
      </c>
      <c r="AP13" s="12">
        <f>VLOOKUP(Tableau4[[#This Row],[essence]],Tableau6[],19,FALSE)</f>
        <v>0</v>
      </c>
      <c r="AQ13" s="12">
        <f>IF(Tableau4[[#This Row],[priorecol]]="S",1,0)</f>
        <v>1</v>
      </c>
      <c r="AR13" s="12">
        <f>VLOOKUP(Tableau4[[#This Row],[essence]],Tableau6[],21,FALSE)</f>
        <v>0</v>
      </c>
      <c r="AS13" s="12">
        <f>IF(Tableau4[[#This Row],[priorecol]]="C",1,0)</f>
        <v>0</v>
      </c>
      <c r="AT13" s="12">
        <f>VLOOKUP(Tableau4[[#This Row],[essence]],Tableau6[],22,FALSE)</f>
        <v>0</v>
      </c>
      <c r="AU13" s="12">
        <f>IF(Tableau4[[#This Row],[priorecol]]="R",1,0)</f>
        <v>0</v>
      </c>
      <c r="AV13" s="12">
        <f>VLOOKUP(Tableau4[[#This Row],[essence]],Tableau6[],23,FALSE)</f>
        <v>0</v>
      </c>
      <c r="AW13" s="12">
        <f>IF(Tableau4[[#This Row],[priorecol]]="S",1,0)</f>
        <v>1</v>
      </c>
      <c r="AX13" s="12">
        <f>VLOOKUP(Tableau4[[#This Row],[essence]],Tableau6[],24,FALSE)</f>
        <v>-2.1000000000000001E-4</v>
      </c>
      <c r="AY13" s="12">
        <f>VLOOKUP(Tableau4[[#This Row],[essence]],Tableau6[],25,FALSE)</f>
        <v>-1.34E-2</v>
      </c>
      <c r="AZ13" s="12">
        <f>VLOOKUP(Tableau4[[#This Row],[essence]],Tableau6[],26,FALSE)</f>
        <v>-2.8899999999999999E-2</v>
      </c>
      <c r="BA13" s="12">
        <f>VLOOKUP(Tableau4[[#This Row],[essence]],Tableau6[],27,FALSE)</f>
        <v>0.2873</v>
      </c>
      <c r="BB13" s="12">
        <f>VLOOKUP(Tableau4[[#This Row],[essence]],Tableau6[],16,FALSE)</f>
        <v>0</v>
      </c>
      <c r="BC1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3" s="12">
        <f>Tableau4[[#This Row],[xb_]]+Tableau4[[#This Row],[b_intercept_C]]+Tableau4[[#This Row],[b_dhpcm_x_intercept_C]]*Tableau4[[#This Row],[dhpcm]]</f>
        <v>0.84403000000000006</v>
      </c>
      <c r="BE13" s="12">
        <f>Tableau4[[#This Row],[xb_]]+Tableau4[[#This Row],[b_intercept_B]]+Tableau4[[#This Row],[b_dhpcm_x_intercept_B]]*Tableau4[[#This Row],[dhpcm]]</f>
        <v>-0.70387</v>
      </c>
      <c r="BF13" s="12">
        <f>Tableau4[[#This Row],[xb_]]+Tableau4[[#This Row],[b_intercept_A]]+Tableau4[[#This Row],[b_dhpcm_x_intercept_A]]*Tableau4[[#This Row],[dhpcm]]</f>
        <v>-1.6754799999999999</v>
      </c>
      <c r="BG13" s="12">
        <f>1/(1+EXP(-Tableau4[[#This Row],[xb_c]]))</f>
        <v>0.69931330112257495</v>
      </c>
      <c r="BH13" s="12">
        <f>1/(1+EXP(-Tableau4[[#This Row],[xb_b]]))</f>
        <v>0.33095475819793746</v>
      </c>
      <c r="BI13" s="12">
        <f>1/(1+EXP(-Tableau4[[#This Row],[xb_a]]))</f>
        <v>0.15769491947149036</v>
      </c>
      <c r="BJ13" s="12">
        <f>Tableau4[[#This Row],[prob_a]]</f>
        <v>0.15769491947149036</v>
      </c>
      <c r="BK13" s="12">
        <f>Tableau4[[#This Row],[prob_b]]-Tableau4[[#This Row],[prob_a]]</f>
        <v>0.1732598387264471</v>
      </c>
      <c r="BL13" s="12">
        <f>Tableau4[[#This Row],[prob_c]]-Tableau4[[#This Row],[prob_b]]</f>
        <v>0.36835854292463749</v>
      </c>
      <c r="BM13" s="12">
        <f>1-Tableau4[[#This Row],[prob_c]]</f>
        <v>0.30068669887742505</v>
      </c>
    </row>
    <row r="14" spans="1:65" x14ac:dyDescent="0.25">
      <c r="A14" s="12">
        <v>1</v>
      </c>
      <c r="B14" s="12">
        <v>1</v>
      </c>
      <c r="C14" s="12">
        <v>2.1</v>
      </c>
      <c r="D14" s="12">
        <v>700</v>
      </c>
      <c r="E14" s="12">
        <v>20</v>
      </c>
      <c r="F14" s="12">
        <v>1</v>
      </c>
      <c r="G14" s="12">
        <v>61</v>
      </c>
      <c r="H14" s="12">
        <v>52</v>
      </c>
      <c r="I14" s="12" t="s">
        <v>23</v>
      </c>
      <c r="J14" s="12" t="s">
        <v>27</v>
      </c>
      <c r="K14" s="12">
        <f>VLOOKUP(Tableau4[[#This Row],[essence]],Tableau6[],2,FALSE)</f>
        <v>-1.6034999999999999</v>
      </c>
      <c r="L14" s="12">
        <f>VLOOKUP(Tableau4[[#This Row],[essence]],Tableau6[],3,FALSE)</f>
        <v>-0.41120000000000001</v>
      </c>
      <c r="M14" s="12">
        <f>VLOOKUP(Tableau4[[#This Row],[essence]],Tableau6[],4,FALSE)</f>
        <v>1.1791</v>
      </c>
      <c r="N14" s="12">
        <f>VLOOKUP(Tableau4[[#This Row],[essence]],Tableau6[],5,FALSE)</f>
        <v>-0.48980000000000001</v>
      </c>
      <c r="O14" s="12">
        <f>IF(Tableau4[[#This Row],[priorecol]]="C",1,0)</f>
        <v>1</v>
      </c>
      <c r="P14" s="12">
        <f>VLOOKUP(Tableau4[[#This Row],[essence]],Tableau6[],6,FALSE)</f>
        <v>-3.5700000000000003E-2</v>
      </c>
      <c r="Q14" s="12">
        <f>IF(Tableau4[[#This Row],[priorecol]]="R",1,0)</f>
        <v>0</v>
      </c>
      <c r="R14" s="12">
        <f>VLOOKUP(Tableau4[[#This Row],[essence]],Tableau6[],7,FALSE)</f>
        <v>0.1021</v>
      </c>
      <c r="S14" s="12">
        <f>IF(Tableau4[[#This Row],[priorecol]]="S",1,0)</f>
        <v>0</v>
      </c>
      <c r="T14" s="12">
        <f>VLOOKUP(Tableau4[[#This Row],[essence]],Tableau6[],20,FALSE)</f>
        <v>-3.3500000000000002E-2</v>
      </c>
      <c r="U14" s="12">
        <f>VLOOKUP(Tableau4[[#This Row],[essence]],Tableau6[],15,FALSE)</f>
        <v>7.4200000000000004E-3</v>
      </c>
      <c r="V14" s="12">
        <f>VLOOKUP(Tableau4[[#This Row],[essence]],Tableau6[],28,FALSE)</f>
        <v>1.071</v>
      </c>
      <c r="W14" s="12">
        <f>IF(Tableau4[[#This Row],[sdom]]=1,1,0)</f>
        <v>1</v>
      </c>
      <c r="X14" s="12">
        <f>VLOOKUP(Tableau4[[#This Row],[essence]],Tableau6[],8,FALSE)</f>
        <v>0.83450000000000002</v>
      </c>
      <c r="Y14" s="12">
        <f>IF(Tableau4[[#This Row],[sdom]]="2EST",1,0)</f>
        <v>0</v>
      </c>
      <c r="Z14" s="12">
        <f>VLOOKUP(Tableau4[[#This Row],[essence]],Tableau6[],9,FALSE)</f>
        <v>0.94689999999999996</v>
      </c>
      <c r="AA14" s="12">
        <f>IF(Tableau4[[#This Row],[sdom]]="2OUEST",1,0)</f>
        <v>0</v>
      </c>
      <c r="AB14" s="12">
        <f>VLOOKUP(Tableau4[[#This Row],[essence]],Tableau6[],10,FALSE)</f>
        <v>0.62780000000000002</v>
      </c>
      <c r="AC14" s="12">
        <f>IF(Tableau4[[#This Row],[sdom]]="3EST",1,0)</f>
        <v>0</v>
      </c>
      <c r="AD14" s="12">
        <f>VLOOKUP(Tableau4[[#This Row],[essence]],Tableau6[],11,FALSE)</f>
        <v>0.95940000000000003</v>
      </c>
      <c r="AE14" s="12">
        <f>IF(Tableau4[[#This Row],[sdom]]="3OUEST",1,0)</f>
        <v>0</v>
      </c>
      <c r="AF14" s="12">
        <f>VLOOKUP(Tableau4[[#This Row],[essence]],Tableau6[],12,FALSE)</f>
        <v>0.49719999999999998</v>
      </c>
      <c r="AG14" s="12">
        <f>IF(Tableau4[[#This Row],[sdom]]="4EST",1,0)</f>
        <v>0</v>
      </c>
      <c r="AH14" s="12">
        <f>VLOOKUP(Tableau4[[#This Row],[essence]],Tableau6[],13,FALSE)</f>
        <v>0.37669999999999998</v>
      </c>
      <c r="AI14" s="12">
        <f>IF(Tableau4[[#This Row],[sdom]]="4OUEST",1,0)</f>
        <v>0</v>
      </c>
      <c r="AJ14" s="12">
        <f>VLOOKUP(Tableau4[[#This Row],[essence]],Tableau6[],14,FALSE)</f>
        <v>0</v>
      </c>
      <c r="AK14" s="12">
        <f>IF(Tableau4[[#This Row],[sdom]]="5EST",1,0)</f>
        <v>0</v>
      </c>
      <c r="AL14" s="12">
        <f>VLOOKUP(Tableau4[[#This Row],[essence]],Tableau6[],17,FALSE)</f>
        <v>2.8E-3</v>
      </c>
      <c r="AM14" s="12">
        <f>IF(Tableau4[[#This Row],[priorecol]]="C",1,0)</f>
        <v>1</v>
      </c>
      <c r="AN14" s="12">
        <f>VLOOKUP(Tableau4[[#This Row],[essence]],Tableau6[],18,FALSE)</f>
        <v>-2.2499999999999999E-2</v>
      </c>
      <c r="AO14" s="12">
        <f>IF(Tableau4[[#This Row],[priorecol]]="R",1,0)</f>
        <v>0</v>
      </c>
      <c r="AP14" s="12">
        <f>VLOOKUP(Tableau4[[#This Row],[essence]],Tableau6[],19,FALSE)</f>
        <v>3.0699999999999998E-3</v>
      </c>
      <c r="AQ14" s="12">
        <f>IF(Tableau4[[#This Row],[priorecol]]="S",1,0)</f>
        <v>0</v>
      </c>
      <c r="AR14" s="12">
        <f>VLOOKUP(Tableau4[[#This Row],[essence]],Tableau6[],21,FALSE)</f>
        <v>5.2400000000000002E-2</v>
      </c>
      <c r="AS14" s="12">
        <f>IF(Tableau4[[#This Row],[priorecol]]="C",1,0)</f>
        <v>1</v>
      </c>
      <c r="AT14" s="12">
        <f>VLOOKUP(Tableau4[[#This Row],[essence]],Tableau6[],22,FALSE)</f>
        <v>7.7799999999999994E-2</v>
      </c>
      <c r="AU14" s="12">
        <f>IF(Tableau4[[#This Row],[priorecol]]="R",1,0)</f>
        <v>0</v>
      </c>
      <c r="AV14" s="12">
        <f>VLOOKUP(Tableau4[[#This Row],[essence]],Tableau6[],23,FALSE)</f>
        <v>1.9E-2</v>
      </c>
      <c r="AW14" s="12">
        <f>IF(Tableau4[[#This Row],[priorecol]]="S",1,0)</f>
        <v>0</v>
      </c>
      <c r="AX14" s="12">
        <f>VLOOKUP(Tableau4[[#This Row],[essence]],Tableau6[],24,FALSE)</f>
        <v>0</v>
      </c>
      <c r="AY14" s="12">
        <f>VLOOKUP(Tableau4[[#This Row],[essence]],Tableau6[],25,FALSE)</f>
        <v>0</v>
      </c>
      <c r="AZ14" s="12">
        <f>VLOOKUP(Tableau4[[#This Row],[essence]],Tableau6[],26,FALSE)</f>
        <v>0</v>
      </c>
      <c r="BA14" s="12">
        <f>VLOOKUP(Tableau4[[#This Row],[essence]],Tableau6[],27,FALSE)</f>
        <v>0</v>
      </c>
      <c r="BB14" s="12">
        <f>VLOOKUP(Tableau4[[#This Row],[essence]],Tableau6[],16,FALSE)</f>
        <v>0</v>
      </c>
      <c r="BC1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1.7684000000000004</v>
      </c>
      <c r="BD14" s="12">
        <f>Tableau4[[#This Row],[xb_]]+Tableau4[[#This Row],[b_intercept_C]]+Tableau4[[#This Row],[b_dhpcm_x_intercept_C]]*Tableau4[[#This Row],[dhpcm]]</f>
        <v>2.9475000000000007</v>
      </c>
      <c r="BE14" s="12">
        <f>Tableau4[[#This Row],[xb_]]+Tableau4[[#This Row],[b_intercept_B]]+Tableau4[[#This Row],[b_dhpcm_x_intercept_B]]*Tableau4[[#This Row],[dhpcm]]</f>
        <v>1.3572000000000004</v>
      </c>
      <c r="BF14" s="12">
        <f>Tableau4[[#This Row],[xb_]]+Tableau4[[#This Row],[b_intercept_A]]+Tableau4[[#This Row],[b_dhpcm_x_intercept_A]]*Tableau4[[#This Row],[dhpcm]]</f>
        <v>0.16490000000000049</v>
      </c>
      <c r="BG14" s="12">
        <f>1/(1+EXP(-Tableau4[[#This Row],[xb_c]]))</f>
        <v>0.95014519837136246</v>
      </c>
      <c r="BH14" s="12">
        <f>1/(1+EXP(-Tableau4[[#This Row],[xb_b]]))</f>
        <v>0.79530424747938144</v>
      </c>
      <c r="BI14" s="12">
        <f>1/(1+EXP(-Tableau4[[#This Row],[xb_a]]))</f>
        <v>0.54113183743518722</v>
      </c>
      <c r="BJ14" s="12">
        <f>Tableau4[[#This Row],[prob_a]]</f>
        <v>0.54113183743518722</v>
      </c>
      <c r="BK14" s="12">
        <f>Tableau4[[#This Row],[prob_b]]-Tableau4[[#This Row],[prob_a]]</f>
        <v>0.25417241004419422</v>
      </c>
      <c r="BL14" s="12">
        <f>Tableau4[[#This Row],[prob_c]]-Tableau4[[#This Row],[prob_b]]</f>
        <v>0.15484095089198102</v>
      </c>
      <c r="BM14" s="12">
        <f>1-Tableau4[[#This Row],[prob_c]]</f>
        <v>4.9854801628637535E-2</v>
      </c>
    </row>
    <row r="15" spans="1:65" x14ac:dyDescent="0.25">
      <c r="A15" s="12">
        <v>1</v>
      </c>
      <c r="B15" s="12">
        <v>1</v>
      </c>
      <c r="C15" s="12">
        <v>2.1</v>
      </c>
      <c r="D15" s="12">
        <v>700</v>
      </c>
      <c r="E15" s="12">
        <v>20</v>
      </c>
      <c r="F15" s="12">
        <v>1</v>
      </c>
      <c r="G15" s="12">
        <v>62</v>
      </c>
      <c r="H15" s="12">
        <v>53</v>
      </c>
      <c r="I15" s="12" t="s">
        <v>23</v>
      </c>
      <c r="J15" s="12" t="s">
        <v>28</v>
      </c>
      <c r="K15" s="12">
        <f>VLOOKUP(Tableau4[[#This Row],[essence]],Tableau6[],2,FALSE)</f>
        <v>-1.6034999999999999</v>
      </c>
      <c r="L15" s="12">
        <f>VLOOKUP(Tableau4[[#This Row],[essence]],Tableau6[],3,FALSE)</f>
        <v>-0.41120000000000001</v>
      </c>
      <c r="M15" s="12">
        <f>VLOOKUP(Tableau4[[#This Row],[essence]],Tableau6[],4,FALSE)</f>
        <v>1.1791</v>
      </c>
      <c r="N15" s="12">
        <f>VLOOKUP(Tableau4[[#This Row],[essence]],Tableau6[],5,FALSE)</f>
        <v>-0.48980000000000001</v>
      </c>
      <c r="O15" s="12">
        <f>IF(Tableau4[[#This Row],[priorecol]]="C",1,0)</f>
        <v>0</v>
      </c>
      <c r="P15" s="12">
        <f>VLOOKUP(Tableau4[[#This Row],[essence]],Tableau6[],6,FALSE)</f>
        <v>-3.5700000000000003E-2</v>
      </c>
      <c r="Q15" s="12">
        <f>IF(Tableau4[[#This Row],[priorecol]]="R",1,0)</f>
        <v>1</v>
      </c>
      <c r="R15" s="12">
        <f>VLOOKUP(Tableau4[[#This Row],[essence]],Tableau6[],7,FALSE)</f>
        <v>0.1021</v>
      </c>
      <c r="S15" s="12">
        <f>IF(Tableau4[[#This Row],[priorecol]]="S",1,0)</f>
        <v>0</v>
      </c>
      <c r="T15" s="12">
        <f>VLOOKUP(Tableau4[[#This Row],[essence]],Tableau6[],20,FALSE)</f>
        <v>-3.3500000000000002E-2</v>
      </c>
      <c r="U15" s="12">
        <f>VLOOKUP(Tableau4[[#This Row],[essence]],Tableau6[],15,FALSE)</f>
        <v>7.4200000000000004E-3</v>
      </c>
      <c r="V15" s="12">
        <f>VLOOKUP(Tableau4[[#This Row],[essence]],Tableau6[],28,FALSE)</f>
        <v>1.071</v>
      </c>
      <c r="W15" s="12">
        <f>IF(Tableau4[[#This Row],[sdom]]=1,1,0)</f>
        <v>1</v>
      </c>
      <c r="X15" s="12">
        <f>VLOOKUP(Tableau4[[#This Row],[essence]],Tableau6[],8,FALSE)</f>
        <v>0.83450000000000002</v>
      </c>
      <c r="Y15" s="12">
        <f>IF(Tableau4[[#This Row],[sdom]]="2EST",1,0)</f>
        <v>0</v>
      </c>
      <c r="Z15" s="12">
        <f>VLOOKUP(Tableau4[[#This Row],[essence]],Tableau6[],9,FALSE)</f>
        <v>0.94689999999999996</v>
      </c>
      <c r="AA15" s="12">
        <f>IF(Tableau4[[#This Row],[sdom]]="2OUEST",1,0)</f>
        <v>0</v>
      </c>
      <c r="AB15" s="12">
        <f>VLOOKUP(Tableau4[[#This Row],[essence]],Tableau6[],10,FALSE)</f>
        <v>0.62780000000000002</v>
      </c>
      <c r="AC15" s="12">
        <f>IF(Tableau4[[#This Row],[sdom]]="3EST",1,0)</f>
        <v>0</v>
      </c>
      <c r="AD15" s="12">
        <f>VLOOKUP(Tableau4[[#This Row],[essence]],Tableau6[],11,FALSE)</f>
        <v>0.95940000000000003</v>
      </c>
      <c r="AE15" s="12">
        <f>IF(Tableau4[[#This Row],[sdom]]="3OUEST",1,0)</f>
        <v>0</v>
      </c>
      <c r="AF15" s="12">
        <f>VLOOKUP(Tableau4[[#This Row],[essence]],Tableau6[],12,FALSE)</f>
        <v>0.49719999999999998</v>
      </c>
      <c r="AG15" s="12">
        <f>IF(Tableau4[[#This Row],[sdom]]="4EST",1,0)</f>
        <v>0</v>
      </c>
      <c r="AH15" s="12">
        <f>VLOOKUP(Tableau4[[#This Row],[essence]],Tableau6[],13,FALSE)</f>
        <v>0.37669999999999998</v>
      </c>
      <c r="AI15" s="12">
        <f>IF(Tableau4[[#This Row],[sdom]]="4OUEST",1,0)</f>
        <v>0</v>
      </c>
      <c r="AJ15" s="12">
        <f>VLOOKUP(Tableau4[[#This Row],[essence]],Tableau6[],14,FALSE)</f>
        <v>0</v>
      </c>
      <c r="AK15" s="12">
        <f>IF(Tableau4[[#This Row],[sdom]]="5EST",1,0)</f>
        <v>0</v>
      </c>
      <c r="AL15" s="12">
        <f>VLOOKUP(Tableau4[[#This Row],[essence]],Tableau6[],17,FALSE)</f>
        <v>2.8E-3</v>
      </c>
      <c r="AM15" s="12">
        <f>IF(Tableau4[[#This Row],[priorecol]]="C",1,0)</f>
        <v>0</v>
      </c>
      <c r="AN15" s="12">
        <f>VLOOKUP(Tableau4[[#This Row],[essence]],Tableau6[],18,FALSE)</f>
        <v>-2.2499999999999999E-2</v>
      </c>
      <c r="AO15" s="12">
        <f>IF(Tableau4[[#This Row],[priorecol]]="R",1,0)</f>
        <v>1</v>
      </c>
      <c r="AP15" s="12">
        <f>VLOOKUP(Tableau4[[#This Row],[essence]],Tableau6[],19,FALSE)</f>
        <v>3.0699999999999998E-3</v>
      </c>
      <c r="AQ15" s="12">
        <f>IF(Tableau4[[#This Row],[priorecol]]="S",1,0)</f>
        <v>0</v>
      </c>
      <c r="AR15" s="12">
        <f>VLOOKUP(Tableau4[[#This Row],[essence]],Tableau6[],21,FALSE)</f>
        <v>5.2400000000000002E-2</v>
      </c>
      <c r="AS15" s="12">
        <f>IF(Tableau4[[#This Row],[priorecol]]="C",1,0)</f>
        <v>0</v>
      </c>
      <c r="AT15" s="12">
        <f>VLOOKUP(Tableau4[[#This Row],[essence]],Tableau6[],22,FALSE)</f>
        <v>7.7799999999999994E-2</v>
      </c>
      <c r="AU15" s="12">
        <f>IF(Tableau4[[#This Row],[priorecol]]="R",1,0)</f>
        <v>1</v>
      </c>
      <c r="AV15" s="12">
        <f>VLOOKUP(Tableau4[[#This Row],[essence]],Tableau6[],23,FALSE)</f>
        <v>1.9E-2</v>
      </c>
      <c r="AW15" s="12">
        <f>IF(Tableau4[[#This Row],[priorecol]]="S",1,0)</f>
        <v>0</v>
      </c>
      <c r="AX15" s="12">
        <f>VLOOKUP(Tableau4[[#This Row],[essence]],Tableau6[],24,FALSE)</f>
        <v>0</v>
      </c>
      <c r="AY15" s="12">
        <f>VLOOKUP(Tableau4[[#This Row],[essence]],Tableau6[],25,FALSE)</f>
        <v>0</v>
      </c>
      <c r="AZ15" s="12">
        <f>VLOOKUP(Tableau4[[#This Row],[essence]],Tableau6[],26,FALSE)</f>
        <v>0</v>
      </c>
      <c r="BA15" s="12">
        <f>VLOOKUP(Tableau4[[#This Row],[essence]],Tableau6[],27,FALSE)</f>
        <v>0</v>
      </c>
      <c r="BB15" s="12">
        <f>VLOOKUP(Tableau4[[#This Row],[essence]],Tableau6[],16,FALSE)</f>
        <v>0</v>
      </c>
      <c r="BC1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3.081599999999999</v>
      </c>
      <c r="BD15" s="12">
        <f>Tableau4[[#This Row],[xb_]]+Tableau4[[#This Row],[b_intercept_C]]+Tableau4[[#This Row],[b_dhpcm_x_intercept_C]]*Tableau4[[#This Row],[dhpcm]]</f>
        <v>4.260699999999999</v>
      </c>
      <c r="BE15" s="12">
        <f>Tableau4[[#This Row],[xb_]]+Tableau4[[#This Row],[b_intercept_B]]+Tableau4[[#This Row],[b_dhpcm_x_intercept_B]]*Tableau4[[#This Row],[dhpcm]]</f>
        <v>2.670399999999999</v>
      </c>
      <c r="BF15" s="12">
        <f>Tableau4[[#This Row],[xb_]]+Tableau4[[#This Row],[b_intercept_A]]+Tableau4[[#This Row],[b_dhpcm_x_intercept_A]]*Tableau4[[#This Row],[dhpcm]]</f>
        <v>1.4780999999999991</v>
      </c>
      <c r="BG15" s="12">
        <f>1/(1+EXP(-Tableau4[[#This Row],[xb_c]]))</f>
        <v>0.98608396862544245</v>
      </c>
      <c r="BH15" s="12">
        <f>1/(1+EXP(-Tableau4[[#This Row],[xb_b]]))</f>
        <v>0.9352572560588952</v>
      </c>
      <c r="BI15" s="12">
        <f>1/(1+EXP(-Tableau4[[#This Row],[xb_a]]))</f>
        <v>0.81428542539035642</v>
      </c>
      <c r="BJ15" s="12">
        <f>Tableau4[[#This Row],[prob_a]]</f>
        <v>0.81428542539035642</v>
      </c>
      <c r="BK15" s="12">
        <f>Tableau4[[#This Row],[prob_b]]-Tableau4[[#This Row],[prob_a]]</f>
        <v>0.12097183066853878</v>
      </c>
      <c r="BL15" s="12">
        <f>Tableau4[[#This Row],[prob_c]]-Tableau4[[#This Row],[prob_b]]</f>
        <v>5.082671256654725E-2</v>
      </c>
      <c r="BM15" s="12">
        <f>1-Tableau4[[#This Row],[prob_c]]</f>
        <v>1.3916031374557547E-2</v>
      </c>
    </row>
    <row r="16" spans="1:65" x14ac:dyDescent="0.25">
      <c r="A16" s="12">
        <v>1</v>
      </c>
      <c r="B16" s="12">
        <v>1</v>
      </c>
      <c r="C16" s="12">
        <v>2.1</v>
      </c>
      <c r="D16" s="12">
        <v>700</v>
      </c>
      <c r="E16" s="12">
        <v>20</v>
      </c>
      <c r="F16" s="12">
        <v>1</v>
      </c>
      <c r="G16" s="12">
        <v>63</v>
      </c>
      <c r="H16" s="12">
        <v>54</v>
      </c>
      <c r="I16" s="12" t="s">
        <v>23</v>
      </c>
      <c r="J16" s="12" t="s">
        <v>29</v>
      </c>
      <c r="K16" s="12">
        <f>VLOOKUP(Tableau4[[#This Row],[essence]],Tableau6[],2,FALSE)</f>
        <v>-1.6034999999999999</v>
      </c>
      <c r="L16" s="12">
        <f>VLOOKUP(Tableau4[[#This Row],[essence]],Tableau6[],3,FALSE)</f>
        <v>-0.41120000000000001</v>
      </c>
      <c r="M16" s="12">
        <f>VLOOKUP(Tableau4[[#This Row],[essence]],Tableau6[],4,FALSE)</f>
        <v>1.1791</v>
      </c>
      <c r="N16" s="12">
        <f>VLOOKUP(Tableau4[[#This Row],[essence]],Tableau6[],5,FALSE)</f>
        <v>-0.48980000000000001</v>
      </c>
      <c r="O16" s="12">
        <f>IF(Tableau4[[#This Row],[priorecol]]="C",1,0)</f>
        <v>0</v>
      </c>
      <c r="P16" s="12">
        <f>VLOOKUP(Tableau4[[#This Row],[essence]],Tableau6[],6,FALSE)</f>
        <v>-3.5700000000000003E-2</v>
      </c>
      <c r="Q16" s="12">
        <f>IF(Tableau4[[#This Row],[priorecol]]="R",1,0)</f>
        <v>0</v>
      </c>
      <c r="R16" s="12">
        <f>VLOOKUP(Tableau4[[#This Row],[essence]],Tableau6[],7,FALSE)</f>
        <v>0.1021</v>
      </c>
      <c r="S16" s="12">
        <f>IF(Tableau4[[#This Row],[priorecol]]="S",1,0)</f>
        <v>1</v>
      </c>
      <c r="T16" s="12">
        <f>VLOOKUP(Tableau4[[#This Row],[essence]],Tableau6[],20,FALSE)</f>
        <v>-3.3500000000000002E-2</v>
      </c>
      <c r="U16" s="12">
        <f>VLOOKUP(Tableau4[[#This Row],[essence]],Tableau6[],15,FALSE)</f>
        <v>7.4200000000000004E-3</v>
      </c>
      <c r="V16" s="12">
        <f>VLOOKUP(Tableau4[[#This Row],[essence]],Tableau6[],28,FALSE)</f>
        <v>1.071</v>
      </c>
      <c r="W16" s="12">
        <f>IF(Tableau4[[#This Row],[sdom]]=1,1,0)</f>
        <v>1</v>
      </c>
      <c r="X16" s="12">
        <f>VLOOKUP(Tableau4[[#This Row],[essence]],Tableau6[],8,FALSE)</f>
        <v>0.83450000000000002</v>
      </c>
      <c r="Y16" s="12">
        <f>IF(Tableau4[[#This Row],[sdom]]="2EST",1,0)</f>
        <v>0</v>
      </c>
      <c r="Z16" s="12">
        <f>VLOOKUP(Tableau4[[#This Row],[essence]],Tableau6[],9,FALSE)</f>
        <v>0.94689999999999996</v>
      </c>
      <c r="AA16" s="12">
        <f>IF(Tableau4[[#This Row],[sdom]]="2OUEST",1,0)</f>
        <v>0</v>
      </c>
      <c r="AB16" s="12">
        <f>VLOOKUP(Tableau4[[#This Row],[essence]],Tableau6[],10,FALSE)</f>
        <v>0.62780000000000002</v>
      </c>
      <c r="AC16" s="12">
        <f>IF(Tableau4[[#This Row],[sdom]]="3EST",1,0)</f>
        <v>0</v>
      </c>
      <c r="AD16" s="12">
        <f>VLOOKUP(Tableau4[[#This Row],[essence]],Tableau6[],11,FALSE)</f>
        <v>0.95940000000000003</v>
      </c>
      <c r="AE16" s="12">
        <f>IF(Tableau4[[#This Row],[sdom]]="3OUEST",1,0)</f>
        <v>0</v>
      </c>
      <c r="AF16" s="12">
        <f>VLOOKUP(Tableau4[[#This Row],[essence]],Tableau6[],12,FALSE)</f>
        <v>0.49719999999999998</v>
      </c>
      <c r="AG16" s="12">
        <f>IF(Tableau4[[#This Row],[sdom]]="4EST",1,0)</f>
        <v>0</v>
      </c>
      <c r="AH16" s="12">
        <f>VLOOKUP(Tableau4[[#This Row],[essence]],Tableau6[],13,FALSE)</f>
        <v>0.37669999999999998</v>
      </c>
      <c r="AI16" s="12">
        <f>IF(Tableau4[[#This Row],[sdom]]="4OUEST",1,0)</f>
        <v>0</v>
      </c>
      <c r="AJ16" s="12">
        <f>VLOOKUP(Tableau4[[#This Row],[essence]],Tableau6[],14,FALSE)</f>
        <v>0</v>
      </c>
      <c r="AK16" s="12">
        <f>IF(Tableau4[[#This Row],[sdom]]="5EST",1,0)</f>
        <v>0</v>
      </c>
      <c r="AL16" s="12">
        <f>VLOOKUP(Tableau4[[#This Row],[essence]],Tableau6[],17,FALSE)</f>
        <v>2.8E-3</v>
      </c>
      <c r="AM16" s="12">
        <f>IF(Tableau4[[#This Row],[priorecol]]="C",1,0)</f>
        <v>0</v>
      </c>
      <c r="AN16" s="12">
        <f>VLOOKUP(Tableau4[[#This Row],[essence]],Tableau6[],18,FALSE)</f>
        <v>-2.2499999999999999E-2</v>
      </c>
      <c r="AO16" s="12">
        <f>IF(Tableau4[[#This Row],[priorecol]]="R",1,0)</f>
        <v>0</v>
      </c>
      <c r="AP16" s="12">
        <f>VLOOKUP(Tableau4[[#This Row],[essence]],Tableau6[],19,FALSE)</f>
        <v>3.0699999999999998E-3</v>
      </c>
      <c r="AQ16" s="12">
        <f>IF(Tableau4[[#This Row],[priorecol]]="S",1,0)</f>
        <v>1</v>
      </c>
      <c r="AR16" s="12">
        <f>VLOOKUP(Tableau4[[#This Row],[essence]],Tableau6[],21,FALSE)</f>
        <v>5.2400000000000002E-2</v>
      </c>
      <c r="AS16" s="12">
        <f>IF(Tableau4[[#This Row],[priorecol]]="C",1,0)</f>
        <v>0</v>
      </c>
      <c r="AT16" s="12">
        <f>VLOOKUP(Tableau4[[#This Row],[essence]],Tableau6[],22,FALSE)</f>
        <v>7.7799999999999994E-2</v>
      </c>
      <c r="AU16" s="12">
        <f>IF(Tableau4[[#This Row],[priorecol]]="R",1,0)</f>
        <v>0</v>
      </c>
      <c r="AV16" s="12">
        <f>VLOOKUP(Tableau4[[#This Row],[essence]],Tableau6[],23,FALSE)</f>
        <v>1.9E-2</v>
      </c>
      <c r="AW16" s="12">
        <f>IF(Tableau4[[#This Row],[priorecol]]="S",1,0)</f>
        <v>1</v>
      </c>
      <c r="AX16" s="12">
        <f>VLOOKUP(Tableau4[[#This Row],[essence]],Tableau6[],24,FALSE)</f>
        <v>0</v>
      </c>
      <c r="AY16" s="12">
        <f>VLOOKUP(Tableau4[[#This Row],[essence]],Tableau6[],25,FALSE)</f>
        <v>0</v>
      </c>
      <c r="AZ16" s="12">
        <f>VLOOKUP(Tableau4[[#This Row],[essence]],Tableau6[],26,FALSE)</f>
        <v>0</v>
      </c>
      <c r="BA16" s="12">
        <f>VLOOKUP(Tableau4[[#This Row],[essence]],Tableau6[],27,FALSE)</f>
        <v>0</v>
      </c>
      <c r="BB16" s="12">
        <f>VLOOKUP(Tableau4[[#This Row],[essence]],Tableau6[],16,FALSE)</f>
        <v>0</v>
      </c>
      <c r="BC1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0.59989999999999999</v>
      </c>
      <c r="BD16" s="12">
        <f>Tableau4[[#This Row],[xb_]]+Tableau4[[#This Row],[b_intercept_C]]+Tableau4[[#This Row],[b_dhpcm_x_intercept_C]]*Tableau4[[#This Row],[dhpcm]]</f>
        <v>1.7789999999999999</v>
      </c>
      <c r="BE16" s="12">
        <f>Tableau4[[#This Row],[xb_]]+Tableau4[[#This Row],[b_intercept_B]]+Tableau4[[#This Row],[b_dhpcm_x_intercept_B]]*Tableau4[[#This Row],[dhpcm]]</f>
        <v>0.18869999999999998</v>
      </c>
      <c r="BF16" s="12">
        <f>Tableau4[[#This Row],[xb_]]+Tableau4[[#This Row],[b_intercept_A]]+Tableau4[[#This Row],[b_dhpcm_x_intercept_A]]*Tableau4[[#This Row],[dhpcm]]</f>
        <v>-1.0036</v>
      </c>
      <c r="BG16" s="12">
        <f>1/(1+EXP(-Tableau4[[#This Row],[xb_c]]))</f>
        <v>0.8555733422432118</v>
      </c>
      <c r="BH16" s="12">
        <f>1/(1+EXP(-Tableau4[[#This Row],[xb_b]]))</f>
        <v>0.54703551392533212</v>
      </c>
      <c r="BI16" s="12">
        <f>1/(1+EXP(-Tableau4[[#This Row],[xb_a]]))</f>
        <v>0.26823420744235832</v>
      </c>
      <c r="BJ16" s="12">
        <f>Tableau4[[#This Row],[prob_a]]</f>
        <v>0.26823420744235832</v>
      </c>
      <c r="BK16" s="12">
        <f>Tableau4[[#This Row],[prob_b]]-Tableau4[[#This Row],[prob_a]]</f>
        <v>0.2788013064829738</v>
      </c>
      <c r="BL16" s="12">
        <f>Tableau4[[#This Row],[prob_c]]-Tableau4[[#This Row],[prob_b]]</f>
        <v>0.30853782831787968</v>
      </c>
      <c r="BM16" s="12">
        <f>1-Tableau4[[#This Row],[prob_c]]</f>
        <v>0.1444266577567882</v>
      </c>
    </row>
    <row r="17" spans="1:65" x14ac:dyDescent="0.25">
      <c r="A17" s="12">
        <v>1</v>
      </c>
      <c r="B17" s="12">
        <v>1</v>
      </c>
      <c r="C17" s="12">
        <v>2.1</v>
      </c>
      <c r="D17" s="12">
        <v>700</v>
      </c>
      <c r="E17" s="12">
        <v>20</v>
      </c>
      <c r="F17" s="12">
        <v>1</v>
      </c>
      <c r="G17" s="12">
        <v>64</v>
      </c>
      <c r="H17" s="12">
        <v>55</v>
      </c>
      <c r="I17" s="12" t="s">
        <v>24</v>
      </c>
      <c r="J17" s="12" t="s">
        <v>27</v>
      </c>
      <c r="K17" s="12">
        <f>VLOOKUP(Tableau4[[#This Row],[essence]],Tableau6[],2,FALSE)</f>
        <v>0.5262</v>
      </c>
      <c r="L17" s="12">
        <f>VLOOKUP(Tableau4[[#This Row],[essence]],Tableau6[],3,FALSE)</f>
        <v>1.3954</v>
      </c>
      <c r="M17" s="12">
        <f>VLOOKUP(Tableau4[[#This Row],[essence]],Tableau6[],4,FALSE)</f>
        <v>2.8633000000000002</v>
      </c>
      <c r="N17" s="12">
        <f>VLOOKUP(Tableau4[[#This Row],[essence]],Tableau6[],5,FALSE)</f>
        <v>1.4995000000000001</v>
      </c>
      <c r="O17" s="12">
        <f>IF(Tableau4[[#This Row],[priorecol]]="C",1,0)</f>
        <v>1</v>
      </c>
      <c r="P17" s="12">
        <f>VLOOKUP(Tableau4[[#This Row],[essence]],Tableau6[],6,FALSE)</f>
        <v>2.5129000000000001</v>
      </c>
      <c r="Q17" s="12">
        <f>IF(Tableau4[[#This Row],[priorecol]]="R",1,0)</f>
        <v>0</v>
      </c>
      <c r="R17" s="12">
        <f>VLOOKUP(Tableau4[[#This Row],[essence]],Tableau6[],7,FALSE)</f>
        <v>0.88009999999999999</v>
      </c>
      <c r="S17" s="12">
        <f>IF(Tableau4[[#This Row],[priorecol]]="S",1,0)</f>
        <v>0</v>
      </c>
      <c r="T17" s="12">
        <f>VLOOKUP(Tableau4[[#This Row],[essence]],Tableau6[],20,FALSE)</f>
        <v>0</v>
      </c>
      <c r="U17" s="12">
        <f>VLOOKUP(Tableau4[[#This Row],[essence]],Tableau6[],15,FALSE)</f>
        <v>2.9000000000000001E-2</v>
      </c>
      <c r="V17" s="12">
        <f>VLOOKUP(Tableau4[[#This Row],[essence]],Tableau6[],28,FALSE)</f>
        <v>-0.43919999999999998</v>
      </c>
      <c r="W17" s="12">
        <f>IF(Tableau4[[#This Row],[sdom]]=1,1,0)</f>
        <v>1</v>
      </c>
      <c r="X17" s="12">
        <f>VLOOKUP(Tableau4[[#This Row],[essence]],Tableau6[],8,FALSE)</f>
        <v>-0.32929999999999998</v>
      </c>
      <c r="Y17" s="12">
        <f>IF(Tableau4[[#This Row],[sdom]]="2EST",1,0)</f>
        <v>0</v>
      </c>
      <c r="Z17" s="12">
        <f>VLOOKUP(Tableau4[[#This Row],[essence]],Tableau6[],9,FALSE)</f>
        <v>0</v>
      </c>
      <c r="AA17" s="12">
        <f>IF(Tableau4[[#This Row],[sdom]]="2OUEST",1,0)</f>
        <v>0</v>
      </c>
      <c r="AB17" s="12">
        <f>VLOOKUP(Tableau4[[#This Row],[essence]],Tableau6[],10,FALSE)</f>
        <v>0</v>
      </c>
      <c r="AC17" s="12">
        <f>IF(Tableau4[[#This Row],[sdom]]="3EST",1,0)</f>
        <v>0</v>
      </c>
      <c r="AD17" s="12">
        <f>VLOOKUP(Tableau4[[#This Row],[essence]],Tableau6[],11,FALSE)</f>
        <v>0</v>
      </c>
      <c r="AE17" s="12">
        <f>IF(Tableau4[[#This Row],[sdom]]="3OUEST",1,0)</f>
        <v>0</v>
      </c>
      <c r="AF17" s="12">
        <f>VLOOKUP(Tableau4[[#This Row],[essence]],Tableau6[],12,FALSE)</f>
        <v>0</v>
      </c>
      <c r="AG17" s="12">
        <f>IF(Tableau4[[#This Row],[sdom]]="4EST",1,0)</f>
        <v>0</v>
      </c>
      <c r="AH17" s="12">
        <f>VLOOKUP(Tableau4[[#This Row],[essence]],Tableau6[],13,FALSE)</f>
        <v>0</v>
      </c>
      <c r="AI17" s="12">
        <f>IF(Tableau4[[#This Row],[sdom]]="4OUEST",1,0)</f>
        <v>0</v>
      </c>
      <c r="AJ17" s="12">
        <f>VLOOKUP(Tableau4[[#This Row],[essence]],Tableau6[],14,FALSE)</f>
        <v>0</v>
      </c>
      <c r="AK17" s="12">
        <f>IF(Tableau4[[#This Row],[sdom]]="5EST",1,0)</f>
        <v>0</v>
      </c>
      <c r="AL17" s="12">
        <f>VLOOKUP(Tableau4[[#This Row],[essence]],Tableau6[],17,FALSE)</f>
        <v>0</v>
      </c>
      <c r="AM17" s="12">
        <f>IF(Tableau4[[#This Row],[priorecol]]="C",1,0)</f>
        <v>1</v>
      </c>
      <c r="AN17" s="12">
        <f>VLOOKUP(Tableau4[[#This Row],[essence]],Tableau6[],18,FALSE)</f>
        <v>0</v>
      </c>
      <c r="AO17" s="12">
        <f>IF(Tableau4[[#This Row],[priorecol]]="R",1,0)</f>
        <v>0</v>
      </c>
      <c r="AP17" s="12">
        <f>VLOOKUP(Tableau4[[#This Row],[essence]],Tableau6[],19,FALSE)</f>
        <v>0</v>
      </c>
      <c r="AQ17" s="12">
        <f>IF(Tableau4[[#This Row],[priorecol]]="S",1,0)</f>
        <v>0</v>
      </c>
      <c r="AR17" s="12">
        <f>VLOOKUP(Tableau4[[#This Row],[essence]],Tableau6[],21,FALSE)</f>
        <v>0</v>
      </c>
      <c r="AS17" s="12">
        <f>IF(Tableau4[[#This Row],[priorecol]]="C",1,0)</f>
        <v>1</v>
      </c>
      <c r="AT17" s="12">
        <f>VLOOKUP(Tableau4[[#This Row],[essence]],Tableau6[],22,FALSE)</f>
        <v>0</v>
      </c>
      <c r="AU17" s="12">
        <f>IF(Tableau4[[#This Row],[priorecol]]="R",1,0)</f>
        <v>0</v>
      </c>
      <c r="AV17" s="12">
        <f>VLOOKUP(Tableau4[[#This Row],[essence]],Tableau6[],23,FALSE)</f>
        <v>0</v>
      </c>
      <c r="AW17" s="12">
        <f>IF(Tableau4[[#This Row],[priorecol]]="S",1,0)</f>
        <v>0</v>
      </c>
      <c r="AX17" s="12">
        <f>VLOOKUP(Tableau4[[#This Row],[essence]],Tableau6[],24,FALSE)</f>
        <v>0</v>
      </c>
      <c r="AY17" s="12">
        <f>VLOOKUP(Tableau4[[#This Row],[essence]],Tableau6[],25,FALSE)</f>
        <v>0</v>
      </c>
      <c r="AZ17" s="12">
        <f>VLOOKUP(Tableau4[[#This Row],[essence]],Tableau6[],26,FALSE)</f>
        <v>0</v>
      </c>
      <c r="BA17" s="12">
        <f>VLOOKUP(Tableau4[[#This Row],[essence]],Tableau6[],27,FALSE)</f>
        <v>0</v>
      </c>
      <c r="BB17" s="12">
        <f>VLOOKUP(Tableau4[[#This Row],[essence]],Tableau6[],16,FALSE)</f>
        <v>-2.0699999999999998E-3</v>
      </c>
      <c r="BC1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0.19130000000000047</v>
      </c>
      <c r="BD17" s="12">
        <f>Tableau4[[#This Row],[xb_]]+Tableau4[[#This Row],[b_intercept_C]]+Tableau4[[#This Row],[b_dhpcm_x_intercept_C]]*Tableau4[[#This Row],[dhpcm]]</f>
        <v>3.0546000000000006</v>
      </c>
      <c r="BE17" s="12">
        <f>Tableau4[[#This Row],[xb_]]+Tableau4[[#This Row],[b_intercept_B]]+Tableau4[[#This Row],[b_dhpcm_x_intercept_B]]*Tableau4[[#This Row],[dhpcm]]</f>
        <v>1.5867000000000004</v>
      </c>
      <c r="BF17" s="12">
        <f>Tableau4[[#This Row],[xb_]]+Tableau4[[#This Row],[b_intercept_A]]+Tableau4[[#This Row],[b_dhpcm_x_intercept_A]]*Tableau4[[#This Row],[dhpcm]]</f>
        <v>0.71750000000000047</v>
      </c>
      <c r="BG17" s="12">
        <f>1/(1+EXP(-Tableau4[[#This Row],[xb_c]]))</f>
        <v>0.95498070670083002</v>
      </c>
      <c r="BH17" s="12">
        <f>1/(1+EXP(-Tableau4[[#This Row],[xb_b]]))</f>
        <v>0.83015130950770755</v>
      </c>
      <c r="BI17" s="12">
        <f>1/(1+EXP(-Tableau4[[#This Row],[xb_a]]))</f>
        <v>0.67205626265027152</v>
      </c>
      <c r="BJ17" s="12">
        <f>Tableau4[[#This Row],[prob_a]]</f>
        <v>0.67205626265027152</v>
      </c>
      <c r="BK17" s="12">
        <f>Tableau4[[#This Row],[prob_b]]-Tableau4[[#This Row],[prob_a]]</f>
        <v>0.15809504685743603</v>
      </c>
      <c r="BL17" s="12">
        <f>Tableau4[[#This Row],[prob_c]]-Tableau4[[#This Row],[prob_b]]</f>
        <v>0.12482939719312247</v>
      </c>
      <c r="BM17" s="12">
        <f>1-Tableau4[[#This Row],[prob_c]]</f>
        <v>4.5019293299169982E-2</v>
      </c>
    </row>
    <row r="18" spans="1:65" x14ac:dyDescent="0.25">
      <c r="A18" s="12">
        <v>1</v>
      </c>
      <c r="B18" s="12">
        <v>1</v>
      </c>
      <c r="C18" s="12">
        <v>2.1</v>
      </c>
      <c r="D18" s="12">
        <v>700</v>
      </c>
      <c r="E18" s="12">
        <v>20</v>
      </c>
      <c r="F18" s="12">
        <v>1</v>
      </c>
      <c r="G18" s="12">
        <v>65</v>
      </c>
      <c r="H18" s="12">
        <v>56</v>
      </c>
      <c r="I18" s="12" t="s">
        <v>24</v>
      </c>
      <c r="J18" s="12" t="s">
        <v>28</v>
      </c>
      <c r="K18" s="12">
        <f>VLOOKUP(Tableau4[[#This Row],[essence]],Tableau6[],2,FALSE)</f>
        <v>0.5262</v>
      </c>
      <c r="L18" s="12">
        <f>VLOOKUP(Tableau4[[#This Row],[essence]],Tableau6[],3,FALSE)</f>
        <v>1.3954</v>
      </c>
      <c r="M18" s="12">
        <f>VLOOKUP(Tableau4[[#This Row],[essence]],Tableau6[],4,FALSE)</f>
        <v>2.8633000000000002</v>
      </c>
      <c r="N18" s="12">
        <f>VLOOKUP(Tableau4[[#This Row],[essence]],Tableau6[],5,FALSE)</f>
        <v>1.4995000000000001</v>
      </c>
      <c r="O18" s="12">
        <f>IF(Tableau4[[#This Row],[priorecol]]="C",1,0)</f>
        <v>0</v>
      </c>
      <c r="P18" s="12">
        <f>VLOOKUP(Tableau4[[#This Row],[essence]],Tableau6[],6,FALSE)</f>
        <v>2.5129000000000001</v>
      </c>
      <c r="Q18" s="12">
        <f>IF(Tableau4[[#This Row],[priorecol]]="R",1,0)</f>
        <v>1</v>
      </c>
      <c r="R18" s="12">
        <f>VLOOKUP(Tableau4[[#This Row],[essence]],Tableau6[],7,FALSE)</f>
        <v>0.88009999999999999</v>
      </c>
      <c r="S18" s="12">
        <f>IF(Tableau4[[#This Row],[priorecol]]="S",1,0)</f>
        <v>0</v>
      </c>
      <c r="T18" s="12">
        <f>VLOOKUP(Tableau4[[#This Row],[essence]],Tableau6[],20,FALSE)</f>
        <v>0</v>
      </c>
      <c r="U18" s="12">
        <f>VLOOKUP(Tableau4[[#This Row],[essence]],Tableau6[],15,FALSE)</f>
        <v>2.9000000000000001E-2</v>
      </c>
      <c r="V18" s="12">
        <f>VLOOKUP(Tableau4[[#This Row],[essence]],Tableau6[],28,FALSE)</f>
        <v>-0.43919999999999998</v>
      </c>
      <c r="W18" s="12">
        <f>IF(Tableau4[[#This Row],[sdom]]=1,1,0)</f>
        <v>1</v>
      </c>
      <c r="X18" s="12">
        <f>VLOOKUP(Tableau4[[#This Row],[essence]],Tableau6[],8,FALSE)</f>
        <v>-0.32929999999999998</v>
      </c>
      <c r="Y18" s="12">
        <f>IF(Tableau4[[#This Row],[sdom]]="2EST",1,0)</f>
        <v>0</v>
      </c>
      <c r="Z18" s="12">
        <f>VLOOKUP(Tableau4[[#This Row],[essence]],Tableau6[],9,FALSE)</f>
        <v>0</v>
      </c>
      <c r="AA18" s="12">
        <f>IF(Tableau4[[#This Row],[sdom]]="2OUEST",1,0)</f>
        <v>0</v>
      </c>
      <c r="AB18" s="12">
        <f>VLOOKUP(Tableau4[[#This Row],[essence]],Tableau6[],10,FALSE)</f>
        <v>0</v>
      </c>
      <c r="AC18" s="12">
        <f>IF(Tableau4[[#This Row],[sdom]]="3EST",1,0)</f>
        <v>0</v>
      </c>
      <c r="AD18" s="12">
        <f>VLOOKUP(Tableau4[[#This Row],[essence]],Tableau6[],11,FALSE)</f>
        <v>0</v>
      </c>
      <c r="AE18" s="12">
        <f>IF(Tableau4[[#This Row],[sdom]]="3OUEST",1,0)</f>
        <v>0</v>
      </c>
      <c r="AF18" s="12">
        <f>VLOOKUP(Tableau4[[#This Row],[essence]],Tableau6[],12,FALSE)</f>
        <v>0</v>
      </c>
      <c r="AG18" s="12">
        <f>IF(Tableau4[[#This Row],[sdom]]="4EST",1,0)</f>
        <v>0</v>
      </c>
      <c r="AH18" s="12">
        <f>VLOOKUP(Tableau4[[#This Row],[essence]],Tableau6[],13,FALSE)</f>
        <v>0</v>
      </c>
      <c r="AI18" s="12">
        <f>IF(Tableau4[[#This Row],[sdom]]="4OUEST",1,0)</f>
        <v>0</v>
      </c>
      <c r="AJ18" s="12">
        <f>VLOOKUP(Tableau4[[#This Row],[essence]],Tableau6[],14,FALSE)</f>
        <v>0</v>
      </c>
      <c r="AK18" s="12">
        <f>IF(Tableau4[[#This Row],[sdom]]="5EST",1,0)</f>
        <v>0</v>
      </c>
      <c r="AL18" s="12">
        <f>VLOOKUP(Tableau4[[#This Row],[essence]],Tableau6[],17,FALSE)</f>
        <v>0</v>
      </c>
      <c r="AM18" s="12">
        <f>IF(Tableau4[[#This Row],[priorecol]]="C",1,0)</f>
        <v>0</v>
      </c>
      <c r="AN18" s="12">
        <f>VLOOKUP(Tableau4[[#This Row],[essence]],Tableau6[],18,FALSE)</f>
        <v>0</v>
      </c>
      <c r="AO18" s="12">
        <f>IF(Tableau4[[#This Row],[priorecol]]="R",1,0)</f>
        <v>1</v>
      </c>
      <c r="AP18" s="12">
        <f>VLOOKUP(Tableau4[[#This Row],[essence]],Tableau6[],19,FALSE)</f>
        <v>0</v>
      </c>
      <c r="AQ18" s="12">
        <f>IF(Tableau4[[#This Row],[priorecol]]="S",1,0)</f>
        <v>0</v>
      </c>
      <c r="AR18" s="12">
        <f>VLOOKUP(Tableau4[[#This Row],[essence]],Tableau6[],21,FALSE)</f>
        <v>0</v>
      </c>
      <c r="AS18" s="12">
        <f>IF(Tableau4[[#This Row],[priorecol]]="C",1,0)</f>
        <v>0</v>
      </c>
      <c r="AT18" s="12">
        <f>VLOOKUP(Tableau4[[#This Row],[essence]],Tableau6[],22,FALSE)</f>
        <v>0</v>
      </c>
      <c r="AU18" s="12">
        <f>IF(Tableau4[[#This Row],[priorecol]]="R",1,0)</f>
        <v>1</v>
      </c>
      <c r="AV18" s="12">
        <f>VLOOKUP(Tableau4[[#This Row],[essence]],Tableau6[],23,FALSE)</f>
        <v>0</v>
      </c>
      <c r="AW18" s="12">
        <f>IF(Tableau4[[#This Row],[priorecol]]="S",1,0)</f>
        <v>0</v>
      </c>
      <c r="AX18" s="12">
        <f>VLOOKUP(Tableau4[[#This Row],[essence]],Tableau6[],24,FALSE)</f>
        <v>0</v>
      </c>
      <c r="AY18" s="12">
        <f>VLOOKUP(Tableau4[[#This Row],[essence]],Tableau6[],25,FALSE)</f>
        <v>0</v>
      </c>
      <c r="AZ18" s="12">
        <f>VLOOKUP(Tableau4[[#This Row],[essence]],Tableau6[],26,FALSE)</f>
        <v>0</v>
      </c>
      <c r="BA18" s="12">
        <f>VLOOKUP(Tableau4[[#This Row],[essence]],Tableau6[],27,FALSE)</f>
        <v>0</v>
      </c>
      <c r="BB18" s="12">
        <f>VLOOKUP(Tableau4[[#This Row],[essence]],Tableau6[],16,FALSE)</f>
        <v>-2.0699999999999998E-3</v>
      </c>
      <c r="BC1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1.2047000000000003</v>
      </c>
      <c r="BD18" s="12">
        <f>Tableau4[[#This Row],[xb_]]+Tableau4[[#This Row],[b_intercept_C]]+Tableau4[[#This Row],[b_dhpcm_x_intercept_C]]*Tableau4[[#This Row],[dhpcm]]</f>
        <v>4.0680000000000005</v>
      </c>
      <c r="BE18" s="12">
        <f>Tableau4[[#This Row],[xb_]]+Tableau4[[#This Row],[b_intercept_B]]+Tableau4[[#This Row],[b_dhpcm_x_intercept_B]]*Tableau4[[#This Row],[dhpcm]]</f>
        <v>2.6001000000000003</v>
      </c>
      <c r="BF18" s="12">
        <f>Tableau4[[#This Row],[xb_]]+Tableau4[[#This Row],[b_intercept_A]]+Tableau4[[#This Row],[b_dhpcm_x_intercept_A]]*Tableau4[[#This Row],[dhpcm]]</f>
        <v>1.7309000000000003</v>
      </c>
      <c r="BG18" s="12">
        <f>1/(1+EXP(-Tableau4[[#This Row],[xb_c]]))</f>
        <v>0.98317630254022315</v>
      </c>
      <c r="BH18" s="12">
        <f>1/(1+EXP(-Tableau4[[#This Row],[xb_b]]))</f>
        <v>0.9308680152092822</v>
      </c>
      <c r="BI18" s="12">
        <f>1/(1+EXP(-Tableau4[[#This Row],[xb_a]]))</f>
        <v>0.84952750392040666</v>
      </c>
      <c r="BJ18" s="12">
        <f>Tableau4[[#This Row],[prob_a]]</f>
        <v>0.84952750392040666</v>
      </c>
      <c r="BK18" s="12">
        <f>Tableau4[[#This Row],[prob_b]]-Tableau4[[#This Row],[prob_a]]</f>
        <v>8.1340511288875539E-2</v>
      </c>
      <c r="BL18" s="12">
        <f>Tableau4[[#This Row],[prob_c]]-Tableau4[[#This Row],[prob_b]]</f>
        <v>5.230828733094095E-2</v>
      </c>
      <c r="BM18" s="12">
        <f>1-Tableau4[[#This Row],[prob_c]]</f>
        <v>1.6823697459776854E-2</v>
      </c>
    </row>
    <row r="19" spans="1:65" x14ac:dyDescent="0.25">
      <c r="A19" s="12">
        <v>1</v>
      </c>
      <c r="B19" s="12">
        <v>1</v>
      </c>
      <c r="C19" s="12">
        <v>2.1</v>
      </c>
      <c r="D19" s="12">
        <v>700</v>
      </c>
      <c r="E19" s="12">
        <v>20</v>
      </c>
      <c r="F19" s="12">
        <v>1</v>
      </c>
      <c r="G19" s="12">
        <v>66</v>
      </c>
      <c r="H19" s="12">
        <v>57</v>
      </c>
      <c r="I19" s="12" t="s">
        <v>24</v>
      </c>
      <c r="J19" s="12" t="s">
        <v>29</v>
      </c>
      <c r="K19" s="12">
        <f>VLOOKUP(Tableau4[[#This Row],[essence]],Tableau6[],2,FALSE)</f>
        <v>0.5262</v>
      </c>
      <c r="L19" s="12">
        <f>VLOOKUP(Tableau4[[#This Row],[essence]],Tableau6[],3,FALSE)</f>
        <v>1.3954</v>
      </c>
      <c r="M19" s="12">
        <f>VLOOKUP(Tableau4[[#This Row],[essence]],Tableau6[],4,FALSE)</f>
        <v>2.8633000000000002</v>
      </c>
      <c r="N19" s="12">
        <f>VLOOKUP(Tableau4[[#This Row],[essence]],Tableau6[],5,FALSE)</f>
        <v>1.4995000000000001</v>
      </c>
      <c r="O19" s="12">
        <f>IF(Tableau4[[#This Row],[priorecol]]="C",1,0)</f>
        <v>0</v>
      </c>
      <c r="P19" s="12">
        <f>VLOOKUP(Tableau4[[#This Row],[essence]],Tableau6[],6,FALSE)</f>
        <v>2.5129000000000001</v>
      </c>
      <c r="Q19" s="12">
        <f>IF(Tableau4[[#This Row],[priorecol]]="R",1,0)</f>
        <v>0</v>
      </c>
      <c r="R19" s="12">
        <f>VLOOKUP(Tableau4[[#This Row],[essence]],Tableau6[],7,FALSE)</f>
        <v>0.88009999999999999</v>
      </c>
      <c r="S19" s="12">
        <f>IF(Tableau4[[#This Row],[priorecol]]="S",1,0)</f>
        <v>1</v>
      </c>
      <c r="T19" s="12">
        <f>VLOOKUP(Tableau4[[#This Row],[essence]],Tableau6[],20,FALSE)</f>
        <v>0</v>
      </c>
      <c r="U19" s="12">
        <f>VLOOKUP(Tableau4[[#This Row],[essence]],Tableau6[],15,FALSE)</f>
        <v>2.9000000000000001E-2</v>
      </c>
      <c r="V19" s="12">
        <f>VLOOKUP(Tableau4[[#This Row],[essence]],Tableau6[],28,FALSE)</f>
        <v>-0.43919999999999998</v>
      </c>
      <c r="W19" s="12">
        <f>IF(Tableau4[[#This Row],[sdom]]=1,1,0)</f>
        <v>1</v>
      </c>
      <c r="X19" s="12">
        <f>VLOOKUP(Tableau4[[#This Row],[essence]],Tableau6[],8,FALSE)</f>
        <v>-0.32929999999999998</v>
      </c>
      <c r="Y19" s="12">
        <f>IF(Tableau4[[#This Row],[sdom]]="2EST",1,0)</f>
        <v>0</v>
      </c>
      <c r="Z19" s="12">
        <f>VLOOKUP(Tableau4[[#This Row],[essence]],Tableau6[],9,FALSE)</f>
        <v>0</v>
      </c>
      <c r="AA19" s="12">
        <f>IF(Tableau4[[#This Row],[sdom]]="2OUEST",1,0)</f>
        <v>0</v>
      </c>
      <c r="AB19" s="12">
        <f>VLOOKUP(Tableau4[[#This Row],[essence]],Tableau6[],10,FALSE)</f>
        <v>0</v>
      </c>
      <c r="AC19" s="12">
        <f>IF(Tableau4[[#This Row],[sdom]]="3EST",1,0)</f>
        <v>0</v>
      </c>
      <c r="AD19" s="12">
        <f>VLOOKUP(Tableau4[[#This Row],[essence]],Tableau6[],11,FALSE)</f>
        <v>0</v>
      </c>
      <c r="AE19" s="12">
        <f>IF(Tableau4[[#This Row],[sdom]]="3OUEST",1,0)</f>
        <v>0</v>
      </c>
      <c r="AF19" s="12">
        <f>VLOOKUP(Tableau4[[#This Row],[essence]],Tableau6[],12,FALSE)</f>
        <v>0</v>
      </c>
      <c r="AG19" s="12">
        <f>IF(Tableau4[[#This Row],[sdom]]="4EST",1,0)</f>
        <v>0</v>
      </c>
      <c r="AH19" s="12">
        <f>VLOOKUP(Tableau4[[#This Row],[essence]],Tableau6[],13,FALSE)</f>
        <v>0</v>
      </c>
      <c r="AI19" s="12">
        <f>IF(Tableau4[[#This Row],[sdom]]="4OUEST",1,0)</f>
        <v>0</v>
      </c>
      <c r="AJ19" s="12">
        <f>VLOOKUP(Tableau4[[#This Row],[essence]],Tableau6[],14,FALSE)</f>
        <v>0</v>
      </c>
      <c r="AK19" s="12">
        <f>IF(Tableau4[[#This Row],[sdom]]="5EST",1,0)</f>
        <v>0</v>
      </c>
      <c r="AL19" s="12">
        <f>VLOOKUP(Tableau4[[#This Row],[essence]],Tableau6[],17,FALSE)</f>
        <v>0</v>
      </c>
      <c r="AM19" s="12">
        <f>IF(Tableau4[[#This Row],[priorecol]]="C",1,0)</f>
        <v>0</v>
      </c>
      <c r="AN19" s="12">
        <f>VLOOKUP(Tableau4[[#This Row],[essence]],Tableau6[],18,FALSE)</f>
        <v>0</v>
      </c>
      <c r="AO19" s="12">
        <f>IF(Tableau4[[#This Row],[priorecol]]="R",1,0)</f>
        <v>0</v>
      </c>
      <c r="AP19" s="12">
        <f>VLOOKUP(Tableau4[[#This Row],[essence]],Tableau6[],19,FALSE)</f>
        <v>0</v>
      </c>
      <c r="AQ19" s="12">
        <f>IF(Tableau4[[#This Row],[priorecol]]="S",1,0)</f>
        <v>1</v>
      </c>
      <c r="AR19" s="12">
        <f>VLOOKUP(Tableau4[[#This Row],[essence]],Tableau6[],21,FALSE)</f>
        <v>0</v>
      </c>
      <c r="AS19" s="12">
        <f>IF(Tableau4[[#This Row],[priorecol]]="C",1,0)</f>
        <v>0</v>
      </c>
      <c r="AT19" s="12">
        <f>VLOOKUP(Tableau4[[#This Row],[essence]],Tableau6[],22,FALSE)</f>
        <v>0</v>
      </c>
      <c r="AU19" s="12">
        <f>IF(Tableau4[[#This Row],[priorecol]]="R",1,0)</f>
        <v>0</v>
      </c>
      <c r="AV19" s="12">
        <f>VLOOKUP(Tableau4[[#This Row],[essence]],Tableau6[],23,FALSE)</f>
        <v>0</v>
      </c>
      <c r="AW19" s="12">
        <f>IF(Tableau4[[#This Row],[priorecol]]="S",1,0)</f>
        <v>1</v>
      </c>
      <c r="AX19" s="12">
        <f>VLOOKUP(Tableau4[[#This Row],[essence]],Tableau6[],24,FALSE)</f>
        <v>0</v>
      </c>
      <c r="AY19" s="12">
        <f>VLOOKUP(Tableau4[[#This Row],[essence]],Tableau6[],25,FALSE)</f>
        <v>0</v>
      </c>
      <c r="AZ19" s="12">
        <f>VLOOKUP(Tableau4[[#This Row],[essence]],Tableau6[],26,FALSE)</f>
        <v>0</v>
      </c>
      <c r="BA19" s="12">
        <f>VLOOKUP(Tableau4[[#This Row],[essence]],Tableau6[],27,FALSE)</f>
        <v>0</v>
      </c>
      <c r="BB19" s="12">
        <f>VLOOKUP(Tableau4[[#This Row],[essence]],Tableau6[],16,FALSE)</f>
        <v>-2.0699999999999998E-3</v>
      </c>
      <c r="BC1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-0.4280999999999997</v>
      </c>
      <c r="BD19" s="12">
        <f>Tableau4[[#This Row],[xb_]]+Tableau4[[#This Row],[b_intercept_C]]+Tableau4[[#This Row],[b_dhpcm_x_intercept_C]]*Tableau4[[#This Row],[dhpcm]]</f>
        <v>2.4352000000000005</v>
      </c>
      <c r="BE19" s="12">
        <f>Tableau4[[#This Row],[xb_]]+Tableau4[[#This Row],[b_intercept_B]]+Tableau4[[#This Row],[b_dhpcm_x_intercept_B]]*Tableau4[[#This Row],[dhpcm]]</f>
        <v>0.96730000000000027</v>
      </c>
      <c r="BF19" s="12">
        <f>Tableau4[[#This Row],[xb_]]+Tableau4[[#This Row],[b_intercept_A]]+Tableau4[[#This Row],[b_dhpcm_x_intercept_A]]*Tableau4[[#This Row],[dhpcm]]</f>
        <v>9.8100000000000298E-2</v>
      </c>
      <c r="BG19" s="12">
        <f>1/(1+EXP(-Tableau4[[#This Row],[xb_c]]))</f>
        <v>0.9194723967069145</v>
      </c>
      <c r="BH19" s="12">
        <f>1/(1+EXP(-Tableau4[[#This Row],[xb_b]]))</f>
        <v>0.72458100353632726</v>
      </c>
      <c r="BI19" s="12">
        <f>1/(1+EXP(-Tableau4[[#This Row],[xb_a]]))</f>
        <v>0.52450535065660764</v>
      </c>
      <c r="BJ19" s="12">
        <f>Tableau4[[#This Row],[prob_a]]</f>
        <v>0.52450535065660764</v>
      </c>
      <c r="BK19" s="12">
        <f>Tableau4[[#This Row],[prob_b]]-Tableau4[[#This Row],[prob_a]]</f>
        <v>0.20007565287971962</v>
      </c>
      <c r="BL19" s="12">
        <f>Tableau4[[#This Row],[prob_c]]-Tableau4[[#This Row],[prob_b]]</f>
        <v>0.19489139317058723</v>
      </c>
      <c r="BM19" s="12">
        <f>1-Tableau4[[#This Row],[prob_c]]</f>
        <v>8.0527603293085503E-2</v>
      </c>
    </row>
    <row r="20" spans="1:65" x14ac:dyDescent="0.25">
      <c r="A20" s="12">
        <v>1</v>
      </c>
      <c r="B20" s="12">
        <v>1</v>
      </c>
      <c r="C20" s="12">
        <v>2.1</v>
      </c>
      <c r="D20" s="12">
        <v>700</v>
      </c>
      <c r="E20" s="12">
        <v>20</v>
      </c>
      <c r="F20" s="12">
        <v>1</v>
      </c>
      <c r="G20" s="12">
        <v>67</v>
      </c>
      <c r="H20" s="12">
        <v>58</v>
      </c>
      <c r="I20" s="12" t="s">
        <v>25</v>
      </c>
      <c r="J20" s="12" t="s">
        <v>27</v>
      </c>
      <c r="K20" s="12">
        <f>VLOOKUP(Tableau4[[#This Row],[essence]],Tableau6[],2,FALSE)</f>
        <v>-4.3875000000000002</v>
      </c>
      <c r="L20" s="12">
        <f>VLOOKUP(Tableau4[[#This Row],[essence]],Tableau6[],3,FALSE)</f>
        <v>-3.0411999999999999</v>
      </c>
      <c r="M20" s="12">
        <f>VLOOKUP(Tableau4[[#This Row],[essence]],Tableau6[],4,FALSE)</f>
        <v>-1.2259</v>
      </c>
      <c r="N20" s="12">
        <f>VLOOKUP(Tableau4[[#This Row],[essence]],Tableau6[],5,FALSE)</f>
        <v>1.7715000000000001</v>
      </c>
      <c r="O20" s="12">
        <f>IF(Tableau4[[#This Row],[priorecol]]="C",1,0)</f>
        <v>1</v>
      </c>
      <c r="P20" s="12">
        <f>VLOOKUP(Tableau4[[#This Row],[essence]],Tableau6[],6,FALSE)</f>
        <v>2.6688000000000001</v>
      </c>
      <c r="Q20" s="12">
        <f>IF(Tableau4[[#This Row],[priorecol]]="R",1,0)</f>
        <v>0</v>
      </c>
      <c r="R20" s="12">
        <f>VLOOKUP(Tableau4[[#This Row],[essence]],Tableau6[],7,FALSE)</f>
        <v>1.5728</v>
      </c>
      <c r="S20" s="12">
        <f>IF(Tableau4[[#This Row],[priorecol]]="S",1,0)</f>
        <v>0</v>
      </c>
      <c r="T20" s="12">
        <f>VLOOKUP(Tableau4[[#This Row],[essence]],Tableau6[],20,FALSE)</f>
        <v>0</v>
      </c>
      <c r="U20" s="12">
        <f>VLOOKUP(Tableau4[[#This Row],[essence]],Tableau6[],15,FALSE)</f>
        <v>0</v>
      </c>
      <c r="V20" s="12">
        <f>VLOOKUP(Tableau4[[#This Row],[essence]],Tableau6[],28,FALSE)</f>
        <v>0</v>
      </c>
      <c r="W20" s="12">
        <f>IF(Tableau4[[#This Row],[sdom]]=1,1,0)</f>
        <v>1</v>
      </c>
      <c r="X20" s="12">
        <f>VLOOKUP(Tableau4[[#This Row],[essence]],Tableau6[],8,FALSE)</f>
        <v>0.86129999999999995</v>
      </c>
      <c r="Y20" s="12">
        <f>IF(Tableau4[[#This Row],[sdom]]="2EST",1,0)</f>
        <v>0</v>
      </c>
      <c r="Z20" s="12">
        <f>VLOOKUP(Tableau4[[#This Row],[essence]],Tableau6[],9,FALSE)</f>
        <v>0.39550000000000002</v>
      </c>
      <c r="AA20" s="12">
        <f>IF(Tableau4[[#This Row],[sdom]]="2OUEST",1,0)</f>
        <v>0</v>
      </c>
      <c r="AB20" s="12">
        <f>VLOOKUP(Tableau4[[#This Row],[essence]],Tableau6[],10,FALSE)</f>
        <v>0.58989999999999998</v>
      </c>
      <c r="AC20" s="12">
        <f>IF(Tableau4[[#This Row],[sdom]]="3EST",1,0)</f>
        <v>0</v>
      </c>
      <c r="AD20" s="12">
        <f>VLOOKUP(Tableau4[[#This Row],[essence]],Tableau6[],11,FALSE)</f>
        <v>0.52759999999999996</v>
      </c>
      <c r="AE20" s="12">
        <f>IF(Tableau4[[#This Row],[sdom]]="3OUEST",1,0)</f>
        <v>0</v>
      </c>
      <c r="AF20" s="12">
        <f>VLOOKUP(Tableau4[[#This Row],[essence]],Tableau6[],12,FALSE)</f>
        <v>0</v>
      </c>
      <c r="AG20" s="12">
        <f>IF(Tableau4[[#This Row],[sdom]]="4EST",1,0)</f>
        <v>0</v>
      </c>
      <c r="AH20" s="12">
        <f>VLOOKUP(Tableau4[[#This Row],[essence]],Tableau6[],13,FALSE)</f>
        <v>0</v>
      </c>
      <c r="AI20" s="12">
        <f>IF(Tableau4[[#This Row],[sdom]]="4OUEST",1,0)</f>
        <v>0</v>
      </c>
      <c r="AJ20" s="12">
        <f>VLOOKUP(Tableau4[[#This Row],[essence]],Tableau6[],14,FALSE)</f>
        <v>0</v>
      </c>
      <c r="AK20" s="12">
        <f>IF(Tableau4[[#This Row],[sdom]]="5EST",1,0)</f>
        <v>0</v>
      </c>
      <c r="AL20" s="12">
        <f>VLOOKUP(Tableau4[[#This Row],[essence]],Tableau6[],17,FALSE)</f>
        <v>0</v>
      </c>
      <c r="AM20" s="12">
        <f>IF(Tableau4[[#This Row],[priorecol]]="C",1,0)</f>
        <v>1</v>
      </c>
      <c r="AN20" s="12">
        <f>VLOOKUP(Tableau4[[#This Row],[essence]],Tableau6[],18,FALSE)</f>
        <v>0</v>
      </c>
      <c r="AO20" s="12">
        <f>IF(Tableau4[[#This Row],[priorecol]]="R",1,0)</f>
        <v>0</v>
      </c>
      <c r="AP20" s="12">
        <f>VLOOKUP(Tableau4[[#This Row],[essence]],Tableau6[],19,FALSE)</f>
        <v>0</v>
      </c>
      <c r="AQ20" s="12">
        <f>IF(Tableau4[[#This Row],[priorecol]]="S",1,0)</f>
        <v>0</v>
      </c>
      <c r="AR20" s="12">
        <f>VLOOKUP(Tableau4[[#This Row],[essence]],Tableau6[],21,FALSE)</f>
        <v>0</v>
      </c>
      <c r="AS20" s="12">
        <f>IF(Tableau4[[#This Row],[priorecol]]="C",1,0)</f>
        <v>1</v>
      </c>
      <c r="AT20" s="12">
        <f>VLOOKUP(Tableau4[[#This Row],[essence]],Tableau6[],22,FALSE)</f>
        <v>0</v>
      </c>
      <c r="AU20" s="12">
        <f>IF(Tableau4[[#This Row],[priorecol]]="R",1,0)</f>
        <v>0</v>
      </c>
      <c r="AV20" s="12">
        <f>VLOOKUP(Tableau4[[#This Row],[essence]],Tableau6[],23,FALSE)</f>
        <v>0</v>
      </c>
      <c r="AW20" s="12">
        <f>IF(Tableau4[[#This Row],[priorecol]]="S",1,0)</f>
        <v>0</v>
      </c>
      <c r="AX20" s="12">
        <f>VLOOKUP(Tableau4[[#This Row],[essence]],Tableau6[],24,FALSE)</f>
        <v>0</v>
      </c>
      <c r="AY20" s="12">
        <f>VLOOKUP(Tableau4[[#This Row],[essence]],Tableau6[],25,FALSE)</f>
        <v>0</v>
      </c>
      <c r="AZ20" s="12">
        <f>VLOOKUP(Tableau4[[#This Row],[essence]],Tableau6[],26,FALSE)</f>
        <v>0</v>
      </c>
      <c r="BA20" s="12">
        <f>VLOOKUP(Tableau4[[#This Row],[essence]],Tableau6[],27,FALSE)</f>
        <v>0</v>
      </c>
      <c r="BB20" s="12">
        <f>VLOOKUP(Tableau4[[#This Row],[essence]],Tableau6[],16,FALSE)</f>
        <v>0</v>
      </c>
      <c r="BC2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20" s="12">
        <f>Tableau4[[#This Row],[xb_]]+Tableau4[[#This Row],[b_intercept_C]]+Tableau4[[#This Row],[b_dhpcm_x_intercept_C]]*Tableau4[[#This Row],[dhpcm]]</f>
        <v>0.54560000000000008</v>
      </c>
      <c r="BE20" s="12">
        <f>Tableau4[[#This Row],[xb_]]+Tableau4[[#This Row],[b_intercept_B]]+Tableau4[[#This Row],[b_dhpcm_x_intercept_B]]*Tableau4[[#This Row],[dhpcm]]</f>
        <v>-1.2696999999999998</v>
      </c>
      <c r="BF20" s="12">
        <f>Tableau4[[#This Row],[xb_]]+Tableau4[[#This Row],[b_intercept_A]]+Tableau4[[#This Row],[b_dhpcm_x_intercept_A]]*Tableau4[[#This Row],[dhpcm]]</f>
        <v>-2.6160000000000001</v>
      </c>
      <c r="BG20" s="12">
        <f>1/(1+EXP(-Tableau4[[#This Row],[xb_c]]))</f>
        <v>0.63311415618116451</v>
      </c>
      <c r="BH20" s="12">
        <f>1/(1+EXP(-Tableau4[[#This Row],[xb_b]]))</f>
        <v>0.21930861146596689</v>
      </c>
      <c r="BI20" s="12">
        <f>1/(1+EXP(-Tableau4[[#This Row],[xb_a]]))</f>
        <v>6.8115759378310187E-2</v>
      </c>
      <c r="BJ20" s="12">
        <f>Tableau4[[#This Row],[prob_a]]</f>
        <v>6.8115759378310187E-2</v>
      </c>
      <c r="BK20" s="12">
        <f>Tableau4[[#This Row],[prob_b]]-Tableau4[[#This Row],[prob_a]]</f>
        <v>0.1511928520876567</v>
      </c>
      <c r="BL20" s="12">
        <f>Tableau4[[#This Row],[prob_c]]-Tableau4[[#This Row],[prob_b]]</f>
        <v>0.41380554471519759</v>
      </c>
      <c r="BM20" s="12">
        <f>1-Tableau4[[#This Row],[prob_c]]</f>
        <v>0.36688584381883549</v>
      </c>
    </row>
    <row r="21" spans="1:65" x14ac:dyDescent="0.25">
      <c r="A21" s="12">
        <v>1</v>
      </c>
      <c r="B21" s="12">
        <v>1</v>
      </c>
      <c r="C21" s="12">
        <v>2.1</v>
      </c>
      <c r="D21" s="12">
        <v>700</v>
      </c>
      <c r="E21" s="12">
        <v>20</v>
      </c>
      <c r="F21" s="12">
        <v>1</v>
      </c>
      <c r="G21" s="12">
        <v>68</v>
      </c>
      <c r="H21" s="12">
        <v>59</v>
      </c>
      <c r="I21" s="12" t="s">
        <v>25</v>
      </c>
      <c r="J21" s="12" t="s">
        <v>28</v>
      </c>
      <c r="K21" s="12">
        <f>VLOOKUP(Tableau4[[#This Row],[essence]],Tableau6[],2,FALSE)</f>
        <v>-4.3875000000000002</v>
      </c>
      <c r="L21" s="12">
        <f>VLOOKUP(Tableau4[[#This Row],[essence]],Tableau6[],3,FALSE)</f>
        <v>-3.0411999999999999</v>
      </c>
      <c r="M21" s="12">
        <f>VLOOKUP(Tableau4[[#This Row],[essence]],Tableau6[],4,FALSE)</f>
        <v>-1.2259</v>
      </c>
      <c r="N21" s="12">
        <f>VLOOKUP(Tableau4[[#This Row],[essence]],Tableau6[],5,FALSE)</f>
        <v>1.7715000000000001</v>
      </c>
      <c r="O21" s="12">
        <f>IF(Tableau4[[#This Row],[priorecol]]="C",1,0)</f>
        <v>0</v>
      </c>
      <c r="P21" s="12">
        <f>VLOOKUP(Tableau4[[#This Row],[essence]],Tableau6[],6,FALSE)</f>
        <v>2.6688000000000001</v>
      </c>
      <c r="Q21" s="12">
        <f>IF(Tableau4[[#This Row],[priorecol]]="R",1,0)</f>
        <v>1</v>
      </c>
      <c r="R21" s="12">
        <f>VLOOKUP(Tableau4[[#This Row],[essence]],Tableau6[],7,FALSE)</f>
        <v>1.5728</v>
      </c>
      <c r="S21" s="12">
        <f>IF(Tableau4[[#This Row],[priorecol]]="S",1,0)</f>
        <v>0</v>
      </c>
      <c r="T21" s="12">
        <f>VLOOKUP(Tableau4[[#This Row],[essence]],Tableau6[],20,FALSE)</f>
        <v>0</v>
      </c>
      <c r="U21" s="12">
        <f>VLOOKUP(Tableau4[[#This Row],[essence]],Tableau6[],15,FALSE)</f>
        <v>0</v>
      </c>
      <c r="V21" s="12">
        <f>VLOOKUP(Tableau4[[#This Row],[essence]],Tableau6[],28,FALSE)</f>
        <v>0</v>
      </c>
      <c r="W21" s="12">
        <f>IF(Tableau4[[#This Row],[sdom]]=1,1,0)</f>
        <v>1</v>
      </c>
      <c r="X21" s="12">
        <f>VLOOKUP(Tableau4[[#This Row],[essence]],Tableau6[],8,FALSE)</f>
        <v>0.86129999999999995</v>
      </c>
      <c r="Y21" s="12">
        <f>IF(Tableau4[[#This Row],[sdom]]="2EST",1,0)</f>
        <v>0</v>
      </c>
      <c r="Z21" s="12">
        <f>VLOOKUP(Tableau4[[#This Row],[essence]],Tableau6[],9,FALSE)</f>
        <v>0.39550000000000002</v>
      </c>
      <c r="AA21" s="12">
        <f>IF(Tableau4[[#This Row],[sdom]]="2OUEST",1,0)</f>
        <v>0</v>
      </c>
      <c r="AB21" s="12">
        <f>VLOOKUP(Tableau4[[#This Row],[essence]],Tableau6[],10,FALSE)</f>
        <v>0.58989999999999998</v>
      </c>
      <c r="AC21" s="12">
        <f>IF(Tableau4[[#This Row],[sdom]]="3EST",1,0)</f>
        <v>0</v>
      </c>
      <c r="AD21" s="12">
        <f>VLOOKUP(Tableau4[[#This Row],[essence]],Tableau6[],11,FALSE)</f>
        <v>0.52759999999999996</v>
      </c>
      <c r="AE21" s="12">
        <f>IF(Tableau4[[#This Row],[sdom]]="3OUEST",1,0)</f>
        <v>0</v>
      </c>
      <c r="AF21" s="12">
        <f>VLOOKUP(Tableau4[[#This Row],[essence]],Tableau6[],12,FALSE)</f>
        <v>0</v>
      </c>
      <c r="AG21" s="12">
        <f>IF(Tableau4[[#This Row],[sdom]]="4EST",1,0)</f>
        <v>0</v>
      </c>
      <c r="AH21" s="12">
        <f>VLOOKUP(Tableau4[[#This Row],[essence]],Tableau6[],13,FALSE)</f>
        <v>0</v>
      </c>
      <c r="AI21" s="12">
        <f>IF(Tableau4[[#This Row],[sdom]]="4OUEST",1,0)</f>
        <v>0</v>
      </c>
      <c r="AJ21" s="12">
        <f>VLOOKUP(Tableau4[[#This Row],[essence]],Tableau6[],14,FALSE)</f>
        <v>0</v>
      </c>
      <c r="AK21" s="12">
        <f>IF(Tableau4[[#This Row],[sdom]]="5EST",1,0)</f>
        <v>0</v>
      </c>
      <c r="AL21" s="12">
        <f>VLOOKUP(Tableau4[[#This Row],[essence]],Tableau6[],17,FALSE)</f>
        <v>0</v>
      </c>
      <c r="AM21" s="12">
        <f>IF(Tableau4[[#This Row],[priorecol]]="C",1,0)</f>
        <v>0</v>
      </c>
      <c r="AN21" s="12">
        <f>VLOOKUP(Tableau4[[#This Row],[essence]],Tableau6[],18,FALSE)</f>
        <v>0</v>
      </c>
      <c r="AO21" s="12">
        <f>IF(Tableau4[[#This Row],[priorecol]]="R",1,0)</f>
        <v>1</v>
      </c>
      <c r="AP21" s="12">
        <f>VLOOKUP(Tableau4[[#This Row],[essence]],Tableau6[],19,FALSE)</f>
        <v>0</v>
      </c>
      <c r="AQ21" s="12">
        <f>IF(Tableau4[[#This Row],[priorecol]]="S",1,0)</f>
        <v>0</v>
      </c>
      <c r="AR21" s="12">
        <f>VLOOKUP(Tableau4[[#This Row],[essence]],Tableau6[],21,FALSE)</f>
        <v>0</v>
      </c>
      <c r="AS21" s="12">
        <f>IF(Tableau4[[#This Row],[priorecol]]="C",1,0)</f>
        <v>0</v>
      </c>
      <c r="AT21" s="12">
        <f>VLOOKUP(Tableau4[[#This Row],[essence]],Tableau6[],22,FALSE)</f>
        <v>0</v>
      </c>
      <c r="AU21" s="12">
        <f>IF(Tableau4[[#This Row],[priorecol]]="R",1,0)</f>
        <v>1</v>
      </c>
      <c r="AV21" s="12">
        <f>VLOOKUP(Tableau4[[#This Row],[essence]],Tableau6[],23,FALSE)</f>
        <v>0</v>
      </c>
      <c r="AW21" s="12">
        <f>IF(Tableau4[[#This Row],[priorecol]]="S",1,0)</f>
        <v>0</v>
      </c>
      <c r="AX21" s="12">
        <f>VLOOKUP(Tableau4[[#This Row],[essence]],Tableau6[],24,FALSE)</f>
        <v>0</v>
      </c>
      <c r="AY21" s="12">
        <f>VLOOKUP(Tableau4[[#This Row],[essence]],Tableau6[],25,FALSE)</f>
        <v>0</v>
      </c>
      <c r="AZ21" s="12">
        <f>VLOOKUP(Tableau4[[#This Row],[essence]],Tableau6[],26,FALSE)</f>
        <v>0</v>
      </c>
      <c r="BA21" s="12">
        <f>VLOOKUP(Tableau4[[#This Row],[essence]],Tableau6[],27,FALSE)</f>
        <v>0</v>
      </c>
      <c r="BB21" s="12">
        <f>VLOOKUP(Tableau4[[#This Row],[essence]],Tableau6[],16,FALSE)</f>
        <v>0</v>
      </c>
      <c r="BC2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21" s="12">
        <f>Tableau4[[#This Row],[xb_]]+Tableau4[[#This Row],[b_intercept_C]]+Tableau4[[#This Row],[b_dhpcm_x_intercept_C]]*Tableau4[[#This Row],[dhpcm]]</f>
        <v>1.4429000000000001</v>
      </c>
      <c r="BE21" s="12">
        <f>Tableau4[[#This Row],[xb_]]+Tableau4[[#This Row],[b_intercept_B]]+Tableau4[[#This Row],[b_dhpcm_x_intercept_B]]*Tableau4[[#This Row],[dhpcm]]</f>
        <v>-0.37239999999999984</v>
      </c>
      <c r="BF21" s="12">
        <f>Tableau4[[#This Row],[xb_]]+Tableau4[[#This Row],[b_intercept_A]]+Tableau4[[#This Row],[b_dhpcm_x_intercept_A]]*Tableau4[[#This Row],[dhpcm]]</f>
        <v>-1.7187000000000001</v>
      </c>
      <c r="BG21" s="12">
        <f>1/(1+EXP(-Tableau4[[#This Row],[xb_c]]))</f>
        <v>0.80890333138279402</v>
      </c>
      <c r="BH21" s="12">
        <f>1/(1+EXP(-Tableau4[[#This Row],[xb_b]]))</f>
        <v>0.40796122449924294</v>
      </c>
      <c r="BI21" s="12">
        <f>1/(1+EXP(-Tableau4[[#This Row],[xb_a]]))</f>
        <v>0.15203868765627995</v>
      </c>
      <c r="BJ21" s="12">
        <f>Tableau4[[#This Row],[prob_a]]</f>
        <v>0.15203868765627995</v>
      </c>
      <c r="BK21" s="12">
        <f>Tableau4[[#This Row],[prob_b]]-Tableau4[[#This Row],[prob_a]]</f>
        <v>0.25592253684296296</v>
      </c>
      <c r="BL21" s="12">
        <f>Tableau4[[#This Row],[prob_c]]-Tableau4[[#This Row],[prob_b]]</f>
        <v>0.40094210688355109</v>
      </c>
      <c r="BM21" s="12">
        <f>1-Tableau4[[#This Row],[prob_c]]</f>
        <v>0.19109666861720598</v>
      </c>
    </row>
    <row r="22" spans="1:65" x14ac:dyDescent="0.25">
      <c r="A22" s="12">
        <v>1</v>
      </c>
      <c r="B22" s="12">
        <v>1</v>
      </c>
      <c r="C22" s="12">
        <v>2.1</v>
      </c>
      <c r="D22" s="12">
        <v>700</v>
      </c>
      <c r="E22" s="12">
        <v>20</v>
      </c>
      <c r="F22" s="12">
        <v>1</v>
      </c>
      <c r="G22" s="12">
        <v>69</v>
      </c>
      <c r="H22" s="12">
        <v>60</v>
      </c>
      <c r="I22" s="12" t="s">
        <v>25</v>
      </c>
      <c r="J22" s="12" t="s">
        <v>29</v>
      </c>
      <c r="K22" s="12">
        <f>VLOOKUP(Tableau4[[#This Row],[essence]],Tableau6[],2,FALSE)</f>
        <v>-4.3875000000000002</v>
      </c>
      <c r="L22" s="12">
        <f>VLOOKUP(Tableau4[[#This Row],[essence]],Tableau6[],3,FALSE)</f>
        <v>-3.0411999999999999</v>
      </c>
      <c r="M22" s="12">
        <f>VLOOKUP(Tableau4[[#This Row],[essence]],Tableau6[],4,FALSE)</f>
        <v>-1.2259</v>
      </c>
      <c r="N22" s="12">
        <f>VLOOKUP(Tableau4[[#This Row],[essence]],Tableau6[],5,FALSE)</f>
        <v>1.7715000000000001</v>
      </c>
      <c r="O22" s="12">
        <f>IF(Tableau4[[#This Row],[priorecol]]="C",1,0)</f>
        <v>0</v>
      </c>
      <c r="P22" s="12">
        <f>VLOOKUP(Tableau4[[#This Row],[essence]],Tableau6[],6,FALSE)</f>
        <v>2.6688000000000001</v>
      </c>
      <c r="Q22" s="12">
        <f>IF(Tableau4[[#This Row],[priorecol]]="R",1,0)</f>
        <v>0</v>
      </c>
      <c r="R22" s="12">
        <f>VLOOKUP(Tableau4[[#This Row],[essence]],Tableau6[],7,FALSE)</f>
        <v>1.5728</v>
      </c>
      <c r="S22" s="12">
        <f>IF(Tableau4[[#This Row],[priorecol]]="S",1,0)</f>
        <v>1</v>
      </c>
      <c r="T22" s="12">
        <f>VLOOKUP(Tableau4[[#This Row],[essence]],Tableau6[],20,FALSE)</f>
        <v>0</v>
      </c>
      <c r="U22" s="12">
        <f>VLOOKUP(Tableau4[[#This Row],[essence]],Tableau6[],15,FALSE)</f>
        <v>0</v>
      </c>
      <c r="V22" s="12">
        <f>VLOOKUP(Tableau4[[#This Row],[essence]],Tableau6[],28,FALSE)</f>
        <v>0</v>
      </c>
      <c r="W22" s="12">
        <f>IF(Tableau4[[#This Row],[sdom]]=1,1,0)</f>
        <v>1</v>
      </c>
      <c r="X22" s="12">
        <f>VLOOKUP(Tableau4[[#This Row],[essence]],Tableau6[],8,FALSE)</f>
        <v>0.86129999999999995</v>
      </c>
      <c r="Y22" s="12">
        <f>IF(Tableau4[[#This Row],[sdom]]="2EST",1,0)</f>
        <v>0</v>
      </c>
      <c r="Z22" s="12">
        <f>VLOOKUP(Tableau4[[#This Row],[essence]],Tableau6[],9,FALSE)</f>
        <v>0.39550000000000002</v>
      </c>
      <c r="AA22" s="12">
        <f>IF(Tableau4[[#This Row],[sdom]]="2OUEST",1,0)</f>
        <v>0</v>
      </c>
      <c r="AB22" s="12">
        <f>VLOOKUP(Tableau4[[#This Row],[essence]],Tableau6[],10,FALSE)</f>
        <v>0.58989999999999998</v>
      </c>
      <c r="AC22" s="12">
        <f>IF(Tableau4[[#This Row],[sdom]]="3EST",1,0)</f>
        <v>0</v>
      </c>
      <c r="AD22" s="12">
        <f>VLOOKUP(Tableau4[[#This Row],[essence]],Tableau6[],11,FALSE)</f>
        <v>0.52759999999999996</v>
      </c>
      <c r="AE22" s="12">
        <f>IF(Tableau4[[#This Row],[sdom]]="3OUEST",1,0)</f>
        <v>0</v>
      </c>
      <c r="AF22" s="12">
        <f>VLOOKUP(Tableau4[[#This Row],[essence]],Tableau6[],12,FALSE)</f>
        <v>0</v>
      </c>
      <c r="AG22" s="12">
        <f>IF(Tableau4[[#This Row],[sdom]]="4EST",1,0)</f>
        <v>0</v>
      </c>
      <c r="AH22" s="12">
        <f>VLOOKUP(Tableau4[[#This Row],[essence]],Tableau6[],13,FALSE)</f>
        <v>0</v>
      </c>
      <c r="AI22" s="12">
        <f>IF(Tableau4[[#This Row],[sdom]]="4OUEST",1,0)</f>
        <v>0</v>
      </c>
      <c r="AJ22" s="12">
        <f>VLOOKUP(Tableau4[[#This Row],[essence]],Tableau6[],14,FALSE)</f>
        <v>0</v>
      </c>
      <c r="AK22" s="12">
        <f>IF(Tableau4[[#This Row],[sdom]]="5EST",1,0)</f>
        <v>0</v>
      </c>
      <c r="AL22" s="12">
        <f>VLOOKUP(Tableau4[[#This Row],[essence]],Tableau6[],17,FALSE)</f>
        <v>0</v>
      </c>
      <c r="AM22" s="12">
        <f>IF(Tableau4[[#This Row],[priorecol]]="C",1,0)</f>
        <v>0</v>
      </c>
      <c r="AN22" s="12">
        <f>VLOOKUP(Tableau4[[#This Row],[essence]],Tableau6[],18,FALSE)</f>
        <v>0</v>
      </c>
      <c r="AO22" s="12">
        <f>IF(Tableau4[[#This Row],[priorecol]]="R",1,0)</f>
        <v>0</v>
      </c>
      <c r="AP22" s="12">
        <f>VLOOKUP(Tableau4[[#This Row],[essence]],Tableau6[],19,FALSE)</f>
        <v>0</v>
      </c>
      <c r="AQ22" s="12">
        <f>IF(Tableau4[[#This Row],[priorecol]]="S",1,0)</f>
        <v>1</v>
      </c>
      <c r="AR22" s="12">
        <f>VLOOKUP(Tableau4[[#This Row],[essence]],Tableau6[],21,FALSE)</f>
        <v>0</v>
      </c>
      <c r="AS22" s="12">
        <f>IF(Tableau4[[#This Row],[priorecol]]="C",1,0)</f>
        <v>0</v>
      </c>
      <c r="AT22" s="12">
        <f>VLOOKUP(Tableau4[[#This Row],[essence]],Tableau6[],22,FALSE)</f>
        <v>0</v>
      </c>
      <c r="AU22" s="12">
        <f>IF(Tableau4[[#This Row],[priorecol]]="R",1,0)</f>
        <v>0</v>
      </c>
      <c r="AV22" s="12">
        <f>VLOOKUP(Tableau4[[#This Row],[essence]],Tableau6[],23,FALSE)</f>
        <v>0</v>
      </c>
      <c r="AW22" s="12">
        <f>IF(Tableau4[[#This Row],[priorecol]]="S",1,0)</f>
        <v>1</v>
      </c>
      <c r="AX22" s="12">
        <f>VLOOKUP(Tableau4[[#This Row],[essence]],Tableau6[],24,FALSE)</f>
        <v>0</v>
      </c>
      <c r="AY22" s="12">
        <f>VLOOKUP(Tableau4[[#This Row],[essence]],Tableau6[],25,FALSE)</f>
        <v>0</v>
      </c>
      <c r="AZ22" s="12">
        <f>VLOOKUP(Tableau4[[#This Row],[essence]],Tableau6[],26,FALSE)</f>
        <v>0</v>
      </c>
      <c r="BA22" s="12">
        <f>VLOOKUP(Tableau4[[#This Row],[essence]],Tableau6[],27,FALSE)</f>
        <v>0</v>
      </c>
      <c r="BB22" s="12">
        <f>VLOOKUP(Tableau4[[#This Row],[essence]],Tableau6[],16,FALSE)</f>
        <v>0</v>
      </c>
      <c r="BC2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22" s="12">
        <f>Tableau4[[#This Row],[xb_]]+Tableau4[[#This Row],[b_intercept_C]]+Tableau4[[#This Row],[b_dhpcm_x_intercept_C]]*Tableau4[[#This Row],[dhpcm]]</f>
        <v>0.34689999999999999</v>
      </c>
      <c r="BE22" s="12">
        <f>Tableau4[[#This Row],[xb_]]+Tableau4[[#This Row],[b_intercept_B]]+Tableau4[[#This Row],[b_dhpcm_x_intercept_B]]*Tableau4[[#This Row],[dhpcm]]</f>
        <v>-1.4683999999999999</v>
      </c>
      <c r="BF22" s="12">
        <f>Tableau4[[#This Row],[xb_]]+Tableau4[[#This Row],[b_intercept_A]]+Tableau4[[#This Row],[b_dhpcm_x_intercept_A]]*Tableau4[[#This Row],[dhpcm]]</f>
        <v>-2.8147000000000002</v>
      </c>
      <c r="BG22" s="12">
        <f>1/(1+EXP(-Tableau4[[#This Row],[xb_c]]))</f>
        <v>0.585865635687285</v>
      </c>
      <c r="BH22" s="12">
        <f>1/(1+EXP(-Tableau4[[#This Row],[xb_b]]))</f>
        <v>0.18718592790698188</v>
      </c>
      <c r="BI22" s="12">
        <f>1/(1+EXP(-Tableau4[[#This Row],[xb_a]]))</f>
        <v>5.6534965479882744E-2</v>
      </c>
      <c r="BJ22" s="12">
        <f>Tableau4[[#This Row],[prob_a]]</f>
        <v>5.6534965479882744E-2</v>
      </c>
      <c r="BK22" s="12">
        <f>Tableau4[[#This Row],[prob_b]]-Tableau4[[#This Row],[prob_a]]</f>
        <v>0.13065096242709914</v>
      </c>
      <c r="BL22" s="12">
        <f>Tableau4[[#This Row],[prob_c]]-Tableau4[[#This Row],[prob_b]]</f>
        <v>0.39867970778030315</v>
      </c>
      <c r="BM22" s="12">
        <f>1-Tableau4[[#This Row],[prob_c]]</f>
        <v>0.414134364312715</v>
      </c>
    </row>
    <row r="23" spans="1:65" x14ac:dyDescent="0.25">
      <c r="A23" s="12">
        <v>1</v>
      </c>
      <c r="B23" s="12">
        <v>1</v>
      </c>
      <c r="C23" s="12">
        <v>2.1</v>
      </c>
      <c r="D23" s="12">
        <v>700</v>
      </c>
      <c r="E23" s="12">
        <v>20</v>
      </c>
      <c r="F23" s="12">
        <v>1</v>
      </c>
      <c r="G23" s="12">
        <v>70</v>
      </c>
      <c r="H23" s="12">
        <v>61</v>
      </c>
      <c r="I23" s="12" t="s">
        <v>26</v>
      </c>
      <c r="J23" s="12" t="s">
        <v>27</v>
      </c>
      <c r="K23" s="12">
        <f>VLOOKUP(Tableau4[[#This Row],[essence]],Tableau6[],2,FALSE)</f>
        <v>0.71340000000000003</v>
      </c>
      <c r="L23" s="12">
        <f>VLOOKUP(Tableau4[[#This Row],[essence]],Tableau6[],3,FALSE)</f>
        <v>1.7461</v>
      </c>
      <c r="M23" s="12">
        <f>VLOOKUP(Tableau4[[#This Row],[essence]],Tableau6[],4,FALSE)</f>
        <v>2.9828999999999999</v>
      </c>
      <c r="N23" s="12">
        <f>VLOOKUP(Tableau4[[#This Row],[essence]],Tableau6[],5,FALSE)</f>
        <v>1.5659000000000001</v>
      </c>
      <c r="O23" s="12">
        <f>IF(Tableau4[[#This Row],[priorecol]]="C",1,0)</f>
        <v>1</v>
      </c>
      <c r="P23" s="12">
        <f>VLOOKUP(Tableau4[[#This Row],[essence]],Tableau6[],6,FALSE)</f>
        <v>1.9651000000000001</v>
      </c>
      <c r="Q23" s="12">
        <f>IF(Tableau4[[#This Row],[priorecol]]="R",1,0)</f>
        <v>0</v>
      </c>
      <c r="R23" s="12">
        <f>VLOOKUP(Tableau4[[#This Row],[essence]],Tableau6[],7,FALSE)</f>
        <v>1.1892</v>
      </c>
      <c r="S23" s="12">
        <f>IF(Tableau4[[#This Row],[priorecol]]="S",1,0)</f>
        <v>0</v>
      </c>
      <c r="T23" s="12">
        <f>VLOOKUP(Tableau4[[#This Row],[essence]],Tableau6[],20,FALSE)</f>
        <v>0</v>
      </c>
      <c r="U23" s="12">
        <f>VLOOKUP(Tableau4[[#This Row],[essence]],Tableau6[],15,FALSE)</f>
        <v>0</v>
      </c>
      <c r="V23" s="12">
        <f>VLOOKUP(Tableau4[[#This Row],[essence]],Tableau6[],28,FALSE)</f>
        <v>0</v>
      </c>
      <c r="W23" s="12">
        <f>IF(Tableau4[[#This Row],[sdom]]=1,1,0)</f>
        <v>1</v>
      </c>
      <c r="X23" s="12">
        <f>VLOOKUP(Tableau4[[#This Row],[essence]],Tableau6[],8,FALSE)</f>
        <v>0</v>
      </c>
      <c r="Y23" s="12">
        <f>IF(Tableau4[[#This Row],[sdom]]="2EST",1,0)</f>
        <v>0</v>
      </c>
      <c r="Z23" s="12">
        <f>VLOOKUP(Tableau4[[#This Row],[essence]],Tableau6[],9,FALSE)</f>
        <v>0</v>
      </c>
      <c r="AA23" s="12">
        <f>IF(Tableau4[[#This Row],[sdom]]="2OUEST",1,0)</f>
        <v>0</v>
      </c>
      <c r="AB23" s="12">
        <f>VLOOKUP(Tableau4[[#This Row],[essence]],Tableau6[],10,FALSE)</f>
        <v>0</v>
      </c>
      <c r="AC23" s="12">
        <f>IF(Tableau4[[#This Row],[sdom]]="3EST",1,0)</f>
        <v>0</v>
      </c>
      <c r="AD23" s="12">
        <f>VLOOKUP(Tableau4[[#This Row],[essence]],Tableau6[],11,FALSE)</f>
        <v>0.71960000000000002</v>
      </c>
      <c r="AE23" s="12">
        <f>IF(Tableau4[[#This Row],[sdom]]="3OUEST",1,0)</f>
        <v>0</v>
      </c>
      <c r="AF23" s="12">
        <f>VLOOKUP(Tableau4[[#This Row],[essence]],Tableau6[],12,FALSE)</f>
        <v>-2.81E-2</v>
      </c>
      <c r="AG23" s="12">
        <f>IF(Tableau4[[#This Row],[sdom]]="4EST",1,0)</f>
        <v>0</v>
      </c>
      <c r="AH23" s="12">
        <f>VLOOKUP(Tableau4[[#This Row],[essence]],Tableau6[],13,FALSE)</f>
        <v>0.23519999999999999</v>
      </c>
      <c r="AI23" s="12">
        <f>IF(Tableau4[[#This Row],[sdom]]="4OUEST",1,0)</f>
        <v>0</v>
      </c>
      <c r="AJ23" s="12">
        <f>VLOOKUP(Tableau4[[#This Row],[essence]],Tableau6[],14,FALSE)</f>
        <v>0.24660000000000001</v>
      </c>
      <c r="AK23" s="12">
        <f>IF(Tableau4[[#This Row],[sdom]]="5EST",1,0)</f>
        <v>0</v>
      </c>
      <c r="AL23" s="12">
        <f>VLOOKUP(Tableau4[[#This Row],[essence]],Tableau6[],17,FALSE)</f>
        <v>0</v>
      </c>
      <c r="AM23" s="12">
        <f>IF(Tableau4[[#This Row],[priorecol]]="C",1,0)</f>
        <v>1</v>
      </c>
      <c r="AN23" s="12">
        <f>VLOOKUP(Tableau4[[#This Row],[essence]],Tableau6[],18,FALSE)</f>
        <v>0</v>
      </c>
      <c r="AO23" s="12">
        <f>IF(Tableau4[[#This Row],[priorecol]]="R",1,0)</f>
        <v>0</v>
      </c>
      <c r="AP23" s="12">
        <f>VLOOKUP(Tableau4[[#This Row],[essence]],Tableau6[],19,FALSE)</f>
        <v>0</v>
      </c>
      <c r="AQ23" s="12">
        <f>IF(Tableau4[[#This Row],[priorecol]]="S",1,0)</f>
        <v>0</v>
      </c>
      <c r="AR23" s="12">
        <f>VLOOKUP(Tableau4[[#This Row],[essence]],Tableau6[],21,FALSE)</f>
        <v>0</v>
      </c>
      <c r="AS23" s="12">
        <f>IF(Tableau4[[#This Row],[priorecol]]="C",1,0)</f>
        <v>1</v>
      </c>
      <c r="AT23" s="12">
        <f>VLOOKUP(Tableau4[[#This Row],[essence]],Tableau6[],22,FALSE)</f>
        <v>0</v>
      </c>
      <c r="AU23" s="12">
        <f>IF(Tableau4[[#This Row],[priorecol]]="R",1,0)</f>
        <v>0</v>
      </c>
      <c r="AV23" s="12">
        <f>VLOOKUP(Tableau4[[#This Row],[essence]],Tableau6[],23,FALSE)</f>
        <v>0</v>
      </c>
      <c r="AW23" s="12">
        <f>IF(Tableau4[[#This Row],[priorecol]]="S",1,0)</f>
        <v>0</v>
      </c>
      <c r="AX23" s="12">
        <f>VLOOKUP(Tableau4[[#This Row],[essence]],Tableau6[],24,FALSE)</f>
        <v>0</v>
      </c>
      <c r="AY23" s="12">
        <f>VLOOKUP(Tableau4[[#This Row],[essence]],Tableau6[],25,FALSE)</f>
        <v>0</v>
      </c>
      <c r="AZ23" s="12">
        <f>VLOOKUP(Tableau4[[#This Row],[essence]],Tableau6[],26,FALSE)</f>
        <v>0</v>
      </c>
      <c r="BA23" s="12">
        <f>VLOOKUP(Tableau4[[#This Row],[essence]],Tableau6[],27,FALSE)</f>
        <v>0</v>
      </c>
      <c r="BB23" s="12">
        <f>VLOOKUP(Tableau4[[#This Row],[essence]],Tableau6[],16,FALSE)</f>
        <v>-2.6700000000000001E-3</v>
      </c>
      <c r="BC2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-0.30309999999999993</v>
      </c>
      <c r="BD23" s="12">
        <f>Tableau4[[#This Row],[xb_]]+Tableau4[[#This Row],[b_intercept_C]]+Tableau4[[#This Row],[b_dhpcm_x_intercept_C]]*Tableau4[[#This Row],[dhpcm]]</f>
        <v>2.6798000000000002</v>
      </c>
      <c r="BE23" s="12">
        <f>Tableau4[[#This Row],[xb_]]+Tableau4[[#This Row],[b_intercept_B]]+Tableau4[[#This Row],[b_dhpcm_x_intercept_B]]*Tableau4[[#This Row],[dhpcm]]</f>
        <v>1.4430000000000001</v>
      </c>
      <c r="BF23" s="12">
        <f>Tableau4[[#This Row],[xb_]]+Tableau4[[#This Row],[b_intercept_A]]+Tableau4[[#This Row],[b_dhpcm_x_intercept_A]]*Tableau4[[#This Row],[dhpcm]]</f>
        <v>0.41030000000000011</v>
      </c>
      <c r="BG23" s="12">
        <f>1/(1+EXP(-Tableau4[[#This Row],[xb_c]]))</f>
        <v>0.93582411317327696</v>
      </c>
      <c r="BH23" s="12">
        <f>1/(1+EXP(-Tableau4[[#This Row],[xb_b]]))</f>
        <v>0.80891878877848322</v>
      </c>
      <c r="BI23" s="12">
        <f>1/(1+EXP(-Tableau4[[#This Row],[xb_a]]))</f>
        <v>0.60115981103861349</v>
      </c>
      <c r="BJ23" s="12">
        <f>Tableau4[[#This Row],[prob_a]]</f>
        <v>0.60115981103861349</v>
      </c>
      <c r="BK23" s="12">
        <f>Tableau4[[#This Row],[prob_b]]-Tableau4[[#This Row],[prob_a]]</f>
        <v>0.20775897773986973</v>
      </c>
      <c r="BL23" s="12">
        <f>Tableau4[[#This Row],[prob_c]]-Tableau4[[#This Row],[prob_b]]</f>
        <v>0.12690532439479374</v>
      </c>
      <c r="BM23" s="12">
        <f>1-Tableau4[[#This Row],[prob_c]]</f>
        <v>6.4175886826723039E-2</v>
      </c>
    </row>
    <row r="24" spans="1:65" x14ac:dyDescent="0.25">
      <c r="A24" s="12">
        <v>1</v>
      </c>
      <c r="B24" s="12">
        <v>1</v>
      </c>
      <c r="C24" s="12">
        <v>2.1</v>
      </c>
      <c r="D24" s="12">
        <v>700</v>
      </c>
      <c r="E24" s="12">
        <v>20</v>
      </c>
      <c r="F24" s="12">
        <v>1</v>
      </c>
      <c r="G24" s="12">
        <v>71</v>
      </c>
      <c r="H24" s="12">
        <v>62</v>
      </c>
      <c r="I24" s="12" t="s">
        <v>26</v>
      </c>
      <c r="J24" s="12" t="s">
        <v>28</v>
      </c>
      <c r="K24" s="12">
        <f>VLOOKUP(Tableau4[[#This Row],[essence]],Tableau6[],2,FALSE)</f>
        <v>0.71340000000000003</v>
      </c>
      <c r="L24" s="12">
        <f>VLOOKUP(Tableau4[[#This Row],[essence]],Tableau6[],3,FALSE)</f>
        <v>1.7461</v>
      </c>
      <c r="M24" s="12">
        <f>VLOOKUP(Tableau4[[#This Row],[essence]],Tableau6[],4,FALSE)</f>
        <v>2.9828999999999999</v>
      </c>
      <c r="N24" s="12">
        <f>VLOOKUP(Tableau4[[#This Row],[essence]],Tableau6[],5,FALSE)</f>
        <v>1.5659000000000001</v>
      </c>
      <c r="O24" s="12">
        <f>IF(Tableau4[[#This Row],[priorecol]]="C",1,0)</f>
        <v>0</v>
      </c>
      <c r="P24" s="12">
        <f>VLOOKUP(Tableau4[[#This Row],[essence]],Tableau6[],6,FALSE)</f>
        <v>1.9651000000000001</v>
      </c>
      <c r="Q24" s="12">
        <f>IF(Tableau4[[#This Row],[priorecol]]="R",1,0)</f>
        <v>1</v>
      </c>
      <c r="R24" s="12">
        <f>VLOOKUP(Tableau4[[#This Row],[essence]],Tableau6[],7,FALSE)</f>
        <v>1.1892</v>
      </c>
      <c r="S24" s="12">
        <f>IF(Tableau4[[#This Row],[priorecol]]="S",1,0)</f>
        <v>0</v>
      </c>
      <c r="T24" s="12">
        <f>VLOOKUP(Tableau4[[#This Row],[essence]],Tableau6[],20,FALSE)</f>
        <v>0</v>
      </c>
      <c r="U24" s="12">
        <f>VLOOKUP(Tableau4[[#This Row],[essence]],Tableau6[],15,FALSE)</f>
        <v>0</v>
      </c>
      <c r="V24" s="12">
        <f>VLOOKUP(Tableau4[[#This Row],[essence]],Tableau6[],28,FALSE)</f>
        <v>0</v>
      </c>
      <c r="W24" s="12">
        <f>IF(Tableau4[[#This Row],[sdom]]=1,1,0)</f>
        <v>1</v>
      </c>
      <c r="X24" s="12">
        <f>VLOOKUP(Tableau4[[#This Row],[essence]],Tableau6[],8,FALSE)</f>
        <v>0</v>
      </c>
      <c r="Y24" s="12">
        <f>IF(Tableau4[[#This Row],[sdom]]="2EST",1,0)</f>
        <v>0</v>
      </c>
      <c r="Z24" s="12">
        <f>VLOOKUP(Tableau4[[#This Row],[essence]],Tableau6[],9,FALSE)</f>
        <v>0</v>
      </c>
      <c r="AA24" s="12">
        <f>IF(Tableau4[[#This Row],[sdom]]="2OUEST",1,0)</f>
        <v>0</v>
      </c>
      <c r="AB24" s="12">
        <f>VLOOKUP(Tableau4[[#This Row],[essence]],Tableau6[],10,FALSE)</f>
        <v>0</v>
      </c>
      <c r="AC24" s="12">
        <f>IF(Tableau4[[#This Row],[sdom]]="3EST",1,0)</f>
        <v>0</v>
      </c>
      <c r="AD24" s="12">
        <f>VLOOKUP(Tableau4[[#This Row],[essence]],Tableau6[],11,FALSE)</f>
        <v>0.71960000000000002</v>
      </c>
      <c r="AE24" s="12">
        <f>IF(Tableau4[[#This Row],[sdom]]="3OUEST",1,0)</f>
        <v>0</v>
      </c>
      <c r="AF24" s="12">
        <f>VLOOKUP(Tableau4[[#This Row],[essence]],Tableau6[],12,FALSE)</f>
        <v>-2.81E-2</v>
      </c>
      <c r="AG24" s="12">
        <f>IF(Tableau4[[#This Row],[sdom]]="4EST",1,0)</f>
        <v>0</v>
      </c>
      <c r="AH24" s="12">
        <f>VLOOKUP(Tableau4[[#This Row],[essence]],Tableau6[],13,FALSE)</f>
        <v>0.23519999999999999</v>
      </c>
      <c r="AI24" s="12">
        <f>IF(Tableau4[[#This Row],[sdom]]="4OUEST",1,0)</f>
        <v>0</v>
      </c>
      <c r="AJ24" s="12">
        <f>VLOOKUP(Tableau4[[#This Row],[essence]],Tableau6[],14,FALSE)</f>
        <v>0.24660000000000001</v>
      </c>
      <c r="AK24" s="12">
        <f>IF(Tableau4[[#This Row],[sdom]]="5EST",1,0)</f>
        <v>0</v>
      </c>
      <c r="AL24" s="12">
        <f>VLOOKUP(Tableau4[[#This Row],[essence]],Tableau6[],17,FALSE)</f>
        <v>0</v>
      </c>
      <c r="AM24" s="12">
        <f>IF(Tableau4[[#This Row],[priorecol]]="C",1,0)</f>
        <v>0</v>
      </c>
      <c r="AN24" s="12">
        <f>VLOOKUP(Tableau4[[#This Row],[essence]],Tableau6[],18,FALSE)</f>
        <v>0</v>
      </c>
      <c r="AO24" s="12">
        <f>IF(Tableau4[[#This Row],[priorecol]]="R",1,0)</f>
        <v>1</v>
      </c>
      <c r="AP24" s="12">
        <f>VLOOKUP(Tableau4[[#This Row],[essence]],Tableau6[],19,FALSE)</f>
        <v>0</v>
      </c>
      <c r="AQ24" s="12">
        <f>IF(Tableau4[[#This Row],[priorecol]]="S",1,0)</f>
        <v>0</v>
      </c>
      <c r="AR24" s="12">
        <f>VLOOKUP(Tableau4[[#This Row],[essence]],Tableau6[],21,FALSE)</f>
        <v>0</v>
      </c>
      <c r="AS24" s="12">
        <f>IF(Tableau4[[#This Row],[priorecol]]="C",1,0)</f>
        <v>0</v>
      </c>
      <c r="AT24" s="12">
        <f>VLOOKUP(Tableau4[[#This Row],[essence]],Tableau6[],22,FALSE)</f>
        <v>0</v>
      </c>
      <c r="AU24" s="12">
        <f>IF(Tableau4[[#This Row],[priorecol]]="R",1,0)</f>
        <v>1</v>
      </c>
      <c r="AV24" s="12">
        <f>VLOOKUP(Tableau4[[#This Row],[essence]],Tableau6[],23,FALSE)</f>
        <v>0</v>
      </c>
      <c r="AW24" s="12">
        <f>IF(Tableau4[[#This Row],[priorecol]]="S",1,0)</f>
        <v>0</v>
      </c>
      <c r="AX24" s="12">
        <f>VLOOKUP(Tableau4[[#This Row],[essence]],Tableau6[],24,FALSE)</f>
        <v>0</v>
      </c>
      <c r="AY24" s="12">
        <f>VLOOKUP(Tableau4[[#This Row],[essence]],Tableau6[],25,FALSE)</f>
        <v>0</v>
      </c>
      <c r="AZ24" s="12">
        <f>VLOOKUP(Tableau4[[#This Row],[essence]],Tableau6[],26,FALSE)</f>
        <v>0</v>
      </c>
      <c r="BA24" s="12">
        <f>VLOOKUP(Tableau4[[#This Row],[essence]],Tableau6[],27,FALSE)</f>
        <v>0</v>
      </c>
      <c r="BB24" s="12">
        <f>VLOOKUP(Tableau4[[#This Row],[essence]],Tableau6[],16,FALSE)</f>
        <v>-2.6700000000000001E-3</v>
      </c>
      <c r="BC2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9.6100000000000074E-2</v>
      </c>
      <c r="BD24" s="12">
        <f>Tableau4[[#This Row],[xb_]]+Tableau4[[#This Row],[b_intercept_C]]+Tableau4[[#This Row],[b_dhpcm_x_intercept_C]]*Tableau4[[#This Row],[dhpcm]]</f>
        <v>3.0789999999999997</v>
      </c>
      <c r="BE24" s="12">
        <f>Tableau4[[#This Row],[xb_]]+Tableau4[[#This Row],[b_intercept_B]]+Tableau4[[#This Row],[b_dhpcm_x_intercept_B]]*Tableau4[[#This Row],[dhpcm]]</f>
        <v>1.8422000000000001</v>
      </c>
      <c r="BF24" s="12">
        <f>Tableau4[[#This Row],[xb_]]+Tableau4[[#This Row],[b_intercept_A]]+Tableau4[[#This Row],[b_dhpcm_x_intercept_A]]*Tableau4[[#This Row],[dhpcm]]</f>
        <v>0.80950000000000011</v>
      </c>
      <c r="BG24" s="12">
        <f>1/(1+EXP(-Tableau4[[#This Row],[xb_c]]))</f>
        <v>0.95601815633192033</v>
      </c>
      <c r="BH24" s="12">
        <f>1/(1+EXP(-Tableau4[[#This Row],[xb_b]]))</f>
        <v>0.86320868984577004</v>
      </c>
      <c r="BI24" s="12">
        <f>1/(1+EXP(-Tableau4[[#This Row],[xb_a]]))</f>
        <v>0.69200294709950394</v>
      </c>
      <c r="BJ24" s="12">
        <f>Tableau4[[#This Row],[prob_a]]</f>
        <v>0.69200294709950394</v>
      </c>
      <c r="BK24" s="12">
        <f>Tableau4[[#This Row],[prob_b]]-Tableau4[[#This Row],[prob_a]]</f>
        <v>0.1712057427462661</v>
      </c>
      <c r="BL24" s="12">
        <f>Tableau4[[#This Row],[prob_c]]-Tableau4[[#This Row],[prob_b]]</f>
        <v>9.2809466486150294E-2</v>
      </c>
      <c r="BM24" s="12">
        <f>1-Tableau4[[#This Row],[prob_c]]</f>
        <v>4.3981843668079668E-2</v>
      </c>
    </row>
    <row r="25" spans="1:65" x14ac:dyDescent="0.25">
      <c r="A25" s="12">
        <v>1</v>
      </c>
      <c r="B25" s="12">
        <v>1</v>
      </c>
      <c r="C25" s="12">
        <v>2.1</v>
      </c>
      <c r="D25" s="12">
        <v>700</v>
      </c>
      <c r="E25" s="12">
        <v>20</v>
      </c>
      <c r="F25" s="12">
        <v>1</v>
      </c>
      <c r="G25" s="12">
        <v>72</v>
      </c>
      <c r="H25" s="12">
        <v>63</v>
      </c>
      <c r="I25" s="12" t="s">
        <v>26</v>
      </c>
      <c r="J25" s="12" t="s">
        <v>29</v>
      </c>
      <c r="K25" s="12">
        <f>VLOOKUP(Tableau4[[#This Row],[essence]],Tableau6[],2,FALSE)</f>
        <v>0.71340000000000003</v>
      </c>
      <c r="L25" s="12">
        <f>VLOOKUP(Tableau4[[#This Row],[essence]],Tableau6[],3,FALSE)</f>
        <v>1.7461</v>
      </c>
      <c r="M25" s="12">
        <f>VLOOKUP(Tableau4[[#This Row],[essence]],Tableau6[],4,FALSE)</f>
        <v>2.9828999999999999</v>
      </c>
      <c r="N25" s="12">
        <f>VLOOKUP(Tableau4[[#This Row],[essence]],Tableau6[],5,FALSE)</f>
        <v>1.5659000000000001</v>
      </c>
      <c r="O25" s="12">
        <f>IF(Tableau4[[#This Row],[priorecol]]="C",1,0)</f>
        <v>0</v>
      </c>
      <c r="P25" s="12">
        <f>VLOOKUP(Tableau4[[#This Row],[essence]],Tableau6[],6,FALSE)</f>
        <v>1.9651000000000001</v>
      </c>
      <c r="Q25" s="12">
        <f>IF(Tableau4[[#This Row],[priorecol]]="R",1,0)</f>
        <v>0</v>
      </c>
      <c r="R25" s="12">
        <f>VLOOKUP(Tableau4[[#This Row],[essence]],Tableau6[],7,FALSE)</f>
        <v>1.1892</v>
      </c>
      <c r="S25" s="12">
        <f>IF(Tableau4[[#This Row],[priorecol]]="S",1,0)</f>
        <v>1</v>
      </c>
      <c r="T25" s="12">
        <f>VLOOKUP(Tableau4[[#This Row],[essence]],Tableau6[],20,FALSE)</f>
        <v>0</v>
      </c>
      <c r="U25" s="12">
        <f>VLOOKUP(Tableau4[[#This Row],[essence]],Tableau6[],15,FALSE)</f>
        <v>0</v>
      </c>
      <c r="V25" s="12">
        <f>VLOOKUP(Tableau4[[#This Row],[essence]],Tableau6[],28,FALSE)</f>
        <v>0</v>
      </c>
      <c r="W25" s="12">
        <f>IF(Tableau4[[#This Row],[sdom]]=1,1,0)</f>
        <v>1</v>
      </c>
      <c r="X25" s="12">
        <f>VLOOKUP(Tableau4[[#This Row],[essence]],Tableau6[],8,FALSE)</f>
        <v>0</v>
      </c>
      <c r="Y25" s="12">
        <f>IF(Tableau4[[#This Row],[sdom]]="2EST",1,0)</f>
        <v>0</v>
      </c>
      <c r="Z25" s="12">
        <f>VLOOKUP(Tableau4[[#This Row],[essence]],Tableau6[],9,FALSE)</f>
        <v>0</v>
      </c>
      <c r="AA25" s="12">
        <f>IF(Tableau4[[#This Row],[sdom]]="2OUEST",1,0)</f>
        <v>0</v>
      </c>
      <c r="AB25" s="12">
        <f>VLOOKUP(Tableau4[[#This Row],[essence]],Tableau6[],10,FALSE)</f>
        <v>0</v>
      </c>
      <c r="AC25" s="12">
        <f>IF(Tableau4[[#This Row],[sdom]]="3EST",1,0)</f>
        <v>0</v>
      </c>
      <c r="AD25" s="12">
        <f>VLOOKUP(Tableau4[[#This Row],[essence]],Tableau6[],11,FALSE)</f>
        <v>0.71960000000000002</v>
      </c>
      <c r="AE25" s="12">
        <f>IF(Tableau4[[#This Row],[sdom]]="3OUEST",1,0)</f>
        <v>0</v>
      </c>
      <c r="AF25" s="12">
        <f>VLOOKUP(Tableau4[[#This Row],[essence]],Tableau6[],12,FALSE)</f>
        <v>-2.81E-2</v>
      </c>
      <c r="AG25" s="12">
        <f>IF(Tableau4[[#This Row],[sdom]]="4EST",1,0)</f>
        <v>0</v>
      </c>
      <c r="AH25" s="12">
        <f>VLOOKUP(Tableau4[[#This Row],[essence]],Tableau6[],13,FALSE)</f>
        <v>0.23519999999999999</v>
      </c>
      <c r="AI25" s="12">
        <f>IF(Tableau4[[#This Row],[sdom]]="4OUEST",1,0)</f>
        <v>0</v>
      </c>
      <c r="AJ25" s="12">
        <f>VLOOKUP(Tableau4[[#This Row],[essence]],Tableau6[],14,FALSE)</f>
        <v>0.24660000000000001</v>
      </c>
      <c r="AK25" s="12">
        <f>IF(Tableau4[[#This Row],[sdom]]="5EST",1,0)</f>
        <v>0</v>
      </c>
      <c r="AL25" s="12">
        <f>VLOOKUP(Tableau4[[#This Row],[essence]],Tableau6[],17,FALSE)</f>
        <v>0</v>
      </c>
      <c r="AM25" s="12">
        <f>IF(Tableau4[[#This Row],[priorecol]]="C",1,0)</f>
        <v>0</v>
      </c>
      <c r="AN25" s="12">
        <f>VLOOKUP(Tableau4[[#This Row],[essence]],Tableau6[],18,FALSE)</f>
        <v>0</v>
      </c>
      <c r="AO25" s="12">
        <f>IF(Tableau4[[#This Row],[priorecol]]="R",1,0)</f>
        <v>0</v>
      </c>
      <c r="AP25" s="12">
        <f>VLOOKUP(Tableau4[[#This Row],[essence]],Tableau6[],19,FALSE)</f>
        <v>0</v>
      </c>
      <c r="AQ25" s="12">
        <f>IF(Tableau4[[#This Row],[priorecol]]="S",1,0)</f>
        <v>1</v>
      </c>
      <c r="AR25" s="12">
        <f>VLOOKUP(Tableau4[[#This Row],[essence]],Tableau6[],21,FALSE)</f>
        <v>0</v>
      </c>
      <c r="AS25" s="12">
        <f>IF(Tableau4[[#This Row],[priorecol]]="C",1,0)</f>
        <v>0</v>
      </c>
      <c r="AT25" s="12">
        <f>VLOOKUP(Tableau4[[#This Row],[essence]],Tableau6[],22,FALSE)</f>
        <v>0</v>
      </c>
      <c r="AU25" s="12">
        <f>IF(Tableau4[[#This Row],[priorecol]]="R",1,0)</f>
        <v>0</v>
      </c>
      <c r="AV25" s="12">
        <f>VLOOKUP(Tableau4[[#This Row],[essence]],Tableau6[],23,FALSE)</f>
        <v>0</v>
      </c>
      <c r="AW25" s="12">
        <f>IF(Tableau4[[#This Row],[priorecol]]="S",1,0)</f>
        <v>1</v>
      </c>
      <c r="AX25" s="12">
        <f>VLOOKUP(Tableau4[[#This Row],[essence]],Tableau6[],24,FALSE)</f>
        <v>0</v>
      </c>
      <c r="AY25" s="12">
        <f>VLOOKUP(Tableau4[[#This Row],[essence]],Tableau6[],25,FALSE)</f>
        <v>0</v>
      </c>
      <c r="AZ25" s="12">
        <f>VLOOKUP(Tableau4[[#This Row],[essence]],Tableau6[],26,FALSE)</f>
        <v>0</v>
      </c>
      <c r="BA25" s="12">
        <f>VLOOKUP(Tableau4[[#This Row],[essence]],Tableau6[],27,FALSE)</f>
        <v>0</v>
      </c>
      <c r="BB25" s="12">
        <f>VLOOKUP(Tableau4[[#This Row],[essence]],Tableau6[],16,FALSE)</f>
        <v>-2.6700000000000001E-3</v>
      </c>
      <c r="BC2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-0.67979999999999996</v>
      </c>
      <c r="BD25" s="12">
        <f>Tableau4[[#This Row],[xb_]]+Tableau4[[#This Row],[b_intercept_C]]+Tableau4[[#This Row],[b_dhpcm_x_intercept_C]]*Tableau4[[#This Row],[dhpcm]]</f>
        <v>2.3030999999999997</v>
      </c>
      <c r="BE25" s="12">
        <f>Tableau4[[#This Row],[xb_]]+Tableau4[[#This Row],[b_intercept_B]]+Tableau4[[#This Row],[b_dhpcm_x_intercept_B]]*Tableau4[[#This Row],[dhpcm]]</f>
        <v>1.0663</v>
      </c>
      <c r="BF25" s="12">
        <f>Tableau4[[#This Row],[xb_]]+Tableau4[[#This Row],[b_intercept_A]]+Tableau4[[#This Row],[b_dhpcm_x_intercept_A]]*Tableau4[[#This Row],[dhpcm]]</f>
        <v>3.3600000000000074E-2</v>
      </c>
      <c r="BG25" s="12">
        <f>1/(1+EXP(-Tableau4[[#This Row],[xb_c]]))</f>
        <v>0.90913345442607185</v>
      </c>
      <c r="BH25" s="12">
        <f>1/(1+EXP(-Tableau4[[#This Row],[xb_b]]))</f>
        <v>0.74389264156623969</v>
      </c>
      <c r="BI25" s="12">
        <f>1/(1+EXP(-Tableau4[[#This Row],[xb_a]]))</f>
        <v>0.50839920981720832</v>
      </c>
      <c r="BJ25" s="12">
        <f>Tableau4[[#This Row],[prob_a]]</f>
        <v>0.50839920981720832</v>
      </c>
      <c r="BK25" s="12">
        <f>Tableau4[[#This Row],[prob_b]]-Tableau4[[#This Row],[prob_a]]</f>
        <v>0.23549343174903137</v>
      </c>
      <c r="BL25" s="12">
        <f>Tableau4[[#This Row],[prob_c]]-Tableau4[[#This Row],[prob_b]]</f>
        <v>0.16524081285983216</v>
      </c>
      <c r="BM25" s="12">
        <f>1-Tableau4[[#This Row],[prob_c]]</f>
        <v>9.0866545573928148E-2</v>
      </c>
    </row>
    <row r="26" spans="1:65" x14ac:dyDescent="0.25">
      <c r="A26" s="12">
        <v>2</v>
      </c>
      <c r="B26" s="12" t="s">
        <v>10</v>
      </c>
      <c r="C26" s="12">
        <v>2.1</v>
      </c>
      <c r="D26" s="12">
        <v>828</v>
      </c>
      <c r="E26" s="12">
        <v>29</v>
      </c>
      <c r="F26" s="12">
        <v>0</v>
      </c>
      <c r="G26" s="12">
        <v>49</v>
      </c>
      <c r="H26" s="12">
        <v>64</v>
      </c>
      <c r="I26" s="12" t="s">
        <v>19</v>
      </c>
      <c r="J26" s="12" t="s">
        <v>27</v>
      </c>
      <c r="K26" s="12">
        <f>VLOOKUP(Tableau4[[#This Row],[essence]],Tableau6[],2,FALSE)</f>
        <v>-1.7937000000000001</v>
      </c>
      <c r="L26" s="12">
        <f>VLOOKUP(Tableau4[[#This Row],[essence]],Tableau6[],3,FALSE)</f>
        <v>-0.68110000000000004</v>
      </c>
      <c r="M26" s="12">
        <f>VLOOKUP(Tableau4[[#This Row],[essence]],Tableau6[],4,FALSE)</f>
        <v>0.82179999999999997</v>
      </c>
      <c r="N26" s="12">
        <f>VLOOKUP(Tableau4[[#This Row],[essence]],Tableau6[],5,FALSE)</f>
        <v>1.5014000000000001</v>
      </c>
      <c r="O26" s="12">
        <f>IF(Tableau4[[#This Row],[priorecol]]="C",1,0)</f>
        <v>1</v>
      </c>
      <c r="P26" s="12">
        <f>VLOOKUP(Tableau4[[#This Row],[essence]],Tableau6[],6,FALSE)</f>
        <v>2.3875000000000002</v>
      </c>
      <c r="Q26" s="12">
        <f>IF(Tableau4[[#This Row],[priorecol]]="R",1,0)</f>
        <v>0</v>
      </c>
      <c r="R26" s="12">
        <f>VLOOKUP(Tableau4[[#This Row],[essence]],Tableau6[],7,FALSE)</f>
        <v>0.94669999999999999</v>
      </c>
      <c r="S26" s="12">
        <f>IF(Tableau4[[#This Row],[priorecol]]="S",1,0)</f>
        <v>0</v>
      </c>
      <c r="T26" s="12">
        <f>VLOOKUP(Tableau4[[#This Row],[essence]],Tableau6[],20,FALSE)</f>
        <v>0</v>
      </c>
      <c r="U26" s="12">
        <f>VLOOKUP(Tableau4[[#This Row],[essence]],Tableau6[],15,FALSE)</f>
        <v>6.4000000000000003E-3</v>
      </c>
      <c r="V26" s="12">
        <f>VLOOKUP(Tableau4[[#This Row],[essence]],Tableau6[],28,FALSE)</f>
        <v>0</v>
      </c>
      <c r="W26" s="12">
        <f>IF(Tableau4[[#This Row],[sdom]]=1,1,0)</f>
        <v>0</v>
      </c>
      <c r="X26" s="12">
        <f>VLOOKUP(Tableau4[[#This Row],[essence]],Tableau6[],8,FALSE)</f>
        <v>9.4399999999999998E-2</v>
      </c>
      <c r="Y26" s="12">
        <f>IF(Tableau4[[#This Row],[sdom]]="2EST",1,0)</f>
        <v>1</v>
      </c>
      <c r="Z26" s="12">
        <f>VLOOKUP(Tableau4[[#This Row],[essence]],Tableau6[],9,FALSE)</f>
        <v>-0.40260000000000001</v>
      </c>
      <c r="AA26" s="12">
        <f>IF(Tableau4[[#This Row],[sdom]]="2OUEST",1,0)</f>
        <v>0</v>
      </c>
      <c r="AB26" s="12">
        <f>VLOOKUP(Tableau4[[#This Row],[essence]],Tableau6[],10,FALSE)</f>
        <v>-3.5699999999999998E-3</v>
      </c>
      <c r="AC26" s="12">
        <f>IF(Tableau4[[#This Row],[sdom]]="3EST",1,0)</f>
        <v>0</v>
      </c>
      <c r="AD26" s="12">
        <f>VLOOKUP(Tableau4[[#This Row],[essence]],Tableau6[],11,FALSE)</f>
        <v>0.14949999999999999</v>
      </c>
      <c r="AE26" s="12">
        <f>IF(Tableau4[[#This Row],[sdom]]="3OUEST",1,0)</f>
        <v>0</v>
      </c>
      <c r="AF26" s="12">
        <f>VLOOKUP(Tableau4[[#This Row],[essence]],Tableau6[],12,FALSE)</f>
        <v>-0.1822</v>
      </c>
      <c r="AG26" s="12">
        <f>IF(Tableau4[[#This Row],[sdom]]="4EST",1,0)</f>
        <v>0</v>
      </c>
      <c r="AH26" s="12">
        <f>VLOOKUP(Tableau4[[#This Row],[essence]],Tableau6[],13,FALSE)</f>
        <v>-0.1013</v>
      </c>
      <c r="AI26" s="12">
        <f>IF(Tableau4[[#This Row],[sdom]]="4OUEST",1,0)</f>
        <v>0</v>
      </c>
      <c r="AJ26" s="12">
        <f>VLOOKUP(Tableau4[[#This Row],[essence]],Tableau6[],14,FALSE)</f>
        <v>-0.33779999999999999</v>
      </c>
      <c r="AK26" s="12">
        <f>IF(Tableau4[[#This Row],[sdom]]="5EST",1,0)</f>
        <v>0</v>
      </c>
      <c r="AL26" s="12">
        <f>VLOOKUP(Tableau4[[#This Row],[essence]],Tableau6[],17,FALSE)</f>
        <v>1.03E-2</v>
      </c>
      <c r="AM26" s="12">
        <f>IF(Tableau4[[#This Row],[priorecol]]="C",1,0)</f>
        <v>1</v>
      </c>
      <c r="AN26" s="12">
        <f>VLOOKUP(Tableau4[[#This Row],[essence]],Tableau6[],18,FALSE)</f>
        <v>1.23E-2</v>
      </c>
      <c r="AO26" s="12">
        <f>IF(Tableau4[[#This Row],[priorecol]]="R",1,0)</f>
        <v>0</v>
      </c>
      <c r="AP26" s="12">
        <f>VLOOKUP(Tableau4[[#This Row],[essence]],Tableau6[],19,FALSE)</f>
        <v>1.2800000000000001E-2</v>
      </c>
      <c r="AQ26" s="12">
        <f>IF(Tableau4[[#This Row],[priorecol]]="S",1,0)</f>
        <v>0</v>
      </c>
      <c r="AR26" s="12">
        <f>VLOOKUP(Tableau4[[#This Row],[essence]],Tableau6[],21,FALSE)</f>
        <v>0</v>
      </c>
      <c r="AS26" s="12">
        <f>IF(Tableau4[[#This Row],[priorecol]]="C",1,0)</f>
        <v>1</v>
      </c>
      <c r="AT26" s="12">
        <f>VLOOKUP(Tableau4[[#This Row],[essence]],Tableau6[],22,FALSE)</f>
        <v>0</v>
      </c>
      <c r="AU26" s="12">
        <f>IF(Tableau4[[#This Row],[priorecol]]="R",1,0)</f>
        <v>0</v>
      </c>
      <c r="AV26" s="12">
        <f>VLOOKUP(Tableau4[[#This Row],[essence]],Tableau6[],23,FALSE)</f>
        <v>0</v>
      </c>
      <c r="AW26" s="12">
        <f>IF(Tableau4[[#This Row],[priorecol]]="S",1,0)</f>
        <v>0</v>
      </c>
      <c r="AX26" s="12">
        <f>VLOOKUP(Tableau4[[#This Row],[essence]],Tableau6[],24,FALSE)</f>
        <v>0</v>
      </c>
      <c r="AY26" s="12">
        <f>VLOOKUP(Tableau4[[#This Row],[essence]],Tableau6[],25,FALSE)</f>
        <v>0</v>
      </c>
      <c r="AZ26" s="12">
        <f>VLOOKUP(Tableau4[[#This Row],[essence]],Tableau6[],26,FALSE)</f>
        <v>0</v>
      </c>
      <c r="BA26" s="12">
        <f>VLOOKUP(Tableau4[[#This Row],[essence]],Tableau6[],27,FALSE)</f>
        <v>0</v>
      </c>
      <c r="BB26" s="12">
        <f>VLOOKUP(Tableau4[[#This Row],[essence]],Tableau6[],16,FALSE)</f>
        <v>-4.8999999999999998E-4</v>
      </c>
      <c r="BC2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1.6743800000000002</v>
      </c>
      <c r="BD26" s="12">
        <f>Tableau4[[#This Row],[xb_]]+Tableau4[[#This Row],[b_intercept_C]]+Tableau4[[#This Row],[b_dhpcm_x_intercept_C]]*Tableau4[[#This Row],[dhpcm]]</f>
        <v>2.4961800000000003</v>
      </c>
      <c r="BE26" s="12">
        <f>Tableau4[[#This Row],[xb_]]+Tableau4[[#This Row],[b_intercept_B]]+Tableau4[[#This Row],[b_dhpcm_x_intercept_B]]*Tableau4[[#This Row],[dhpcm]]</f>
        <v>0.99328000000000016</v>
      </c>
      <c r="BF26" s="12">
        <f>Tableau4[[#This Row],[xb_]]+Tableau4[[#This Row],[b_intercept_A]]+Tableau4[[#This Row],[b_dhpcm_x_intercept_A]]*Tableau4[[#This Row],[dhpcm]]</f>
        <v>-0.11931999999999987</v>
      </c>
      <c r="BG26" s="12">
        <f>1/(1+EXP(-Tableau4[[#This Row],[xb_c]]))</f>
        <v>0.92387358951489917</v>
      </c>
      <c r="BH26" s="12">
        <f>1/(1+EXP(-Tableau4[[#This Row],[xb_b]]))</f>
        <v>0.72973529674054238</v>
      </c>
      <c r="BI26" s="12">
        <f>1/(1+EXP(-Tableau4[[#This Row],[xb_a]]))</f>
        <v>0.47020534114618484</v>
      </c>
      <c r="BJ26" s="12">
        <f>Tableau4[[#This Row],[prob_a]]</f>
        <v>0.47020534114618484</v>
      </c>
      <c r="BK26" s="12">
        <f>Tableau4[[#This Row],[prob_b]]-Tableau4[[#This Row],[prob_a]]</f>
        <v>0.25952995559435754</v>
      </c>
      <c r="BL26" s="12">
        <f>Tableau4[[#This Row],[prob_c]]-Tableau4[[#This Row],[prob_b]]</f>
        <v>0.19413829277435679</v>
      </c>
      <c r="BM26" s="12">
        <f>1-Tableau4[[#This Row],[prob_c]]</f>
        <v>7.6126410485100826E-2</v>
      </c>
    </row>
    <row r="27" spans="1:65" x14ac:dyDescent="0.25">
      <c r="A27" s="12">
        <v>2</v>
      </c>
      <c r="B27" s="12" t="s">
        <v>10</v>
      </c>
      <c r="C27" s="12">
        <v>2.1</v>
      </c>
      <c r="D27" s="12">
        <v>828</v>
      </c>
      <c r="E27" s="12">
        <v>29</v>
      </c>
      <c r="F27" s="12">
        <v>0</v>
      </c>
      <c r="G27" s="12">
        <v>50</v>
      </c>
      <c r="H27" s="12">
        <v>65</v>
      </c>
      <c r="I27" s="12" t="s">
        <v>19</v>
      </c>
      <c r="J27" s="12" t="s">
        <v>28</v>
      </c>
      <c r="K27" s="12">
        <f>VLOOKUP(Tableau4[[#This Row],[essence]],Tableau6[],2,FALSE)</f>
        <v>-1.7937000000000001</v>
      </c>
      <c r="L27" s="12">
        <f>VLOOKUP(Tableau4[[#This Row],[essence]],Tableau6[],3,FALSE)</f>
        <v>-0.68110000000000004</v>
      </c>
      <c r="M27" s="12">
        <f>VLOOKUP(Tableau4[[#This Row],[essence]],Tableau6[],4,FALSE)</f>
        <v>0.82179999999999997</v>
      </c>
      <c r="N27" s="12">
        <f>VLOOKUP(Tableau4[[#This Row],[essence]],Tableau6[],5,FALSE)</f>
        <v>1.5014000000000001</v>
      </c>
      <c r="O27" s="12">
        <f>IF(Tableau4[[#This Row],[priorecol]]="C",1,0)</f>
        <v>0</v>
      </c>
      <c r="P27" s="12">
        <f>VLOOKUP(Tableau4[[#This Row],[essence]],Tableau6[],6,FALSE)</f>
        <v>2.3875000000000002</v>
      </c>
      <c r="Q27" s="12">
        <f>IF(Tableau4[[#This Row],[priorecol]]="R",1,0)</f>
        <v>1</v>
      </c>
      <c r="R27" s="12">
        <f>VLOOKUP(Tableau4[[#This Row],[essence]],Tableau6[],7,FALSE)</f>
        <v>0.94669999999999999</v>
      </c>
      <c r="S27" s="12">
        <f>IF(Tableau4[[#This Row],[priorecol]]="S",1,0)</f>
        <v>0</v>
      </c>
      <c r="T27" s="12">
        <f>VLOOKUP(Tableau4[[#This Row],[essence]],Tableau6[],20,FALSE)</f>
        <v>0</v>
      </c>
      <c r="U27" s="12">
        <f>VLOOKUP(Tableau4[[#This Row],[essence]],Tableau6[],15,FALSE)</f>
        <v>6.4000000000000003E-3</v>
      </c>
      <c r="V27" s="12">
        <f>VLOOKUP(Tableau4[[#This Row],[essence]],Tableau6[],28,FALSE)</f>
        <v>0</v>
      </c>
      <c r="W27" s="12">
        <f>IF(Tableau4[[#This Row],[sdom]]=1,1,0)</f>
        <v>0</v>
      </c>
      <c r="X27" s="12">
        <f>VLOOKUP(Tableau4[[#This Row],[essence]],Tableau6[],8,FALSE)</f>
        <v>9.4399999999999998E-2</v>
      </c>
      <c r="Y27" s="12">
        <f>IF(Tableau4[[#This Row],[sdom]]="2EST",1,0)</f>
        <v>1</v>
      </c>
      <c r="Z27" s="12">
        <f>VLOOKUP(Tableau4[[#This Row],[essence]],Tableau6[],9,FALSE)</f>
        <v>-0.40260000000000001</v>
      </c>
      <c r="AA27" s="12">
        <f>IF(Tableau4[[#This Row],[sdom]]="2OUEST",1,0)</f>
        <v>0</v>
      </c>
      <c r="AB27" s="12">
        <f>VLOOKUP(Tableau4[[#This Row],[essence]],Tableau6[],10,FALSE)</f>
        <v>-3.5699999999999998E-3</v>
      </c>
      <c r="AC27" s="12">
        <f>IF(Tableau4[[#This Row],[sdom]]="3EST",1,0)</f>
        <v>0</v>
      </c>
      <c r="AD27" s="12">
        <f>VLOOKUP(Tableau4[[#This Row],[essence]],Tableau6[],11,FALSE)</f>
        <v>0.14949999999999999</v>
      </c>
      <c r="AE27" s="12">
        <f>IF(Tableau4[[#This Row],[sdom]]="3OUEST",1,0)</f>
        <v>0</v>
      </c>
      <c r="AF27" s="12">
        <f>VLOOKUP(Tableau4[[#This Row],[essence]],Tableau6[],12,FALSE)</f>
        <v>-0.1822</v>
      </c>
      <c r="AG27" s="12">
        <f>IF(Tableau4[[#This Row],[sdom]]="4EST",1,0)</f>
        <v>0</v>
      </c>
      <c r="AH27" s="12">
        <f>VLOOKUP(Tableau4[[#This Row],[essence]],Tableau6[],13,FALSE)</f>
        <v>-0.1013</v>
      </c>
      <c r="AI27" s="12">
        <f>IF(Tableau4[[#This Row],[sdom]]="4OUEST",1,0)</f>
        <v>0</v>
      </c>
      <c r="AJ27" s="12">
        <f>VLOOKUP(Tableau4[[#This Row],[essence]],Tableau6[],14,FALSE)</f>
        <v>-0.33779999999999999</v>
      </c>
      <c r="AK27" s="12">
        <f>IF(Tableau4[[#This Row],[sdom]]="5EST",1,0)</f>
        <v>0</v>
      </c>
      <c r="AL27" s="12">
        <f>VLOOKUP(Tableau4[[#This Row],[essence]],Tableau6[],17,FALSE)</f>
        <v>1.03E-2</v>
      </c>
      <c r="AM27" s="12">
        <f>IF(Tableau4[[#This Row],[priorecol]]="C",1,0)</f>
        <v>0</v>
      </c>
      <c r="AN27" s="12">
        <f>VLOOKUP(Tableau4[[#This Row],[essence]],Tableau6[],18,FALSE)</f>
        <v>1.23E-2</v>
      </c>
      <c r="AO27" s="12">
        <f>IF(Tableau4[[#This Row],[priorecol]]="R",1,0)</f>
        <v>1</v>
      </c>
      <c r="AP27" s="12">
        <f>VLOOKUP(Tableau4[[#This Row],[essence]],Tableau6[],19,FALSE)</f>
        <v>1.2800000000000001E-2</v>
      </c>
      <c r="AQ27" s="12">
        <f>IF(Tableau4[[#This Row],[priorecol]]="S",1,0)</f>
        <v>0</v>
      </c>
      <c r="AR27" s="12">
        <f>VLOOKUP(Tableau4[[#This Row],[essence]],Tableau6[],21,FALSE)</f>
        <v>0</v>
      </c>
      <c r="AS27" s="12">
        <f>IF(Tableau4[[#This Row],[priorecol]]="C",1,0)</f>
        <v>0</v>
      </c>
      <c r="AT27" s="12">
        <f>VLOOKUP(Tableau4[[#This Row],[essence]],Tableau6[],22,FALSE)</f>
        <v>0</v>
      </c>
      <c r="AU27" s="12">
        <f>IF(Tableau4[[#This Row],[priorecol]]="R",1,0)</f>
        <v>1</v>
      </c>
      <c r="AV27" s="12">
        <f>VLOOKUP(Tableau4[[#This Row],[essence]],Tableau6[],23,FALSE)</f>
        <v>0</v>
      </c>
      <c r="AW27" s="12">
        <f>IF(Tableau4[[#This Row],[priorecol]]="S",1,0)</f>
        <v>0</v>
      </c>
      <c r="AX27" s="12">
        <f>VLOOKUP(Tableau4[[#This Row],[essence]],Tableau6[],24,FALSE)</f>
        <v>0</v>
      </c>
      <c r="AY27" s="12">
        <f>VLOOKUP(Tableau4[[#This Row],[essence]],Tableau6[],25,FALSE)</f>
        <v>0</v>
      </c>
      <c r="AZ27" s="12">
        <f>VLOOKUP(Tableau4[[#This Row],[essence]],Tableau6[],26,FALSE)</f>
        <v>0</v>
      </c>
      <c r="BA27" s="12">
        <f>VLOOKUP(Tableau4[[#This Row],[essence]],Tableau6[],27,FALSE)</f>
        <v>0</v>
      </c>
      <c r="BB27" s="12">
        <f>VLOOKUP(Tableau4[[#This Row],[essence]],Tableau6[],16,FALSE)</f>
        <v>-4.8999999999999998E-4</v>
      </c>
      <c r="BC2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2.6184799999999999</v>
      </c>
      <c r="BD27" s="12">
        <f>Tableau4[[#This Row],[xb_]]+Tableau4[[#This Row],[b_intercept_C]]+Tableau4[[#This Row],[b_dhpcm_x_intercept_C]]*Tableau4[[#This Row],[dhpcm]]</f>
        <v>3.44028</v>
      </c>
      <c r="BE27" s="12">
        <f>Tableau4[[#This Row],[xb_]]+Tableau4[[#This Row],[b_intercept_B]]+Tableau4[[#This Row],[b_dhpcm_x_intercept_B]]*Tableau4[[#This Row],[dhpcm]]</f>
        <v>1.9373799999999999</v>
      </c>
      <c r="BF27" s="12">
        <f>Tableau4[[#This Row],[xb_]]+Tableau4[[#This Row],[b_intercept_A]]+Tableau4[[#This Row],[b_dhpcm_x_intercept_A]]*Tableau4[[#This Row],[dhpcm]]</f>
        <v>0.82477999999999985</v>
      </c>
      <c r="BG27" s="12">
        <f>1/(1+EXP(-Tableau4[[#This Row],[xb_c]]))</f>
        <v>0.9689399436390671</v>
      </c>
      <c r="BH27" s="12">
        <f>1/(1+EXP(-Tableau4[[#This Row],[xb_b]]))</f>
        <v>0.87406402662530613</v>
      </c>
      <c r="BI27" s="12">
        <f>1/(1+EXP(-Tableau4[[#This Row],[xb_a]]))</f>
        <v>0.6952500583186908</v>
      </c>
      <c r="BJ27" s="12">
        <f>Tableau4[[#This Row],[prob_a]]</f>
        <v>0.6952500583186908</v>
      </c>
      <c r="BK27" s="12">
        <f>Tableau4[[#This Row],[prob_b]]-Tableau4[[#This Row],[prob_a]]</f>
        <v>0.17881396830661533</v>
      </c>
      <c r="BL27" s="12">
        <f>Tableau4[[#This Row],[prob_c]]-Tableau4[[#This Row],[prob_b]]</f>
        <v>9.4875917013760969E-2</v>
      </c>
      <c r="BM27" s="12">
        <f>1-Tableau4[[#This Row],[prob_c]]</f>
        <v>3.1060056360932897E-2</v>
      </c>
    </row>
    <row r="28" spans="1:65" x14ac:dyDescent="0.25">
      <c r="A28" s="12">
        <v>2</v>
      </c>
      <c r="B28" s="12" t="s">
        <v>10</v>
      </c>
      <c r="C28" s="12">
        <v>2.1</v>
      </c>
      <c r="D28" s="12">
        <v>828</v>
      </c>
      <c r="E28" s="12">
        <v>29</v>
      </c>
      <c r="F28" s="12">
        <v>0</v>
      </c>
      <c r="G28" s="12">
        <v>51</v>
      </c>
      <c r="H28" s="12">
        <v>66</v>
      </c>
      <c r="I28" s="12" t="s">
        <v>19</v>
      </c>
      <c r="J28" s="12" t="s">
        <v>29</v>
      </c>
      <c r="K28" s="12">
        <f>VLOOKUP(Tableau4[[#This Row],[essence]],Tableau6[],2,FALSE)</f>
        <v>-1.7937000000000001</v>
      </c>
      <c r="L28" s="12">
        <f>VLOOKUP(Tableau4[[#This Row],[essence]],Tableau6[],3,FALSE)</f>
        <v>-0.68110000000000004</v>
      </c>
      <c r="M28" s="12">
        <f>VLOOKUP(Tableau4[[#This Row],[essence]],Tableau6[],4,FALSE)</f>
        <v>0.82179999999999997</v>
      </c>
      <c r="N28" s="12">
        <f>VLOOKUP(Tableau4[[#This Row],[essence]],Tableau6[],5,FALSE)</f>
        <v>1.5014000000000001</v>
      </c>
      <c r="O28" s="12">
        <f>IF(Tableau4[[#This Row],[priorecol]]="C",1,0)</f>
        <v>0</v>
      </c>
      <c r="P28" s="12">
        <f>VLOOKUP(Tableau4[[#This Row],[essence]],Tableau6[],6,FALSE)</f>
        <v>2.3875000000000002</v>
      </c>
      <c r="Q28" s="12">
        <f>IF(Tableau4[[#This Row],[priorecol]]="R",1,0)</f>
        <v>0</v>
      </c>
      <c r="R28" s="12">
        <f>VLOOKUP(Tableau4[[#This Row],[essence]],Tableau6[],7,FALSE)</f>
        <v>0.94669999999999999</v>
      </c>
      <c r="S28" s="12">
        <f>IF(Tableau4[[#This Row],[priorecol]]="S",1,0)</f>
        <v>1</v>
      </c>
      <c r="T28" s="12">
        <f>VLOOKUP(Tableau4[[#This Row],[essence]],Tableau6[],20,FALSE)</f>
        <v>0</v>
      </c>
      <c r="U28" s="12">
        <f>VLOOKUP(Tableau4[[#This Row],[essence]],Tableau6[],15,FALSE)</f>
        <v>6.4000000000000003E-3</v>
      </c>
      <c r="V28" s="12">
        <f>VLOOKUP(Tableau4[[#This Row],[essence]],Tableau6[],28,FALSE)</f>
        <v>0</v>
      </c>
      <c r="W28" s="12">
        <f>IF(Tableau4[[#This Row],[sdom]]=1,1,0)</f>
        <v>0</v>
      </c>
      <c r="X28" s="12">
        <f>VLOOKUP(Tableau4[[#This Row],[essence]],Tableau6[],8,FALSE)</f>
        <v>9.4399999999999998E-2</v>
      </c>
      <c r="Y28" s="12">
        <f>IF(Tableau4[[#This Row],[sdom]]="2EST",1,0)</f>
        <v>1</v>
      </c>
      <c r="Z28" s="12">
        <f>VLOOKUP(Tableau4[[#This Row],[essence]],Tableau6[],9,FALSE)</f>
        <v>-0.40260000000000001</v>
      </c>
      <c r="AA28" s="12">
        <f>IF(Tableau4[[#This Row],[sdom]]="2OUEST",1,0)</f>
        <v>0</v>
      </c>
      <c r="AB28" s="12">
        <f>VLOOKUP(Tableau4[[#This Row],[essence]],Tableau6[],10,FALSE)</f>
        <v>-3.5699999999999998E-3</v>
      </c>
      <c r="AC28" s="12">
        <f>IF(Tableau4[[#This Row],[sdom]]="3EST",1,0)</f>
        <v>0</v>
      </c>
      <c r="AD28" s="12">
        <f>VLOOKUP(Tableau4[[#This Row],[essence]],Tableau6[],11,FALSE)</f>
        <v>0.14949999999999999</v>
      </c>
      <c r="AE28" s="12">
        <f>IF(Tableau4[[#This Row],[sdom]]="3OUEST",1,0)</f>
        <v>0</v>
      </c>
      <c r="AF28" s="12">
        <f>VLOOKUP(Tableau4[[#This Row],[essence]],Tableau6[],12,FALSE)</f>
        <v>-0.1822</v>
      </c>
      <c r="AG28" s="12">
        <f>IF(Tableau4[[#This Row],[sdom]]="4EST",1,0)</f>
        <v>0</v>
      </c>
      <c r="AH28" s="12">
        <f>VLOOKUP(Tableau4[[#This Row],[essence]],Tableau6[],13,FALSE)</f>
        <v>-0.1013</v>
      </c>
      <c r="AI28" s="12">
        <f>IF(Tableau4[[#This Row],[sdom]]="4OUEST",1,0)</f>
        <v>0</v>
      </c>
      <c r="AJ28" s="12">
        <f>VLOOKUP(Tableau4[[#This Row],[essence]],Tableau6[],14,FALSE)</f>
        <v>-0.33779999999999999</v>
      </c>
      <c r="AK28" s="12">
        <f>IF(Tableau4[[#This Row],[sdom]]="5EST",1,0)</f>
        <v>0</v>
      </c>
      <c r="AL28" s="12">
        <f>VLOOKUP(Tableau4[[#This Row],[essence]],Tableau6[],17,FALSE)</f>
        <v>1.03E-2</v>
      </c>
      <c r="AM28" s="12">
        <f>IF(Tableau4[[#This Row],[priorecol]]="C",1,0)</f>
        <v>0</v>
      </c>
      <c r="AN28" s="12">
        <f>VLOOKUP(Tableau4[[#This Row],[essence]],Tableau6[],18,FALSE)</f>
        <v>1.23E-2</v>
      </c>
      <c r="AO28" s="12">
        <f>IF(Tableau4[[#This Row],[priorecol]]="R",1,0)</f>
        <v>0</v>
      </c>
      <c r="AP28" s="12">
        <f>VLOOKUP(Tableau4[[#This Row],[essence]],Tableau6[],19,FALSE)</f>
        <v>1.2800000000000001E-2</v>
      </c>
      <c r="AQ28" s="12">
        <f>IF(Tableau4[[#This Row],[priorecol]]="S",1,0)</f>
        <v>1</v>
      </c>
      <c r="AR28" s="12">
        <f>VLOOKUP(Tableau4[[#This Row],[essence]],Tableau6[],21,FALSE)</f>
        <v>0</v>
      </c>
      <c r="AS28" s="12">
        <f>IF(Tableau4[[#This Row],[priorecol]]="C",1,0)</f>
        <v>0</v>
      </c>
      <c r="AT28" s="12">
        <f>VLOOKUP(Tableau4[[#This Row],[essence]],Tableau6[],22,FALSE)</f>
        <v>0</v>
      </c>
      <c r="AU28" s="12">
        <f>IF(Tableau4[[#This Row],[priorecol]]="R",1,0)</f>
        <v>0</v>
      </c>
      <c r="AV28" s="12">
        <f>VLOOKUP(Tableau4[[#This Row],[essence]],Tableau6[],23,FALSE)</f>
        <v>0</v>
      </c>
      <c r="AW28" s="12">
        <f>IF(Tableau4[[#This Row],[priorecol]]="S",1,0)</f>
        <v>1</v>
      </c>
      <c r="AX28" s="12">
        <f>VLOOKUP(Tableau4[[#This Row],[essence]],Tableau6[],24,FALSE)</f>
        <v>0</v>
      </c>
      <c r="AY28" s="12">
        <f>VLOOKUP(Tableau4[[#This Row],[essence]],Tableau6[],25,FALSE)</f>
        <v>0</v>
      </c>
      <c r="AZ28" s="12">
        <f>VLOOKUP(Tableau4[[#This Row],[essence]],Tableau6[],26,FALSE)</f>
        <v>0</v>
      </c>
      <c r="BA28" s="12">
        <f>VLOOKUP(Tableau4[[#This Row],[essence]],Tableau6[],27,FALSE)</f>
        <v>0</v>
      </c>
      <c r="BB28" s="12">
        <f>VLOOKUP(Tableau4[[#This Row],[essence]],Tableau6[],16,FALSE)</f>
        <v>-4.8999999999999998E-4</v>
      </c>
      <c r="BC2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1.19218</v>
      </c>
      <c r="BD28" s="12">
        <f>Tableau4[[#This Row],[xb_]]+Tableau4[[#This Row],[b_intercept_C]]+Tableau4[[#This Row],[b_dhpcm_x_intercept_C]]*Tableau4[[#This Row],[dhpcm]]</f>
        <v>2.0139800000000001</v>
      </c>
      <c r="BE28" s="12">
        <f>Tableau4[[#This Row],[xb_]]+Tableau4[[#This Row],[b_intercept_B]]+Tableau4[[#This Row],[b_dhpcm_x_intercept_B]]*Tableau4[[#This Row],[dhpcm]]</f>
        <v>0.51107999999999998</v>
      </c>
      <c r="BF28" s="12">
        <f>Tableau4[[#This Row],[xb_]]+Tableau4[[#This Row],[b_intercept_A]]+Tableau4[[#This Row],[b_dhpcm_x_intercept_A]]*Tableau4[[#This Row],[dhpcm]]</f>
        <v>-0.60152000000000005</v>
      </c>
      <c r="BG28" s="12">
        <f>1/(1+EXP(-Tableau4[[#This Row],[xb_c]]))</f>
        <v>0.88225709207504321</v>
      </c>
      <c r="BH28" s="12">
        <f>1/(1+EXP(-Tableau4[[#This Row],[xb_b]]))</f>
        <v>0.62505961753386408</v>
      </c>
      <c r="BI28" s="12">
        <f>1/(1+EXP(-Tableau4[[#This Row],[xb_a]]))</f>
        <v>0.35399601877005593</v>
      </c>
      <c r="BJ28" s="12">
        <f>Tableau4[[#This Row],[prob_a]]</f>
        <v>0.35399601877005593</v>
      </c>
      <c r="BK28" s="12">
        <f>Tableau4[[#This Row],[prob_b]]-Tableau4[[#This Row],[prob_a]]</f>
        <v>0.27106359876380814</v>
      </c>
      <c r="BL28" s="12">
        <f>Tableau4[[#This Row],[prob_c]]-Tableau4[[#This Row],[prob_b]]</f>
        <v>0.25719747454117914</v>
      </c>
      <c r="BM28" s="12">
        <f>1-Tableau4[[#This Row],[prob_c]]</f>
        <v>0.11774290792495679</v>
      </c>
    </row>
    <row r="29" spans="1:65" x14ac:dyDescent="0.25">
      <c r="A29" s="12">
        <v>2</v>
      </c>
      <c r="B29" s="12" t="s">
        <v>10</v>
      </c>
      <c r="C29" s="12">
        <v>2.1</v>
      </c>
      <c r="D29" s="12">
        <v>828</v>
      </c>
      <c r="E29" s="12">
        <v>29</v>
      </c>
      <c r="F29" s="12">
        <v>0</v>
      </c>
      <c r="G29" s="12">
        <v>52</v>
      </c>
      <c r="H29" s="12">
        <v>67</v>
      </c>
      <c r="I29" s="12" t="s">
        <v>20</v>
      </c>
      <c r="J29" s="12" t="s">
        <v>27</v>
      </c>
      <c r="K29" s="12">
        <f>VLOOKUP(Tableau4[[#This Row],[essence]],Tableau6[],2,FALSE)</f>
        <v>1.0688</v>
      </c>
      <c r="L29" s="12">
        <f>VLOOKUP(Tableau4[[#This Row],[essence]],Tableau6[],3,FALSE)</f>
        <v>2.0478000000000001</v>
      </c>
      <c r="M29" s="12">
        <f>VLOOKUP(Tableau4[[#This Row],[essence]],Tableau6[],4,FALSE)</f>
        <v>3.3382999999999998</v>
      </c>
      <c r="N29" s="12">
        <f>VLOOKUP(Tableau4[[#This Row],[essence]],Tableau6[],5,FALSE)</f>
        <v>-1.2143999999999999</v>
      </c>
      <c r="O29" s="12">
        <f>IF(Tableau4[[#This Row],[priorecol]]="C",1,0)</f>
        <v>1</v>
      </c>
      <c r="P29" s="12">
        <f>VLOOKUP(Tableau4[[#This Row],[essence]],Tableau6[],6,FALSE)</f>
        <v>-1.2690999999999999</v>
      </c>
      <c r="Q29" s="12">
        <f>IF(Tableau4[[#This Row],[priorecol]]="R",1,0)</f>
        <v>0</v>
      </c>
      <c r="R29" s="12">
        <f>VLOOKUP(Tableau4[[#This Row],[essence]],Tableau6[],7,FALSE)</f>
        <v>-7.1900000000000006E-2</v>
      </c>
      <c r="S29" s="12">
        <f>IF(Tableau4[[#This Row],[priorecol]]="S",1,0)</f>
        <v>0</v>
      </c>
      <c r="T29" s="12">
        <f>VLOOKUP(Tableau4[[#This Row],[essence]],Tableau6[],20,FALSE)</f>
        <v>-3.04E-2</v>
      </c>
      <c r="U29" s="12">
        <f>VLOOKUP(Tableau4[[#This Row],[essence]],Tableau6[],15,FALSE)</f>
        <v>1.4200000000000001E-2</v>
      </c>
      <c r="V29" s="12">
        <f>VLOOKUP(Tableau4[[#This Row],[essence]],Tableau6[],28,FALSE)</f>
        <v>0</v>
      </c>
      <c r="W29" s="12">
        <f>IF(Tableau4[[#This Row],[sdom]]=1,1,0)</f>
        <v>0</v>
      </c>
      <c r="X29" s="12">
        <f>VLOOKUP(Tableau4[[#This Row],[essence]],Tableau6[],8,FALSE)</f>
        <v>0</v>
      </c>
      <c r="Y29" s="12">
        <f>IF(Tableau4[[#This Row],[sdom]]="2EST",1,0)</f>
        <v>1</v>
      </c>
      <c r="Z29" s="12">
        <f>VLOOKUP(Tableau4[[#This Row],[essence]],Tableau6[],9,FALSE)</f>
        <v>0</v>
      </c>
      <c r="AA29" s="12">
        <f>IF(Tableau4[[#This Row],[sdom]]="2OUEST",1,0)</f>
        <v>0</v>
      </c>
      <c r="AB29" s="12">
        <f>VLOOKUP(Tableau4[[#This Row],[essence]],Tableau6[],10,FALSE)</f>
        <v>0</v>
      </c>
      <c r="AC29" s="12">
        <f>IF(Tableau4[[#This Row],[sdom]]="3EST",1,0)</f>
        <v>0</v>
      </c>
      <c r="AD29" s="12">
        <f>VLOOKUP(Tableau4[[#This Row],[essence]],Tableau6[],11,FALSE)</f>
        <v>0</v>
      </c>
      <c r="AE29" s="12">
        <f>IF(Tableau4[[#This Row],[sdom]]="3OUEST",1,0)</f>
        <v>0</v>
      </c>
      <c r="AF29" s="12">
        <f>VLOOKUP(Tableau4[[#This Row],[essence]],Tableau6[],12,FALSE)</f>
        <v>0</v>
      </c>
      <c r="AG29" s="12">
        <f>IF(Tableau4[[#This Row],[sdom]]="4EST",1,0)</f>
        <v>0</v>
      </c>
      <c r="AH29" s="12">
        <f>VLOOKUP(Tableau4[[#This Row],[essence]],Tableau6[],13,FALSE)</f>
        <v>0</v>
      </c>
      <c r="AI29" s="12">
        <f>IF(Tableau4[[#This Row],[sdom]]="4OUEST",1,0)</f>
        <v>0</v>
      </c>
      <c r="AJ29" s="12">
        <f>VLOOKUP(Tableau4[[#This Row],[essence]],Tableau6[],14,FALSE)</f>
        <v>0</v>
      </c>
      <c r="AK29" s="12">
        <f>IF(Tableau4[[#This Row],[sdom]]="5EST",1,0)</f>
        <v>0</v>
      </c>
      <c r="AL29" s="12">
        <f>VLOOKUP(Tableau4[[#This Row],[essence]],Tableau6[],17,FALSE)</f>
        <v>0</v>
      </c>
      <c r="AM29" s="12">
        <f>IF(Tableau4[[#This Row],[priorecol]]="C",1,0)</f>
        <v>1</v>
      </c>
      <c r="AN29" s="12">
        <f>VLOOKUP(Tableau4[[#This Row],[essence]],Tableau6[],18,FALSE)</f>
        <v>0</v>
      </c>
      <c r="AO29" s="12">
        <f>IF(Tableau4[[#This Row],[priorecol]]="R",1,0)</f>
        <v>0</v>
      </c>
      <c r="AP29" s="12">
        <f>VLOOKUP(Tableau4[[#This Row],[essence]],Tableau6[],19,FALSE)</f>
        <v>0</v>
      </c>
      <c r="AQ29" s="12">
        <f>IF(Tableau4[[#This Row],[priorecol]]="S",1,0)</f>
        <v>0</v>
      </c>
      <c r="AR29" s="12">
        <f>VLOOKUP(Tableau4[[#This Row],[essence]],Tableau6[],21,FALSE)</f>
        <v>5.4600000000000003E-2</v>
      </c>
      <c r="AS29" s="12">
        <f>IF(Tableau4[[#This Row],[priorecol]]="C",1,0)</f>
        <v>1</v>
      </c>
      <c r="AT29" s="12">
        <f>VLOOKUP(Tableau4[[#This Row],[essence]],Tableau6[],22,FALSE)</f>
        <v>6.7900000000000002E-2</v>
      </c>
      <c r="AU29" s="12">
        <f>IF(Tableau4[[#This Row],[priorecol]]="R",1,0)</f>
        <v>0</v>
      </c>
      <c r="AV29" s="12">
        <f>VLOOKUP(Tableau4[[#This Row],[essence]],Tableau6[],23,FALSE)</f>
        <v>1.8700000000000001E-2</v>
      </c>
      <c r="AW29" s="12">
        <f>IF(Tableau4[[#This Row],[priorecol]]="S",1,0)</f>
        <v>0</v>
      </c>
      <c r="AX29" s="12">
        <f>VLOOKUP(Tableau4[[#This Row],[essence]],Tableau6[],24,FALSE)</f>
        <v>0</v>
      </c>
      <c r="AY29" s="12">
        <f>VLOOKUP(Tableau4[[#This Row],[essence]],Tableau6[],25,FALSE)</f>
        <v>0</v>
      </c>
      <c r="AZ29" s="12">
        <f>VLOOKUP(Tableau4[[#This Row],[essence]],Tableau6[],26,FALSE)</f>
        <v>0</v>
      </c>
      <c r="BA29" s="12">
        <f>VLOOKUP(Tableau4[[#This Row],[essence]],Tableau6[],27,FALSE)</f>
        <v>0</v>
      </c>
      <c r="BB29" s="12">
        <f>VLOOKUP(Tableau4[[#This Row],[essence]],Tableau6[],16,FALSE)</f>
        <v>-1.33E-3</v>
      </c>
      <c r="BC2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-0.28243999999999958</v>
      </c>
      <c r="BD29" s="12">
        <f>Tableau4[[#This Row],[xb_]]+Tableau4[[#This Row],[b_intercept_C]]+Tableau4[[#This Row],[b_dhpcm_x_intercept_C]]*Tableau4[[#This Row],[dhpcm]]</f>
        <v>3.05586</v>
      </c>
      <c r="BE29" s="12">
        <f>Tableau4[[#This Row],[xb_]]+Tableau4[[#This Row],[b_intercept_B]]+Tableau4[[#This Row],[b_dhpcm_x_intercept_B]]*Tableau4[[#This Row],[dhpcm]]</f>
        <v>1.7653600000000005</v>
      </c>
      <c r="BF29" s="12">
        <f>Tableau4[[#This Row],[xb_]]+Tableau4[[#This Row],[b_intercept_A]]+Tableau4[[#This Row],[b_dhpcm_x_intercept_A]]*Tableau4[[#This Row],[dhpcm]]</f>
        <v>0.78636000000000039</v>
      </c>
      <c r="BG29" s="12">
        <f>1/(1+EXP(-Tableau4[[#This Row],[xb_c]]))</f>
        <v>0.95503484627799173</v>
      </c>
      <c r="BH29" s="12">
        <f>1/(1+EXP(-Tableau4[[#This Row],[xb_b]]))</f>
        <v>0.85387969222396143</v>
      </c>
      <c r="BI29" s="12">
        <f>1/(1+EXP(-Tableau4[[#This Row],[xb_a]]))</f>
        <v>0.68704921812722886</v>
      </c>
      <c r="BJ29" s="12">
        <f>Tableau4[[#This Row],[prob_a]]</f>
        <v>0.68704921812722886</v>
      </c>
      <c r="BK29" s="12">
        <f>Tableau4[[#This Row],[prob_b]]-Tableau4[[#This Row],[prob_a]]</f>
        <v>0.16683047409673257</v>
      </c>
      <c r="BL29" s="12">
        <f>Tableau4[[#This Row],[prob_c]]-Tableau4[[#This Row],[prob_b]]</f>
        <v>0.10115515405403031</v>
      </c>
      <c r="BM29" s="12">
        <f>1-Tableau4[[#This Row],[prob_c]]</f>
        <v>4.4965153722008266E-2</v>
      </c>
    </row>
    <row r="30" spans="1:65" x14ac:dyDescent="0.25">
      <c r="A30" s="12">
        <v>2</v>
      </c>
      <c r="B30" s="12" t="s">
        <v>10</v>
      </c>
      <c r="C30" s="12">
        <v>2.1</v>
      </c>
      <c r="D30" s="12">
        <v>828</v>
      </c>
      <c r="E30" s="12">
        <v>29</v>
      </c>
      <c r="F30" s="12">
        <v>0</v>
      </c>
      <c r="G30" s="12">
        <v>53</v>
      </c>
      <c r="H30" s="12">
        <v>68</v>
      </c>
      <c r="I30" s="12" t="s">
        <v>20</v>
      </c>
      <c r="J30" s="12" t="s">
        <v>28</v>
      </c>
      <c r="K30" s="12">
        <f>VLOOKUP(Tableau4[[#This Row],[essence]],Tableau6[],2,FALSE)</f>
        <v>1.0688</v>
      </c>
      <c r="L30" s="12">
        <f>VLOOKUP(Tableau4[[#This Row],[essence]],Tableau6[],3,FALSE)</f>
        <v>2.0478000000000001</v>
      </c>
      <c r="M30" s="12">
        <f>VLOOKUP(Tableau4[[#This Row],[essence]],Tableau6[],4,FALSE)</f>
        <v>3.3382999999999998</v>
      </c>
      <c r="N30" s="12">
        <f>VLOOKUP(Tableau4[[#This Row],[essence]],Tableau6[],5,FALSE)</f>
        <v>-1.2143999999999999</v>
      </c>
      <c r="O30" s="12">
        <f>IF(Tableau4[[#This Row],[priorecol]]="C",1,0)</f>
        <v>0</v>
      </c>
      <c r="P30" s="12">
        <f>VLOOKUP(Tableau4[[#This Row],[essence]],Tableau6[],6,FALSE)</f>
        <v>-1.2690999999999999</v>
      </c>
      <c r="Q30" s="12">
        <f>IF(Tableau4[[#This Row],[priorecol]]="R",1,0)</f>
        <v>1</v>
      </c>
      <c r="R30" s="12">
        <f>VLOOKUP(Tableau4[[#This Row],[essence]],Tableau6[],7,FALSE)</f>
        <v>-7.1900000000000006E-2</v>
      </c>
      <c r="S30" s="12">
        <f>IF(Tableau4[[#This Row],[priorecol]]="S",1,0)</f>
        <v>0</v>
      </c>
      <c r="T30" s="12">
        <f>VLOOKUP(Tableau4[[#This Row],[essence]],Tableau6[],20,FALSE)</f>
        <v>-3.04E-2</v>
      </c>
      <c r="U30" s="12">
        <f>VLOOKUP(Tableau4[[#This Row],[essence]],Tableau6[],15,FALSE)</f>
        <v>1.4200000000000001E-2</v>
      </c>
      <c r="V30" s="12">
        <f>VLOOKUP(Tableau4[[#This Row],[essence]],Tableau6[],28,FALSE)</f>
        <v>0</v>
      </c>
      <c r="W30" s="12">
        <f>IF(Tableau4[[#This Row],[sdom]]=1,1,0)</f>
        <v>0</v>
      </c>
      <c r="X30" s="12">
        <f>VLOOKUP(Tableau4[[#This Row],[essence]],Tableau6[],8,FALSE)</f>
        <v>0</v>
      </c>
      <c r="Y30" s="12">
        <f>IF(Tableau4[[#This Row],[sdom]]="2EST",1,0)</f>
        <v>1</v>
      </c>
      <c r="Z30" s="12">
        <f>VLOOKUP(Tableau4[[#This Row],[essence]],Tableau6[],9,FALSE)</f>
        <v>0</v>
      </c>
      <c r="AA30" s="12">
        <f>IF(Tableau4[[#This Row],[sdom]]="2OUEST",1,0)</f>
        <v>0</v>
      </c>
      <c r="AB30" s="12">
        <f>VLOOKUP(Tableau4[[#This Row],[essence]],Tableau6[],10,FALSE)</f>
        <v>0</v>
      </c>
      <c r="AC30" s="12">
        <f>IF(Tableau4[[#This Row],[sdom]]="3EST",1,0)</f>
        <v>0</v>
      </c>
      <c r="AD30" s="12">
        <f>VLOOKUP(Tableau4[[#This Row],[essence]],Tableau6[],11,FALSE)</f>
        <v>0</v>
      </c>
      <c r="AE30" s="12">
        <f>IF(Tableau4[[#This Row],[sdom]]="3OUEST",1,0)</f>
        <v>0</v>
      </c>
      <c r="AF30" s="12">
        <f>VLOOKUP(Tableau4[[#This Row],[essence]],Tableau6[],12,FALSE)</f>
        <v>0</v>
      </c>
      <c r="AG30" s="12">
        <f>IF(Tableau4[[#This Row],[sdom]]="4EST",1,0)</f>
        <v>0</v>
      </c>
      <c r="AH30" s="12">
        <f>VLOOKUP(Tableau4[[#This Row],[essence]],Tableau6[],13,FALSE)</f>
        <v>0</v>
      </c>
      <c r="AI30" s="12">
        <f>IF(Tableau4[[#This Row],[sdom]]="4OUEST",1,0)</f>
        <v>0</v>
      </c>
      <c r="AJ30" s="12">
        <f>VLOOKUP(Tableau4[[#This Row],[essence]],Tableau6[],14,FALSE)</f>
        <v>0</v>
      </c>
      <c r="AK30" s="12">
        <f>IF(Tableau4[[#This Row],[sdom]]="5EST",1,0)</f>
        <v>0</v>
      </c>
      <c r="AL30" s="12">
        <f>VLOOKUP(Tableau4[[#This Row],[essence]],Tableau6[],17,FALSE)</f>
        <v>0</v>
      </c>
      <c r="AM30" s="12">
        <f>IF(Tableau4[[#This Row],[priorecol]]="C",1,0)</f>
        <v>0</v>
      </c>
      <c r="AN30" s="12">
        <f>VLOOKUP(Tableau4[[#This Row],[essence]],Tableau6[],18,FALSE)</f>
        <v>0</v>
      </c>
      <c r="AO30" s="12">
        <f>IF(Tableau4[[#This Row],[priorecol]]="R",1,0)</f>
        <v>1</v>
      </c>
      <c r="AP30" s="12">
        <f>VLOOKUP(Tableau4[[#This Row],[essence]],Tableau6[],19,FALSE)</f>
        <v>0</v>
      </c>
      <c r="AQ30" s="12">
        <f>IF(Tableau4[[#This Row],[priorecol]]="S",1,0)</f>
        <v>0</v>
      </c>
      <c r="AR30" s="12">
        <f>VLOOKUP(Tableau4[[#This Row],[essence]],Tableau6[],21,FALSE)</f>
        <v>5.4600000000000003E-2</v>
      </c>
      <c r="AS30" s="12">
        <f>IF(Tableau4[[#This Row],[priorecol]]="C",1,0)</f>
        <v>0</v>
      </c>
      <c r="AT30" s="12">
        <f>VLOOKUP(Tableau4[[#This Row],[essence]],Tableau6[],22,FALSE)</f>
        <v>6.7900000000000002E-2</v>
      </c>
      <c r="AU30" s="12">
        <f>IF(Tableau4[[#This Row],[priorecol]]="R",1,0)</f>
        <v>1</v>
      </c>
      <c r="AV30" s="12">
        <f>VLOOKUP(Tableau4[[#This Row],[essence]],Tableau6[],23,FALSE)</f>
        <v>1.8700000000000001E-2</v>
      </c>
      <c r="AW30" s="12">
        <f>IF(Tableau4[[#This Row],[priorecol]]="S",1,0)</f>
        <v>0</v>
      </c>
      <c r="AX30" s="12">
        <f>VLOOKUP(Tableau4[[#This Row],[essence]],Tableau6[],24,FALSE)</f>
        <v>0</v>
      </c>
      <c r="AY30" s="12">
        <f>VLOOKUP(Tableau4[[#This Row],[essence]],Tableau6[],25,FALSE)</f>
        <v>0</v>
      </c>
      <c r="AZ30" s="12">
        <f>VLOOKUP(Tableau4[[#This Row],[essence]],Tableau6[],26,FALSE)</f>
        <v>0</v>
      </c>
      <c r="BA30" s="12">
        <f>VLOOKUP(Tableau4[[#This Row],[essence]],Tableau6[],27,FALSE)</f>
        <v>0</v>
      </c>
      <c r="BB30" s="12">
        <f>VLOOKUP(Tableau4[[#This Row],[essence]],Tableau6[],16,FALSE)</f>
        <v>-1.33E-3</v>
      </c>
      <c r="BC3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0.59146000000000032</v>
      </c>
      <c r="BD30" s="12">
        <f>Tableau4[[#This Row],[xb_]]+Tableau4[[#This Row],[b_intercept_C]]+Tableau4[[#This Row],[b_dhpcm_x_intercept_C]]*Tableau4[[#This Row],[dhpcm]]</f>
        <v>3.9297599999999999</v>
      </c>
      <c r="BE30" s="12">
        <f>Tableau4[[#This Row],[xb_]]+Tableau4[[#This Row],[b_intercept_B]]+Tableau4[[#This Row],[b_dhpcm_x_intercept_B]]*Tableau4[[#This Row],[dhpcm]]</f>
        <v>2.6392600000000002</v>
      </c>
      <c r="BF30" s="12">
        <f>Tableau4[[#This Row],[xb_]]+Tableau4[[#This Row],[b_intercept_A]]+Tableau4[[#This Row],[b_dhpcm_x_intercept_A]]*Tableau4[[#This Row],[dhpcm]]</f>
        <v>1.6602600000000003</v>
      </c>
      <c r="BG30" s="12">
        <f>1/(1+EXP(-Tableau4[[#This Row],[xb_c]]))</f>
        <v>0.98073023226515998</v>
      </c>
      <c r="BH30" s="12">
        <f>1/(1+EXP(-Tableau4[[#This Row],[xb_b]]))</f>
        <v>0.9333459428275932</v>
      </c>
      <c r="BI30" s="12">
        <f>1/(1+EXP(-Tableau4[[#This Row],[xb_a]]))</f>
        <v>0.84027290187525105</v>
      </c>
      <c r="BJ30" s="12">
        <f>Tableau4[[#This Row],[prob_a]]</f>
        <v>0.84027290187525105</v>
      </c>
      <c r="BK30" s="12">
        <f>Tableau4[[#This Row],[prob_b]]-Tableau4[[#This Row],[prob_a]]</f>
        <v>9.3073040952342145E-2</v>
      </c>
      <c r="BL30" s="12">
        <f>Tableau4[[#This Row],[prob_c]]-Tableau4[[#This Row],[prob_b]]</f>
        <v>4.7384289437566784E-2</v>
      </c>
      <c r="BM30" s="12">
        <f>1-Tableau4[[#This Row],[prob_c]]</f>
        <v>1.9269767734840015E-2</v>
      </c>
    </row>
    <row r="31" spans="1:65" x14ac:dyDescent="0.25">
      <c r="A31" s="12">
        <v>2</v>
      </c>
      <c r="B31" s="12" t="s">
        <v>10</v>
      </c>
      <c r="C31" s="12">
        <v>2.1</v>
      </c>
      <c r="D31" s="12">
        <v>828</v>
      </c>
      <c r="E31" s="12">
        <v>29</v>
      </c>
      <c r="F31" s="12">
        <v>0</v>
      </c>
      <c r="G31" s="12">
        <v>54</v>
      </c>
      <c r="H31" s="12">
        <v>69</v>
      </c>
      <c r="I31" s="12" t="s">
        <v>20</v>
      </c>
      <c r="J31" s="12" t="s">
        <v>29</v>
      </c>
      <c r="K31" s="12">
        <f>VLOOKUP(Tableau4[[#This Row],[essence]],Tableau6[],2,FALSE)</f>
        <v>1.0688</v>
      </c>
      <c r="L31" s="12">
        <f>VLOOKUP(Tableau4[[#This Row],[essence]],Tableau6[],3,FALSE)</f>
        <v>2.0478000000000001</v>
      </c>
      <c r="M31" s="12">
        <f>VLOOKUP(Tableau4[[#This Row],[essence]],Tableau6[],4,FALSE)</f>
        <v>3.3382999999999998</v>
      </c>
      <c r="N31" s="12">
        <f>VLOOKUP(Tableau4[[#This Row],[essence]],Tableau6[],5,FALSE)</f>
        <v>-1.2143999999999999</v>
      </c>
      <c r="O31" s="12">
        <f>IF(Tableau4[[#This Row],[priorecol]]="C",1,0)</f>
        <v>0</v>
      </c>
      <c r="P31" s="12">
        <f>VLOOKUP(Tableau4[[#This Row],[essence]],Tableau6[],6,FALSE)</f>
        <v>-1.2690999999999999</v>
      </c>
      <c r="Q31" s="12">
        <f>IF(Tableau4[[#This Row],[priorecol]]="R",1,0)</f>
        <v>0</v>
      </c>
      <c r="R31" s="12">
        <f>VLOOKUP(Tableau4[[#This Row],[essence]],Tableau6[],7,FALSE)</f>
        <v>-7.1900000000000006E-2</v>
      </c>
      <c r="S31" s="12">
        <f>IF(Tableau4[[#This Row],[priorecol]]="S",1,0)</f>
        <v>1</v>
      </c>
      <c r="T31" s="12">
        <f>VLOOKUP(Tableau4[[#This Row],[essence]],Tableau6[],20,FALSE)</f>
        <v>-3.04E-2</v>
      </c>
      <c r="U31" s="12">
        <f>VLOOKUP(Tableau4[[#This Row],[essence]],Tableau6[],15,FALSE)</f>
        <v>1.4200000000000001E-2</v>
      </c>
      <c r="V31" s="12">
        <f>VLOOKUP(Tableau4[[#This Row],[essence]],Tableau6[],28,FALSE)</f>
        <v>0</v>
      </c>
      <c r="W31" s="12">
        <f>IF(Tableau4[[#This Row],[sdom]]=1,1,0)</f>
        <v>0</v>
      </c>
      <c r="X31" s="12">
        <f>VLOOKUP(Tableau4[[#This Row],[essence]],Tableau6[],8,FALSE)</f>
        <v>0</v>
      </c>
      <c r="Y31" s="12">
        <f>IF(Tableau4[[#This Row],[sdom]]="2EST",1,0)</f>
        <v>1</v>
      </c>
      <c r="Z31" s="12">
        <f>VLOOKUP(Tableau4[[#This Row],[essence]],Tableau6[],9,FALSE)</f>
        <v>0</v>
      </c>
      <c r="AA31" s="12">
        <f>IF(Tableau4[[#This Row],[sdom]]="2OUEST",1,0)</f>
        <v>0</v>
      </c>
      <c r="AB31" s="12">
        <f>VLOOKUP(Tableau4[[#This Row],[essence]],Tableau6[],10,FALSE)</f>
        <v>0</v>
      </c>
      <c r="AC31" s="12">
        <f>IF(Tableau4[[#This Row],[sdom]]="3EST",1,0)</f>
        <v>0</v>
      </c>
      <c r="AD31" s="12">
        <f>VLOOKUP(Tableau4[[#This Row],[essence]],Tableau6[],11,FALSE)</f>
        <v>0</v>
      </c>
      <c r="AE31" s="12">
        <f>IF(Tableau4[[#This Row],[sdom]]="3OUEST",1,0)</f>
        <v>0</v>
      </c>
      <c r="AF31" s="12">
        <f>VLOOKUP(Tableau4[[#This Row],[essence]],Tableau6[],12,FALSE)</f>
        <v>0</v>
      </c>
      <c r="AG31" s="12">
        <f>IF(Tableau4[[#This Row],[sdom]]="4EST",1,0)</f>
        <v>0</v>
      </c>
      <c r="AH31" s="12">
        <f>VLOOKUP(Tableau4[[#This Row],[essence]],Tableau6[],13,FALSE)</f>
        <v>0</v>
      </c>
      <c r="AI31" s="12">
        <f>IF(Tableau4[[#This Row],[sdom]]="4OUEST",1,0)</f>
        <v>0</v>
      </c>
      <c r="AJ31" s="12">
        <f>VLOOKUP(Tableau4[[#This Row],[essence]],Tableau6[],14,FALSE)</f>
        <v>0</v>
      </c>
      <c r="AK31" s="12">
        <f>IF(Tableau4[[#This Row],[sdom]]="5EST",1,0)</f>
        <v>0</v>
      </c>
      <c r="AL31" s="12">
        <f>VLOOKUP(Tableau4[[#This Row],[essence]],Tableau6[],17,FALSE)</f>
        <v>0</v>
      </c>
      <c r="AM31" s="12">
        <f>IF(Tableau4[[#This Row],[priorecol]]="C",1,0)</f>
        <v>0</v>
      </c>
      <c r="AN31" s="12">
        <f>VLOOKUP(Tableau4[[#This Row],[essence]],Tableau6[],18,FALSE)</f>
        <v>0</v>
      </c>
      <c r="AO31" s="12">
        <f>IF(Tableau4[[#This Row],[priorecol]]="R",1,0)</f>
        <v>0</v>
      </c>
      <c r="AP31" s="12">
        <f>VLOOKUP(Tableau4[[#This Row],[essence]],Tableau6[],19,FALSE)</f>
        <v>0</v>
      </c>
      <c r="AQ31" s="12">
        <f>IF(Tableau4[[#This Row],[priorecol]]="S",1,0)</f>
        <v>1</v>
      </c>
      <c r="AR31" s="12">
        <f>VLOOKUP(Tableau4[[#This Row],[essence]],Tableau6[],21,FALSE)</f>
        <v>5.4600000000000003E-2</v>
      </c>
      <c r="AS31" s="12">
        <f>IF(Tableau4[[#This Row],[priorecol]]="C",1,0)</f>
        <v>0</v>
      </c>
      <c r="AT31" s="12">
        <f>VLOOKUP(Tableau4[[#This Row],[essence]],Tableau6[],22,FALSE)</f>
        <v>6.7900000000000002E-2</v>
      </c>
      <c r="AU31" s="12">
        <f>IF(Tableau4[[#This Row],[priorecol]]="R",1,0)</f>
        <v>0</v>
      </c>
      <c r="AV31" s="12">
        <f>VLOOKUP(Tableau4[[#This Row],[essence]],Tableau6[],23,FALSE)</f>
        <v>1.8700000000000001E-2</v>
      </c>
      <c r="AW31" s="12">
        <f>IF(Tableau4[[#This Row],[priorecol]]="S",1,0)</f>
        <v>1</v>
      </c>
      <c r="AX31" s="12">
        <f>VLOOKUP(Tableau4[[#This Row],[essence]],Tableau6[],24,FALSE)</f>
        <v>0</v>
      </c>
      <c r="AY31" s="12">
        <f>VLOOKUP(Tableau4[[#This Row],[essence]],Tableau6[],25,FALSE)</f>
        <v>0</v>
      </c>
      <c r="AZ31" s="12">
        <f>VLOOKUP(Tableau4[[#This Row],[essence]],Tableau6[],26,FALSE)</f>
        <v>0</v>
      </c>
      <c r="BA31" s="12">
        <f>VLOOKUP(Tableau4[[#This Row],[essence]],Tableau6[],27,FALSE)</f>
        <v>0</v>
      </c>
      <c r="BB31" s="12">
        <f>VLOOKUP(Tableau4[[#This Row],[essence]],Tableau6[],16,FALSE)</f>
        <v>-1.33E-3</v>
      </c>
      <c r="BC3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-1.5686399999999998</v>
      </c>
      <c r="BD31" s="12">
        <f>Tableau4[[#This Row],[xb_]]+Tableau4[[#This Row],[b_intercept_C]]+Tableau4[[#This Row],[b_dhpcm_x_intercept_C]]*Tableau4[[#This Row],[dhpcm]]</f>
        <v>1.76966</v>
      </c>
      <c r="BE31" s="12">
        <f>Tableau4[[#This Row],[xb_]]+Tableau4[[#This Row],[b_intercept_B]]+Tableau4[[#This Row],[b_dhpcm_x_intercept_B]]*Tableau4[[#This Row],[dhpcm]]</f>
        <v>0.47916000000000025</v>
      </c>
      <c r="BF31" s="12">
        <f>Tableau4[[#This Row],[xb_]]+Tableau4[[#This Row],[b_intercept_A]]+Tableau4[[#This Row],[b_dhpcm_x_intercept_A]]*Tableau4[[#This Row],[dhpcm]]</f>
        <v>-0.49983999999999984</v>
      </c>
      <c r="BG31" s="12">
        <f>1/(1+EXP(-Tableau4[[#This Row],[xb_c]]))</f>
        <v>0.85441538364894432</v>
      </c>
      <c r="BH31" s="12">
        <f>1/(1+EXP(-Tableau4[[#This Row],[xb_b]]))</f>
        <v>0.61754950139224751</v>
      </c>
      <c r="BI31" s="12">
        <f>1/(1+EXP(-Tableau4[[#This Row],[xb_a]]))</f>
        <v>0.37757827012875894</v>
      </c>
      <c r="BJ31" s="12">
        <f>Tableau4[[#This Row],[prob_a]]</f>
        <v>0.37757827012875894</v>
      </c>
      <c r="BK31" s="12">
        <f>Tableau4[[#This Row],[prob_b]]-Tableau4[[#This Row],[prob_a]]</f>
        <v>0.23997123126348857</v>
      </c>
      <c r="BL31" s="12">
        <f>Tableau4[[#This Row],[prob_c]]-Tableau4[[#This Row],[prob_b]]</f>
        <v>0.2368658822566968</v>
      </c>
      <c r="BM31" s="12">
        <f>1-Tableau4[[#This Row],[prob_c]]</f>
        <v>0.14558461635105568</v>
      </c>
    </row>
    <row r="32" spans="1:65" x14ac:dyDescent="0.25">
      <c r="A32" s="12">
        <v>2</v>
      </c>
      <c r="B32" s="12" t="s">
        <v>10</v>
      </c>
      <c r="C32" s="12">
        <v>2.1</v>
      </c>
      <c r="D32" s="12">
        <v>828</v>
      </c>
      <c r="E32" s="12">
        <v>29</v>
      </c>
      <c r="F32" s="12">
        <v>0</v>
      </c>
      <c r="G32" s="12">
        <v>55</v>
      </c>
      <c r="H32" s="12">
        <v>70</v>
      </c>
      <c r="I32" s="12" t="s">
        <v>21</v>
      </c>
      <c r="J32" s="12" t="s">
        <v>27</v>
      </c>
      <c r="K32" s="12">
        <f>VLOOKUP(Tableau4[[#This Row],[essence]],Tableau6[],2,FALSE)</f>
        <v>-2.4091999999999998</v>
      </c>
      <c r="L32" s="12">
        <f>VLOOKUP(Tableau4[[#This Row],[essence]],Tableau6[],3,FALSE)</f>
        <v>-1.3315999999999999</v>
      </c>
      <c r="M32" s="12">
        <f>VLOOKUP(Tableau4[[#This Row],[essence]],Tableau6[],4,FALSE)</f>
        <v>0.2475</v>
      </c>
      <c r="N32" s="12">
        <f>VLOOKUP(Tableau4[[#This Row],[essence]],Tableau6[],5,FALSE)</f>
        <v>1.9658</v>
      </c>
      <c r="O32" s="12">
        <f>IF(Tableau4[[#This Row],[priorecol]]="C",1,0)</f>
        <v>1</v>
      </c>
      <c r="P32" s="12">
        <f>VLOOKUP(Tableau4[[#This Row],[essence]],Tableau6[],6,FALSE)</f>
        <v>2.8807</v>
      </c>
      <c r="Q32" s="12">
        <f>IF(Tableau4[[#This Row],[priorecol]]="R",1,0)</f>
        <v>0</v>
      </c>
      <c r="R32" s="12">
        <f>VLOOKUP(Tableau4[[#This Row],[essence]],Tableau6[],7,FALSE)</f>
        <v>1.1791</v>
      </c>
      <c r="S32" s="12">
        <f>IF(Tableau4[[#This Row],[priorecol]]="S",1,0)</f>
        <v>0</v>
      </c>
      <c r="T32" s="12">
        <f>VLOOKUP(Tableau4[[#This Row],[essence]],Tableau6[],20,FALSE)</f>
        <v>0</v>
      </c>
      <c r="U32" s="12">
        <f>VLOOKUP(Tableau4[[#This Row],[essence]],Tableau6[],15,FALSE)</f>
        <v>2.4500000000000001E-2</v>
      </c>
      <c r="V32" s="12">
        <f>VLOOKUP(Tableau4[[#This Row],[essence]],Tableau6[],28,FALSE)</f>
        <v>0</v>
      </c>
      <c r="W32" s="12">
        <f>IF(Tableau4[[#This Row],[sdom]]=1,1,0)</f>
        <v>0</v>
      </c>
      <c r="X32" s="12">
        <f>VLOOKUP(Tableau4[[#This Row],[essence]],Tableau6[],8,FALSE)</f>
        <v>0</v>
      </c>
      <c r="Y32" s="12">
        <f>IF(Tableau4[[#This Row],[sdom]]="2EST",1,0)</f>
        <v>1</v>
      </c>
      <c r="Z32" s="12">
        <f>VLOOKUP(Tableau4[[#This Row],[essence]],Tableau6[],9,FALSE)</f>
        <v>0</v>
      </c>
      <c r="AA32" s="12">
        <f>IF(Tableau4[[#This Row],[sdom]]="2OUEST",1,0)</f>
        <v>0</v>
      </c>
      <c r="AB32" s="12">
        <f>VLOOKUP(Tableau4[[#This Row],[essence]],Tableau6[],10,FALSE)</f>
        <v>0</v>
      </c>
      <c r="AC32" s="12">
        <f>IF(Tableau4[[#This Row],[sdom]]="3EST",1,0)</f>
        <v>0</v>
      </c>
      <c r="AD32" s="12">
        <f>VLOOKUP(Tableau4[[#This Row],[essence]],Tableau6[],11,FALSE)</f>
        <v>0</v>
      </c>
      <c r="AE32" s="12">
        <f>IF(Tableau4[[#This Row],[sdom]]="3OUEST",1,0)</f>
        <v>0</v>
      </c>
      <c r="AF32" s="12">
        <f>VLOOKUP(Tableau4[[#This Row],[essence]],Tableau6[],12,FALSE)</f>
        <v>0</v>
      </c>
      <c r="AG32" s="12">
        <f>IF(Tableau4[[#This Row],[sdom]]="4EST",1,0)</f>
        <v>0</v>
      </c>
      <c r="AH32" s="12">
        <f>VLOOKUP(Tableau4[[#This Row],[essence]],Tableau6[],13,FALSE)</f>
        <v>0</v>
      </c>
      <c r="AI32" s="12">
        <f>IF(Tableau4[[#This Row],[sdom]]="4OUEST",1,0)</f>
        <v>0</v>
      </c>
      <c r="AJ32" s="12">
        <f>VLOOKUP(Tableau4[[#This Row],[essence]],Tableau6[],14,FALSE)</f>
        <v>0</v>
      </c>
      <c r="AK32" s="12">
        <f>IF(Tableau4[[#This Row],[sdom]]="5EST",1,0)</f>
        <v>0</v>
      </c>
      <c r="AL32" s="12">
        <f>VLOOKUP(Tableau4[[#This Row],[essence]],Tableau6[],17,FALSE)</f>
        <v>0</v>
      </c>
      <c r="AM32" s="12">
        <f>IF(Tableau4[[#This Row],[priorecol]]="C",1,0)</f>
        <v>1</v>
      </c>
      <c r="AN32" s="12">
        <f>VLOOKUP(Tableau4[[#This Row],[essence]],Tableau6[],18,FALSE)</f>
        <v>0</v>
      </c>
      <c r="AO32" s="12">
        <f>IF(Tableau4[[#This Row],[priorecol]]="R",1,0)</f>
        <v>0</v>
      </c>
      <c r="AP32" s="12">
        <f>VLOOKUP(Tableau4[[#This Row],[essence]],Tableau6[],19,FALSE)</f>
        <v>0</v>
      </c>
      <c r="AQ32" s="12">
        <f>IF(Tableau4[[#This Row],[priorecol]]="S",1,0)</f>
        <v>0</v>
      </c>
      <c r="AR32" s="12">
        <f>VLOOKUP(Tableau4[[#This Row],[essence]],Tableau6[],21,FALSE)</f>
        <v>0</v>
      </c>
      <c r="AS32" s="12">
        <f>IF(Tableau4[[#This Row],[priorecol]]="C",1,0)</f>
        <v>1</v>
      </c>
      <c r="AT32" s="12">
        <f>VLOOKUP(Tableau4[[#This Row],[essence]],Tableau6[],22,FALSE)</f>
        <v>0</v>
      </c>
      <c r="AU32" s="12">
        <f>IF(Tableau4[[#This Row],[priorecol]]="R",1,0)</f>
        <v>0</v>
      </c>
      <c r="AV32" s="12">
        <f>VLOOKUP(Tableau4[[#This Row],[essence]],Tableau6[],23,FALSE)</f>
        <v>0</v>
      </c>
      <c r="AW32" s="12">
        <f>IF(Tableau4[[#This Row],[priorecol]]="S",1,0)</f>
        <v>0</v>
      </c>
      <c r="AX32" s="12">
        <f>VLOOKUP(Tableau4[[#This Row],[essence]],Tableau6[],24,FALSE)</f>
        <v>0</v>
      </c>
      <c r="AY32" s="12">
        <f>VLOOKUP(Tableau4[[#This Row],[essence]],Tableau6[],25,FALSE)</f>
        <v>0</v>
      </c>
      <c r="AZ32" s="12">
        <f>VLOOKUP(Tableau4[[#This Row],[essence]],Tableau6[],26,FALSE)</f>
        <v>0</v>
      </c>
      <c r="BA32" s="12">
        <f>VLOOKUP(Tableau4[[#This Row],[essence]],Tableau6[],27,FALSE)</f>
        <v>0</v>
      </c>
      <c r="BB32" s="12">
        <f>VLOOKUP(Tableau4[[#This Row],[essence]],Tableau6[],16,FALSE)</f>
        <v>0</v>
      </c>
      <c r="BC3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2.6762999999999999</v>
      </c>
      <c r="BD32" s="12">
        <f>Tableau4[[#This Row],[xb_]]+Tableau4[[#This Row],[b_intercept_C]]+Tableau4[[#This Row],[b_dhpcm_x_intercept_C]]*Tableau4[[#This Row],[dhpcm]]</f>
        <v>2.9238</v>
      </c>
      <c r="BE32" s="12">
        <f>Tableau4[[#This Row],[xb_]]+Tableau4[[#This Row],[b_intercept_B]]+Tableau4[[#This Row],[b_dhpcm_x_intercept_B]]*Tableau4[[#This Row],[dhpcm]]</f>
        <v>1.3447</v>
      </c>
      <c r="BF32" s="12">
        <f>Tableau4[[#This Row],[xb_]]+Tableau4[[#This Row],[b_intercept_A]]+Tableau4[[#This Row],[b_dhpcm_x_intercept_A]]*Tableau4[[#This Row],[dhpcm]]</f>
        <v>0.26710000000000012</v>
      </c>
      <c r="BG32" s="12">
        <f>1/(1+EXP(-Tableau4[[#This Row],[xb_c]]))</f>
        <v>0.9490104935326269</v>
      </c>
      <c r="BH32" s="12">
        <f>1/(1+EXP(-Tableau4[[#This Row],[xb_b]]))</f>
        <v>0.79326179223466042</v>
      </c>
      <c r="BI32" s="12">
        <f>1/(1+EXP(-Tableau4[[#This Row],[xb_a]]))</f>
        <v>0.5663808211426673</v>
      </c>
      <c r="BJ32" s="12">
        <f>Tableau4[[#This Row],[prob_a]]</f>
        <v>0.5663808211426673</v>
      </c>
      <c r="BK32" s="12">
        <f>Tableau4[[#This Row],[prob_b]]-Tableau4[[#This Row],[prob_a]]</f>
        <v>0.22688097109199312</v>
      </c>
      <c r="BL32" s="12">
        <f>Tableau4[[#This Row],[prob_c]]-Tableau4[[#This Row],[prob_b]]</f>
        <v>0.15574870129796647</v>
      </c>
      <c r="BM32" s="12">
        <f>1-Tableau4[[#This Row],[prob_c]]</f>
        <v>5.0989506467373102E-2</v>
      </c>
    </row>
    <row r="33" spans="1:65" x14ac:dyDescent="0.25">
      <c r="A33" s="12">
        <v>2</v>
      </c>
      <c r="B33" s="12" t="s">
        <v>10</v>
      </c>
      <c r="C33" s="12">
        <v>2.1</v>
      </c>
      <c r="D33" s="12">
        <v>828</v>
      </c>
      <c r="E33" s="12">
        <v>29</v>
      </c>
      <c r="F33" s="12">
        <v>0</v>
      </c>
      <c r="G33" s="12">
        <v>56</v>
      </c>
      <c r="H33" s="12">
        <v>71</v>
      </c>
      <c r="I33" s="12" t="s">
        <v>21</v>
      </c>
      <c r="J33" s="12" t="s">
        <v>28</v>
      </c>
      <c r="K33" s="12">
        <f>VLOOKUP(Tableau4[[#This Row],[essence]],Tableau6[],2,FALSE)</f>
        <v>-2.4091999999999998</v>
      </c>
      <c r="L33" s="12">
        <f>VLOOKUP(Tableau4[[#This Row],[essence]],Tableau6[],3,FALSE)</f>
        <v>-1.3315999999999999</v>
      </c>
      <c r="M33" s="12">
        <f>VLOOKUP(Tableau4[[#This Row],[essence]],Tableau6[],4,FALSE)</f>
        <v>0.2475</v>
      </c>
      <c r="N33" s="12">
        <f>VLOOKUP(Tableau4[[#This Row],[essence]],Tableau6[],5,FALSE)</f>
        <v>1.9658</v>
      </c>
      <c r="O33" s="12">
        <f>IF(Tableau4[[#This Row],[priorecol]]="C",1,0)</f>
        <v>0</v>
      </c>
      <c r="P33" s="12">
        <f>VLOOKUP(Tableau4[[#This Row],[essence]],Tableau6[],6,FALSE)</f>
        <v>2.8807</v>
      </c>
      <c r="Q33" s="12">
        <f>IF(Tableau4[[#This Row],[priorecol]]="R",1,0)</f>
        <v>1</v>
      </c>
      <c r="R33" s="12">
        <f>VLOOKUP(Tableau4[[#This Row],[essence]],Tableau6[],7,FALSE)</f>
        <v>1.1791</v>
      </c>
      <c r="S33" s="12">
        <f>IF(Tableau4[[#This Row],[priorecol]]="S",1,0)</f>
        <v>0</v>
      </c>
      <c r="T33" s="12">
        <f>VLOOKUP(Tableau4[[#This Row],[essence]],Tableau6[],20,FALSE)</f>
        <v>0</v>
      </c>
      <c r="U33" s="12">
        <f>VLOOKUP(Tableau4[[#This Row],[essence]],Tableau6[],15,FALSE)</f>
        <v>2.4500000000000001E-2</v>
      </c>
      <c r="V33" s="12">
        <f>VLOOKUP(Tableau4[[#This Row],[essence]],Tableau6[],28,FALSE)</f>
        <v>0</v>
      </c>
      <c r="W33" s="12">
        <f>IF(Tableau4[[#This Row],[sdom]]=1,1,0)</f>
        <v>0</v>
      </c>
      <c r="X33" s="12">
        <f>VLOOKUP(Tableau4[[#This Row],[essence]],Tableau6[],8,FALSE)</f>
        <v>0</v>
      </c>
      <c r="Y33" s="12">
        <f>IF(Tableau4[[#This Row],[sdom]]="2EST",1,0)</f>
        <v>1</v>
      </c>
      <c r="Z33" s="12">
        <f>VLOOKUP(Tableau4[[#This Row],[essence]],Tableau6[],9,FALSE)</f>
        <v>0</v>
      </c>
      <c r="AA33" s="12">
        <f>IF(Tableau4[[#This Row],[sdom]]="2OUEST",1,0)</f>
        <v>0</v>
      </c>
      <c r="AB33" s="12">
        <f>VLOOKUP(Tableau4[[#This Row],[essence]],Tableau6[],10,FALSE)</f>
        <v>0</v>
      </c>
      <c r="AC33" s="12">
        <f>IF(Tableau4[[#This Row],[sdom]]="3EST",1,0)</f>
        <v>0</v>
      </c>
      <c r="AD33" s="12">
        <f>VLOOKUP(Tableau4[[#This Row],[essence]],Tableau6[],11,FALSE)</f>
        <v>0</v>
      </c>
      <c r="AE33" s="12">
        <f>IF(Tableau4[[#This Row],[sdom]]="3OUEST",1,0)</f>
        <v>0</v>
      </c>
      <c r="AF33" s="12">
        <f>VLOOKUP(Tableau4[[#This Row],[essence]],Tableau6[],12,FALSE)</f>
        <v>0</v>
      </c>
      <c r="AG33" s="12">
        <f>IF(Tableau4[[#This Row],[sdom]]="4EST",1,0)</f>
        <v>0</v>
      </c>
      <c r="AH33" s="12">
        <f>VLOOKUP(Tableau4[[#This Row],[essence]],Tableau6[],13,FALSE)</f>
        <v>0</v>
      </c>
      <c r="AI33" s="12">
        <f>IF(Tableau4[[#This Row],[sdom]]="4OUEST",1,0)</f>
        <v>0</v>
      </c>
      <c r="AJ33" s="12">
        <f>VLOOKUP(Tableau4[[#This Row],[essence]],Tableau6[],14,FALSE)</f>
        <v>0</v>
      </c>
      <c r="AK33" s="12">
        <f>IF(Tableau4[[#This Row],[sdom]]="5EST",1,0)</f>
        <v>0</v>
      </c>
      <c r="AL33" s="12">
        <f>VLOOKUP(Tableau4[[#This Row],[essence]],Tableau6[],17,FALSE)</f>
        <v>0</v>
      </c>
      <c r="AM33" s="12">
        <f>IF(Tableau4[[#This Row],[priorecol]]="C",1,0)</f>
        <v>0</v>
      </c>
      <c r="AN33" s="12">
        <f>VLOOKUP(Tableau4[[#This Row],[essence]],Tableau6[],18,FALSE)</f>
        <v>0</v>
      </c>
      <c r="AO33" s="12">
        <f>IF(Tableau4[[#This Row],[priorecol]]="R",1,0)</f>
        <v>1</v>
      </c>
      <c r="AP33" s="12">
        <f>VLOOKUP(Tableau4[[#This Row],[essence]],Tableau6[],19,FALSE)</f>
        <v>0</v>
      </c>
      <c r="AQ33" s="12">
        <f>IF(Tableau4[[#This Row],[priorecol]]="S",1,0)</f>
        <v>0</v>
      </c>
      <c r="AR33" s="12">
        <f>VLOOKUP(Tableau4[[#This Row],[essence]],Tableau6[],21,FALSE)</f>
        <v>0</v>
      </c>
      <c r="AS33" s="12">
        <f>IF(Tableau4[[#This Row],[priorecol]]="C",1,0)</f>
        <v>0</v>
      </c>
      <c r="AT33" s="12">
        <f>VLOOKUP(Tableau4[[#This Row],[essence]],Tableau6[],22,FALSE)</f>
        <v>0</v>
      </c>
      <c r="AU33" s="12">
        <f>IF(Tableau4[[#This Row],[priorecol]]="R",1,0)</f>
        <v>1</v>
      </c>
      <c r="AV33" s="12">
        <f>VLOOKUP(Tableau4[[#This Row],[essence]],Tableau6[],23,FALSE)</f>
        <v>0</v>
      </c>
      <c r="AW33" s="12">
        <f>IF(Tableau4[[#This Row],[priorecol]]="S",1,0)</f>
        <v>0</v>
      </c>
      <c r="AX33" s="12">
        <f>VLOOKUP(Tableau4[[#This Row],[essence]],Tableau6[],24,FALSE)</f>
        <v>0</v>
      </c>
      <c r="AY33" s="12">
        <f>VLOOKUP(Tableau4[[#This Row],[essence]],Tableau6[],25,FALSE)</f>
        <v>0</v>
      </c>
      <c r="AZ33" s="12">
        <f>VLOOKUP(Tableau4[[#This Row],[essence]],Tableau6[],26,FALSE)</f>
        <v>0</v>
      </c>
      <c r="BA33" s="12">
        <f>VLOOKUP(Tableau4[[#This Row],[essence]],Tableau6[],27,FALSE)</f>
        <v>0</v>
      </c>
      <c r="BB33" s="12">
        <f>VLOOKUP(Tableau4[[#This Row],[essence]],Tableau6[],16,FALSE)</f>
        <v>0</v>
      </c>
      <c r="BC3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3.5912000000000002</v>
      </c>
      <c r="BD33" s="12">
        <f>Tableau4[[#This Row],[xb_]]+Tableau4[[#This Row],[b_intercept_C]]+Tableau4[[#This Row],[b_dhpcm_x_intercept_C]]*Tableau4[[#This Row],[dhpcm]]</f>
        <v>3.8387000000000002</v>
      </c>
      <c r="BE33" s="12">
        <f>Tableau4[[#This Row],[xb_]]+Tableau4[[#This Row],[b_intercept_B]]+Tableau4[[#This Row],[b_dhpcm_x_intercept_B]]*Tableau4[[#This Row],[dhpcm]]</f>
        <v>2.2596000000000003</v>
      </c>
      <c r="BF33" s="12">
        <f>Tableau4[[#This Row],[xb_]]+Tableau4[[#This Row],[b_intercept_A]]+Tableau4[[#This Row],[b_dhpcm_x_intercept_A]]*Tableau4[[#This Row],[dhpcm]]</f>
        <v>1.1820000000000004</v>
      </c>
      <c r="BG33" s="12">
        <f>1/(1+EXP(-Tableau4[[#This Row],[xb_c]]))</f>
        <v>0.97893185810822236</v>
      </c>
      <c r="BH33" s="12">
        <f>1/(1+EXP(-Tableau4[[#This Row],[xb_b]]))</f>
        <v>0.90547540072235577</v>
      </c>
      <c r="BI33" s="12">
        <f>1/(1+EXP(-Tableau4[[#This Row],[xb_a]]))</f>
        <v>0.7653072185142239</v>
      </c>
      <c r="BJ33" s="12">
        <f>Tableau4[[#This Row],[prob_a]]</f>
        <v>0.7653072185142239</v>
      </c>
      <c r="BK33" s="12">
        <f>Tableau4[[#This Row],[prob_b]]-Tableau4[[#This Row],[prob_a]]</f>
        <v>0.14016818220813188</v>
      </c>
      <c r="BL33" s="12">
        <f>Tableau4[[#This Row],[prob_c]]-Tableau4[[#This Row],[prob_b]]</f>
        <v>7.3456457385866591E-2</v>
      </c>
      <c r="BM33" s="12">
        <f>1-Tableau4[[#This Row],[prob_c]]</f>
        <v>2.1068141891777636E-2</v>
      </c>
    </row>
    <row r="34" spans="1:65" x14ac:dyDescent="0.25">
      <c r="A34" s="12">
        <v>2</v>
      </c>
      <c r="B34" s="12" t="s">
        <v>10</v>
      </c>
      <c r="C34" s="12">
        <v>2.1</v>
      </c>
      <c r="D34" s="12">
        <v>828</v>
      </c>
      <c r="E34" s="12">
        <v>29</v>
      </c>
      <c r="F34" s="12">
        <v>0</v>
      </c>
      <c r="G34" s="12">
        <v>57</v>
      </c>
      <c r="H34" s="12">
        <v>72</v>
      </c>
      <c r="I34" s="12" t="s">
        <v>21</v>
      </c>
      <c r="J34" s="12" t="s">
        <v>29</v>
      </c>
      <c r="K34" s="12">
        <f>VLOOKUP(Tableau4[[#This Row],[essence]],Tableau6[],2,FALSE)</f>
        <v>-2.4091999999999998</v>
      </c>
      <c r="L34" s="12">
        <f>VLOOKUP(Tableau4[[#This Row],[essence]],Tableau6[],3,FALSE)</f>
        <v>-1.3315999999999999</v>
      </c>
      <c r="M34" s="12">
        <f>VLOOKUP(Tableau4[[#This Row],[essence]],Tableau6[],4,FALSE)</f>
        <v>0.2475</v>
      </c>
      <c r="N34" s="12">
        <f>VLOOKUP(Tableau4[[#This Row],[essence]],Tableau6[],5,FALSE)</f>
        <v>1.9658</v>
      </c>
      <c r="O34" s="12">
        <f>IF(Tableau4[[#This Row],[priorecol]]="C",1,0)</f>
        <v>0</v>
      </c>
      <c r="P34" s="12">
        <f>VLOOKUP(Tableau4[[#This Row],[essence]],Tableau6[],6,FALSE)</f>
        <v>2.8807</v>
      </c>
      <c r="Q34" s="12">
        <f>IF(Tableau4[[#This Row],[priorecol]]="R",1,0)</f>
        <v>0</v>
      </c>
      <c r="R34" s="12">
        <f>VLOOKUP(Tableau4[[#This Row],[essence]],Tableau6[],7,FALSE)</f>
        <v>1.1791</v>
      </c>
      <c r="S34" s="12">
        <f>IF(Tableau4[[#This Row],[priorecol]]="S",1,0)</f>
        <v>1</v>
      </c>
      <c r="T34" s="12">
        <f>VLOOKUP(Tableau4[[#This Row],[essence]],Tableau6[],20,FALSE)</f>
        <v>0</v>
      </c>
      <c r="U34" s="12">
        <f>VLOOKUP(Tableau4[[#This Row],[essence]],Tableau6[],15,FALSE)</f>
        <v>2.4500000000000001E-2</v>
      </c>
      <c r="V34" s="12">
        <f>VLOOKUP(Tableau4[[#This Row],[essence]],Tableau6[],28,FALSE)</f>
        <v>0</v>
      </c>
      <c r="W34" s="12">
        <f>IF(Tableau4[[#This Row],[sdom]]=1,1,0)</f>
        <v>0</v>
      </c>
      <c r="X34" s="12">
        <f>VLOOKUP(Tableau4[[#This Row],[essence]],Tableau6[],8,FALSE)</f>
        <v>0</v>
      </c>
      <c r="Y34" s="12">
        <f>IF(Tableau4[[#This Row],[sdom]]="2EST",1,0)</f>
        <v>1</v>
      </c>
      <c r="Z34" s="12">
        <f>VLOOKUP(Tableau4[[#This Row],[essence]],Tableau6[],9,FALSE)</f>
        <v>0</v>
      </c>
      <c r="AA34" s="12">
        <f>IF(Tableau4[[#This Row],[sdom]]="2OUEST",1,0)</f>
        <v>0</v>
      </c>
      <c r="AB34" s="12">
        <f>VLOOKUP(Tableau4[[#This Row],[essence]],Tableau6[],10,FALSE)</f>
        <v>0</v>
      </c>
      <c r="AC34" s="12">
        <f>IF(Tableau4[[#This Row],[sdom]]="3EST",1,0)</f>
        <v>0</v>
      </c>
      <c r="AD34" s="12">
        <f>VLOOKUP(Tableau4[[#This Row],[essence]],Tableau6[],11,FALSE)</f>
        <v>0</v>
      </c>
      <c r="AE34" s="12">
        <f>IF(Tableau4[[#This Row],[sdom]]="3OUEST",1,0)</f>
        <v>0</v>
      </c>
      <c r="AF34" s="12">
        <f>VLOOKUP(Tableau4[[#This Row],[essence]],Tableau6[],12,FALSE)</f>
        <v>0</v>
      </c>
      <c r="AG34" s="12">
        <f>IF(Tableau4[[#This Row],[sdom]]="4EST",1,0)</f>
        <v>0</v>
      </c>
      <c r="AH34" s="12">
        <f>VLOOKUP(Tableau4[[#This Row],[essence]],Tableau6[],13,FALSE)</f>
        <v>0</v>
      </c>
      <c r="AI34" s="12">
        <f>IF(Tableau4[[#This Row],[sdom]]="4OUEST",1,0)</f>
        <v>0</v>
      </c>
      <c r="AJ34" s="12">
        <f>VLOOKUP(Tableau4[[#This Row],[essence]],Tableau6[],14,FALSE)</f>
        <v>0</v>
      </c>
      <c r="AK34" s="12">
        <f>IF(Tableau4[[#This Row],[sdom]]="5EST",1,0)</f>
        <v>0</v>
      </c>
      <c r="AL34" s="12">
        <f>VLOOKUP(Tableau4[[#This Row],[essence]],Tableau6[],17,FALSE)</f>
        <v>0</v>
      </c>
      <c r="AM34" s="12">
        <f>IF(Tableau4[[#This Row],[priorecol]]="C",1,0)</f>
        <v>0</v>
      </c>
      <c r="AN34" s="12">
        <f>VLOOKUP(Tableau4[[#This Row],[essence]],Tableau6[],18,FALSE)</f>
        <v>0</v>
      </c>
      <c r="AO34" s="12">
        <f>IF(Tableau4[[#This Row],[priorecol]]="R",1,0)</f>
        <v>0</v>
      </c>
      <c r="AP34" s="12">
        <f>VLOOKUP(Tableau4[[#This Row],[essence]],Tableau6[],19,FALSE)</f>
        <v>0</v>
      </c>
      <c r="AQ34" s="12">
        <f>IF(Tableau4[[#This Row],[priorecol]]="S",1,0)</f>
        <v>1</v>
      </c>
      <c r="AR34" s="12">
        <f>VLOOKUP(Tableau4[[#This Row],[essence]],Tableau6[],21,FALSE)</f>
        <v>0</v>
      </c>
      <c r="AS34" s="12">
        <f>IF(Tableau4[[#This Row],[priorecol]]="C",1,0)</f>
        <v>0</v>
      </c>
      <c r="AT34" s="12">
        <f>VLOOKUP(Tableau4[[#This Row],[essence]],Tableau6[],22,FALSE)</f>
        <v>0</v>
      </c>
      <c r="AU34" s="12">
        <f>IF(Tableau4[[#This Row],[priorecol]]="R",1,0)</f>
        <v>0</v>
      </c>
      <c r="AV34" s="12">
        <f>VLOOKUP(Tableau4[[#This Row],[essence]],Tableau6[],23,FALSE)</f>
        <v>0</v>
      </c>
      <c r="AW34" s="12">
        <f>IF(Tableau4[[#This Row],[priorecol]]="S",1,0)</f>
        <v>1</v>
      </c>
      <c r="AX34" s="12">
        <f>VLOOKUP(Tableau4[[#This Row],[essence]],Tableau6[],24,FALSE)</f>
        <v>0</v>
      </c>
      <c r="AY34" s="12">
        <f>VLOOKUP(Tableau4[[#This Row],[essence]],Tableau6[],25,FALSE)</f>
        <v>0</v>
      </c>
      <c r="AZ34" s="12">
        <f>VLOOKUP(Tableau4[[#This Row],[essence]],Tableau6[],26,FALSE)</f>
        <v>0</v>
      </c>
      <c r="BA34" s="12">
        <f>VLOOKUP(Tableau4[[#This Row],[essence]],Tableau6[],27,FALSE)</f>
        <v>0</v>
      </c>
      <c r="BB34" s="12">
        <f>VLOOKUP(Tableau4[[#This Row],[essence]],Tableau6[],16,FALSE)</f>
        <v>0</v>
      </c>
      <c r="BC3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1.8896000000000002</v>
      </c>
      <c r="BD34" s="12">
        <f>Tableau4[[#This Row],[xb_]]+Tableau4[[#This Row],[b_intercept_C]]+Tableau4[[#This Row],[b_dhpcm_x_intercept_C]]*Tableau4[[#This Row],[dhpcm]]</f>
        <v>2.1371000000000002</v>
      </c>
      <c r="BE34" s="12">
        <f>Tableau4[[#This Row],[xb_]]+Tableau4[[#This Row],[b_intercept_B]]+Tableau4[[#This Row],[b_dhpcm_x_intercept_B]]*Tableau4[[#This Row],[dhpcm]]</f>
        <v>0.55800000000000027</v>
      </c>
      <c r="BF34" s="12">
        <f>Tableau4[[#This Row],[xb_]]+Tableau4[[#This Row],[b_intercept_A]]+Tableau4[[#This Row],[b_dhpcm_x_intercept_A]]*Tableau4[[#This Row],[dhpcm]]</f>
        <v>-0.51959999999999962</v>
      </c>
      <c r="BG34" s="12">
        <f>1/(1+EXP(-Tableau4[[#This Row],[xb_c]]))</f>
        <v>0.89445715317649188</v>
      </c>
      <c r="BH34" s="12">
        <f>1/(1+EXP(-Tableau4[[#This Row],[xb_b]]))</f>
        <v>0.63598965270298891</v>
      </c>
      <c r="BI34" s="12">
        <f>1/(1+EXP(-Tableau4[[#This Row],[xb_a]]))</f>
        <v>0.37294577182103189</v>
      </c>
      <c r="BJ34" s="12">
        <f>Tableau4[[#This Row],[prob_a]]</f>
        <v>0.37294577182103189</v>
      </c>
      <c r="BK34" s="12">
        <f>Tableau4[[#This Row],[prob_b]]-Tableau4[[#This Row],[prob_a]]</f>
        <v>0.26304388088195702</v>
      </c>
      <c r="BL34" s="12">
        <f>Tableau4[[#This Row],[prob_c]]-Tableau4[[#This Row],[prob_b]]</f>
        <v>0.25846750047350298</v>
      </c>
      <c r="BM34" s="12">
        <f>1-Tableau4[[#This Row],[prob_c]]</f>
        <v>0.10554284682350812</v>
      </c>
    </row>
    <row r="35" spans="1:65" x14ac:dyDescent="0.25">
      <c r="A35" s="12">
        <v>2</v>
      </c>
      <c r="B35" s="12" t="s">
        <v>10</v>
      </c>
      <c r="C35" s="12">
        <v>2.1</v>
      </c>
      <c r="D35" s="12">
        <v>828</v>
      </c>
      <c r="E35" s="12">
        <v>29</v>
      </c>
      <c r="F35" s="12">
        <v>0</v>
      </c>
      <c r="G35" s="12">
        <v>58</v>
      </c>
      <c r="H35" s="12">
        <v>73</v>
      </c>
      <c r="I35" s="12" t="s">
        <v>22</v>
      </c>
      <c r="J35" s="12" t="s">
        <v>27</v>
      </c>
      <c r="K35" s="12">
        <f>VLOOKUP(Tableau4[[#This Row],[essence]],Tableau6[],2,FALSE)</f>
        <v>-3.5731999999999999</v>
      </c>
      <c r="L35" s="12">
        <f>VLOOKUP(Tableau4[[#This Row],[essence]],Tableau6[],3,FALSE)</f>
        <v>-1.9289000000000001</v>
      </c>
      <c r="M35" s="12">
        <f>VLOOKUP(Tableau4[[#This Row],[essence]],Tableau6[],4,FALSE)</f>
        <v>0.40949999999999998</v>
      </c>
      <c r="N35" s="12">
        <f>VLOOKUP(Tableau4[[#This Row],[essence]],Tableau6[],5,FALSE)</f>
        <v>2.0705</v>
      </c>
      <c r="O35" s="12">
        <f>IF(Tableau4[[#This Row],[priorecol]]="C",1,0)</f>
        <v>1</v>
      </c>
      <c r="P35" s="12">
        <f>VLOOKUP(Tableau4[[#This Row],[essence]],Tableau6[],6,FALSE)</f>
        <v>2.9992999999999999</v>
      </c>
      <c r="Q35" s="12">
        <f>IF(Tableau4[[#This Row],[priorecol]]="R",1,0)</f>
        <v>0</v>
      </c>
      <c r="R35" s="12">
        <f>VLOOKUP(Tableau4[[#This Row],[essence]],Tableau6[],7,FALSE)</f>
        <v>1.3050999999999999</v>
      </c>
      <c r="S35" s="12">
        <f>IF(Tableau4[[#This Row],[priorecol]]="S",1,0)</f>
        <v>0</v>
      </c>
      <c r="T35" s="12">
        <f>VLOOKUP(Tableau4[[#This Row],[essence]],Tableau6[],20,FALSE)</f>
        <v>0</v>
      </c>
      <c r="U35" s="12">
        <f>VLOOKUP(Tableau4[[#This Row],[essence]],Tableau6[],15,FALSE)</f>
        <v>0</v>
      </c>
      <c r="V35" s="12">
        <f>VLOOKUP(Tableau4[[#This Row],[essence]],Tableau6[],28,FALSE)</f>
        <v>0</v>
      </c>
      <c r="W35" s="12">
        <f>IF(Tableau4[[#This Row],[sdom]]=1,1,0)</f>
        <v>0</v>
      </c>
      <c r="X35" s="12">
        <f>VLOOKUP(Tableau4[[#This Row],[essence]],Tableau6[],8,FALSE)</f>
        <v>0</v>
      </c>
      <c r="Y35" s="12">
        <f>IF(Tableau4[[#This Row],[sdom]]="2EST",1,0)</f>
        <v>1</v>
      </c>
      <c r="Z35" s="12">
        <f>VLOOKUP(Tableau4[[#This Row],[essence]],Tableau6[],9,FALSE)</f>
        <v>0</v>
      </c>
      <c r="AA35" s="12">
        <f>IF(Tableau4[[#This Row],[sdom]]="2OUEST",1,0)</f>
        <v>0</v>
      </c>
      <c r="AB35" s="12">
        <f>VLOOKUP(Tableau4[[#This Row],[essence]],Tableau6[],10,FALSE)</f>
        <v>0</v>
      </c>
      <c r="AC35" s="12">
        <f>IF(Tableau4[[#This Row],[sdom]]="3EST",1,0)</f>
        <v>0</v>
      </c>
      <c r="AD35" s="12">
        <f>VLOOKUP(Tableau4[[#This Row],[essence]],Tableau6[],11,FALSE)</f>
        <v>0</v>
      </c>
      <c r="AE35" s="12">
        <f>IF(Tableau4[[#This Row],[sdom]]="3OUEST",1,0)</f>
        <v>0</v>
      </c>
      <c r="AF35" s="12">
        <f>VLOOKUP(Tableau4[[#This Row],[essence]],Tableau6[],12,FALSE)</f>
        <v>0</v>
      </c>
      <c r="AG35" s="12">
        <f>IF(Tableau4[[#This Row],[sdom]]="4EST",1,0)</f>
        <v>0</v>
      </c>
      <c r="AH35" s="12">
        <f>VLOOKUP(Tableau4[[#This Row],[essence]],Tableau6[],13,FALSE)</f>
        <v>0</v>
      </c>
      <c r="AI35" s="12">
        <f>IF(Tableau4[[#This Row],[sdom]]="4OUEST",1,0)</f>
        <v>0</v>
      </c>
      <c r="AJ35" s="12">
        <f>VLOOKUP(Tableau4[[#This Row],[essence]],Tableau6[],14,FALSE)</f>
        <v>0</v>
      </c>
      <c r="AK35" s="12">
        <f>IF(Tableau4[[#This Row],[sdom]]="5EST",1,0)</f>
        <v>0</v>
      </c>
      <c r="AL35" s="12">
        <f>VLOOKUP(Tableau4[[#This Row],[essence]],Tableau6[],17,FALSE)</f>
        <v>0</v>
      </c>
      <c r="AM35" s="12">
        <f>IF(Tableau4[[#This Row],[priorecol]]="C",1,0)</f>
        <v>1</v>
      </c>
      <c r="AN35" s="12">
        <f>VLOOKUP(Tableau4[[#This Row],[essence]],Tableau6[],18,FALSE)</f>
        <v>0</v>
      </c>
      <c r="AO35" s="12">
        <f>IF(Tableau4[[#This Row],[priorecol]]="R",1,0)</f>
        <v>0</v>
      </c>
      <c r="AP35" s="12">
        <f>VLOOKUP(Tableau4[[#This Row],[essence]],Tableau6[],19,FALSE)</f>
        <v>0</v>
      </c>
      <c r="AQ35" s="12">
        <f>IF(Tableau4[[#This Row],[priorecol]]="S",1,0)</f>
        <v>0</v>
      </c>
      <c r="AR35" s="12">
        <f>VLOOKUP(Tableau4[[#This Row],[essence]],Tableau6[],21,FALSE)</f>
        <v>0</v>
      </c>
      <c r="AS35" s="12">
        <f>IF(Tableau4[[#This Row],[priorecol]]="C",1,0)</f>
        <v>1</v>
      </c>
      <c r="AT35" s="12">
        <f>VLOOKUP(Tableau4[[#This Row],[essence]],Tableau6[],22,FALSE)</f>
        <v>0</v>
      </c>
      <c r="AU35" s="12">
        <f>IF(Tableau4[[#This Row],[priorecol]]="R",1,0)</f>
        <v>0</v>
      </c>
      <c r="AV35" s="12">
        <f>VLOOKUP(Tableau4[[#This Row],[essence]],Tableau6[],23,FALSE)</f>
        <v>0</v>
      </c>
      <c r="AW35" s="12">
        <f>IF(Tableau4[[#This Row],[priorecol]]="S",1,0)</f>
        <v>0</v>
      </c>
      <c r="AX35" s="12">
        <f>VLOOKUP(Tableau4[[#This Row],[essence]],Tableau6[],24,FALSE)</f>
        <v>-2.1000000000000001E-4</v>
      </c>
      <c r="AY35" s="12">
        <f>VLOOKUP(Tableau4[[#This Row],[essence]],Tableau6[],25,FALSE)</f>
        <v>-1.34E-2</v>
      </c>
      <c r="AZ35" s="12">
        <f>VLOOKUP(Tableau4[[#This Row],[essence]],Tableau6[],26,FALSE)</f>
        <v>-2.8899999999999999E-2</v>
      </c>
      <c r="BA35" s="12">
        <f>VLOOKUP(Tableau4[[#This Row],[essence]],Tableau6[],27,FALSE)</f>
        <v>0.2873</v>
      </c>
      <c r="BB35" s="12">
        <f>VLOOKUP(Tableau4[[#This Row],[essence]],Tableau6[],16,FALSE)</f>
        <v>0</v>
      </c>
      <c r="BC3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35" s="12">
        <f>Tableau4[[#This Row],[xb_]]+Tableau4[[#This Row],[b_intercept_C]]+Tableau4[[#This Row],[b_dhpcm_x_intercept_C]]*Tableau4[[#This Row],[dhpcm]]</f>
        <v>0.97363000000000044</v>
      </c>
      <c r="BE35" s="12">
        <f>Tableau4[[#This Row],[xb_]]+Tableau4[[#This Row],[b_intercept_B]]+Tableau4[[#This Row],[b_dhpcm_x_intercept_B]]*Tableau4[[#This Row],[dhpcm]]</f>
        <v>-0.23326999999999998</v>
      </c>
      <c r="BF35" s="12">
        <f>Tableau4[[#This Row],[xb_]]+Tableau4[[#This Row],[b_intercept_A]]+Tableau4[[#This Row],[b_dhpcm_x_intercept_A]]*Tableau4[[#This Row],[dhpcm]]</f>
        <v>-0.91469999999999974</v>
      </c>
      <c r="BG35" s="12">
        <f>1/(1+EXP(-Tableau4[[#This Row],[xb_c]]))</f>
        <v>0.72584244221604421</v>
      </c>
      <c r="BH35" s="12">
        <f>1/(1+EXP(-Tableau4[[#This Row],[xb_b]]))</f>
        <v>0.44194551394813192</v>
      </c>
      <c r="BI35" s="12">
        <f>1/(1+EXP(-Tableau4[[#This Row],[xb_a]]))</f>
        <v>0.2860390355016193</v>
      </c>
      <c r="BJ35" s="12">
        <f>Tableau4[[#This Row],[prob_a]]</f>
        <v>0.2860390355016193</v>
      </c>
      <c r="BK35" s="12">
        <f>Tableau4[[#This Row],[prob_b]]-Tableau4[[#This Row],[prob_a]]</f>
        <v>0.15590647844651262</v>
      </c>
      <c r="BL35" s="12">
        <f>Tableau4[[#This Row],[prob_c]]-Tableau4[[#This Row],[prob_b]]</f>
        <v>0.2838969282679123</v>
      </c>
      <c r="BM35" s="12">
        <f>1-Tableau4[[#This Row],[prob_c]]</f>
        <v>0.27415755778395579</v>
      </c>
    </row>
    <row r="36" spans="1:65" x14ac:dyDescent="0.25">
      <c r="A36" s="12">
        <v>2</v>
      </c>
      <c r="B36" s="12" t="s">
        <v>10</v>
      </c>
      <c r="C36" s="12">
        <v>2.1</v>
      </c>
      <c r="D36" s="12">
        <v>828</v>
      </c>
      <c r="E36" s="12">
        <v>29</v>
      </c>
      <c r="F36" s="12">
        <v>0</v>
      </c>
      <c r="G36" s="12">
        <v>59</v>
      </c>
      <c r="H36" s="12">
        <v>74</v>
      </c>
      <c r="I36" s="12" t="s">
        <v>22</v>
      </c>
      <c r="J36" s="12" t="s">
        <v>28</v>
      </c>
      <c r="K36" s="12">
        <f>VLOOKUP(Tableau4[[#This Row],[essence]],Tableau6[],2,FALSE)</f>
        <v>-3.5731999999999999</v>
      </c>
      <c r="L36" s="12">
        <f>VLOOKUP(Tableau4[[#This Row],[essence]],Tableau6[],3,FALSE)</f>
        <v>-1.9289000000000001</v>
      </c>
      <c r="M36" s="12">
        <f>VLOOKUP(Tableau4[[#This Row],[essence]],Tableau6[],4,FALSE)</f>
        <v>0.40949999999999998</v>
      </c>
      <c r="N36" s="12">
        <f>VLOOKUP(Tableau4[[#This Row],[essence]],Tableau6[],5,FALSE)</f>
        <v>2.0705</v>
      </c>
      <c r="O36" s="12">
        <f>IF(Tableau4[[#This Row],[priorecol]]="C",1,0)</f>
        <v>0</v>
      </c>
      <c r="P36" s="12">
        <f>VLOOKUP(Tableau4[[#This Row],[essence]],Tableau6[],6,FALSE)</f>
        <v>2.9992999999999999</v>
      </c>
      <c r="Q36" s="12">
        <f>IF(Tableau4[[#This Row],[priorecol]]="R",1,0)</f>
        <v>1</v>
      </c>
      <c r="R36" s="12">
        <f>VLOOKUP(Tableau4[[#This Row],[essence]],Tableau6[],7,FALSE)</f>
        <v>1.3050999999999999</v>
      </c>
      <c r="S36" s="12">
        <f>IF(Tableau4[[#This Row],[priorecol]]="S",1,0)</f>
        <v>0</v>
      </c>
      <c r="T36" s="12">
        <f>VLOOKUP(Tableau4[[#This Row],[essence]],Tableau6[],20,FALSE)</f>
        <v>0</v>
      </c>
      <c r="U36" s="12">
        <f>VLOOKUP(Tableau4[[#This Row],[essence]],Tableau6[],15,FALSE)</f>
        <v>0</v>
      </c>
      <c r="V36" s="12">
        <f>VLOOKUP(Tableau4[[#This Row],[essence]],Tableau6[],28,FALSE)</f>
        <v>0</v>
      </c>
      <c r="W36" s="12">
        <f>IF(Tableau4[[#This Row],[sdom]]=1,1,0)</f>
        <v>0</v>
      </c>
      <c r="X36" s="12">
        <f>VLOOKUP(Tableau4[[#This Row],[essence]],Tableau6[],8,FALSE)</f>
        <v>0</v>
      </c>
      <c r="Y36" s="12">
        <f>IF(Tableau4[[#This Row],[sdom]]="2EST",1,0)</f>
        <v>1</v>
      </c>
      <c r="Z36" s="12">
        <f>VLOOKUP(Tableau4[[#This Row],[essence]],Tableau6[],9,FALSE)</f>
        <v>0</v>
      </c>
      <c r="AA36" s="12">
        <f>IF(Tableau4[[#This Row],[sdom]]="2OUEST",1,0)</f>
        <v>0</v>
      </c>
      <c r="AB36" s="12">
        <f>VLOOKUP(Tableau4[[#This Row],[essence]],Tableau6[],10,FALSE)</f>
        <v>0</v>
      </c>
      <c r="AC36" s="12">
        <f>IF(Tableau4[[#This Row],[sdom]]="3EST",1,0)</f>
        <v>0</v>
      </c>
      <c r="AD36" s="12">
        <f>VLOOKUP(Tableau4[[#This Row],[essence]],Tableau6[],11,FALSE)</f>
        <v>0</v>
      </c>
      <c r="AE36" s="12">
        <f>IF(Tableau4[[#This Row],[sdom]]="3OUEST",1,0)</f>
        <v>0</v>
      </c>
      <c r="AF36" s="12">
        <f>VLOOKUP(Tableau4[[#This Row],[essence]],Tableau6[],12,FALSE)</f>
        <v>0</v>
      </c>
      <c r="AG36" s="12">
        <f>IF(Tableau4[[#This Row],[sdom]]="4EST",1,0)</f>
        <v>0</v>
      </c>
      <c r="AH36" s="12">
        <f>VLOOKUP(Tableau4[[#This Row],[essence]],Tableau6[],13,FALSE)</f>
        <v>0</v>
      </c>
      <c r="AI36" s="12">
        <f>IF(Tableau4[[#This Row],[sdom]]="4OUEST",1,0)</f>
        <v>0</v>
      </c>
      <c r="AJ36" s="12">
        <f>VLOOKUP(Tableau4[[#This Row],[essence]],Tableau6[],14,FALSE)</f>
        <v>0</v>
      </c>
      <c r="AK36" s="12">
        <f>IF(Tableau4[[#This Row],[sdom]]="5EST",1,0)</f>
        <v>0</v>
      </c>
      <c r="AL36" s="12">
        <f>VLOOKUP(Tableau4[[#This Row],[essence]],Tableau6[],17,FALSE)</f>
        <v>0</v>
      </c>
      <c r="AM36" s="12">
        <f>IF(Tableau4[[#This Row],[priorecol]]="C",1,0)</f>
        <v>0</v>
      </c>
      <c r="AN36" s="12">
        <f>VLOOKUP(Tableau4[[#This Row],[essence]],Tableau6[],18,FALSE)</f>
        <v>0</v>
      </c>
      <c r="AO36" s="12">
        <f>IF(Tableau4[[#This Row],[priorecol]]="R",1,0)</f>
        <v>1</v>
      </c>
      <c r="AP36" s="12">
        <f>VLOOKUP(Tableau4[[#This Row],[essence]],Tableau6[],19,FALSE)</f>
        <v>0</v>
      </c>
      <c r="AQ36" s="12">
        <f>IF(Tableau4[[#This Row],[priorecol]]="S",1,0)</f>
        <v>0</v>
      </c>
      <c r="AR36" s="12">
        <f>VLOOKUP(Tableau4[[#This Row],[essence]],Tableau6[],21,FALSE)</f>
        <v>0</v>
      </c>
      <c r="AS36" s="12">
        <f>IF(Tableau4[[#This Row],[priorecol]]="C",1,0)</f>
        <v>0</v>
      </c>
      <c r="AT36" s="12">
        <f>VLOOKUP(Tableau4[[#This Row],[essence]],Tableau6[],22,FALSE)</f>
        <v>0</v>
      </c>
      <c r="AU36" s="12">
        <f>IF(Tableau4[[#This Row],[priorecol]]="R",1,0)</f>
        <v>1</v>
      </c>
      <c r="AV36" s="12">
        <f>VLOOKUP(Tableau4[[#This Row],[essence]],Tableau6[],23,FALSE)</f>
        <v>0</v>
      </c>
      <c r="AW36" s="12">
        <f>IF(Tableau4[[#This Row],[priorecol]]="S",1,0)</f>
        <v>0</v>
      </c>
      <c r="AX36" s="12">
        <f>VLOOKUP(Tableau4[[#This Row],[essence]],Tableau6[],24,FALSE)</f>
        <v>-2.1000000000000001E-4</v>
      </c>
      <c r="AY36" s="12">
        <f>VLOOKUP(Tableau4[[#This Row],[essence]],Tableau6[],25,FALSE)</f>
        <v>-1.34E-2</v>
      </c>
      <c r="AZ36" s="12">
        <f>VLOOKUP(Tableau4[[#This Row],[essence]],Tableau6[],26,FALSE)</f>
        <v>-2.8899999999999999E-2</v>
      </c>
      <c r="BA36" s="12">
        <f>VLOOKUP(Tableau4[[#This Row],[essence]],Tableau6[],27,FALSE)</f>
        <v>0.2873</v>
      </c>
      <c r="BB36" s="12">
        <f>VLOOKUP(Tableau4[[#This Row],[essence]],Tableau6[],16,FALSE)</f>
        <v>0</v>
      </c>
      <c r="BC3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36" s="12">
        <f>Tableau4[[#This Row],[xb_]]+Tableau4[[#This Row],[b_intercept_C]]+Tableau4[[#This Row],[b_dhpcm_x_intercept_C]]*Tableau4[[#This Row],[dhpcm]]</f>
        <v>1.8735300000000001</v>
      </c>
      <c r="BE36" s="12">
        <f>Tableau4[[#This Row],[xb_]]+Tableau4[[#This Row],[b_intercept_B]]+Tableau4[[#This Row],[b_dhpcm_x_intercept_B]]*Tableau4[[#This Row],[dhpcm]]</f>
        <v>0.6821299999999999</v>
      </c>
      <c r="BF36" s="12">
        <f>Tableau4[[#This Row],[xb_]]+Tableau4[[#This Row],[b_intercept_A]]+Tableau4[[#This Row],[b_dhpcm_x_intercept_A]]*Tableau4[[#This Row],[dhpcm]]</f>
        <v>1.3890000000000067E-2</v>
      </c>
      <c r="BG36" s="12">
        <f>1/(1+EXP(-Tableau4[[#This Row],[xb_c]]))</f>
        <v>0.86686619976383705</v>
      </c>
      <c r="BH36" s="12">
        <f>1/(1+EXP(-Tableau4[[#This Row],[xb_b]]))</f>
        <v>0.66421392541354352</v>
      </c>
      <c r="BI36" s="12">
        <f>1/(1+EXP(-Tableau4[[#This Row],[xb_a]]))</f>
        <v>0.50347244417135073</v>
      </c>
      <c r="BJ36" s="12">
        <f>Tableau4[[#This Row],[prob_a]]</f>
        <v>0.50347244417135073</v>
      </c>
      <c r="BK36" s="12">
        <f>Tableau4[[#This Row],[prob_b]]-Tableau4[[#This Row],[prob_a]]</f>
        <v>0.16074148124219279</v>
      </c>
      <c r="BL36" s="12">
        <f>Tableau4[[#This Row],[prob_c]]-Tableau4[[#This Row],[prob_b]]</f>
        <v>0.20265227435029354</v>
      </c>
      <c r="BM36" s="12">
        <f>1-Tableau4[[#This Row],[prob_c]]</f>
        <v>0.13313380023616295</v>
      </c>
    </row>
    <row r="37" spans="1:65" x14ac:dyDescent="0.25">
      <c r="A37" s="12">
        <v>2</v>
      </c>
      <c r="B37" s="12" t="s">
        <v>10</v>
      </c>
      <c r="C37" s="12">
        <v>2.1</v>
      </c>
      <c r="D37" s="12">
        <v>828</v>
      </c>
      <c r="E37" s="12">
        <v>29</v>
      </c>
      <c r="F37" s="12">
        <v>0</v>
      </c>
      <c r="G37" s="12">
        <v>60</v>
      </c>
      <c r="H37" s="12">
        <v>75</v>
      </c>
      <c r="I37" s="12" t="s">
        <v>22</v>
      </c>
      <c r="J37" s="12" t="s">
        <v>29</v>
      </c>
      <c r="K37" s="12">
        <f>VLOOKUP(Tableau4[[#This Row],[essence]],Tableau6[],2,FALSE)</f>
        <v>-3.5731999999999999</v>
      </c>
      <c r="L37" s="12">
        <f>VLOOKUP(Tableau4[[#This Row],[essence]],Tableau6[],3,FALSE)</f>
        <v>-1.9289000000000001</v>
      </c>
      <c r="M37" s="12">
        <f>VLOOKUP(Tableau4[[#This Row],[essence]],Tableau6[],4,FALSE)</f>
        <v>0.40949999999999998</v>
      </c>
      <c r="N37" s="12">
        <f>VLOOKUP(Tableau4[[#This Row],[essence]],Tableau6[],5,FALSE)</f>
        <v>2.0705</v>
      </c>
      <c r="O37" s="12">
        <f>IF(Tableau4[[#This Row],[priorecol]]="C",1,0)</f>
        <v>0</v>
      </c>
      <c r="P37" s="12">
        <f>VLOOKUP(Tableau4[[#This Row],[essence]],Tableau6[],6,FALSE)</f>
        <v>2.9992999999999999</v>
      </c>
      <c r="Q37" s="12">
        <f>IF(Tableau4[[#This Row],[priorecol]]="R",1,0)</f>
        <v>0</v>
      </c>
      <c r="R37" s="12">
        <f>VLOOKUP(Tableau4[[#This Row],[essence]],Tableau6[],7,FALSE)</f>
        <v>1.3050999999999999</v>
      </c>
      <c r="S37" s="12">
        <f>IF(Tableau4[[#This Row],[priorecol]]="S",1,0)</f>
        <v>1</v>
      </c>
      <c r="T37" s="12">
        <f>VLOOKUP(Tableau4[[#This Row],[essence]],Tableau6[],20,FALSE)</f>
        <v>0</v>
      </c>
      <c r="U37" s="12">
        <f>VLOOKUP(Tableau4[[#This Row],[essence]],Tableau6[],15,FALSE)</f>
        <v>0</v>
      </c>
      <c r="V37" s="12">
        <f>VLOOKUP(Tableau4[[#This Row],[essence]],Tableau6[],28,FALSE)</f>
        <v>0</v>
      </c>
      <c r="W37" s="12">
        <f>IF(Tableau4[[#This Row],[sdom]]=1,1,0)</f>
        <v>0</v>
      </c>
      <c r="X37" s="12">
        <f>VLOOKUP(Tableau4[[#This Row],[essence]],Tableau6[],8,FALSE)</f>
        <v>0</v>
      </c>
      <c r="Y37" s="12">
        <f>IF(Tableau4[[#This Row],[sdom]]="2EST",1,0)</f>
        <v>1</v>
      </c>
      <c r="Z37" s="12">
        <f>VLOOKUP(Tableau4[[#This Row],[essence]],Tableau6[],9,FALSE)</f>
        <v>0</v>
      </c>
      <c r="AA37" s="12">
        <f>IF(Tableau4[[#This Row],[sdom]]="2OUEST",1,0)</f>
        <v>0</v>
      </c>
      <c r="AB37" s="12">
        <f>VLOOKUP(Tableau4[[#This Row],[essence]],Tableau6[],10,FALSE)</f>
        <v>0</v>
      </c>
      <c r="AC37" s="12">
        <f>IF(Tableau4[[#This Row],[sdom]]="3EST",1,0)</f>
        <v>0</v>
      </c>
      <c r="AD37" s="12">
        <f>VLOOKUP(Tableau4[[#This Row],[essence]],Tableau6[],11,FALSE)</f>
        <v>0</v>
      </c>
      <c r="AE37" s="12">
        <f>IF(Tableau4[[#This Row],[sdom]]="3OUEST",1,0)</f>
        <v>0</v>
      </c>
      <c r="AF37" s="12">
        <f>VLOOKUP(Tableau4[[#This Row],[essence]],Tableau6[],12,FALSE)</f>
        <v>0</v>
      </c>
      <c r="AG37" s="12">
        <f>IF(Tableau4[[#This Row],[sdom]]="4EST",1,0)</f>
        <v>0</v>
      </c>
      <c r="AH37" s="12">
        <f>VLOOKUP(Tableau4[[#This Row],[essence]],Tableau6[],13,FALSE)</f>
        <v>0</v>
      </c>
      <c r="AI37" s="12">
        <f>IF(Tableau4[[#This Row],[sdom]]="4OUEST",1,0)</f>
        <v>0</v>
      </c>
      <c r="AJ37" s="12">
        <f>VLOOKUP(Tableau4[[#This Row],[essence]],Tableau6[],14,FALSE)</f>
        <v>0</v>
      </c>
      <c r="AK37" s="12">
        <f>IF(Tableau4[[#This Row],[sdom]]="5EST",1,0)</f>
        <v>0</v>
      </c>
      <c r="AL37" s="12">
        <f>VLOOKUP(Tableau4[[#This Row],[essence]],Tableau6[],17,FALSE)</f>
        <v>0</v>
      </c>
      <c r="AM37" s="12">
        <f>IF(Tableau4[[#This Row],[priorecol]]="C",1,0)</f>
        <v>0</v>
      </c>
      <c r="AN37" s="12">
        <f>VLOOKUP(Tableau4[[#This Row],[essence]],Tableau6[],18,FALSE)</f>
        <v>0</v>
      </c>
      <c r="AO37" s="12">
        <f>IF(Tableau4[[#This Row],[priorecol]]="R",1,0)</f>
        <v>0</v>
      </c>
      <c r="AP37" s="12">
        <f>VLOOKUP(Tableau4[[#This Row],[essence]],Tableau6[],19,FALSE)</f>
        <v>0</v>
      </c>
      <c r="AQ37" s="12">
        <f>IF(Tableau4[[#This Row],[priorecol]]="S",1,0)</f>
        <v>1</v>
      </c>
      <c r="AR37" s="12">
        <f>VLOOKUP(Tableau4[[#This Row],[essence]],Tableau6[],21,FALSE)</f>
        <v>0</v>
      </c>
      <c r="AS37" s="12">
        <f>IF(Tableau4[[#This Row],[priorecol]]="C",1,0)</f>
        <v>0</v>
      </c>
      <c r="AT37" s="12">
        <f>VLOOKUP(Tableau4[[#This Row],[essence]],Tableau6[],22,FALSE)</f>
        <v>0</v>
      </c>
      <c r="AU37" s="12">
        <f>IF(Tableau4[[#This Row],[priorecol]]="R",1,0)</f>
        <v>0</v>
      </c>
      <c r="AV37" s="12">
        <f>VLOOKUP(Tableau4[[#This Row],[essence]],Tableau6[],23,FALSE)</f>
        <v>0</v>
      </c>
      <c r="AW37" s="12">
        <f>IF(Tableau4[[#This Row],[priorecol]]="S",1,0)</f>
        <v>1</v>
      </c>
      <c r="AX37" s="12">
        <f>VLOOKUP(Tableau4[[#This Row],[essence]],Tableau6[],24,FALSE)</f>
        <v>-2.1000000000000001E-4</v>
      </c>
      <c r="AY37" s="12">
        <f>VLOOKUP(Tableau4[[#This Row],[essence]],Tableau6[],25,FALSE)</f>
        <v>-1.34E-2</v>
      </c>
      <c r="AZ37" s="12">
        <f>VLOOKUP(Tableau4[[#This Row],[essence]],Tableau6[],26,FALSE)</f>
        <v>-2.8899999999999999E-2</v>
      </c>
      <c r="BA37" s="12">
        <f>VLOOKUP(Tableau4[[#This Row],[essence]],Tableau6[],27,FALSE)</f>
        <v>0.2873</v>
      </c>
      <c r="BB37" s="12">
        <f>VLOOKUP(Tableau4[[#This Row],[essence]],Tableau6[],16,FALSE)</f>
        <v>0</v>
      </c>
      <c r="BC3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37" s="12">
        <f>Tableau4[[#This Row],[xb_]]+Tableau4[[#This Row],[b_intercept_C]]+Tableau4[[#This Row],[b_dhpcm_x_intercept_C]]*Tableau4[[#This Row],[dhpcm]]</f>
        <v>0.15043000000000006</v>
      </c>
      <c r="BE37" s="12">
        <f>Tableau4[[#This Row],[xb_]]+Tableau4[[#This Row],[b_intercept_B]]+Tableau4[[#This Row],[b_dhpcm_x_intercept_B]]*Tableau4[[#This Row],[dhpcm]]</f>
        <v>-1.0254700000000001</v>
      </c>
      <c r="BF37" s="12">
        <f>Tableau4[[#This Row],[xb_]]+Tableau4[[#This Row],[b_intercept_A]]+Tableau4[[#This Row],[b_dhpcm_x_intercept_A]]*Tableau4[[#This Row],[dhpcm]]</f>
        <v>-1.6805199999999998</v>
      </c>
      <c r="BG37" s="12">
        <f>1/(1+EXP(-Tableau4[[#This Row],[xb_c]]))</f>
        <v>0.5375367411945029</v>
      </c>
      <c r="BH37" s="12">
        <f>1/(1+EXP(-Tableau4[[#This Row],[xb_b]]))</f>
        <v>0.26396328120953289</v>
      </c>
      <c r="BI37" s="12">
        <f>1/(1+EXP(-Tableau4[[#This Row],[xb_a]]))</f>
        <v>0.15702662459173319</v>
      </c>
      <c r="BJ37" s="12">
        <f>Tableau4[[#This Row],[prob_a]]</f>
        <v>0.15702662459173319</v>
      </c>
      <c r="BK37" s="12">
        <f>Tableau4[[#This Row],[prob_b]]-Tableau4[[#This Row],[prob_a]]</f>
        <v>0.10693665661779969</v>
      </c>
      <c r="BL37" s="12">
        <f>Tableau4[[#This Row],[prob_c]]-Tableau4[[#This Row],[prob_b]]</f>
        <v>0.27357345998497001</v>
      </c>
      <c r="BM37" s="12">
        <f>1-Tableau4[[#This Row],[prob_c]]</f>
        <v>0.4624632588054971</v>
      </c>
    </row>
    <row r="38" spans="1:65" x14ac:dyDescent="0.25">
      <c r="A38" s="12">
        <v>2</v>
      </c>
      <c r="B38" s="12" t="s">
        <v>10</v>
      </c>
      <c r="C38" s="12">
        <v>2.1</v>
      </c>
      <c r="D38" s="12">
        <v>828</v>
      </c>
      <c r="E38" s="12">
        <v>29</v>
      </c>
      <c r="F38" s="12">
        <v>0</v>
      </c>
      <c r="G38" s="12">
        <v>61</v>
      </c>
      <c r="H38" s="12">
        <v>76</v>
      </c>
      <c r="I38" s="12" t="s">
        <v>23</v>
      </c>
      <c r="J38" s="12" t="s">
        <v>27</v>
      </c>
      <c r="K38" s="12">
        <f>VLOOKUP(Tableau4[[#This Row],[essence]],Tableau6[],2,FALSE)</f>
        <v>-1.6034999999999999</v>
      </c>
      <c r="L38" s="12">
        <f>VLOOKUP(Tableau4[[#This Row],[essence]],Tableau6[],3,FALSE)</f>
        <v>-0.41120000000000001</v>
      </c>
      <c r="M38" s="12">
        <f>VLOOKUP(Tableau4[[#This Row],[essence]],Tableau6[],4,FALSE)</f>
        <v>1.1791</v>
      </c>
      <c r="N38" s="12">
        <f>VLOOKUP(Tableau4[[#This Row],[essence]],Tableau6[],5,FALSE)</f>
        <v>-0.48980000000000001</v>
      </c>
      <c r="O38" s="12">
        <f>IF(Tableau4[[#This Row],[priorecol]]="C",1,0)</f>
        <v>1</v>
      </c>
      <c r="P38" s="12">
        <f>VLOOKUP(Tableau4[[#This Row],[essence]],Tableau6[],6,FALSE)</f>
        <v>-3.5700000000000003E-2</v>
      </c>
      <c r="Q38" s="12">
        <f>IF(Tableau4[[#This Row],[priorecol]]="R",1,0)</f>
        <v>0</v>
      </c>
      <c r="R38" s="12">
        <f>VLOOKUP(Tableau4[[#This Row],[essence]],Tableau6[],7,FALSE)</f>
        <v>0.1021</v>
      </c>
      <c r="S38" s="12">
        <f>IF(Tableau4[[#This Row],[priorecol]]="S",1,0)</f>
        <v>0</v>
      </c>
      <c r="T38" s="12">
        <f>VLOOKUP(Tableau4[[#This Row],[essence]],Tableau6[],20,FALSE)</f>
        <v>-3.3500000000000002E-2</v>
      </c>
      <c r="U38" s="12">
        <f>VLOOKUP(Tableau4[[#This Row],[essence]],Tableau6[],15,FALSE)</f>
        <v>7.4200000000000004E-3</v>
      </c>
      <c r="V38" s="12">
        <f>VLOOKUP(Tableau4[[#This Row],[essence]],Tableau6[],28,FALSE)</f>
        <v>1.071</v>
      </c>
      <c r="W38" s="12">
        <f>IF(Tableau4[[#This Row],[sdom]]=1,1,0)</f>
        <v>0</v>
      </c>
      <c r="X38" s="12">
        <f>VLOOKUP(Tableau4[[#This Row],[essence]],Tableau6[],8,FALSE)</f>
        <v>0.83450000000000002</v>
      </c>
      <c r="Y38" s="12">
        <f>IF(Tableau4[[#This Row],[sdom]]="2EST",1,0)</f>
        <v>1</v>
      </c>
      <c r="Z38" s="12">
        <f>VLOOKUP(Tableau4[[#This Row],[essence]],Tableau6[],9,FALSE)</f>
        <v>0.94689999999999996</v>
      </c>
      <c r="AA38" s="12">
        <f>IF(Tableau4[[#This Row],[sdom]]="2OUEST",1,0)</f>
        <v>0</v>
      </c>
      <c r="AB38" s="12">
        <f>VLOOKUP(Tableau4[[#This Row],[essence]],Tableau6[],10,FALSE)</f>
        <v>0.62780000000000002</v>
      </c>
      <c r="AC38" s="12">
        <f>IF(Tableau4[[#This Row],[sdom]]="3EST",1,0)</f>
        <v>0</v>
      </c>
      <c r="AD38" s="12">
        <f>VLOOKUP(Tableau4[[#This Row],[essence]],Tableau6[],11,FALSE)</f>
        <v>0.95940000000000003</v>
      </c>
      <c r="AE38" s="12">
        <f>IF(Tableau4[[#This Row],[sdom]]="3OUEST",1,0)</f>
        <v>0</v>
      </c>
      <c r="AF38" s="12">
        <f>VLOOKUP(Tableau4[[#This Row],[essence]],Tableau6[],12,FALSE)</f>
        <v>0.49719999999999998</v>
      </c>
      <c r="AG38" s="12">
        <f>IF(Tableau4[[#This Row],[sdom]]="4EST",1,0)</f>
        <v>0</v>
      </c>
      <c r="AH38" s="12">
        <f>VLOOKUP(Tableau4[[#This Row],[essence]],Tableau6[],13,FALSE)</f>
        <v>0.37669999999999998</v>
      </c>
      <c r="AI38" s="12">
        <f>IF(Tableau4[[#This Row],[sdom]]="4OUEST",1,0)</f>
        <v>0</v>
      </c>
      <c r="AJ38" s="12">
        <f>VLOOKUP(Tableau4[[#This Row],[essence]],Tableau6[],14,FALSE)</f>
        <v>0</v>
      </c>
      <c r="AK38" s="12">
        <f>IF(Tableau4[[#This Row],[sdom]]="5EST",1,0)</f>
        <v>0</v>
      </c>
      <c r="AL38" s="12">
        <f>VLOOKUP(Tableau4[[#This Row],[essence]],Tableau6[],17,FALSE)</f>
        <v>2.8E-3</v>
      </c>
      <c r="AM38" s="12">
        <f>IF(Tableau4[[#This Row],[priorecol]]="C",1,0)</f>
        <v>1</v>
      </c>
      <c r="AN38" s="12">
        <f>VLOOKUP(Tableau4[[#This Row],[essence]],Tableau6[],18,FALSE)</f>
        <v>-2.2499999999999999E-2</v>
      </c>
      <c r="AO38" s="12">
        <f>IF(Tableau4[[#This Row],[priorecol]]="R",1,0)</f>
        <v>0</v>
      </c>
      <c r="AP38" s="12">
        <f>VLOOKUP(Tableau4[[#This Row],[essence]],Tableau6[],19,FALSE)</f>
        <v>3.0699999999999998E-3</v>
      </c>
      <c r="AQ38" s="12">
        <f>IF(Tableau4[[#This Row],[priorecol]]="S",1,0)</f>
        <v>0</v>
      </c>
      <c r="AR38" s="12">
        <f>VLOOKUP(Tableau4[[#This Row],[essence]],Tableau6[],21,FALSE)</f>
        <v>5.2400000000000002E-2</v>
      </c>
      <c r="AS38" s="12">
        <f>IF(Tableau4[[#This Row],[priorecol]]="C",1,0)</f>
        <v>1</v>
      </c>
      <c r="AT38" s="12">
        <f>VLOOKUP(Tableau4[[#This Row],[essence]],Tableau6[],22,FALSE)</f>
        <v>7.7799999999999994E-2</v>
      </c>
      <c r="AU38" s="12">
        <f>IF(Tableau4[[#This Row],[priorecol]]="R",1,0)</f>
        <v>0</v>
      </c>
      <c r="AV38" s="12">
        <f>VLOOKUP(Tableau4[[#This Row],[essence]],Tableau6[],23,FALSE)</f>
        <v>1.9E-2</v>
      </c>
      <c r="AW38" s="12">
        <f>IF(Tableau4[[#This Row],[priorecol]]="S",1,0)</f>
        <v>0</v>
      </c>
      <c r="AX38" s="12">
        <f>VLOOKUP(Tableau4[[#This Row],[essence]],Tableau6[],24,FALSE)</f>
        <v>0</v>
      </c>
      <c r="AY38" s="12">
        <f>VLOOKUP(Tableau4[[#This Row],[essence]],Tableau6[],25,FALSE)</f>
        <v>0</v>
      </c>
      <c r="AZ38" s="12">
        <f>VLOOKUP(Tableau4[[#This Row],[essence]],Tableau6[],26,FALSE)</f>
        <v>0</v>
      </c>
      <c r="BA38" s="12">
        <f>VLOOKUP(Tableau4[[#This Row],[essence]],Tableau6[],27,FALSE)</f>
        <v>0</v>
      </c>
      <c r="BB38" s="12">
        <f>VLOOKUP(Tableau4[[#This Row],[essence]],Tableau6[],16,FALSE)</f>
        <v>0</v>
      </c>
      <c r="BC3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2.0774800000000004</v>
      </c>
      <c r="BD38" s="12">
        <f>Tableau4[[#This Row],[xb_]]+Tableau4[[#This Row],[b_intercept_C]]+Tableau4[[#This Row],[b_dhpcm_x_intercept_C]]*Tableau4[[#This Row],[dhpcm]]</f>
        <v>3.2565800000000005</v>
      </c>
      <c r="BE38" s="12">
        <f>Tableau4[[#This Row],[xb_]]+Tableau4[[#This Row],[b_intercept_B]]+Tableau4[[#This Row],[b_dhpcm_x_intercept_B]]*Tableau4[[#This Row],[dhpcm]]</f>
        <v>1.6662800000000004</v>
      </c>
      <c r="BF38" s="12">
        <f>Tableau4[[#This Row],[xb_]]+Tableau4[[#This Row],[b_intercept_A]]+Tableau4[[#This Row],[b_dhpcm_x_intercept_A]]*Tableau4[[#This Row],[dhpcm]]</f>
        <v>0.47398000000000051</v>
      </c>
      <c r="BG38" s="12">
        <f>1/(1+EXP(-Tableau4[[#This Row],[xb_c]]))</f>
        <v>0.96290883719578435</v>
      </c>
      <c r="BH38" s="12">
        <f>1/(1+EXP(-Tableau4[[#This Row],[xb_b]]))</f>
        <v>0.84107921814787279</v>
      </c>
      <c r="BI38" s="12">
        <f>1/(1+EXP(-Tableau4[[#This Row],[xb_a]]))</f>
        <v>0.61632533537271506</v>
      </c>
      <c r="BJ38" s="12">
        <f>Tableau4[[#This Row],[prob_a]]</f>
        <v>0.61632533537271506</v>
      </c>
      <c r="BK38" s="12">
        <f>Tableau4[[#This Row],[prob_b]]-Tableau4[[#This Row],[prob_a]]</f>
        <v>0.22475388277515773</v>
      </c>
      <c r="BL38" s="12">
        <f>Tableau4[[#This Row],[prob_c]]-Tableau4[[#This Row],[prob_b]]</f>
        <v>0.12182961904791156</v>
      </c>
      <c r="BM38" s="12">
        <f>1-Tableau4[[#This Row],[prob_c]]</f>
        <v>3.7091162804215649E-2</v>
      </c>
    </row>
    <row r="39" spans="1:65" x14ac:dyDescent="0.25">
      <c r="A39" s="12">
        <v>2</v>
      </c>
      <c r="B39" s="12" t="s">
        <v>10</v>
      </c>
      <c r="C39" s="12">
        <v>2.1</v>
      </c>
      <c r="D39" s="12">
        <v>828</v>
      </c>
      <c r="E39" s="12">
        <v>29</v>
      </c>
      <c r="F39" s="12">
        <v>0</v>
      </c>
      <c r="G39" s="12">
        <v>62</v>
      </c>
      <c r="H39" s="12">
        <v>77</v>
      </c>
      <c r="I39" s="12" t="s">
        <v>23</v>
      </c>
      <c r="J39" s="12" t="s">
        <v>28</v>
      </c>
      <c r="K39" s="12">
        <f>VLOOKUP(Tableau4[[#This Row],[essence]],Tableau6[],2,FALSE)</f>
        <v>-1.6034999999999999</v>
      </c>
      <c r="L39" s="12">
        <f>VLOOKUP(Tableau4[[#This Row],[essence]],Tableau6[],3,FALSE)</f>
        <v>-0.41120000000000001</v>
      </c>
      <c r="M39" s="12">
        <f>VLOOKUP(Tableau4[[#This Row],[essence]],Tableau6[],4,FALSE)</f>
        <v>1.1791</v>
      </c>
      <c r="N39" s="12">
        <f>VLOOKUP(Tableau4[[#This Row],[essence]],Tableau6[],5,FALSE)</f>
        <v>-0.48980000000000001</v>
      </c>
      <c r="O39" s="12">
        <f>IF(Tableau4[[#This Row],[priorecol]]="C",1,0)</f>
        <v>0</v>
      </c>
      <c r="P39" s="12">
        <f>VLOOKUP(Tableau4[[#This Row],[essence]],Tableau6[],6,FALSE)</f>
        <v>-3.5700000000000003E-2</v>
      </c>
      <c r="Q39" s="12">
        <f>IF(Tableau4[[#This Row],[priorecol]]="R",1,0)</f>
        <v>1</v>
      </c>
      <c r="R39" s="12">
        <f>VLOOKUP(Tableau4[[#This Row],[essence]],Tableau6[],7,FALSE)</f>
        <v>0.1021</v>
      </c>
      <c r="S39" s="12">
        <f>IF(Tableau4[[#This Row],[priorecol]]="S",1,0)</f>
        <v>0</v>
      </c>
      <c r="T39" s="12">
        <f>VLOOKUP(Tableau4[[#This Row],[essence]],Tableau6[],20,FALSE)</f>
        <v>-3.3500000000000002E-2</v>
      </c>
      <c r="U39" s="12">
        <f>VLOOKUP(Tableau4[[#This Row],[essence]],Tableau6[],15,FALSE)</f>
        <v>7.4200000000000004E-3</v>
      </c>
      <c r="V39" s="12">
        <f>VLOOKUP(Tableau4[[#This Row],[essence]],Tableau6[],28,FALSE)</f>
        <v>1.071</v>
      </c>
      <c r="W39" s="12">
        <f>IF(Tableau4[[#This Row],[sdom]]=1,1,0)</f>
        <v>0</v>
      </c>
      <c r="X39" s="12">
        <f>VLOOKUP(Tableau4[[#This Row],[essence]],Tableau6[],8,FALSE)</f>
        <v>0.83450000000000002</v>
      </c>
      <c r="Y39" s="12">
        <f>IF(Tableau4[[#This Row],[sdom]]="2EST",1,0)</f>
        <v>1</v>
      </c>
      <c r="Z39" s="12">
        <f>VLOOKUP(Tableau4[[#This Row],[essence]],Tableau6[],9,FALSE)</f>
        <v>0.94689999999999996</v>
      </c>
      <c r="AA39" s="12">
        <f>IF(Tableau4[[#This Row],[sdom]]="2OUEST",1,0)</f>
        <v>0</v>
      </c>
      <c r="AB39" s="12">
        <f>VLOOKUP(Tableau4[[#This Row],[essence]],Tableau6[],10,FALSE)</f>
        <v>0.62780000000000002</v>
      </c>
      <c r="AC39" s="12">
        <f>IF(Tableau4[[#This Row],[sdom]]="3EST",1,0)</f>
        <v>0</v>
      </c>
      <c r="AD39" s="12">
        <f>VLOOKUP(Tableau4[[#This Row],[essence]],Tableau6[],11,FALSE)</f>
        <v>0.95940000000000003</v>
      </c>
      <c r="AE39" s="12">
        <f>IF(Tableau4[[#This Row],[sdom]]="3OUEST",1,0)</f>
        <v>0</v>
      </c>
      <c r="AF39" s="12">
        <f>VLOOKUP(Tableau4[[#This Row],[essence]],Tableau6[],12,FALSE)</f>
        <v>0.49719999999999998</v>
      </c>
      <c r="AG39" s="12">
        <f>IF(Tableau4[[#This Row],[sdom]]="4EST",1,0)</f>
        <v>0</v>
      </c>
      <c r="AH39" s="12">
        <f>VLOOKUP(Tableau4[[#This Row],[essence]],Tableau6[],13,FALSE)</f>
        <v>0.37669999999999998</v>
      </c>
      <c r="AI39" s="12">
        <f>IF(Tableau4[[#This Row],[sdom]]="4OUEST",1,0)</f>
        <v>0</v>
      </c>
      <c r="AJ39" s="12">
        <f>VLOOKUP(Tableau4[[#This Row],[essence]],Tableau6[],14,FALSE)</f>
        <v>0</v>
      </c>
      <c r="AK39" s="12">
        <f>IF(Tableau4[[#This Row],[sdom]]="5EST",1,0)</f>
        <v>0</v>
      </c>
      <c r="AL39" s="12">
        <f>VLOOKUP(Tableau4[[#This Row],[essence]],Tableau6[],17,FALSE)</f>
        <v>2.8E-3</v>
      </c>
      <c r="AM39" s="12">
        <f>IF(Tableau4[[#This Row],[priorecol]]="C",1,0)</f>
        <v>0</v>
      </c>
      <c r="AN39" s="12">
        <f>VLOOKUP(Tableau4[[#This Row],[essence]],Tableau6[],18,FALSE)</f>
        <v>-2.2499999999999999E-2</v>
      </c>
      <c r="AO39" s="12">
        <f>IF(Tableau4[[#This Row],[priorecol]]="R",1,0)</f>
        <v>1</v>
      </c>
      <c r="AP39" s="12">
        <f>VLOOKUP(Tableau4[[#This Row],[essence]],Tableau6[],19,FALSE)</f>
        <v>3.0699999999999998E-3</v>
      </c>
      <c r="AQ39" s="12">
        <f>IF(Tableau4[[#This Row],[priorecol]]="S",1,0)</f>
        <v>0</v>
      </c>
      <c r="AR39" s="12">
        <f>VLOOKUP(Tableau4[[#This Row],[essence]],Tableau6[],21,FALSE)</f>
        <v>5.2400000000000002E-2</v>
      </c>
      <c r="AS39" s="12">
        <f>IF(Tableau4[[#This Row],[priorecol]]="C",1,0)</f>
        <v>0</v>
      </c>
      <c r="AT39" s="12">
        <f>VLOOKUP(Tableau4[[#This Row],[essence]],Tableau6[],22,FALSE)</f>
        <v>7.7799999999999994E-2</v>
      </c>
      <c r="AU39" s="12">
        <f>IF(Tableau4[[#This Row],[priorecol]]="R",1,0)</f>
        <v>1</v>
      </c>
      <c r="AV39" s="12">
        <f>VLOOKUP(Tableau4[[#This Row],[essence]],Tableau6[],23,FALSE)</f>
        <v>1.9E-2</v>
      </c>
      <c r="AW39" s="12">
        <f>IF(Tableau4[[#This Row],[priorecol]]="S",1,0)</f>
        <v>0</v>
      </c>
      <c r="AX39" s="12">
        <f>VLOOKUP(Tableau4[[#This Row],[essence]],Tableau6[],24,FALSE)</f>
        <v>0</v>
      </c>
      <c r="AY39" s="12">
        <f>VLOOKUP(Tableau4[[#This Row],[essence]],Tableau6[],25,FALSE)</f>
        <v>0</v>
      </c>
      <c r="AZ39" s="12">
        <f>VLOOKUP(Tableau4[[#This Row],[essence]],Tableau6[],26,FALSE)</f>
        <v>0</v>
      </c>
      <c r="BA39" s="12">
        <f>VLOOKUP(Tableau4[[#This Row],[essence]],Tableau6[],27,FALSE)</f>
        <v>0</v>
      </c>
      <c r="BB39" s="12">
        <f>VLOOKUP(Tableau4[[#This Row],[essence]],Tableau6[],16,FALSE)</f>
        <v>0</v>
      </c>
      <c r="BC3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3.7725799999999996</v>
      </c>
      <c r="BD39" s="12">
        <f>Tableau4[[#This Row],[xb_]]+Tableau4[[#This Row],[b_intercept_C]]+Tableau4[[#This Row],[b_dhpcm_x_intercept_C]]*Tableau4[[#This Row],[dhpcm]]</f>
        <v>4.9516799999999996</v>
      </c>
      <c r="BE39" s="12">
        <f>Tableau4[[#This Row],[xb_]]+Tableau4[[#This Row],[b_intercept_B]]+Tableau4[[#This Row],[b_dhpcm_x_intercept_B]]*Tableau4[[#This Row],[dhpcm]]</f>
        <v>3.3613799999999996</v>
      </c>
      <c r="BF39" s="12">
        <f>Tableau4[[#This Row],[xb_]]+Tableau4[[#This Row],[b_intercept_A]]+Tableau4[[#This Row],[b_dhpcm_x_intercept_A]]*Tableau4[[#This Row],[dhpcm]]</f>
        <v>2.1690799999999997</v>
      </c>
      <c r="BG39" s="12">
        <f>1/(1+EXP(-Tableau4[[#This Row],[xb_c]]))</f>
        <v>0.99297813644750776</v>
      </c>
      <c r="BH39" s="12">
        <f>1/(1+EXP(-Tableau4[[#This Row],[xb_b]]))</f>
        <v>0.96647551832851586</v>
      </c>
      <c r="BI39" s="12">
        <f>1/(1+EXP(-Tableau4[[#This Row],[xb_a]]))</f>
        <v>0.89743831815238773</v>
      </c>
      <c r="BJ39" s="12">
        <f>Tableau4[[#This Row],[prob_a]]</f>
        <v>0.89743831815238773</v>
      </c>
      <c r="BK39" s="12">
        <f>Tableau4[[#This Row],[prob_b]]-Tableau4[[#This Row],[prob_a]]</f>
        <v>6.9037200176128133E-2</v>
      </c>
      <c r="BL39" s="12">
        <f>Tableau4[[#This Row],[prob_c]]-Tableau4[[#This Row],[prob_b]]</f>
        <v>2.6502618118991905E-2</v>
      </c>
      <c r="BM39" s="12">
        <f>1-Tableau4[[#This Row],[prob_c]]</f>
        <v>7.0218635524922357E-3</v>
      </c>
    </row>
    <row r="40" spans="1:65" x14ac:dyDescent="0.25">
      <c r="A40" s="12">
        <v>2</v>
      </c>
      <c r="B40" s="12" t="s">
        <v>10</v>
      </c>
      <c r="C40" s="12">
        <v>2.1</v>
      </c>
      <c r="D40" s="12">
        <v>828</v>
      </c>
      <c r="E40" s="12">
        <v>29</v>
      </c>
      <c r="F40" s="12">
        <v>0</v>
      </c>
      <c r="G40" s="12">
        <v>63</v>
      </c>
      <c r="H40" s="12">
        <v>78</v>
      </c>
      <c r="I40" s="12" t="s">
        <v>23</v>
      </c>
      <c r="J40" s="12" t="s">
        <v>29</v>
      </c>
      <c r="K40" s="12">
        <f>VLOOKUP(Tableau4[[#This Row],[essence]],Tableau6[],2,FALSE)</f>
        <v>-1.6034999999999999</v>
      </c>
      <c r="L40" s="12">
        <f>VLOOKUP(Tableau4[[#This Row],[essence]],Tableau6[],3,FALSE)</f>
        <v>-0.41120000000000001</v>
      </c>
      <c r="M40" s="12">
        <f>VLOOKUP(Tableau4[[#This Row],[essence]],Tableau6[],4,FALSE)</f>
        <v>1.1791</v>
      </c>
      <c r="N40" s="12">
        <f>VLOOKUP(Tableau4[[#This Row],[essence]],Tableau6[],5,FALSE)</f>
        <v>-0.48980000000000001</v>
      </c>
      <c r="O40" s="12">
        <f>IF(Tableau4[[#This Row],[priorecol]]="C",1,0)</f>
        <v>0</v>
      </c>
      <c r="P40" s="12">
        <f>VLOOKUP(Tableau4[[#This Row],[essence]],Tableau6[],6,FALSE)</f>
        <v>-3.5700000000000003E-2</v>
      </c>
      <c r="Q40" s="12">
        <f>IF(Tableau4[[#This Row],[priorecol]]="R",1,0)</f>
        <v>0</v>
      </c>
      <c r="R40" s="12">
        <f>VLOOKUP(Tableau4[[#This Row],[essence]],Tableau6[],7,FALSE)</f>
        <v>0.1021</v>
      </c>
      <c r="S40" s="12">
        <f>IF(Tableau4[[#This Row],[priorecol]]="S",1,0)</f>
        <v>1</v>
      </c>
      <c r="T40" s="12">
        <f>VLOOKUP(Tableau4[[#This Row],[essence]],Tableau6[],20,FALSE)</f>
        <v>-3.3500000000000002E-2</v>
      </c>
      <c r="U40" s="12">
        <f>VLOOKUP(Tableau4[[#This Row],[essence]],Tableau6[],15,FALSE)</f>
        <v>7.4200000000000004E-3</v>
      </c>
      <c r="V40" s="12">
        <f>VLOOKUP(Tableau4[[#This Row],[essence]],Tableau6[],28,FALSE)</f>
        <v>1.071</v>
      </c>
      <c r="W40" s="12">
        <f>IF(Tableau4[[#This Row],[sdom]]=1,1,0)</f>
        <v>0</v>
      </c>
      <c r="X40" s="12">
        <f>VLOOKUP(Tableau4[[#This Row],[essence]],Tableau6[],8,FALSE)</f>
        <v>0.83450000000000002</v>
      </c>
      <c r="Y40" s="12">
        <f>IF(Tableau4[[#This Row],[sdom]]="2EST",1,0)</f>
        <v>1</v>
      </c>
      <c r="Z40" s="12">
        <f>VLOOKUP(Tableau4[[#This Row],[essence]],Tableau6[],9,FALSE)</f>
        <v>0.94689999999999996</v>
      </c>
      <c r="AA40" s="12">
        <f>IF(Tableau4[[#This Row],[sdom]]="2OUEST",1,0)</f>
        <v>0</v>
      </c>
      <c r="AB40" s="12">
        <f>VLOOKUP(Tableau4[[#This Row],[essence]],Tableau6[],10,FALSE)</f>
        <v>0.62780000000000002</v>
      </c>
      <c r="AC40" s="12">
        <f>IF(Tableau4[[#This Row],[sdom]]="3EST",1,0)</f>
        <v>0</v>
      </c>
      <c r="AD40" s="12">
        <f>VLOOKUP(Tableau4[[#This Row],[essence]],Tableau6[],11,FALSE)</f>
        <v>0.95940000000000003</v>
      </c>
      <c r="AE40" s="12">
        <f>IF(Tableau4[[#This Row],[sdom]]="3OUEST",1,0)</f>
        <v>0</v>
      </c>
      <c r="AF40" s="12">
        <f>VLOOKUP(Tableau4[[#This Row],[essence]],Tableau6[],12,FALSE)</f>
        <v>0.49719999999999998</v>
      </c>
      <c r="AG40" s="12">
        <f>IF(Tableau4[[#This Row],[sdom]]="4EST",1,0)</f>
        <v>0</v>
      </c>
      <c r="AH40" s="12">
        <f>VLOOKUP(Tableau4[[#This Row],[essence]],Tableau6[],13,FALSE)</f>
        <v>0.37669999999999998</v>
      </c>
      <c r="AI40" s="12">
        <f>IF(Tableau4[[#This Row],[sdom]]="4OUEST",1,0)</f>
        <v>0</v>
      </c>
      <c r="AJ40" s="12">
        <f>VLOOKUP(Tableau4[[#This Row],[essence]],Tableau6[],14,FALSE)</f>
        <v>0</v>
      </c>
      <c r="AK40" s="12">
        <f>IF(Tableau4[[#This Row],[sdom]]="5EST",1,0)</f>
        <v>0</v>
      </c>
      <c r="AL40" s="12">
        <f>VLOOKUP(Tableau4[[#This Row],[essence]],Tableau6[],17,FALSE)</f>
        <v>2.8E-3</v>
      </c>
      <c r="AM40" s="12">
        <f>IF(Tableau4[[#This Row],[priorecol]]="C",1,0)</f>
        <v>0</v>
      </c>
      <c r="AN40" s="12">
        <f>VLOOKUP(Tableau4[[#This Row],[essence]],Tableau6[],18,FALSE)</f>
        <v>-2.2499999999999999E-2</v>
      </c>
      <c r="AO40" s="12">
        <f>IF(Tableau4[[#This Row],[priorecol]]="R",1,0)</f>
        <v>0</v>
      </c>
      <c r="AP40" s="12">
        <f>VLOOKUP(Tableau4[[#This Row],[essence]],Tableau6[],19,FALSE)</f>
        <v>3.0699999999999998E-3</v>
      </c>
      <c r="AQ40" s="12">
        <f>IF(Tableau4[[#This Row],[priorecol]]="S",1,0)</f>
        <v>1</v>
      </c>
      <c r="AR40" s="12">
        <f>VLOOKUP(Tableau4[[#This Row],[essence]],Tableau6[],21,FALSE)</f>
        <v>5.2400000000000002E-2</v>
      </c>
      <c r="AS40" s="12">
        <f>IF(Tableau4[[#This Row],[priorecol]]="C",1,0)</f>
        <v>0</v>
      </c>
      <c r="AT40" s="12">
        <f>VLOOKUP(Tableau4[[#This Row],[essence]],Tableau6[],22,FALSE)</f>
        <v>7.7799999999999994E-2</v>
      </c>
      <c r="AU40" s="12">
        <f>IF(Tableau4[[#This Row],[priorecol]]="R",1,0)</f>
        <v>0</v>
      </c>
      <c r="AV40" s="12">
        <f>VLOOKUP(Tableau4[[#This Row],[essence]],Tableau6[],23,FALSE)</f>
        <v>1.9E-2</v>
      </c>
      <c r="AW40" s="12">
        <f>IF(Tableau4[[#This Row],[priorecol]]="S",1,0)</f>
        <v>1</v>
      </c>
      <c r="AX40" s="12">
        <f>VLOOKUP(Tableau4[[#This Row],[essence]],Tableau6[],24,FALSE)</f>
        <v>0</v>
      </c>
      <c r="AY40" s="12">
        <f>VLOOKUP(Tableau4[[#This Row],[essence]],Tableau6[],25,FALSE)</f>
        <v>0</v>
      </c>
      <c r="AZ40" s="12">
        <f>VLOOKUP(Tableau4[[#This Row],[essence]],Tableau6[],26,FALSE)</f>
        <v>0</v>
      </c>
      <c r="BA40" s="12">
        <f>VLOOKUP(Tableau4[[#This Row],[essence]],Tableau6[],27,FALSE)</f>
        <v>0</v>
      </c>
      <c r="BB40" s="12">
        <f>VLOOKUP(Tableau4[[#This Row],[essence]],Tableau6[],16,FALSE)</f>
        <v>0</v>
      </c>
      <c r="BC4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0.10981000000000019</v>
      </c>
      <c r="BD40" s="12">
        <f>Tableau4[[#This Row],[xb_]]+Tableau4[[#This Row],[b_intercept_C]]+Tableau4[[#This Row],[b_dhpcm_x_intercept_C]]*Tableau4[[#This Row],[dhpcm]]</f>
        <v>1.2889100000000002</v>
      </c>
      <c r="BE40" s="12">
        <f>Tableau4[[#This Row],[xb_]]+Tableau4[[#This Row],[b_intercept_B]]+Tableau4[[#This Row],[b_dhpcm_x_intercept_B]]*Tableau4[[#This Row],[dhpcm]]</f>
        <v>-0.30138999999999982</v>
      </c>
      <c r="BF40" s="12">
        <f>Tableau4[[#This Row],[xb_]]+Tableau4[[#This Row],[b_intercept_A]]+Tableau4[[#This Row],[b_dhpcm_x_intercept_A]]*Tableau4[[#This Row],[dhpcm]]</f>
        <v>-1.4936899999999997</v>
      </c>
      <c r="BG40" s="12">
        <f>1/(1+EXP(-Tableau4[[#This Row],[xb_c]]))</f>
        <v>0.78396263822793499</v>
      </c>
      <c r="BH40" s="12">
        <f>1/(1+EXP(-Tableau4[[#This Row],[xb_b]]))</f>
        <v>0.4252177213466854</v>
      </c>
      <c r="BI40" s="12">
        <f>1/(1+EXP(-Tableau4[[#This Row],[xb_a]]))</f>
        <v>0.18336852446428956</v>
      </c>
      <c r="BJ40" s="12">
        <f>Tableau4[[#This Row],[prob_a]]</f>
        <v>0.18336852446428956</v>
      </c>
      <c r="BK40" s="12">
        <f>Tableau4[[#This Row],[prob_b]]-Tableau4[[#This Row],[prob_a]]</f>
        <v>0.24184919688239584</v>
      </c>
      <c r="BL40" s="12">
        <f>Tableau4[[#This Row],[prob_c]]-Tableau4[[#This Row],[prob_b]]</f>
        <v>0.3587449168812496</v>
      </c>
      <c r="BM40" s="12">
        <f>1-Tableau4[[#This Row],[prob_c]]</f>
        <v>0.21603736177206501</v>
      </c>
    </row>
    <row r="41" spans="1:65" x14ac:dyDescent="0.25">
      <c r="A41" s="12">
        <v>2</v>
      </c>
      <c r="B41" s="12" t="s">
        <v>10</v>
      </c>
      <c r="C41" s="12">
        <v>2.1</v>
      </c>
      <c r="D41" s="12">
        <v>828</v>
      </c>
      <c r="E41" s="12">
        <v>29</v>
      </c>
      <c r="F41" s="12">
        <v>0</v>
      </c>
      <c r="G41" s="12">
        <v>64</v>
      </c>
      <c r="H41" s="12">
        <v>79</v>
      </c>
      <c r="I41" s="12" t="s">
        <v>24</v>
      </c>
      <c r="J41" s="12" t="s">
        <v>27</v>
      </c>
      <c r="K41" s="12">
        <f>VLOOKUP(Tableau4[[#This Row],[essence]],Tableau6[],2,FALSE)</f>
        <v>0.5262</v>
      </c>
      <c r="L41" s="12">
        <f>VLOOKUP(Tableau4[[#This Row],[essence]],Tableau6[],3,FALSE)</f>
        <v>1.3954</v>
      </c>
      <c r="M41" s="12">
        <f>VLOOKUP(Tableau4[[#This Row],[essence]],Tableau6[],4,FALSE)</f>
        <v>2.8633000000000002</v>
      </c>
      <c r="N41" s="12">
        <f>VLOOKUP(Tableau4[[#This Row],[essence]],Tableau6[],5,FALSE)</f>
        <v>1.4995000000000001</v>
      </c>
      <c r="O41" s="12">
        <f>IF(Tableau4[[#This Row],[priorecol]]="C",1,0)</f>
        <v>1</v>
      </c>
      <c r="P41" s="12">
        <f>VLOOKUP(Tableau4[[#This Row],[essence]],Tableau6[],6,FALSE)</f>
        <v>2.5129000000000001</v>
      </c>
      <c r="Q41" s="12">
        <f>IF(Tableau4[[#This Row],[priorecol]]="R",1,0)</f>
        <v>0</v>
      </c>
      <c r="R41" s="12">
        <f>VLOOKUP(Tableau4[[#This Row],[essence]],Tableau6[],7,FALSE)</f>
        <v>0.88009999999999999</v>
      </c>
      <c r="S41" s="12">
        <f>IF(Tableau4[[#This Row],[priorecol]]="S",1,0)</f>
        <v>0</v>
      </c>
      <c r="T41" s="12">
        <f>VLOOKUP(Tableau4[[#This Row],[essence]],Tableau6[],20,FALSE)</f>
        <v>0</v>
      </c>
      <c r="U41" s="12">
        <f>VLOOKUP(Tableau4[[#This Row],[essence]],Tableau6[],15,FALSE)</f>
        <v>2.9000000000000001E-2</v>
      </c>
      <c r="V41" s="12">
        <f>VLOOKUP(Tableau4[[#This Row],[essence]],Tableau6[],28,FALSE)</f>
        <v>-0.43919999999999998</v>
      </c>
      <c r="W41" s="12">
        <f>IF(Tableau4[[#This Row],[sdom]]=1,1,0)</f>
        <v>0</v>
      </c>
      <c r="X41" s="12">
        <f>VLOOKUP(Tableau4[[#This Row],[essence]],Tableau6[],8,FALSE)</f>
        <v>-0.32929999999999998</v>
      </c>
      <c r="Y41" s="12">
        <f>IF(Tableau4[[#This Row],[sdom]]="2EST",1,0)</f>
        <v>1</v>
      </c>
      <c r="Z41" s="12">
        <f>VLOOKUP(Tableau4[[#This Row],[essence]],Tableau6[],9,FALSE)</f>
        <v>0</v>
      </c>
      <c r="AA41" s="12">
        <f>IF(Tableau4[[#This Row],[sdom]]="2OUEST",1,0)</f>
        <v>0</v>
      </c>
      <c r="AB41" s="12">
        <f>VLOOKUP(Tableau4[[#This Row],[essence]],Tableau6[],10,FALSE)</f>
        <v>0</v>
      </c>
      <c r="AC41" s="12">
        <f>IF(Tableau4[[#This Row],[sdom]]="3EST",1,0)</f>
        <v>0</v>
      </c>
      <c r="AD41" s="12">
        <f>VLOOKUP(Tableau4[[#This Row],[essence]],Tableau6[],11,FALSE)</f>
        <v>0</v>
      </c>
      <c r="AE41" s="12">
        <f>IF(Tableau4[[#This Row],[sdom]]="3OUEST",1,0)</f>
        <v>0</v>
      </c>
      <c r="AF41" s="12">
        <f>VLOOKUP(Tableau4[[#This Row],[essence]],Tableau6[],12,FALSE)</f>
        <v>0</v>
      </c>
      <c r="AG41" s="12">
        <f>IF(Tableau4[[#This Row],[sdom]]="4EST",1,0)</f>
        <v>0</v>
      </c>
      <c r="AH41" s="12">
        <f>VLOOKUP(Tableau4[[#This Row],[essence]],Tableau6[],13,FALSE)</f>
        <v>0</v>
      </c>
      <c r="AI41" s="12">
        <f>IF(Tableau4[[#This Row],[sdom]]="4OUEST",1,0)</f>
        <v>0</v>
      </c>
      <c r="AJ41" s="12">
        <f>VLOOKUP(Tableau4[[#This Row],[essence]],Tableau6[],14,FALSE)</f>
        <v>0</v>
      </c>
      <c r="AK41" s="12">
        <f>IF(Tableau4[[#This Row],[sdom]]="5EST",1,0)</f>
        <v>0</v>
      </c>
      <c r="AL41" s="12">
        <f>VLOOKUP(Tableau4[[#This Row],[essence]],Tableau6[],17,FALSE)</f>
        <v>0</v>
      </c>
      <c r="AM41" s="12">
        <f>IF(Tableau4[[#This Row],[priorecol]]="C",1,0)</f>
        <v>1</v>
      </c>
      <c r="AN41" s="12">
        <f>VLOOKUP(Tableau4[[#This Row],[essence]],Tableau6[],18,FALSE)</f>
        <v>0</v>
      </c>
      <c r="AO41" s="12">
        <f>IF(Tableau4[[#This Row],[priorecol]]="R",1,0)</f>
        <v>0</v>
      </c>
      <c r="AP41" s="12">
        <f>VLOOKUP(Tableau4[[#This Row],[essence]],Tableau6[],19,FALSE)</f>
        <v>0</v>
      </c>
      <c r="AQ41" s="12">
        <f>IF(Tableau4[[#This Row],[priorecol]]="S",1,0)</f>
        <v>0</v>
      </c>
      <c r="AR41" s="12">
        <f>VLOOKUP(Tableau4[[#This Row],[essence]],Tableau6[],21,FALSE)</f>
        <v>0</v>
      </c>
      <c r="AS41" s="12">
        <f>IF(Tableau4[[#This Row],[priorecol]]="C",1,0)</f>
        <v>1</v>
      </c>
      <c r="AT41" s="12">
        <f>VLOOKUP(Tableau4[[#This Row],[essence]],Tableau6[],22,FALSE)</f>
        <v>0</v>
      </c>
      <c r="AU41" s="12">
        <f>IF(Tableau4[[#This Row],[priorecol]]="R",1,0)</f>
        <v>0</v>
      </c>
      <c r="AV41" s="12">
        <f>VLOOKUP(Tableau4[[#This Row],[essence]],Tableau6[],23,FALSE)</f>
        <v>0</v>
      </c>
      <c r="AW41" s="12">
        <f>IF(Tableau4[[#This Row],[priorecol]]="S",1,0)</f>
        <v>0</v>
      </c>
      <c r="AX41" s="12">
        <f>VLOOKUP(Tableau4[[#This Row],[essence]],Tableau6[],24,FALSE)</f>
        <v>0</v>
      </c>
      <c r="AY41" s="12">
        <f>VLOOKUP(Tableau4[[#This Row],[essence]],Tableau6[],25,FALSE)</f>
        <v>0</v>
      </c>
      <c r="AZ41" s="12">
        <f>VLOOKUP(Tableau4[[#This Row],[essence]],Tableau6[],26,FALSE)</f>
        <v>0</v>
      </c>
      <c r="BA41" s="12">
        <f>VLOOKUP(Tableau4[[#This Row],[essence]],Tableau6[],27,FALSE)</f>
        <v>0</v>
      </c>
      <c r="BB41" s="12">
        <f>VLOOKUP(Tableau4[[#This Row],[essence]],Tableau6[],16,FALSE)</f>
        <v>-2.0699999999999998E-3</v>
      </c>
      <c r="BC4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0.29724000000000017</v>
      </c>
      <c r="BD41" s="12">
        <f>Tableau4[[#This Row],[xb_]]+Tableau4[[#This Row],[b_intercept_C]]+Tableau4[[#This Row],[b_dhpcm_x_intercept_C]]*Tableau4[[#This Row],[dhpcm]]</f>
        <v>3.1605400000000001</v>
      </c>
      <c r="BE41" s="12">
        <f>Tableau4[[#This Row],[xb_]]+Tableau4[[#This Row],[b_intercept_B]]+Tableau4[[#This Row],[b_dhpcm_x_intercept_B]]*Tableau4[[#This Row],[dhpcm]]</f>
        <v>1.6926400000000001</v>
      </c>
      <c r="BF41" s="12">
        <f>Tableau4[[#This Row],[xb_]]+Tableau4[[#This Row],[b_intercept_A]]+Tableau4[[#This Row],[b_dhpcm_x_intercept_A]]*Tableau4[[#This Row],[dhpcm]]</f>
        <v>0.82344000000000017</v>
      </c>
      <c r="BG41" s="12">
        <f>1/(1+EXP(-Tableau4[[#This Row],[xb_c]]))</f>
        <v>0.95932202422618229</v>
      </c>
      <c r="BH41" s="12">
        <f>1/(1+EXP(-Tableau4[[#This Row],[xb_b]]))</f>
        <v>0.84457103013710244</v>
      </c>
      <c r="BI41" s="12">
        <f>1/(1+EXP(-Tableau4[[#This Row],[xb_a]]))</f>
        <v>0.69496606832370722</v>
      </c>
      <c r="BJ41" s="12">
        <f>Tableau4[[#This Row],[prob_a]]</f>
        <v>0.69496606832370722</v>
      </c>
      <c r="BK41" s="12">
        <f>Tableau4[[#This Row],[prob_b]]-Tableau4[[#This Row],[prob_a]]</f>
        <v>0.14960496181339522</v>
      </c>
      <c r="BL41" s="12">
        <f>Tableau4[[#This Row],[prob_c]]-Tableau4[[#This Row],[prob_b]]</f>
        <v>0.11475099408907985</v>
      </c>
      <c r="BM41" s="12">
        <f>1-Tableau4[[#This Row],[prob_c]]</f>
        <v>4.0677975773817709E-2</v>
      </c>
    </row>
    <row r="42" spans="1:65" x14ac:dyDescent="0.25">
      <c r="A42" s="12">
        <v>2</v>
      </c>
      <c r="B42" s="12" t="s">
        <v>10</v>
      </c>
      <c r="C42" s="12">
        <v>2.1</v>
      </c>
      <c r="D42" s="12">
        <v>828</v>
      </c>
      <c r="E42" s="12">
        <v>29</v>
      </c>
      <c r="F42" s="12">
        <v>0</v>
      </c>
      <c r="G42" s="12">
        <v>65</v>
      </c>
      <c r="H42" s="12">
        <v>80</v>
      </c>
      <c r="I42" s="12" t="s">
        <v>24</v>
      </c>
      <c r="J42" s="12" t="s">
        <v>28</v>
      </c>
      <c r="K42" s="12">
        <f>VLOOKUP(Tableau4[[#This Row],[essence]],Tableau6[],2,FALSE)</f>
        <v>0.5262</v>
      </c>
      <c r="L42" s="12">
        <f>VLOOKUP(Tableau4[[#This Row],[essence]],Tableau6[],3,FALSE)</f>
        <v>1.3954</v>
      </c>
      <c r="M42" s="12">
        <f>VLOOKUP(Tableau4[[#This Row],[essence]],Tableau6[],4,FALSE)</f>
        <v>2.8633000000000002</v>
      </c>
      <c r="N42" s="12">
        <f>VLOOKUP(Tableau4[[#This Row],[essence]],Tableau6[],5,FALSE)</f>
        <v>1.4995000000000001</v>
      </c>
      <c r="O42" s="12">
        <f>IF(Tableau4[[#This Row],[priorecol]]="C",1,0)</f>
        <v>0</v>
      </c>
      <c r="P42" s="12">
        <f>VLOOKUP(Tableau4[[#This Row],[essence]],Tableau6[],6,FALSE)</f>
        <v>2.5129000000000001</v>
      </c>
      <c r="Q42" s="12">
        <f>IF(Tableau4[[#This Row],[priorecol]]="R",1,0)</f>
        <v>1</v>
      </c>
      <c r="R42" s="12">
        <f>VLOOKUP(Tableau4[[#This Row],[essence]],Tableau6[],7,FALSE)</f>
        <v>0.88009999999999999</v>
      </c>
      <c r="S42" s="12">
        <f>IF(Tableau4[[#This Row],[priorecol]]="S",1,0)</f>
        <v>0</v>
      </c>
      <c r="T42" s="12">
        <f>VLOOKUP(Tableau4[[#This Row],[essence]],Tableau6[],20,FALSE)</f>
        <v>0</v>
      </c>
      <c r="U42" s="12">
        <f>VLOOKUP(Tableau4[[#This Row],[essence]],Tableau6[],15,FALSE)</f>
        <v>2.9000000000000001E-2</v>
      </c>
      <c r="V42" s="12">
        <f>VLOOKUP(Tableau4[[#This Row],[essence]],Tableau6[],28,FALSE)</f>
        <v>-0.43919999999999998</v>
      </c>
      <c r="W42" s="12">
        <f>IF(Tableau4[[#This Row],[sdom]]=1,1,0)</f>
        <v>0</v>
      </c>
      <c r="X42" s="12">
        <f>VLOOKUP(Tableau4[[#This Row],[essence]],Tableau6[],8,FALSE)</f>
        <v>-0.32929999999999998</v>
      </c>
      <c r="Y42" s="12">
        <f>IF(Tableau4[[#This Row],[sdom]]="2EST",1,0)</f>
        <v>1</v>
      </c>
      <c r="Z42" s="12">
        <f>VLOOKUP(Tableau4[[#This Row],[essence]],Tableau6[],9,FALSE)</f>
        <v>0</v>
      </c>
      <c r="AA42" s="12">
        <f>IF(Tableau4[[#This Row],[sdom]]="2OUEST",1,0)</f>
        <v>0</v>
      </c>
      <c r="AB42" s="12">
        <f>VLOOKUP(Tableau4[[#This Row],[essence]],Tableau6[],10,FALSE)</f>
        <v>0</v>
      </c>
      <c r="AC42" s="12">
        <f>IF(Tableau4[[#This Row],[sdom]]="3EST",1,0)</f>
        <v>0</v>
      </c>
      <c r="AD42" s="12">
        <f>VLOOKUP(Tableau4[[#This Row],[essence]],Tableau6[],11,FALSE)</f>
        <v>0</v>
      </c>
      <c r="AE42" s="12">
        <f>IF(Tableau4[[#This Row],[sdom]]="3OUEST",1,0)</f>
        <v>0</v>
      </c>
      <c r="AF42" s="12">
        <f>VLOOKUP(Tableau4[[#This Row],[essence]],Tableau6[],12,FALSE)</f>
        <v>0</v>
      </c>
      <c r="AG42" s="12">
        <f>IF(Tableau4[[#This Row],[sdom]]="4EST",1,0)</f>
        <v>0</v>
      </c>
      <c r="AH42" s="12">
        <f>VLOOKUP(Tableau4[[#This Row],[essence]],Tableau6[],13,FALSE)</f>
        <v>0</v>
      </c>
      <c r="AI42" s="12">
        <f>IF(Tableau4[[#This Row],[sdom]]="4OUEST",1,0)</f>
        <v>0</v>
      </c>
      <c r="AJ42" s="12">
        <f>VLOOKUP(Tableau4[[#This Row],[essence]],Tableau6[],14,FALSE)</f>
        <v>0</v>
      </c>
      <c r="AK42" s="12">
        <f>IF(Tableau4[[#This Row],[sdom]]="5EST",1,0)</f>
        <v>0</v>
      </c>
      <c r="AL42" s="12">
        <f>VLOOKUP(Tableau4[[#This Row],[essence]],Tableau6[],17,FALSE)</f>
        <v>0</v>
      </c>
      <c r="AM42" s="12">
        <f>IF(Tableau4[[#This Row],[priorecol]]="C",1,0)</f>
        <v>0</v>
      </c>
      <c r="AN42" s="12">
        <f>VLOOKUP(Tableau4[[#This Row],[essence]],Tableau6[],18,FALSE)</f>
        <v>0</v>
      </c>
      <c r="AO42" s="12">
        <f>IF(Tableau4[[#This Row],[priorecol]]="R",1,0)</f>
        <v>1</v>
      </c>
      <c r="AP42" s="12">
        <f>VLOOKUP(Tableau4[[#This Row],[essence]],Tableau6[],19,FALSE)</f>
        <v>0</v>
      </c>
      <c r="AQ42" s="12">
        <f>IF(Tableau4[[#This Row],[priorecol]]="S",1,0)</f>
        <v>0</v>
      </c>
      <c r="AR42" s="12">
        <f>VLOOKUP(Tableau4[[#This Row],[essence]],Tableau6[],21,FALSE)</f>
        <v>0</v>
      </c>
      <c r="AS42" s="12">
        <f>IF(Tableau4[[#This Row],[priorecol]]="C",1,0)</f>
        <v>0</v>
      </c>
      <c r="AT42" s="12">
        <f>VLOOKUP(Tableau4[[#This Row],[essence]],Tableau6[],22,FALSE)</f>
        <v>0</v>
      </c>
      <c r="AU42" s="12">
        <f>IF(Tableau4[[#This Row],[priorecol]]="R",1,0)</f>
        <v>1</v>
      </c>
      <c r="AV42" s="12">
        <f>VLOOKUP(Tableau4[[#This Row],[essence]],Tableau6[],23,FALSE)</f>
        <v>0</v>
      </c>
      <c r="AW42" s="12">
        <f>IF(Tableau4[[#This Row],[priorecol]]="S",1,0)</f>
        <v>0</v>
      </c>
      <c r="AX42" s="12">
        <f>VLOOKUP(Tableau4[[#This Row],[essence]],Tableau6[],24,FALSE)</f>
        <v>0</v>
      </c>
      <c r="AY42" s="12">
        <f>VLOOKUP(Tableau4[[#This Row],[essence]],Tableau6[],25,FALSE)</f>
        <v>0</v>
      </c>
      <c r="AZ42" s="12">
        <f>VLOOKUP(Tableau4[[#This Row],[essence]],Tableau6[],26,FALSE)</f>
        <v>0</v>
      </c>
      <c r="BA42" s="12">
        <f>VLOOKUP(Tableau4[[#This Row],[essence]],Tableau6[],27,FALSE)</f>
        <v>0</v>
      </c>
      <c r="BB42" s="12">
        <f>VLOOKUP(Tableau4[[#This Row],[essence]],Tableau6[],16,FALSE)</f>
        <v>-2.0699999999999998E-3</v>
      </c>
      <c r="BC4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1.3106400000000005</v>
      </c>
      <c r="BD42" s="12">
        <f>Tableau4[[#This Row],[xb_]]+Tableau4[[#This Row],[b_intercept_C]]+Tableau4[[#This Row],[b_dhpcm_x_intercept_C]]*Tableau4[[#This Row],[dhpcm]]</f>
        <v>4.1739400000000009</v>
      </c>
      <c r="BE42" s="12">
        <f>Tableau4[[#This Row],[xb_]]+Tableau4[[#This Row],[b_intercept_B]]+Tableau4[[#This Row],[b_dhpcm_x_intercept_B]]*Tableau4[[#This Row],[dhpcm]]</f>
        <v>2.7060400000000007</v>
      </c>
      <c r="BF42" s="12">
        <f>Tableau4[[#This Row],[xb_]]+Tableau4[[#This Row],[b_intercept_A]]+Tableau4[[#This Row],[b_dhpcm_x_intercept_A]]*Tableau4[[#This Row],[dhpcm]]</f>
        <v>1.8368400000000005</v>
      </c>
      <c r="BG42" s="12">
        <f>1/(1+EXP(-Tableau4[[#This Row],[xb_c]]))</f>
        <v>0.98484180926338005</v>
      </c>
      <c r="BH42" s="12">
        <f>1/(1+EXP(-Tableau4[[#This Row],[xb_b]]))</f>
        <v>0.93738211113997716</v>
      </c>
      <c r="BI42" s="12">
        <f>1/(1+EXP(-Tableau4[[#This Row],[xb_a]]))</f>
        <v>0.86257455098410252</v>
      </c>
      <c r="BJ42" s="12">
        <f>Tableau4[[#This Row],[prob_a]]</f>
        <v>0.86257455098410252</v>
      </c>
      <c r="BK42" s="12">
        <f>Tableau4[[#This Row],[prob_b]]-Tableau4[[#This Row],[prob_a]]</f>
        <v>7.4807560155874642E-2</v>
      </c>
      <c r="BL42" s="12">
        <f>Tableau4[[#This Row],[prob_c]]-Tableau4[[#This Row],[prob_b]]</f>
        <v>4.7459698123402894E-2</v>
      </c>
      <c r="BM42" s="12">
        <f>1-Tableau4[[#This Row],[prob_c]]</f>
        <v>1.5158190736619948E-2</v>
      </c>
    </row>
    <row r="43" spans="1:65" x14ac:dyDescent="0.25">
      <c r="A43" s="12">
        <v>2</v>
      </c>
      <c r="B43" s="12" t="s">
        <v>10</v>
      </c>
      <c r="C43" s="12">
        <v>2.1</v>
      </c>
      <c r="D43" s="12">
        <v>828</v>
      </c>
      <c r="E43" s="12">
        <v>29</v>
      </c>
      <c r="F43" s="12">
        <v>0</v>
      </c>
      <c r="G43" s="12">
        <v>66</v>
      </c>
      <c r="H43" s="12">
        <v>81</v>
      </c>
      <c r="I43" s="12" t="s">
        <v>24</v>
      </c>
      <c r="J43" s="12" t="s">
        <v>29</v>
      </c>
      <c r="K43" s="12">
        <f>VLOOKUP(Tableau4[[#This Row],[essence]],Tableau6[],2,FALSE)</f>
        <v>0.5262</v>
      </c>
      <c r="L43" s="12">
        <f>VLOOKUP(Tableau4[[#This Row],[essence]],Tableau6[],3,FALSE)</f>
        <v>1.3954</v>
      </c>
      <c r="M43" s="12">
        <f>VLOOKUP(Tableau4[[#This Row],[essence]],Tableau6[],4,FALSE)</f>
        <v>2.8633000000000002</v>
      </c>
      <c r="N43" s="12">
        <f>VLOOKUP(Tableau4[[#This Row],[essence]],Tableau6[],5,FALSE)</f>
        <v>1.4995000000000001</v>
      </c>
      <c r="O43" s="12">
        <f>IF(Tableau4[[#This Row],[priorecol]]="C",1,0)</f>
        <v>0</v>
      </c>
      <c r="P43" s="12">
        <f>VLOOKUP(Tableau4[[#This Row],[essence]],Tableau6[],6,FALSE)</f>
        <v>2.5129000000000001</v>
      </c>
      <c r="Q43" s="12">
        <f>IF(Tableau4[[#This Row],[priorecol]]="R",1,0)</f>
        <v>0</v>
      </c>
      <c r="R43" s="12">
        <f>VLOOKUP(Tableau4[[#This Row],[essence]],Tableau6[],7,FALSE)</f>
        <v>0.88009999999999999</v>
      </c>
      <c r="S43" s="12">
        <f>IF(Tableau4[[#This Row],[priorecol]]="S",1,0)</f>
        <v>1</v>
      </c>
      <c r="T43" s="12">
        <f>VLOOKUP(Tableau4[[#This Row],[essence]],Tableau6[],20,FALSE)</f>
        <v>0</v>
      </c>
      <c r="U43" s="12">
        <f>VLOOKUP(Tableau4[[#This Row],[essence]],Tableau6[],15,FALSE)</f>
        <v>2.9000000000000001E-2</v>
      </c>
      <c r="V43" s="12">
        <f>VLOOKUP(Tableau4[[#This Row],[essence]],Tableau6[],28,FALSE)</f>
        <v>-0.43919999999999998</v>
      </c>
      <c r="W43" s="12">
        <f>IF(Tableau4[[#This Row],[sdom]]=1,1,0)</f>
        <v>0</v>
      </c>
      <c r="X43" s="12">
        <f>VLOOKUP(Tableau4[[#This Row],[essence]],Tableau6[],8,FALSE)</f>
        <v>-0.32929999999999998</v>
      </c>
      <c r="Y43" s="12">
        <f>IF(Tableau4[[#This Row],[sdom]]="2EST",1,0)</f>
        <v>1</v>
      </c>
      <c r="Z43" s="12">
        <f>VLOOKUP(Tableau4[[#This Row],[essence]],Tableau6[],9,FALSE)</f>
        <v>0</v>
      </c>
      <c r="AA43" s="12">
        <f>IF(Tableau4[[#This Row],[sdom]]="2OUEST",1,0)</f>
        <v>0</v>
      </c>
      <c r="AB43" s="12">
        <f>VLOOKUP(Tableau4[[#This Row],[essence]],Tableau6[],10,FALSE)</f>
        <v>0</v>
      </c>
      <c r="AC43" s="12">
        <f>IF(Tableau4[[#This Row],[sdom]]="3EST",1,0)</f>
        <v>0</v>
      </c>
      <c r="AD43" s="12">
        <f>VLOOKUP(Tableau4[[#This Row],[essence]],Tableau6[],11,FALSE)</f>
        <v>0</v>
      </c>
      <c r="AE43" s="12">
        <f>IF(Tableau4[[#This Row],[sdom]]="3OUEST",1,0)</f>
        <v>0</v>
      </c>
      <c r="AF43" s="12">
        <f>VLOOKUP(Tableau4[[#This Row],[essence]],Tableau6[],12,FALSE)</f>
        <v>0</v>
      </c>
      <c r="AG43" s="12">
        <f>IF(Tableau4[[#This Row],[sdom]]="4EST",1,0)</f>
        <v>0</v>
      </c>
      <c r="AH43" s="12">
        <f>VLOOKUP(Tableau4[[#This Row],[essence]],Tableau6[],13,FALSE)</f>
        <v>0</v>
      </c>
      <c r="AI43" s="12">
        <f>IF(Tableau4[[#This Row],[sdom]]="4OUEST",1,0)</f>
        <v>0</v>
      </c>
      <c r="AJ43" s="12">
        <f>VLOOKUP(Tableau4[[#This Row],[essence]],Tableau6[],14,FALSE)</f>
        <v>0</v>
      </c>
      <c r="AK43" s="12">
        <f>IF(Tableau4[[#This Row],[sdom]]="5EST",1,0)</f>
        <v>0</v>
      </c>
      <c r="AL43" s="12">
        <f>VLOOKUP(Tableau4[[#This Row],[essence]],Tableau6[],17,FALSE)</f>
        <v>0</v>
      </c>
      <c r="AM43" s="12">
        <f>IF(Tableau4[[#This Row],[priorecol]]="C",1,0)</f>
        <v>0</v>
      </c>
      <c r="AN43" s="12">
        <f>VLOOKUP(Tableau4[[#This Row],[essence]],Tableau6[],18,FALSE)</f>
        <v>0</v>
      </c>
      <c r="AO43" s="12">
        <f>IF(Tableau4[[#This Row],[priorecol]]="R",1,0)</f>
        <v>0</v>
      </c>
      <c r="AP43" s="12">
        <f>VLOOKUP(Tableau4[[#This Row],[essence]],Tableau6[],19,FALSE)</f>
        <v>0</v>
      </c>
      <c r="AQ43" s="12">
        <f>IF(Tableau4[[#This Row],[priorecol]]="S",1,0)</f>
        <v>1</v>
      </c>
      <c r="AR43" s="12">
        <f>VLOOKUP(Tableau4[[#This Row],[essence]],Tableau6[],21,FALSE)</f>
        <v>0</v>
      </c>
      <c r="AS43" s="12">
        <f>IF(Tableau4[[#This Row],[priorecol]]="C",1,0)</f>
        <v>0</v>
      </c>
      <c r="AT43" s="12">
        <f>VLOOKUP(Tableau4[[#This Row],[essence]],Tableau6[],22,FALSE)</f>
        <v>0</v>
      </c>
      <c r="AU43" s="12">
        <f>IF(Tableau4[[#This Row],[priorecol]]="R",1,0)</f>
        <v>0</v>
      </c>
      <c r="AV43" s="12">
        <f>VLOOKUP(Tableau4[[#This Row],[essence]],Tableau6[],23,FALSE)</f>
        <v>0</v>
      </c>
      <c r="AW43" s="12">
        <f>IF(Tableau4[[#This Row],[priorecol]]="S",1,0)</f>
        <v>1</v>
      </c>
      <c r="AX43" s="12">
        <f>VLOOKUP(Tableau4[[#This Row],[essence]],Tableau6[],24,FALSE)</f>
        <v>0</v>
      </c>
      <c r="AY43" s="12">
        <f>VLOOKUP(Tableau4[[#This Row],[essence]],Tableau6[],25,FALSE)</f>
        <v>0</v>
      </c>
      <c r="AZ43" s="12">
        <f>VLOOKUP(Tableau4[[#This Row],[essence]],Tableau6[],26,FALSE)</f>
        <v>0</v>
      </c>
      <c r="BA43" s="12">
        <f>VLOOKUP(Tableau4[[#This Row],[essence]],Tableau6[],27,FALSE)</f>
        <v>0</v>
      </c>
      <c r="BB43" s="12">
        <f>VLOOKUP(Tableau4[[#This Row],[essence]],Tableau6[],16,FALSE)</f>
        <v>-2.0699999999999998E-3</v>
      </c>
      <c r="BC4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-0.32215999999999978</v>
      </c>
      <c r="BD43" s="12">
        <f>Tableau4[[#This Row],[xb_]]+Tableau4[[#This Row],[b_intercept_C]]+Tableau4[[#This Row],[b_dhpcm_x_intercept_C]]*Tableau4[[#This Row],[dhpcm]]</f>
        <v>2.5411400000000004</v>
      </c>
      <c r="BE43" s="12">
        <f>Tableau4[[#This Row],[xb_]]+Tableau4[[#This Row],[b_intercept_B]]+Tableau4[[#This Row],[b_dhpcm_x_intercept_B]]*Tableau4[[#This Row],[dhpcm]]</f>
        <v>1.0732400000000002</v>
      </c>
      <c r="BF43" s="12">
        <f>Tableau4[[#This Row],[xb_]]+Tableau4[[#This Row],[b_intercept_A]]+Tableau4[[#This Row],[b_dhpcm_x_intercept_A]]*Tableau4[[#This Row],[dhpcm]]</f>
        <v>0.20404000000000022</v>
      </c>
      <c r="BG43" s="12">
        <f>1/(1+EXP(-Tableau4[[#This Row],[xb_c]]))</f>
        <v>0.92697603242263205</v>
      </c>
      <c r="BH43" s="12">
        <f>1/(1+EXP(-Tableau4[[#This Row],[xb_b]]))</f>
        <v>0.74521258578414418</v>
      </c>
      <c r="BI43" s="12">
        <f>1/(1+EXP(-Tableau4[[#This Row],[xb_a]]))</f>
        <v>0.55083376162452324</v>
      </c>
      <c r="BJ43" s="12">
        <f>Tableau4[[#This Row],[prob_a]]</f>
        <v>0.55083376162452324</v>
      </c>
      <c r="BK43" s="12">
        <f>Tableau4[[#This Row],[prob_b]]-Tableau4[[#This Row],[prob_a]]</f>
        <v>0.19437882415962093</v>
      </c>
      <c r="BL43" s="12">
        <f>Tableau4[[#This Row],[prob_c]]-Tableau4[[#This Row],[prob_b]]</f>
        <v>0.18176344663848787</v>
      </c>
      <c r="BM43" s="12">
        <f>1-Tableau4[[#This Row],[prob_c]]</f>
        <v>7.3023967577367954E-2</v>
      </c>
    </row>
    <row r="44" spans="1:65" x14ac:dyDescent="0.25">
      <c r="A44" s="12">
        <v>2</v>
      </c>
      <c r="B44" s="12" t="s">
        <v>10</v>
      </c>
      <c r="C44" s="12">
        <v>2.1</v>
      </c>
      <c r="D44" s="12">
        <v>828</v>
      </c>
      <c r="E44" s="12">
        <v>29</v>
      </c>
      <c r="F44" s="12">
        <v>0</v>
      </c>
      <c r="G44" s="12">
        <v>67</v>
      </c>
      <c r="H44" s="12">
        <v>82</v>
      </c>
      <c r="I44" s="12" t="s">
        <v>25</v>
      </c>
      <c r="J44" s="12" t="s">
        <v>27</v>
      </c>
      <c r="K44" s="12">
        <f>VLOOKUP(Tableau4[[#This Row],[essence]],Tableau6[],2,FALSE)</f>
        <v>-4.3875000000000002</v>
      </c>
      <c r="L44" s="12">
        <f>VLOOKUP(Tableau4[[#This Row],[essence]],Tableau6[],3,FALSE)</f>
        <v>-3.0411999999999999</v>
      </c>
      <c r="M44" s="12">
        <f>VLOOKUP(Tableau4[[#This Row],[essence]],Tableau6[],4,FALSE)</f>
        <v>-1.2259</v>
      </c>
      <c r="N44" s="12">
        <f>VLOOKUP(Tableau4[[#This Row],[essence]],Tableau6[],5,FALSE)</f>
        <v>1.7715000000000001</v>
      </c>
      <c r="O44" s="12">
        <f>IF(Tableau4[[#This Row],[priorecol]]="C",1,0)</f>
        <v>1</v>
      </c>
      <c r="P44" s="12">
        <f>VLOOKUP(Tableau4[[#This Row],[essence]],Tableau6[],6,FALSE)</f>
        <v>2.6688000000000001</v>
      </c>
      <c r="Q44" s="12">
        <f>IF(Tableau4[[#This Row],[priorecol]]="R",1,0)</f>
        <v>0</v>
      </c>
      <c r="R44" s="12">
        <f>VLOOKUP(Tableau4[[#This Row],[essence]],Tableau6[],7,FALSE)</f>
        <v>1.5728</v>
      </c>
      <c r="S44" s="12">
        <f>IF(Tableau4[[#This Row],[priorecol]]="S",1,0)</f>
        <v>0</v>
      </c>
      <c r="T44" s="12">
        <f>VLOOKUP(Tableau4[[#This Row],[essence]],Tableau6[],20,FALSE)</f>
        <v>0</v>
      </c>
      <c r="U44" s="12">
        <f>VLOOKUP(Tableau4[[#This Row],[essence]],Tableau6[],15,FALSE)</f>
        <v>0</v>
      </c>
      <c r="V44" s="12">
        <f>VLOOKUP(Tableau4[[#This Row],[essence]],Tableau6[],28,FALSE)</f>
        <v>0</v>
      </c>
      <c r="W44" s="12">
        <f>IF(Tableau4[[#This Row],[sdom]]=1,1,0)</f>
        <v>0</v>
      </c>
      <c r="X44" s="12">
        <f>VLOOKUP(Tableau4[[#This Row],[essence]],Tableau6[],8,FALSE)</f>
        <v>0.86129999999999995</v>
      </c>
      <c r="Y44" s="12">
        <f>IF(Tableau4[[#This Row],[sdom]]="2EST",1,0)</f>
        <v>1</v>
      </c>
      <c r="Z44" s="12">
        <f>VLOOKUP(Tableau4[[#This Row],[essence]],Tableau6[],9,FALSE)</f>
        <v>0.39550000000000002</v>
      </c>
      <c r="AA44" s="12">
        <f>IF(Tableau4[[#This Row],[sdom]]="2OUEST",1,0)</f>
        <v>0</v>
      </c>
      <c r="AB44" s="12">
        <f>VLOOKUP(Tableau4[[#This Row],[essence]],Tableau6[],10,FALSE)</f>
        <v>0.58989999999999998</v>
      </c>
      <c r="AC44" s="12">
        <f>IF(Tableau4[[#This Row],[sdom]]="3EST",1,0)</f>
        <v>0</v>
      </c>
      <c r="AD44" s="12">
        <f>VLOOKUP(Tableau4[[#This Row],[essence]],Tableau6[],11,FALSE)</f>
        <v>0.52759999999999996</v>
      </c>
      <c r="AE44" s="12">
        <f>IF(Tableau4[[#This Row],[sdom]]="3OUEST",1,0)</f>
        <v>0</v>
      </c>
      <c r="AF44" s="12">
        <f>VLOOKUP(Tableau4[[#This Row],[essence]],Tableau6[],12,FALSE)</f>
        <v>0</v>
      </c>
      <c r="AG44" s="12">
        <f>IF(Tableau4[[#This Row],[sdom]]="4EST",1,0)</f>
        <v>0</v>
      </c>
      <c r="AH44" s="12">
        <f>VLOOKUP(Tableau4[[#This Row],[essence]],Tableau6[],13,FALSE)</f>
        <v>0</v>
      </c>
      <c r="AI44" s="12">
        <f>IF(Tableau4[[#This Row],[sdom]]="4OUEST",1,0)</f>
        <v>0</v>
      </c>
      <c r="AJ44" s="12">
        <f>VLOOKUP(Tableau4[[#This Row],[essence]],Tableau6[],14,FALSE)</f>
        <v>0</v>
      </c>
      <c r="AK44" s="12">
        <f>IF(Tableau4[[#This Row],[sdom]]="5EST",1,0)</f>
        <v>0</v>
      </c>
      <c r="AL44" s="12">
        <f>VLOOKUP(Tableau4[[#This Row],[essence]],Tableau6[],17,FALSE)</f>
        <v>0</v>
      </c>
      <c r="AM44" s="12">
        <f>IF(Tableau4[[#This Row],[priorecol]]="C",1,0)</f>
        <v>1</v>
      </c>
      <c r="AN44" s="12">
        <f>VLOOKUP(Tableau4[[#This Row],[essence]],Tableau6[],18,FALSE)</f>
        <v>0</v>
      </c>
      <c r="AO44" s="12">
        <f>IF(Tableau4[[#This Row],[priorecol]]="R",1,0)</f>
        <v>0</v>
      </c>
      <c r="AP44" s="12">
        <f>VLOOKUP(Tableau4[[#This Row],[essence]],Tableau6[],19,FALSE)</f>
        <v>0</v>
      </c>
      <c r="AQ44" s="12">
        <f>IF(Tableau4[[#This Row],[priorecol]]="S",1,0)</f>
        <v>0</v>
      </c>
      <c r="AR44" s="12">
        <f>VLOOKUP(Tableau4[[#This Row],[essence]],Tableau6[],21,FALSE)</f>
        <v>0</v>
      </c>
      <c r="AS44" s="12">
        <f>IF(Tableau4[[#This Row],[priorecol]]="C",1,0)</f>
        <v>1</v>
      </c>
      <c r="AT44" s="12">
        <f>VLOOKUP(Tableau4[[#This Row],[essence]],Tableau6[],22,FALSE)</f>
        <v>0</v>
      </c>
      <c r="AU44" s="12">
        <f>IF(Tableau4[[#This Row],[priorecol]]="R",1,0)</f>
        <v>0</v>
      </c>
      <c r="AV44" s="12">
        <f>VLOOKUP(Tableau4[[#This Row],[essence]],Tableau6[],23,FALSE)</f>
        <v>0</v>
      </c>
      <c r="AW44" s="12">
        <f>IF(Tableau4[[#This Row],[priorecol]]="S",1,0)</f>
        <v>0</v>
      </c>
      <c r="AX44" s="12">
        <f>VLOOKUP(Tableau4[[#This Row],[essence]],Tableau6[],24,FALSE)</f>
        <v>0</v>
      </c>
      <c r="AY44" s="12">
        <f>VLOOKUP(Tableau4[[#This Row],[essence]],Tableau6[],25,FALSE)</f>
        <v>0</v>
      </c>
      <c r="AZ44" s="12">
        <f>VLOOKUP(Tableau4[[#This Row],[essence]],Tableau6[],26,FALSE)</f>
        <v>0</v>
      </c>
      <c r="BA44" s="12">
        <f>VLOOKUP(Tableau4[[#This Row],[essence]],Tableau6[],27,FALSE)</f>
        <v>0</v>
      </c>
      <c r="BB44" s="12">
        <f>VLOOKUP(Tableau4[[#This Row],[essence]],Tableau6[],16,FALSE)</f>
        <v>0</v>
      </c>
      <c r="BC4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2.6328</v>
      </c>
      <c r="BD44" s="12">
        <f>Tableau4[[#This Row],[xb_]]+Tableau4[[#This Row],[b_intercept_C]]+Tableau4[[#This Row],[b_dhpcm_x_intercept_C]]*Tableau4[[#This Row],[dhpcm]]</f>
        <v>1.4069</v>
      </c>
      <c r="BE44" s="12">
        <f>Tableau4[[#This Row],[xb_]]+Tableau4[[#This Row],[b_intercept_B]]+Tableau4[[#This Row],[b_dhpcm_x_intercept_B]]*Tableau4[[#This Row],[dhpcm]]</f>
        <v>-0.40839999999999987</v>
      </c>
      <c r="BF44" s="12">
        <f>Tableau4[[#This Row],[xb_]]+Tableau4[[#This Row],[b_intercept_A]]+Tableau4[[#This Row],[b_dhpcm_x_intercept_A]]*Tableau4[[#This Row],[dhpcm]]</f>
        <v>-1.7547000000000001</v>
      </c>
      <c r="BG44" s="12">
        <f>1/(1+EXP(-Tableau4[[#This Row],[xb_c]]))</f>
        <v>0.80327653177991865</v>
      </c>
      <c r="BH44" s="12">
        <f>1/(1+EXP(-Tableau4[[#This Row],[xb_b]]))</f>
        <v>0.39929583311677747</v>
      </c>
      <c r="BI44" s="12">
        <f>1/(1+EXP(-Tableau4[[#This Row],[xb_a]]))</f>
        <v>0.14745537075053561</v>
      </c>
      <c r="BJ44" s="12">
        <f>Tableau4[[#This Row],[prob_a]]</f>
        <v>0.14745537075053561</v>
      </c>
      <c r="BK44" s="12">
        <f>Tableau4[[#This Row],[prob_b]]-Tableau4[[#This Row],[prob_a]]</f>
        <v>0.25184046236624186</v>
      </c>
      <c r="BL44" s="12">
        <f>Tableau4[[#This Row],[prob_c]]-Tableau4[[#This Row],[prob_b]]</f>
        <v>0.40398069866314118</v>
      </c>
      <c r="BM44" s="12">
        <f>1-Tableau4[[#This Row],[prob_c]]</f>
        <v>0.19672346822008135</v>
      </c>
    </row>
    <row r="45" spans="1:65" x14ac:dyDescent="0.25">
      <c r="A45" s="12">
        <v>2</v>
      </c>
      <c r="B45" s="12" t="s">
        <v>10</v>
      </c>
      <c r="C45" s="12">
        <v>2.1</v>
      </c>
      <c r="D45" s="12">
        <v>828</v>
      </c>
      <c r="E45" s="12">
        <v>29</v>
      </c>
      <c r="F45" s="12">
        <v>0</v>
      </c>
      <c r="G45" s="12">
        <v>68</v>
      </c>
      <c r="H45" s="12">
        <v>83</v>
      </c>
      <c r="I45" s="12" t="s">
        <v>25</v>
      </c>
      <c r="J45" s="12" t="s">
        <v>28</v>
      </c>
      <c r="K45" s="12">
        <f>VLOOKUP(Tableau4[[#This Row],[essence]],Tableau6[],2,FALSE)</f>
        <v>-4.3875000000000002</v>
      </c>
      <c r="L45" s="12">
        <f>VLOOKUP(Tableau4[[#This Row],[essence]],Tableau6[],3,FALSE)</f>
        <v>-3.0411999999999999</v>
      </c>
      <c r="M45" s="12">
        <f>VLOOKUP(Tableau4[[#This Row],[essence]],Tableau6[],4,FALSE)</f>
        <v>-1.2259</v>
      </c>
      <c r="N45" s="12">
        <f>VLOOKUP(Tableau4[[#This Row],[essence]],Tableau6[],5,FALSE)</f>
        <v>1.7715000000000001</v>
      </c>
      <c r="O45" s="12">
        <f>IF(Tableau4[[#This Row],[priorecol]]="C",1,0)</f>
        <v>0</v>
      </c>
      <c r="P45" s="12">
        <f>VLOOKUP(Tableau4[[#This Row],[essence]],Tableau6[],6,FALSE)</f>
        <v>2.6688000000000001</v>
      </c>
      <c r="Q45" s="12">
        <f>IF(Tableau4[[#This Row],[priorecol]]="R",1,0)</f>
        <v>1</v>
      </c>
      <c r="R45" s="12">
        <f>VLOOKUP(Tableau4[[#This Row],[essence]],Tableau6[],7,FALSE)</f>
        <v>1.5728</v>
      </c>
      <c r="S45" s="12">
        <f>IF(Tableau4[[#This Row],[priorecol]]="S",1,0)</f>
        <v>0</v>
      </c>
      <c r="T45" s="12">
        <f>VLOOKUP(Tableau4[[#This Row],[essence]],Tableau6[],20,FALSE)</f>
        <v>0</v>
      </c>
      <c r="U45" s="12">
        <f>VLOOKUP(Tableau4[[#This Row],[essence]],Tableau6[],15,FALSE)</f>
        <v>0</v>
      </c>
      <c r="V45" s="12">
        <f>VLOOKUP(Tableau4[[#This Row],[essence]],Tableau6[],28,FALSE)</f>
        <v>0</v>
      </c>
      <c r="W45" s="12">
        <f>IF(Tableau4[[#This Row],[sdom]]=1,1,0)</f>
        <v>0</v>
      </c>
      <c r="X45" s="12">
        <f>VLOOKUP(Tableau4[[#This Row],[essence]],Tableau6[],8,FALSE)</f>
        <v>0.86129999999999995</v>
      </c>
      <c r="Y45" s="12">
        <f>IF(Tableau4[[#This Row],[sdom]]="2EST",1,0)</f>
        <v>1</v>
      </c>
      <c r="Z45" s="12">
        <f>VLOOKUP(Tableau4[[#This Row],[essence]],Tableau6[],9,FALSE)</f>
        <v>0.39550000000000002</v>
      </c>
      <c r="AA45" s="12">
        <f>IF(Tableau4[[#This Row],[sdom]]="2OUEST",1,0)</f>
        <v>0</v>
      </c>
      <c r="AB45" s="12">
        <f>VLOOKUP(Tableau4[[#This Row],[essence]],Tableau6[],10,FALSE)</f>
        <v>0.58989999999999998</v>
      </c>
      <c r="AC45" s="12">
        <f>IF(Tableau4[[#This Row],[sdom]]="3EST",1,0)</f>
        <v>0</v>
      </c>
      <c r="AD45" s="12">
        <f>VLOOKUP(Tableau4[[#This Row],[essence]],Tableau6[],11,FALSE)</f>
        <v>0.52759999999999996</v>
      </c>
      <c r="AE45" s="12">
        <f>IF(Tableau4[[#This Row],[sdom]]="3OUEST",1,0)</f>
        <v>0</v>
      </c>
      <c r="AF45" s="12">
        <f>VLOOKUP(Tableau4[[#This Row],[essence]],Tableau6[],12,FALSE)</f>
        <v>0</v>
      </c>
      <c r="AG45" s="12">
        <f>IF(Tableau4[[#This Row],[sdom]]="4EST",1,0)</f>
        <v>0</v>
      </c>
      <c r="AH45" s="12">
        <f>VLOOKUP(Tableau4[[#This Row],[essence]],Tableau6[],13,FALSE)</f>
        <v>0</v>
      </c>
      <c r="AI45" s="12">
        <f>IF(Tableau4[[#This Row],[sdom]]="4OUEST",1,0)</f>
        <v>0</v>
      </c>
      <c r="AJ45" s="12">
        <f>VLOOKUP(Tableau4[[#This Row],[essence]],Tableau6[],14,FALSE)</f>
        <v>0</v>
      </c>
      <c r="AK45" s="12">
        <f>IF(Tableau4[[#This Row],[sdom]]="5EST",1,0)</f>
        <v>0</v>
      </c>
      <c r="AL45" s="12">
        <f>VLOOKUP(Tableau4[[#This Row],[essence]],Tableau6[],17,FALSE)</f>
        <v>0</v>
      </c>
      <c r="AM45" s="12">
        <f>IF(Tableau4[[#This Row],[priorecol]]="C",1,0)</f>
        <v>0</v>
      </c>
      <c r="AN45" s="12">
        <f>VLOOKUP(Tableau4[[#This Row],[essence]],Tableau6[],18,FALSE)</f>
        <v>0</v>
      </c>
      <c r="AO45" s="12">
        <f>IF(Tableau4[[#This Row],[priorecol]]="R",1,0)</f>
        <v>1</v>
      </c>
      <c r="AP45" s="12">
        <f>VLOOKUP(Tableau4[[#This Row],[essence]],Tableau6[],19,FALSE)</f>
        <v>0</v>
      </c>
      <c r="AQ45" s="12">
        <f>IF(Tableau4[[#This Row],[priorecol]]="S",1,0)</f>
        <v>0</v>
      </c>
      <c r="AR45" s="12">
        <f>VLOOKUP(Tableau4[[#This Row],[essence]],Tableau6[],21,FALSE)</f>
        <v>0</v>
      </c>
      <c r="AS45" s="12">
        <f>IF(Tableau4[[#This Row],[priorecol]]="C",1,0)</f>
        <v>0</v>
      </c>
      <c r="AT45" s="12">
        <f>VLOOKUP(Tableau4[[#This Row],[essence]],Tableau6[],22,FALSE)</f>
        <v>0</v>
      </c>
      <c r="AU45" s="12">
        <f>IF(Tableau4[[#This Row],[priorecol]]="R",1,0)</f>
        <v>1</v>
      </c>
      <c r="AV45" s="12">
        <f>VLOOKUP(Tableau4[[#This Row],[essence]],Tableau6[],23,FALSE)</f>
        <v>0</v>
      </c>
      <c r="AW45" s="12">
        <f>IF(Tableau4[[#This Row],[priorecol]]="S",1,0)</f>
        <v>0</v>
      </c>
      <c r="AX45" s="12">
        <f>VLOOKUP(Tableau4[[#This Row],[essence]],Tableau6[],24,FALSE)</f>
        <v>0</v>
      </c>
      <c r="AY45" s="12">
        <f>VLOOKUP(Tableau4[[#This Row],[essence]],Tableau6[],25,FALSE)</f>
        <v>0</v>
      </c>
      <c r="AZ45" s="12">
        <f>VLOOKUP(Tableau4[[#This Row],[essence]],Tableau6[],26,FALSE)</f>
        <v>0</v>
      </c>
      <c r="BA45" s="12">
        <f>VLOOKUP(Tableau4[[#This Row],[essence]],Tableau6[],27,FALSE)</f>
        <v>0</v>
      </c>
      <c r="BB45" s="12">
        <f>VLOOKUP(Tableau4[[#This Row],[essence]],Tableau6[],16,FALSE)</f>
        <v>0</v>
      </c>
      <c r="BC4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3.5301</v>
      </c>
      <c r="BD45" s="12">
        <f>Tableau4[[#This Row],[xb_]]+Tableau4[[#This Row],[b_intercept_C]]+Tableau4[[#This Row],[b_dhpcm_x_intercept_C]]*Tableau4[[#This Row],[dhpcm]]</f>
        <v>2.3041999999999998</v>
      </c>
      <c r="BE45" s="12">
        <f>Tableau4[[#This Row],[xb_]]+Tableau4[[#This Row],[b_intercept_B]]+Tableau4[[#This Row],[b_dhpcm_x_intercept_B]]*Tableau4[[#This Row],[dhpcm]]</f>
        <v>0.48890000000000011</v>
      </c>
      <c r="BF45" s="12">
        <f>Tableau4[[#This Row],[xb_]]+Tableau4[[#This Row],[b_intercept_A]]+Tableau4[[#This Row],[b_dhpcm_x_intercept_A]]*Tableau4[[#This Row],[dhpcm]]</f>
        <v>-0.85740000000000016</v>
      </c>
      <c r="BG45" s="12">
        <f>1/(1+EXP(-Tableau4[[#This Row],[xb_c]]))</f>
        <v>0.9092242843373185</v>
      </c>
      <c r="BH45" s="12">
        <f>1/(1+EXP(-Tableau4[[#This Row],[xb_b]]))</f>
        <v>0.61984726623955422</v>
      </c>
      <c r="BI45" s="12">
        <f>1/(1+EXP(-Tableau4[[#This Row],[xb_a]]))</f>
        <v>0.29788284624304634</v>
      </c>
      <c r="BJ45" s="12">
        <f>Tableau4[[#This Row],[prob_a]]</f>
        <v>0.29788284624304634</v>
      </c>
      <c r="BK45" s="12">
        <f>Tableau4[[#This Row],[prob_b]]-Tableau4[[#This Row],[prob_a]]</f>
        <v>0.32196441999650788</v>
      </c>
      <c r="BL45" s="12">
        <f>Tableau4[[#This Row],[prob_c]]-Tableau4[[#This Row],[prob_b]]</f>
        <v>0.28937701809776428</v>
      </c>
      <c r="BM45" s="12">
        <f>1-Tableau4[[#This Row],[prob_c]]</f>
        <v>9.07757156626815E-2</v>
      </c>
    </row>
    <row r="46" spans="1:65" x14ac:dyDescent="0.25">
      <c r="A46" s="12">
        <v>2</v>
      </c>
      <c r="B46" s="12" t="s">
        <v>10</v>
      </c>
      <c r="C46" s="12">
        <v>2.1</v>
      </c>
      <c r="D46" s="12">
        <v>828</v>
      </c>
      <c r="E46" s="12">
        <v>29</v>
      </c>
      <c r="F46" s="12">
        <v>0</v>
      </c>
      <c r="G46" s="12">
        <v>69</v>
      </c>
      <c r="H46" s="12">
        <v>84</v>
      </c>
      <c r="I46" s="12" t="s">
        <v>25</v>
      </c>
      <c r="J46" s="12" t="s">
        <v>29</v>
      </c>
      <c r="K46" s="12">
        <f>VLOOKUP(Tableau4[[#This Row],[essence]],Tableau6[],2,FALSE)</f>
        <v>-4.3875000000000002</v>
      </c>
      <c r="L46" s="12">
        <f>VLOOKUP(Tableau4[[#This Row],[essence]],Tableau6[],3,FALSE)</f>
        <v>-3.0411999999999999</v>
      </c>
      <c r="M46" s="12">
        <f>VLOOKUP(Tableau4[[#This Row],[essence]],Tableau6[],4,FALSE)</f>
        <v>-1.2259</v>
      </c>
      <c r="N46" s="12">
        <f>VLOOKUP(Tableau4[[#This Row],[essence]],Tableau6[],5,FALSE)</f>
        <v>1.7715000000000001</v>
      </c>
      <c r="O46" s="12">
        <f>IF(Tableau4[[#This Row],[priorecol]]="C",1,0)</f>
        <v>0</v>
      </c>
      <c r="P46" s="12">
        <f>VLOOKUP(Tableau4[[#This Row],[essence]],Tableau6[],6,FALSE)</f>
        <v>2.6688000000000001</v>
      </c>
      <c r="Q46" s="12">
        <f>IF(Tableau4[[#This Row],[priorecol]]="R",1,0)</f>
        <v>0</v>
      </c>
      <c r="R46" s="12">
        <f>VLOOKUP(Tableau4[[#This Row],[essence]],Tableau6[],7,FALSE)</f>
        <v>1.5728</v>
      </c>
      <c r="S46" s="12">
        <f>IF(Tableau4[[#This Row],[priorecol]]="S",1,0)</f>
        <v>1</v>
      </c>
      <c r="T46" s="12">
        <f>VLOOKUP(Tableau4[[#This Row],[essence]],Tableau6[],20,FALSE)</f>
        <v>0</v>
      </c>
      <c r="U46" s="12">
        <f>VLOOKUP(Tableau4[[#This Row],[essence]],Tableau6[],15,FALSE)</f>
        <v>0</v>
      </c>
      <c r="V46" s="12">
        <f>VLOOKUP(Tableau4[[#This Row],[essence]],Tableau6[],28,FALSE)</f>
        <v>0</v>
      </c>
      <c r="W46" s="12">
        <f>IF(Tableau4[[#This Row],[sdom]]=1,1,0)</f>
        <v>0</v>
      </c>
      <c r="X46" s="12">
        <f>VLOOKUP(Tableau4[[#This Row],[essence]],Tableau6[],8,FALSE)</f>
        <v>0.86129999999999995</v>
      </c>
      <c r="Y46" s="12">
        <f>IF(Tableau4[[#This Row],[sdom]]="2EST",1,0)</f>
        <v>1</v>
      </c>
      <c r="Z46" s="12">
        <f>VLOOKUP(Tableau4[[#This Row],[essence]],Tableau6[],9,FALSE)</f>
        <v>0.39550000000000002</v>
      </c>
      <c r="AA46" s="12">
        <f>IF(Tableau4[[#This Row],[sdom]]="2OUEST",1,0)</f>
        <v>0</v>
      </c>
      <c r="AB46" s="12">
        <f>VLOOKUP(Tableau4[[#This Row],[essence]],Tableau6[],10,FALSE)</f>
        <v>0.58989999999999998</v>
      </c>
      <c r="AC46" s="12">
        <f>IF(Tableau4[[#This Row],[sdom]]="3EST",1,0)</f>
        <v>0</v>
      </c>
      <c r="AD46" s="12">
        <f>VLOOKUP(Tableau4[[#This Row],[essence]],Tableau6[],11,FALSE)</f>
        <v>0.52759999999999996</v>
      </c>
      <c r="AE46" s="12">
        <f>IF(Tableau4[[#This Row],[sdom]]="3OUEST",1,0)</f>
        <v>0</v>
      </c>
      <c r="AF46" s="12">
        <f>VLOOKUP(Tableau4[[#This Row],[essence]],Tableau6[],12,FALSE)</f>
        <v>0</v>
      </c>
      <c r="AG46" s="12">
        <f>IF(Tableau4[[#This Row],[sdom]]="4EST",1,0)</f>
        <v>0</v>
      </c>
      <c r="AH46" s="12">
        <f>VLOOKUP(Tableau4[[#This Row],[essence]],Tableau6[],13,FALSE)</f>
        <v>0</v>
      </c>
      <c r="AI46" s="12">
        <f>IF(Tableau4[[#This Row],[sdom]]="4OUEST",1,0)</f>
        <v>0</v>
      </c>
      <c r="AJ46" s="12">
        <f>VLOOKUP(Tableau4[[#This Row],[essence]],Tableau6[],14,FALSE)</f>
        <v>0</v>
      </c>
      <c r="AK46" s="12">
        <f>IF(Tableau4[[#This Row],[sdom]]="5EST",1,0)</f>
        <v>0</v>
      </c>
      <c r="AL46" s="12">
        <f>VLOOKUP(Tableau4[[#This Row],[essence]],Tableau6[],17,FALSE)</f>
        <v>0</v>
      </c>
      <c r="AM46" s="12">
        <f>IF(Tableau4[[#This Row],[priorecol]]="C",1,0)</f>
        <v>0</v>
      </c>
      <c r="AN46" s="12">
        <f>VLOOKUP(Tableau4[[#This Row],[essence]],Tableau6[],18,FALSE)</f>
        <v>0</v>
      </c>
      <c r="AO46" s="12">
        <f>IF(Tableau4[[#This Row],[priorecol]]="R",1,0)</f>
        <v>0</v>
      </c>
      <c r="AP46" s="12">
        <f>VLOOKUP(Tableau4[[#This Row],[essence]],Tableau6[],19,FALSE)</f>
        <v>0</v>
      </c>
      <c r="AQ46" s="12">
        <f>IF(Tableau4[[#This Row],[priorecol]]="S",1,0)</f>
        <v>1</v>
      </c>
      <c r="AR46" s="12">
        <f>VLOOKUP(Tableau4[[#This Row],[essence]],Tableau6[],21,FALSE)</f>
        <v>0</v>
      </c>
      <c r="AS46" s="12">
        <f>IF(Tableau4[[#This Row],[priorecol]]="C",1,0)</f>
        <v>0</v>
      </c>
      <c r="AT46" s="12">
        <f>VLOOKUP(Tableau4[[#This Row],[essence]],Tableau6[],22,FALSE)</f>
        <v>0</v>
      </c>
      <c r="AU46" s="12">
        <f>IF(Tableau4[[#This Row],[priorecol]]="R",1,0)</f>
        <v>0</v>
      </c>
      <c r="AV46" s="12">
        <f>VLOOKUP(Tableau4[[#This Row],[essence]],Tableau6[],23,FALSE)</f>
        <v>0</v>
      </c>
      <c r="AW46" s="12">
        <f>IF(Tableau4[[#This Row],[priorecol]]="S",1,0)</f>
        <v>1</v>
      </c>
      <c r="AX46" s="12">
        <f>VLOOKUP(Tableau4[[#This Row],[essence]],Tableau6[],24,FALSE)</f>
        <v>0</v>
      </c>
      <c r="AY46" s="12">
        <f>VLOOKUP(Tableau4[[#This Row],[essence]],Tableau6[],25,FALSE)</f>
        <v>0</v>
      </c>
      <c r="AZ46" s="12">
        <f>VLOOKUP(Tableau4[[#This Row],[essence]],Tableau6[],26,FALSE)</f>
        <v>0</v>
      </c>
      <c r="BA46" s="12">
        <f>VLOOKUP(Tableau4[[#This Row],[essence]],Tableau6[],27,FALSE)</f>
        <v>0</v>
      </c>
      <c r="BB46" s="12">
        <f>VLOOKUP(Tableau4[[#This Row],[essence]],Tableau6[],16,FALSE)</f>
        <v>0</v>
      </c>
      <c r="BC4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2.4340999999999999</v>
      </c>
      <c r="BD46" s="12">
        <f>Tableau4[[#This Row],[xb_]]+Tableau4[[#This Row],[b_intercept_C]]+Tableau4[[#This Row],[b_dhpcm_x_intercept_C]]*Tableau4[[#This Row],[dhpcm]]</f>
        <v>1.2081999999999999</v>
      </c>
      <c r="BE46" s="12">
        <f>Tableau4[[#This Row],[xb_]]+Tableau4[[#This Row],[b_intercept_B]]+Tableau4[[#This Row],[b_dhpcm_x_intercept_B]]*Tableau4[[#This Row],[dhpcm]]</f>
        <v>-0.60709999999999997</v>
      </c>
      <c r="BF46" s="12">
        <f>Tableau4[[#This Row],[xb_]]+Tableau4[[#This Row],[b_intercept_A]]+Tableau4[[#This Row],[b_dhpcm_x_intercept_A]]*Tableau4[[#This Row],[dhpcm]]</f>
        <v>-1.9534000000000002</v>
      </c>
      <c r="BG46" s="12">
        <f>1/(1+EXP(-Tableau4[[#This Row],[xb_c]]))</f>
        <v>0.76998030483942626</v>
      </c>
      <c r="BH46" s="12">
        <f>1/(1+EXP(-Tableau4[[#This Row],[xb_b]]))</f>
        <v>0.35272101059724598</v>
      </c>
      <c r="BI46" s="12">
        <f>1/(1+EXP(-Tableau4[[#This Row],[xb_a]]))</f>
        <v>0.12418309580579721</v>
      </c>
      <c r="BJ46" s="12">
        <f>Tableau4[[#This Row],[prob_a]]</f>
        <v>0.12418309580579721</v>
      </c>
      <c r="BK46" s="12">
        <f>Tableau4[[#This Row],[prob_b]]-Tableau4[[#This Row],[prob_a]]</f>
        <v>0.22853791479144875</v>
      </c>
      <c r="BL46" s="12">
        <f>Tableau4[[#This Row],[prob_c]]-Tableau4[[#This Row],[prob_b]]</f>
        <v>0.41725929424218028</v>
      </c>
      <c r="BM46" s="12">
        <f>1-Tableau4[[#This Row],[prob_c]]</f>
        <v>0.23001969516057374</v>
      </c>
    </row>
    <row r="47" spans="1:65" x14ac:dyDescent="0.25">
      <c r="A47" s="12">
        <v>2</v>
      </c>
      <c r="B47" s="12" t="s">
        <v>10</v>
      </c>
      <c r="C47" s="12">
        <v>2.1</v>
      </c>
      <c r="D47" s="12">
        <v>828</v>
      </c>
      <c r="E47" s="12">
        <v>29</v>
      </c>
      <c r="F47" s="12">
        <v>0</v>
      </c>
      <c r="G47" s="12">
        <v>70</v>
      </c>
      <c r="H47" s="12">
        <v>85</v>
      </c>
      <c r="I47" s="12" t="s">
        <v>26</v>
      </c>
      <c r="J47" s="12" t="s">
        <v>27</v>
      </c>
      <c r="K47" s="12">
        <f>VLOOKUP(Tableau4[[#This Row],[essence]],Tableau6[],2,FALSE)</f>
        <v>0.71340000000000003</v>
      </c>
      <c r="L47" s="12">
        <f>VLOOKUP(Tableau4[[#This Row],[essence]],Tableau6[],3,FALSE)</f>
        <v>1.7461</v>
      </c>
      <c r="M47" s="12">
        <f>VLOOKUP(Tableau4[[#This Row],[essence]],Tableau6[],4,FALSE)</f>
        <v>2.9828999999999999</v>
      </c>
      <c r="N47" s="12">
        <f>VLOOKUP(Tableau4[[#This Row],[essence]],Tableau6[],5,FALSE)</f>
        <v>1.5659000000000001</v>
      </c>
      <c r="O47" s="12">
        <f>IF(Tableau4[[#This Row],[priorecol]]="C",1,0)</f>
        <v>1</v>
      </c>
      <c r="P47" s="12">
        <f>VLOOKUP(Tableau4[[#This Row],[essence]],Tableau6[],6,FALSE)</f>
        <v>1.9651000000000001</v>
      </c>
      <c r="Q47" s="12">
        <f>IF(Tableau4[[#This Row],[priorecol]]="R",1,0)</f>
        <v>0</v>
      </c>
      <c r="R47" s="12">
        <f>VLOOKUP(Tableau4[[#This Row],[essence]],Tableau6[],7,FALSE)</f>
        <v>1.1892</v>
      </c>
      <c r="S47" s="12">
        <f>IF(Tableau4[[#This Row],[priorecol]]="S",1,0)</f>
        <v>0</v>
      </c>
      <c r="T47" s="12">
        <f>VLOOKUP(Tableau4[[#This Row],[essence]],Tableau6[],20,FALSE)</f>
        <v>0</v>
      </c>
      <c r="U47" s="12">
        <f>VLOOKUP(Tableau4[[#This Row],[essence]],Tableau6[],15,FALSE)</f>
        <v>0</v>
      </c>
      <c r="V47" s="12">
        <f>VLOOKUP(Tableau4[[#This Row],[essence]],Tableau6[],28,FALSE)</f>
        <v>0</v>
      </c>
      <c r="W47" s="12">
        <f>IF(Tableau4[[#This Row],[sdom]]=1,1,0)</f>
        <v>0</v>
      </c>
      <c r="X47" s="12">
        <f>VLOOKUP(Tableau4[[#This Row],[essence]],Tableau6[],8,FALSE)</f>
        <v>0</v>
      </c>
      <c r="Y47" s="12">
        <f>IF(Tableau4[[#This Row],[sdom]]="2EST",1,0)</f>
        <v>1</v>
      </c>
      <c r="Z47" s="12">
        <f>VLOOKUP(Tableau4[[#This Row],[essence]],Tableau6[],9,FALSE)</f>
        <v>0</v>
      </c>
      <c r="AA47" s="12">
        <f>IF(Tableau4[[#This Row],[sdom]]="2OUEST",1,0)</f>
        <v>0</v>
      </c>
      <c r="AB47" s="12">
        <f>VLOOKUP(Tableau4[[#This Row],[essence]],Tableau6[],10,FALSE)</f>
        <v>0</v>
      </c>
      <c r="AC47" s="12">
        <f>IF(Tableau4[[#This Row],[sdom]]="3EST",1,0)</f>
        <v>0</v>
      </c>
      <c r="AD47" s="12">
        <f>VLOOKUP(Tableau4[[#This Row],[essence]],Tableau6[],11,FALSE)</f>
        <v>0.71960000000000002</v>
      </c>
      <c r="AE47" s="12">
        <f>IF(Tableau4[[#This Row],[sdom]]="3OUEST",1,0)</f>
        <v>0</v>
      </c>
      <c r="AF47" s="12">
        <f>VLOOKUP(Tableau4[[#This Row],[essence]],Tableau6[],12,FALSE)</f>
        <v>-2.81E-2</v>
      </c>
      <c r="AG47" s="12">
        <f>IF(Tableau4[[#This Row],[sdom]]="4EST",1,0)</f>
        <v>0</v>
      </c>
      <c r="AH47" s="12">
        <f>VLOOKUP(Tableau4[[#This Row],[essence]],Tableau6[],13,FALSE)</f>
        <v>0.23519999999999999</v>
      </c>
      <c r="AI47" s="12">
        <f>IF(Tableau4[[#This Row],[sdom]]="4OUEST",1,0)</f>
        <v>0</v>
      </c>
      <c r="AJ47" s="12">
        <f>VLOOKUP(Tableau4[[#This Row],[essence]],Tableau6[],14,FALSE)</f>
        <v>0.24660000000000001</v>
      </c>
      <c r="AK47" s="12">
        <f>IF(Tableau4[[#This Row],[sdom]]="5EST",1,0)</f>
        <v>0</v>
      </c>
      <c r="AL47" s="12">
        <f>VLOOKUP(Tableau4[[#This Row],[essence]],Tableau6[],17,FALSE)</f>
        <v>0</v>
      </c>
      <c r="AM47" s="12">
        <f>IF(Tableau4[[#This Row],[priorecol]]="C",1,0)</f>
        <v>1</v>
      </c>
      <c r="AN47" s="12">
        <f>VLOOKUP(Tableau4[[#This Row],[essence]],Tableau6[],18,FALSE)</f>
        <v>0</v>
      </c>
      <c r="AO47" s="12">
        <f>IF(Tableau4[[#This Row],[priorecol]]="R",1,0)</f>
        <v>0</v>
      </c>
      <c r="AP47" s="12">
        <f>VLOOKUP(Tableau4[[#This Row],[essence]],Tableau6[],19,FALSE)</f>
        <v>0</v>
      </c>
      <c r="AQ47" s="12">
        <f>IF(Tableau4[[#This Row],[priorecol]]="S",1,0)</f>
        <v>0</v>
      </c>
      <c r="AR47" s="12">
        <f>VLOOKUP(Tableau4[[#This Row],[essence]],Tableau6[],21,FALSE)</f>
        <v>0</v>
      </c>
      <c r="AS47" s="12">
        <f>IF(Tableau4[[#This Row],[priorecol]]="C",1,0)</f>
        <v>1</v>
      </c>
      <c r="AT47" s="12">
        <f>VLOOKUP(Tableau4[[#This Row],[essence]],Tableau6[],22,FALSE)</f>
        <v>0</v>
      </c>
      <c r="AU47" s="12">
        <f>IF(Tableau4[[#This Row],[priorecol]]="R",1,0)</f>
        <v>0</v>
      </c>
      <c r="AV47" s="12">
        <f>VLOOKUP(Tableau4[[#This Row],[essence]],Tableau6[],23,FALSE)</f>
        <v>0</v>
      </c>
      <c r="AW47" s="12">
        <f>IF(Tableau4[[#This Row],[priorecol]]="S",1,0)</f>
        <v>0</v>
      </c>
      <c r="AX47" s="12">
        <f>VLOOKUP(Tableau4[[#This Row],[essence]],Tableau6[],24,FALSE)</f>
        <v>0</v>
      </c>
      <c r="AY47" s="12">
        <f>VLOOKUP(Tableau4[[#This Row],[essence]],Tableau6[],25,FALSE)</f>
        <v>0</v>
      </c>
      <c r="AZ47" s="12">
        <f>VLOOKUP(Tableau4[[#This Row],[essence]],Tableau6[],26,FALSE)</f>
        <v>0</v>
      </c>
      <c r="BA47" s="12">
        <f>VLOOKUP(Tableau4[[#This Row],[essence]],Tableau6[],27,FALSE)</f>
        <v>0</v>
      </c>
      <c r="BB47" s="12">
        <f>VLOOKUP(Tableau4[[#This Row],[essence]],Tableau6[],16,FALSE)</f>
        <v>-2.6700000000000001E-3</v>
      </c>
      <c r="BC4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-0.64485999999999999</v>
      </c>
      <c r="BD47" s="12">
        <f>Tableau4[[#This Row],[xb_]]+Tableau4[[#This Row],[b_intercept_C]]+Tableau4[[#This Row],[b_dhpcm_x_intercept_C]]*Tableau4[[#This Row],[dhpcm]]</f>
        <v>2.3380399999999999</v>
      </c>
      <c r="BE47" s="12">
        <f>Tableau4[[#This Row],[xb_]]+Tableau4[[#This Row],[b_intercept_B]]+Tableau4[[#This Row],[b_dhpcm_x_intercept_B]]*Tableau4[[#This Row],[dhpcm]]</f>
        <v>1.10124</v>
      </c>
      <c r="BF47" s="12">
        <f>Tableau4[[#This Row],[xb_]]+Tableau4[[#This Row],[b_intercept_A]]+Tableau4[[#This Row],[b_dhpcm_x_intercept_A]]*Tableau4[[#This Row],[dhpcm]]</f>
        <v>6.8540000000000045E-2</v>
      </c>
      <c r="BG47" s="12">
        <f>1/(1+EXP(-Tableau4[[#This Row],[xb_c]]))</f>
        <v>0.91197887628907026</v>
      </c>
      <c r="BH47" s="12">
        <f>1/(1+EXP(-Tableau4[[#This Row],[xb_b]]))</f>
        <v>0.75049237213845388</v>
      </c>
      <c r="BI47" s="12">
        <f>1/(1+EXP(-Tableau4[[#This Row],[xb_a]]))</f>
        <v>0.51712829518047942</v>
      </c>
      <c r="BJ47" s="12">
        <f>Tableau4[[#This Row],[prob_a]]</f>
        <v>0.51712829518047942</v>
      </c>
      <c r="BK47" s="12">
        <f>Tableau4[[#This Row],[prob_b]]-Tableau4[[#This Row],[prob_a]]</f>
        <v>0.23336407695797445</v>
      </c>
      <c r="BL47" s="12">
        <f>Tableau4[[#This Row],[prob_c]]-Tableau4[[#This Row],[prob_b]]</f>
        <v>0.16148650415061638</v>
      </c>
      <c r="BM47" s="12">
        <f>1-Tableau4[[#This Row],[prob_c]]</f>
        <v>8.8021123710929738E-2</v>
      </c>
    </row>
    <row r="48" spans="1:65" x14ac:dyDescent="0.25">
      <c r="A48" s="12">
        <v>2</v>
      </c>
      <c r="B48" s="12" t="s">
        <v>10</v>
      </c>
      <c r="C48" s="12">
        <v>2.1</v>
      </c>
      <c r="D48" s="12">
        <v>828</v>
      </c>
      <c r="E48" s="12">
        <v>29</v>
      </c>
      <c r="F48" s="12">
        <v>0</v>
      </c>
      <c r="G48" s="12">
        <v>71</v>
      </c>
      <c r="H48" s="12">
        <v>86</v>
      </c>
      <c r="I48" s="12" t="s">
        <v>26</v>
      </c>
      <c r="J48" s="12" t="s">
        <v>28</v>
      </c>
      <c r="K48" s="12">
        <f>VLOOKUP(Tableau4[[#This Row],[essence]],Tableau6[],2,FALSE)</f>
        <v>0.71340000000000003</v>
      </c>
      <c r="L48" s="12">
        <f>VLOOKUP(Tableau4[[#This Row],[essence]],Tableau6[],3,FALSE)</f>
        <v>1.7461</v>
      </c>
      <c r="M48" s="12">
        <f>VLOOKUP(Tableau4[[#This Row],[essence]],Tableau6[],4,FALSE)</f>
        <v>2.9828999999999999</v>
      </c>
      <c r="N48" s="12">
        <f>VLOOKUP(Tableau4[[#This Row],[essence]],Tableau6[],5,FALSE)</f>
        <v>1.5659000000000001</v>
      </c>
      <c r="O48" s="12">
        <f>IF(Tableau4[[#This Row],[priorecol]]="C",1,0)</f>
        <v>0</v>
      </c>
      <c r="P48" s="12">
        <f>VLOOKUP(Tableau4[[#This Row],[essence]],Tableau6[],6,FALSE)</f>
        <v>1.9651000000000001</v>
      </c>
      <c r="Q48" s="12">
        <f>IF(Tableau4[[#This Row],[priorecol]]="R",1,0)</f>
        <v>1</v>
      </c>
      <c r="R48" s="12">
        <f>VLOOKUP(Tableau4[[#This Row],[essence]],Tableau6[],7,FALSE)</f>
        <v>1.1892</v>
      </c>
      <c r="S48" s="12">
        <f>IF(Tableau4[[#This Row],[priorecol]]="S",1,0)</f>
        <v>0</v>
      </c>
      <c r="T48" s="12">
        <f>VLOOKUP(Tableau4[[#This Row],[essence]],Tableau6[],20,FALSE)</f>
        <v>0</v>
      </c>
      <c r="U48" s="12">
        <f>VLOOKUP(Tableau4[[#This Row],[essence]],Tableau6[],15,FALSE)</f>
        <v>0</v>
      </c>
      <c r="V48" s="12">
        <f>VLOOKUP(Tableau4[[#This Row],[essence]],Tableau6[],28,FALSE)</f>
        <v>0</v>
      </c>
      <c r="W48" s="12">
        <f>IF(Tableau4[[#This Row],[sdom]]=1,1,0)</f>
        <v>0</v>
      </c>
      <c r="X48" s="12">
        <f>VLOOKUP(Tableau4[[#This Row],[essence]],Tableau6[],8,FALSE)</f>
        <v>0</v>
      </c>
      <c r="Y48" s="12">
        <f>IF(Tableau4[[#This Row],[sdom]]="2EST",1,0)</f>
        <v>1</v>
      </c>
      <c r="Z48" s="12">
        <f>VLOOKUP(Tableau4[[#This Row],[essence]],Tableau6[],9,FALSE)</f>
        <v>0</v>
      </c>
      <c r="AA48" s="12">
        <f>IF(Tableau4[[#This Row],[sdom]]="2OUEST",1,0)</f>
        <v>0</v>
      </c>
      <c r="AB48" s="12">
        <f>VLOOKUP(Tableau4[[#This Row],[essence]],Tableau6[],10,FALSE)</f>
        <v>0</v>
      </c>
      <c r="AC48" s="12">
        <f>IF(Tableau4[[#This Row],[sdom]]="3EST",1,0)</f>
        <v>0</v>
      </c>
      <c r="AD48" s="12">
        <f>VLOOKUP(Tableau4[[#This Row],[essence]],Tableau6[],11,FALSE)</f>
        <v>0.71960000000000002</v>
      </c>
      <c r="AE48" s="12">
        <f>IF(Tableau4[[#This Row],[sdom]]="3OUEST",1,0)</f>
        <v>0</v>
      </c>
      <c r="AF48" s="12">
        <f>VLOOKUP(Tableau4[[#This Row],[essence]],Tableau6[],12,FALSE)</f>
        <v>-2.81E-2</v>
      </c>
      <c r="AG48" s="12">
        <f>IF(Tableau4[[#This Row],[sdom]]="4EST",1,0)</f>
        <v>0</v>
      </c>
      <c r="AH48" s="12">
        <f>VLOOKUP(Tableau4[[#This Row],[essence]],Tableau6[],13,FALSE)</f>
        <v>0.23519999999999999</v>
      </c>
      <c r="AI48" s="12">
        <f>IF(Tableau4[[#This Row],[sdom]]="4OUEST",1,0)</f>
        <v>0</v>
      </c>
      <c r="AJ48" s="12">
        <f>VLOOKUP(Tableau4[[#This Row],[essence]],Tableau6[],14,FALSE)</f>
        <v>0.24660000000000001</v>
      </c>
      <c r="AK48" s="12">
        <f>IF(Tableau4[[#This Row],[sdom]]="5EST",1,0)</f>
        <v>0</v>
      </c>
      <c r="AL48" s="12">
        <f>VLOOKUP(Tableau4[[#This Row],[essence]],Tableau6[],17,FALSE)</f>
        <v>0</v>
      </c>
      <c r="AM48" s="12">
        <f>IF(Tableau4[[#This Row],[priorecol]]="C",1,0)</f>
        <v>0</v>
      </c>
      <c r="AN48" s="12">
        <f>VLOOKUP(Tableau4[[#This Row],[essence]],Tableau6[],18,FALSE)</f>
        <v>0</v>
      </c>
      <c r="AO48" s="12">
        <f>IF(Tableau4[[#This Row],[priorecol]]="R",1,0)</f>
        <v>1</v>
      </c>
      <c r="AP48" s="12">
        <f>VLOOKUP(Tableau4[[#This Row],[essence]],Tableau6[],19,FALSE)</f>
        <v>0</v>
      </c>
      <c r="AQ48" s="12">
        <f>IF(Tableau4[[#This Row],[priorecol]]="S",1,0)</f>
        <v>0</v>
      </c>
      <c r="AR48" s="12">
        <f>VLOOKUP(Tableau4[[#This Row],[essence]],Tableau6[],21,FALSE)</f>
        <v>0</v>
      </c>
      <c r="AS48" s="12">
        <f>IF(Tableau4[[#This Row],[priorecol]]="C",1,0)</f>
        <v>0</v>
      </c>
      <c r="AT48" s="12">
        <f>VLOOKUP(Tableau4[[#This Row],[essence]],Tableau6[],22,FALSE)</f>
        <v>0</v>
      </c>
      <c r="AU48" s="12">
        <f>IF(Tableau4[[#This Row],[priorecol]]="R",1,0)</f>
        <v>1</v>
      </c>
      <c r="AV48" s="12">
        <f>VLOOKUP(Tableau4[[#This Row],[essence]],Tableau6[],23,FALSE)</f>
        <v>0</v>
      </c>
      <c r="AW48" s="12">
        <f>IF(Tableau4[[#This Row],[priorecol]]="S",1,0)</f>
        <v>0</v>
      </c>
      <c r="AX48" s="12">
        <f>VLOOKUP(Tableau4[[#This Row],[essence]],Tableau6[],24,FALSE)</f>
        <v>0</v>
      </c>
      <c r="AY48" s="12">
        <f>VLOOKUP(Tableau4[[#This Row],[essence]],Tableau6[],25,FALSE)</f>
        <v>0</v>
      </c>
      <c r="AZ48" s="12">
        <f>VLOOKUP(Tableau4[[#This Row],[essence]],Tableau6[],26,FALSE)</f>
        <v>0</v>
      </c>
      <c r="BA48" s="12">
        <f>VLOOKUP(Tableau4[[#This Row],[essence]],Tableau6[],27,FALSE)</f>
        <v>0</v>
      </c>
      <c r="BB48" s="12">
        <f>VLOOKUP(Tableau4[[#This Row],[essence]],Tableau6[],16,FALSE)</f>
        <v>-2.6700000000000001E-3</v>
      </c>
      <c r="BC4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-0.24565999999999999</v>
      </c>
      <c r="BD48" s="12">
        <f>Tableau4[[#This Row],[xb_]]+Tableau4[[#This Row],[b_intercept_C]]+Tableau4[[#This Row],[b_dhpcm_x_intercept_C]]*Tableau4[[#This Row],[dhpcm]]</f>
        <v>2.7372399999999999</v>
      </c>
      <c r="BE48" s="12">
        <f>Tableau4[[#This Row],[xb_]]+Tableau4[[#This Row],[b_intercept_B]]+Tableau4[[#This Row],[b_dhpcm_x_intercept_B]]*Tableau4[[#This Row],[dhpcm]]</f>
        <v>1.50044</v>
      </c>
      <c r="BF48" s="12">
        <f>Tableau4[[#This Row],[xb_]]+Tableau4[[#This Row],[b_intercept_A]]+Tableau4[[#This Row],[b_dhpcm_x_intercept_A]]*Tableau4[[#This Row],[dhpcm]]</f>
        <v>0.46774000000000004</v>
      </c>
      <c r="BG48" s="12">
        <f>1/(1+EXP(-Tableau4[[#This Row],[xb_c]]))</f>
        <v>0.93918865485085024</v>
      </c>
      <c r="BH48" s="12">
        <f>1/(1+EXP(-Tableau4[[#This Row],[xb_b]]))</f>
        <v>0.81764009146289274</v>
      </c>
      <c r="BI48" s="12">
        <f>1/(1+EXP(-Tableau4[[#This Row],[xb_a]]))</f>
        <v>0.6148487054045223</v>
      </c>
      <c r="BJ48" s="12">
        <f>Tableau4[[#This Row],[prob_a]]</f>
        <v>0.6148487054045223</v>
      </c>
      <c r="BK48" s="12">
        <f>Tableau4[[#This Row],[prob_b]]-Tableau4[[#This Row],[prob_a]]</f>
        <v>0.20279138605837044</v>
      </c>
      <c r="BL48" s="12">
        <f>Tableau4[[#This Row],[prob_c]]-Tableau4[[#This Row],[prob_b]]</f>
        <v>0.1215485633879575</v>
      </c>
      <c r="BM48" s="12">
        <f>1-Tableau4[[#This Row],[prob_c]]</f>
        <v>6.0811345149149765E-2</v>
      </c>
    </row>
    <row r="49" spans="1:65" x14ac:dyDescent="0.25">
      <c r="A49" s="12">
        <v>2</v>
      </c>
      <c r="B49" s="12" t="s">
        <v>10</v>
      </c>
      <c r="C49" s="12">
        <v>2.1</v>
      </c>
      <c r="D49" s="12">
        <v>828</v>
      </c>
      <c r="E49" s="12">
        <v>29</v>
      </c>
      <c r="F49" s="12">
        <v>0</v>
      </c>
      <c r="G49" s="12">
        <v>72</v>
      </c>
      <c r="H49" s="12">
        <v>87</v>
      </c>
      <c r="I49" s="12" t="s">
        <v>26</v>
      </c>
      <c r="J49" s="12" t="s">
        <v>29</v>
      </c>
      <c r="K49" s="12">
        <f>VLOOKUP(Tableau4[[#This Row],[essence]],Tableau6[],2,FALSE)</f>
        <v>0.71340000000000003</v>
      </c>
      <c r="L49" s="12">
        <f>VLOOKUP(Tableau4[[#This Row],[essence]],Tableau6[],3,FALSE)</f>
        <v>1.7461</v>
      </c>
      <c r="M49" s="12">
        <f>VLOOKUP(Tableau4[[#This Row],[essence]],Tableau6[],4,FALSE)</f>
        <v>2.9828999999999999</v>
      </c>
      <c r="N49" s="12">
        <f>VLOOKUP(Tableau4[[#This Row],[essence]],Tableau6[],5,FALSE)</f>
        <v>1.5659000000000001</v>
      </c>
      <c r="O49" s="12">
        <f>IF(Tableau4[[#This Row],[priorecol]]="C",1,0)</f>
        <v>0</v>
      </c>
      <c r="P49" s="12">
        <f>VLOOKUP(Tableau4[[#This Row],[essence]],Tableau6[],6,FALSE)</f>
        <v>1.9651000000000001</v>
      </c>
      <c r="Q49" s="12">
        <f>IF(Tableau4[[#This Row],[priorecol]]="R",1,0)</f>
        <v>0</v>
      </c>
      <c r="R49" s="12">
        <f>VLOOKUP(Tableau4[[#This Row],[essence]],Tableau6[],7,FALSE)</f>
        <v>1.1892</v>
      </c>
      <c r="S49" s="12">
        <f>IF(Tableau4[[#This Row],[priorecol]]="S",1,0)</f>
        <v>1</v>
      </c>
      <c r="T49" s="12">
        <f>VLOOKUP(Tableau4[[#This Row],[essence]],Tableau6[],20,FALSE)</f>
        <v>0</v>
      </c>
      <c r="U49" s="12">
        <f>VLOOKUP(Tableau4[[#This Row],[essence]],Tableau6[],15,FALSE)</f>
        <v>0</v>
      </c>
      <c r="V49" s="12">
        <f>VLOOKUP(Tableau4[[#This Row],[essence]],Tableau6[],28,FALSE)</f>
        <v>0</v>
      </c>
      <c r="W49" s="12">
        <f>IF(Tableau4[[#This Row],[sdom]]=1,1,0)</f>
        <v>0</v>
      </c>
      <c r="X49" s="12">
        <f>VLOOKUP(Tableau4[[#This Row],[essence]],Tableau6[],8,FALSE)</f>
        <v>0</v>
      </c>
      <c r="Y49" s="12">
        <f>IF(Tableau4[[#This Row],[sdom]]="2EST",1,0)</f>
        <v>1</v>
      </c>
      <c r="Z49" s="12">
        <f>VLOOKUP(Tableau4[[#This Row],[essence]],Tableau6[],9,FALSE)</f>
        <v>0</v>
      </c>
      <c r="AA49" s="12">
        <f>IF(Tableau4[[#This Row],[sdom]]="2OUEST",1,0)</f>
        <v>0</v>
      </c>
      <c r="AB49" s="12">
        <f>VLOOKUP(Tableau4[[#This Row],[essence]],Tableau6[],10,FALSE)</f>
        <v>0</v>
      </c>
      <c r="AC49" s="12">
        <f>IF(Tableau4[[#This Row],[sdom]]="3EST",1,0)</f>
        <v>0</v>
      </c>
      <c r="AD49" s="12">
        <f>VLOOKUP(Tableau4[[#This Row],[essence]],Tableau6[],11,FALSE)</f>
        <v>0.71960000000000002</v>
      </c>
      <c r="AE49" s="12">
        <f>IF(Tableau4[[#This Row],[sdom]]="3OUEST",1,0)</f>
        <v>0</v>
      </c>
      <c r="AF49" s="12">
        <f>VLOOKUP(Tableau4[[#This Row],[essence]],Tableau6[],12,FALSE)</f>
        <v>-2.81E-2</v>
      </c>
      <c r="AG49" s="12">
        <f>IF(Tableau4[[#This Row],[sdom]]="4EST",1,0)</f>
        <v>0</v>
      </c>
      <c r="AH49" s="12">
        <f>VLOOKUP(Tableau4[[#This Row],[essence]],Tableau6[],13,FALSE)</f>
        <v>0.23519999999999999</v>
      </c>
      <c r="AI49" s="12">
        <f>IF(Tableau4[[#This Row],[sdom]]="4OUEST",1,0)</f>
        <v>0</v>
      </c>
      <c r="AJ49" s="12">
        <f>VLOOKUP(Tableau4[[#This Row],[essence]],Tableau6[],14,FALSE)</f>
        <v>0.24660000000000001</v>
      </c>
      <c r="AK49" s="12">
        <f>IF(Tableau4[[#This Row],[sdom]]="5EST",1,0)</f>
        <v>0</v>
      </c>
      <c r="AL49" s="12">
        <f>VLOOKUP(Tableau4[[#This Row],[essence]],Tableau6[],17,FALSE)</f>
        <v>0</v>
      </c>
      <c r="AM49" s="12">
        <f>IF(Tableau4[[#This Row],[priorecol]]="C",1,0)</f>
        <v>0</v>
      </c>
      <c r="AN49" s="12">
        <f>VLOOKUP(Tableau4[[#This Row],[essence]],Tableau6[],18,FALSE)</f>
        <v>0</v>
      </c>
      <c r="AO49" s="12">
        <f>IF(Tableau4[[#This Row],[priorecol]]="R",1,0)</f>
        <v>0</v>
      </c>
      <c r="AP49" s="12">
        <f>VLOOKUP(Tableau4[[#This Row],[essence]],Tableau6[],19,FALSE)</f>
        <v>0</v>
      </c>
      <c r="AQ49" s="12">
        <f>IF(Tableau4[[#This Row],[priorecol]]="S",1,0)</f>
        <v>1</v>
      </c>
      <c r="AR49" s="12">
        <f>VLOOKUP(Tableau4[[#This Row],[essence]],Tableau6[],21,FALSE)</f>
        <v>0</v>
      </c>
      <c r="AS49" s="12">
        <f>IF(Tableau4[[#This Row],[priorecol]]="C",1,0)</f>
        <v>0</v>
      </c>
      <c r="AT49" s="12">
        <f>VLOOKUP(Tableau4[[#This Row],[essence]],Tableau6[],22,FALSE)</f>
        <v>0</v>
      </c>
      <c r="AU49" s="12">
        <f>IF(Tableau4[[#This Row],[priorecol]]="R",1,0)</f>
        <v>0</v>
      </c>
      <c r="AV49" s="12">
        <f>VLOOKUP(Tableau4[[#This Row],[essence]],Tableau6[],23,FALSE)</f>
        <v>0</v>
      </c>
      <c r="AW49" s="12">
        <f>IF(Tableau4[[#This Row],[priorecol]]="S",1,0)</f>
        <v>1</v>
      </c>
      <c r="AX49" s="12">
        <f>VLOOKUP(Tableau4[[#This Row],[essence]],Tableau6[],24,FALSE)</f>
        <v>0</v>
      </c>
      <c r="AY49" s="12">
        <f>VLOOKUP(Tableau4[[#This Row],[essence]],Tableau6[],25,FALSE)</f>
        <v>0</v>
      </c>
      <c r="AZ49" s="12">
        <f>VLOOKUP(Tableau4[[#This Row],[essence]],Tableau6[],26,FALSE)</f>
        <v>0</v>
      </c>
      <c r="BA49" s="12">
        <f>VLOOKUP(Tableau4[[#This Row],[essence]],Tableau6[],27,FALSE)</f>
        <v>0</v>
      </c>
      <c r="BB49" s="12">
        <f>VLOOKUP(Tableau4[[#This Row],[essence]],Tableau6[],16,FALSE)</f>
        <v>-2.6700000000000001E-3</v>
      </c>
      <c r="BC4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-1.02156</v>
      </c>
      <c r="BD49" s="12">
        <f>Tableau4[[#This Row],[xb_]]+Tableau4[[#This Row],[b_intercept_C]]+Tableau4[[#This Row],[b_dhpcm_x_intercept_C]]*Tableau4[[#This Row],[dhpcm]]</f>
        <v>1.9613399999999999</v>
      </c>
      <c r="BE49" s="12">
        <f>Tableau4[[#This Row],[xb_]]+Tableau4[[#This Row],[b_intercept_B]]+Tableau4[[#This Row],[b_dhpcm_x_intercept_B]]*Tableau4[[#This Row],[dhpcm]]</f>
        <v>0.72453999999999996</v>
      </c>
      <c r="BF49" s="12">
        <f>Tableau4[[#This Row],[xb_]]+Tableau4[[#This Row],[b_intercept_A]]+Tableau4[[#This Row],[b_dhpcm_x_intercept_A]]*Tableau4[[#This Row],[dhpcm]]</f>
        <v>-0.30815999999999999</v>
      </c>
      <c r="BG49" s="12">
        <f>1/(1+EXP(-Tableau4[[#This Row],[xb_c]]))</f>
        <v>0.87667789801407203</v>
      </c>
      <c r="BH49" s="12">
        <f>1/(1+EXP(-Tableau4[[#This Row],[xb_b]]))</f>
        <v>0.67360597148759194</v>
      </c>
      <c r="BI49" s="12">
        <f>1/(1+EXP(-Tableau4[[#This Row],[xb_a]]))</f>
        <v>0.42356392541532317</v>
      </c>
      <c r="BJ49" s="12">
        <f>Tableau4[[#This Row],[prob_a]]</f>
        <v>0.42356392541532317</v>
      </c>
      <c r="BK49" s="12">
        <f>Tableau4[[#This Row],[prob_b]]-Tableau4[[#This Row],[prob_a]]</f>
        <v>0.25004204607226876</v>
      </c>
      <c r="BL49" s="12">
        <f>Tableau4[[#This Row],[prob_c]]-Tableau4[[#This Row],[prob_b]]</f>
        <v>0.2030719265264801</v>
      </c>
      <c r="BM49" s="12">
        <f>1-Tableau4[[#This Row],[prob_c]]</f>
        <v>0.12332210198592797</v>
      </c>
    </row>
    <row r="50" spans="1:65" x14ac:dyDescent="0.25">
      <c r="A50" s="12">
        <v>3</v>
      </c>
      <c r="B50" s="12" t="s">
        <v>11</v>
      </c>
      <c r="C50" s="12">
        <v>2.1</v>
      </c>
      <c r="D50" s="12">
        <v>700</v>
      </c>
      <c r="E50" s="12">
        <v>20</v>
      </c>
      <c r="F50" s="12">
        <v>1</v>
      </c>
      <c r="G50" s="12">
        <v>49</v>
      </c>
      <c r="H50" s="12">
        <v>88</v>
      </c>
      <c r="I50" s="12" t="s">
        <v>19</v>
      </c>
      <c r="J50" s="12" t="s">
        <v>27</v>
      </c>
      <c r="K50" s="12">
        <f>VLOOKUP(Tableau4[[#This Row],[essence]],Tableau6[],2,FALSE)</f>
        <v>-1.7937000000000001</v>
      </c>
      <c r="L50" s="12">
        <f>VLOOKUP(Tableau4[[#This Row],[essence]],Tableau6[],3,FALSE)</f>
        <v>-0.68110000000000004</v>
      </c>
      <c r="M50" s="12">
        <f>VLOOKUP(Tableau4[[#This Row],[essence]],Tableau6[],4,FALSE)</f>
        <v>0.82179999999999997</v>
      </c>
      <c r="N50" s="12">
        <f>VLOOKUP(Tableau4[[#This Row],[essence]],Tableau6[],5,FALSE)</f>
        <v>1.5014000000000001</v>
      </c>
      <c r="O50" s="12">
        <f>IF(Tableau4[[#This Row],[priorecol]]="C",1,0)</f>
        <v>1</v>
      </c>
      <c r="P50" s="12">
        <f>VLOOKUP(Tableau4[[#This Row],[essence]],Tableau6[],6,FALSE)</f>
        <v>2.3875000000000002</v>
      </c>
      <c r="Q50" s="12">
        <f>IF(Tableau4[[#This Row],[priorecol]]="R",1,0)</f>
        <v>0</v>
      </c>
      <c r="R50" s="12">
        <f>VLOOKUP(Tableau4[[#This Row],[essence]],Tableau6[],7,FALSE)</f>
        <v>0.94669999999999999</v>
      </c>
      <c r="S50" s="12">
        <f>IF(Tableau4[[#This Row],[priorecol]]="S",1,0)</f>
        <v>0</v>
      </c>
      <c r="T50" s="12">
        <f>VLOOKUP(Tableau4[[#This Row],[essence]],Tableau6[],20,FALSE)</f>
        <v>0</v>
      </c>
      <c r="U50" s="12">
        <f>VLOOKUP(Tableau4[[#This Row],[essence]],Tableau6[],15,FALSE)</f>
        <v>6.4000000000000003E-3</v>
      </c>
      <c r="V50" s="12">
        <f>VLOOKUP(Tableau4[[#This Row],[essence]],Tableau6[],28,FALSE)</f>
        <v>0</v>
      </c>
      <c r="W50" s="12">
        <f>IF(Tableau4[[#This Row],[sdom]]=1,1,0)</f>
        <v>0</v>
      </c>
      <c r="X50" s="12">
        <f>VLOOKUP(Tableau4[[#This Row],[essence]],Tableau6[],8,FALSE)</f>
        <v>9.4399999999999998E-2</v>
      </c>
      <c r="Y50" s="12">
        <f>IF(Tableau4[[#This Row],[sdom]]="2EST",1,0)</f>
        <v>0</v>
      </c>
      <c r="Z50" s="12">
        <f>VLOOKUP(Tableau4[[#This Row],[essence]],Tableau6[],9,FALSE)</f>
        <v>-0.40260000000000001</v>
      </c>
      <c r="AA50" s="12">
        <f>IF(Tableau4[[#This Row],[sdom]]="2OUEST",1,0)</f>
        <v>1</v>
      </c>
      <c r="AB50" s="12">
        <f>VLOOKUP(Tableau4[[#This Row],[essence]],Tableau6[],10,FALSE)</f>
        <v>-3.5699999999999998E-3</v>
      </c>
      <c r="AC50" s="12">
        <f>IF(Tableau4[[#This Row],[sdom]]="3EST",1,0)</f>
        <v>0</v>
      </c>
      <c r="AD50" s="12">
        <f>VLOOKUP(Tableau4[[#This Row],[essence]],Tableau6[],11,FALSE)</f>
        <v>0.14949999999999999</v>
      </c>
      <c r="AE50" s="12">
        <f>IF(Tableau4[[#This Row],[sdom]]="3OUEST",1,0)</f>
        <v>0</v>
      </c>
      <c r="AF50" s="12">
        <f>VLOOKUP(Tableau4[[#This Row],[essence]],Tableau6[],12,FALSE)</f>
        <v>-0.1822</v>
      </c>
      <c r="AG50" s="12">
        <f>IF(Tableau4[[#This Row],[sdom]]="4EST",1,0)</f>
        <v>0</v>
      </c>
      <c r="AH50" s="12">
        <f>VLOOKUP(Tableau4[[#This Row],[essence]],Tableau6[],13,FALSE)</f>
        <v>-0.1013</v>
      </c>
      <c r="AI50" s="12">
        <f>IF(Tableau4[[#This Row],[sdom]]="4OUEST",1,0)</f>
        <v>0</v>
      </c>
      <c r="AJ50" s="12">
        <f>VLOOKUP(Tableau4[[#This Row],[essence]],Tableau6[],14,FALSE)</f>
        <v>-0.33779999999999999</v>
      </c>
      <c r="AK50" s="12">
        <f>IF(Tableau4[[#This Row],[sdom]]="5EST",1,0)</f>
        <v>0</v>
      </c>
      <c r="AL50" s="12">
        <f>VLOOKUP(Tableau4[[#This Row],[essence]],Tableau6[],17,FALSE)</f>
        <v>1.03E-2</v>
      </c>
      <c r="AM50" s="12">
        <f>IF(Tableau4[[#This Row],[priorecol]]="C",1,0)</f>
        <v>1</v>
      </c>
      <c r="AN50" s="12">
        <f>VLOOKUP(Tableau4[[#This Row],[essence]],Tableau6[],18,FALSE)</f>
        <v>1.23E-2</v>
      </c>
      <c r="AO50" s="12">
        <f>IF(Tableau4[[#This Row],[priorecol]]="R",1,0)</f>
        <v>0</v>
      </c>
      <c r="AP50" s="12">
        <f>VLOOKUP(Tableau4[[#This Row],[essence]],Tableau6[],19,FALSE)</f>
        <v>1.2800000000000001E-2</v>
      </c>
      <c r="AQ50" s="12">
        <f>IF(Tableau4[[#This Row],[priorecol]]="S",1,0)</f>
        <v>0</v>
      </c>
      <c r="AR50" s="12">
        <f>VLOOKUP(Tableau4[[#This Row],[essence]],Tableau6[],21,FALSE)</f>
        <v>0</v>
      </c>
      <c r="AS50" s="12">
        <f>IF(Tableau4[[#This Row],[priorecol]]="C",1,0)</f>
        <v>1</v>
      </c>
      <c r="AT50" s="12">
        <f>VLOOKUP(Tableau4[[#This Row],[essence]],Tableau6[],22,FALSE)</f>
        <v>0</v>
      </c>
      <c r="AU50" s="12">
        <f>IF(Tableau4[[#This Row],[priorecol]]="R",1,0)</f>
        <v>0</v>
      </c>
      <c r="AV50" s="12">
        <f>VLOOKUP(Tableau4[[#This Row],[essence]],Tableau6[],23,FALSE)</f>
        <v>0</v>
      </c>
      <c r="AW50" s="12">
        <f>IF(Tableau4[[#This Row],[priorecol]]="S",1,0)</f>
        <v>0</v>
      </c>
      <c r="AX50" s="12">
        <f>VLOOKUP(Tableau4[[#This Row],[essence]],Tableau6[],24,FALSE)</f>
        <v>0</v>
      </c>
      <c r="AY50" s="12">
        <f>VLOOKUP(Tableau4[[#This Row],[essence]],Tableau6[],25,FALSE)</f>
        <v>0</v>
      </c>
      <c r="AZ50" s="12">
        <f>VLOOKUP(Tableau4[[#This Row],[essence]],Tableau6[],26,FALSE)</f>
        <v>0</v>
      </c>
      <c r="BA50" s="12">
        <f>VLOOKUP(Tableau4[[#This Row],[essence]],Tableau6[],27,FALSE)</f>
        <v>0</v>
      </c>
      <c r="BB50" s="12">
        <f>VLOOKUP(Tableau4[[#This Row],[essence]],Tableau6[],16,FALSE)</f>
        <v>-4.8999999999999998E-4</v>
      </c>
      <c r="BC5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1.0897999999999999</v>
      </c>
      <c r="BD50" s="12">
        <f>Tableau4[[#This Row],[xb_]]+Tableau4[[#This Row],[b_intercept_C]]+Tableau4[[#This Row],[b_dhpcm_x_intercept_C]]*Tableau4[[#This Row],[dhpcm]]</f>
        <v>1.9116</v>
      </c>
      <c r="BE50" s="12">
        <f>Tableau4[[#This Row],[xb_]]+Tableau4[[#This Row],[b_intercept_B]]+Tableau4[[#This Row],[b_dhpcm_x_intercept_B]]*Tableau4[[#This Row],[dhpcm]]</f>
        <v>0.40869999999999984</v>
      </c>
      <c r="BF50" s="12">
        <f>Tableau4[[#This Row],[xb_]]+Tableau4[[#This Row],[b_intercept_A]]+Tableau4[[#This Row],[b_dhpcm_x_intercept_A]]*Tableau4[[#This Row],[dhpcm]]</f>
        <v>-0.70390000000000019</v>
      </c>
      <c r="BG50" s="12">
        <f>1/(1+EXP(-Tableau4[[#This Row],[xb_c]]))</f>
        <v>0.87119879283975399</v>
      </c>
      <c r="BH50" s="12">
        <f>1/(1+EXP(-Tableau4[[#This Row],[xb_b]]))</f>
        <v>0.60077612231005117</v>
      </c>
      <c r="BI50" s="12">
        <f>1/(1+EXP(-Tableau4[[#This Row],[xb_a]]))</f>
        <v>0.33094811552043857</v>
      </c>
      <c r="BJ50" s="12">
        <f>Tableau4[[#This Row],[prob_a]]</f>
        <v>0.33094811552043857</v>
      </c>
      <c r="BK50" s="12">
        <f>Tableau4[[#This Row],[prob_b]]-Tableau4[[#This Row],[prob_a]]</f>
        <v>0.26982800678961261</v>
      </c>
      <c r="BL50" s="12">
        <f>Tableau4[[#This Row],[prob_c]]-Tableau4[[#This Row],[prob_b]]</f>
        <v>0.27042267052970281</v>
      </c>
      <c r="BM50" s="12">
        <f>1-Tableau4[[#This Row],[prob_c]]</f>
        <v>0.12880120716024601</v>
      </c>
    </row>
    <row r="51" spans="1:65" x14ac:dyDescent="0.25">
      <c r="A51" s="12">
        <v>3</v>
      </c>
      <c r="B51" s="12" t="s">
        <v>11</v>
      </c>
      <c r="C51" s="12">
        <v>2.1</v>
      </c>
      <c r="D51" s="12">
        <v>700</v>
      </c>
      <c r="E51" s="12">
        <v>20</v>
      </c>
      <c r="F51" s="12">
        <v>1</v>
      </c>
      <c r="G51" s="12">
        <v>50</v>
      </c>
      <c r="H51" s="12">
        <v>89</v>
      </c>
      <c r="I51" s="12" t="s">
        <v>19</v>
      </c>
      <c r="J51" s="12" t="s">
        <v>28</v>
      </c>
      <c r="K51" s="12">
        <f>VLOOKUP(Tableau4[[#This Row],[essence]],Tableau6[],2,FALSE)</f>
        <v>-1.7937000000000001</v>
      </c>
      <c r="L51" s="12">
        <f>VLOOKUP(Tableau4[[#This Row],[essence]],Tableau6[],3,FALSE)</f>
        <v>-0.68110000000000004</v>
      </c>
      <c r="M51" s="12">
        <f>VLOOKUP(Tableau4[[#This Row],[essence]],Tableau6[],4,FALSE)</f>
        <v>0.82179999999999997</v>
      </c>
      <c r="N51" s="12">
        <f>VLOOKUP(Tableau4[[#This Row],[essence]],Tableau6[],5,FALSE)</f>
        <v>1.5014000000000001</v>
      </c>
      <c r="O51" s="12">
        <f>IF(Tableau4[[#This Row],[priorecol]]="C",1,0)</f>
        <v>0</v>
      </c>
      <c r="P51" s="12">
        <f>VLOOKUP(Tableau4[[#This Row],[essence]],Tableau6[],6,FALSE)</f>
        <v>2.3875000000000002</v>
      </c>
      <c r="Q51" s="12">
        <f>IF(Tableau4[[#This Row],[priorecol]]="R",1,0)</f>
        <v>1</v>
      </c>
      <c r="R51" s="12">
        <f>VLOOKUP(Tableau4[[#This Row],[essence]],Tableau6[],7,FALSE)</f>
        <v>0.94669999999999999</v>
      </c>
      <c r="S51" s="12">
        <f>IF(Tableau4[[#This Row],[priorecol]]="S",1,0)</f>
        <v>0</v>
      </c>
      <c r="T51" s="12">
        <f>VLOOKUP(Tableau4[[#This Row],[essence]],Tableau6[],20,FALSE)</f>
        <v>0</v>
      </c>
      <c r="U51" s="12">
        <f>VLOOKUP(Tableau4[[#This Row],[essence]],Tableau6[],15,FALSE)</f>
        <v>6.4000000000000003E-3</v>
      </c>
      <c r="V51" s="12">
        <f>VLOOKUP(Tableau4[[#This Row],[essence]],Tableau6[],28,FALSE)</f>
        <v>0</v>
      </c>
      <c r="W51" s="12">
        <f>IF(Tableau4[[#This Row],[sdom]]=1,1,0)</f>
        <v>0</v>
      </c>
      <c r="X51" s="12">
        <f>VLOOKUP(Tableau4[[#This Row],[essence]],Tableau6[],8,FALSE)</f>
        <v>9.4399999999999998E-2</v>
      </c>
      <c r="Y51" s="12">
        <f>IF(Tableau4[[#This Row],[sdom]]="2EST",1,0)</f>
        <v>0</v>
      </c>
      <c r="Z51" s="12">
        <f>VLOOKUP(Tableau4[[#This Row],[essence]],Tableau6[],9,FALSE)</f>
        <v>-0.40260000000000001</v>
      </c>
      <c r="AA51" s="12">
        <f>IF(Tableau4[[#This Row],[sdom]]="2OUEST",1,0)</f>
        <v>1</v>
      </c>
      <c r="AB51" s="12">
        <f>VLOOKUP(Tableau4[[#This Row],[essence]],Tableau6[],10,FALSE)</f>
        <v>-3.5699999999999998E-3</v>
      </c>
      <c r="AC51" s="12">
        <f>IF(Tableau4[[#This Row],[sdom]]="3EST",1,0)</f>
        <v>0</v>
      </c>
      <c r="AD51" s="12">
        <f>VLOOKUP(Tableau4[[#This Row],[essence]],Tableau6[],11,FALSE)</f>
        <v>0.14949999999999999</v>
      </c>
      <c r="AE51" s="12">
        <f>IF(Tableau4[[#This Row],[sdom]]="3OUEST",1,0)</f>
        <v>0</v>
      </c>
      <c r="AF51" s="12">
        <f>VLOOKUP(Tableau4[[#This Row],[essence]],Tableau6[],12,FALSE)</f>
        <v>-0.1822</v>
      </c>
      <c r="AG51" s="12">
        <f>IF(Tableau4[[#This Row],[sdom]]="4EST",1,0)</f>
        <v>0</v>
      </c>
      <c r="AH51" s="12">
        <f>VLOOKUP(Tableau4[[#This Row],[essence]],Tableau6[],13,FALSE)</f>
        <v>-0.1013</v>
      </c>
      <c r="AI51" s="12">
        <f>IF(Tableau4[[#This Row],[sdom]]="4OUEST",1,0)</f>
        <v>0</v>
      </c>
      <c r="AJ51" s="12">
        <f>VLOOKUP(Tableau4[[#This Row],[essence]],Tableau6[],14,FALSE)</f>
        <v>-0.33779999999999999</v>
      </c>
      <c r="AK51" s="12">
        <f>IF(Tableau4[[#This Row],[sdom]]="5EST",1,0)</f>
        <v>0</v>
      </c>
      <c r="AL51" s="12">
        <f>VLOOKUP(Tableau4[[#This Row],[essence]],Tableau6[],17,FALSE)</f>
        <v>1.03E-2</v>
      </c>
      <c r="AM51" s="12">
        <f>IF(Tableau4[[#This Row],[priorecol]]="C",1,0)</f>
        <v>0</v>
      </c>
      <c r="AN51" s="12">
        <f>VLOOKUP(Tableau4[[#This Row],[essence]],Tableau6[],18,FALSE)</f>
        <v>1.23E-2</v>
      </c>
      <c r="AO51" s="12">
        <f>IF(Tableau4[[#This Row],[priorecol]]="R",1,0)</f>
        <v>1</v>
      </c>
      <c r="AP51" s="12">
        <f>VLOOKUP(Tableau4[[#This Row],[essence]],Tableau6[],19,FALSE)</f>
        <v>1.2800000000000001E-2</v>
      </c>
      <c r="AQ51" s="12">
        <f>IF(Tableau4[[#This Row],[priorecol]]="S",1,0)</f>
        <v>0</v>
      </c>
      <c r="AR51" s="12">
        <f>VLOOKUP(Tableau4[[#This Row],[essence]],Tableau6[],21,FALSE)</f>
        <v>0</v>
      </c>
      <c r="AS51" s="12">
        <f>IF(Tableau4[[#This Row],[priorecol]]="C",1,0)</f>
        <v>0</v>
      </c>
      <c r="AT51" s="12">
        <f>VLOOKUP(Tableau4[[#This Row],[essence]],Tableau6[],22,FALSE)</f>
        <v>0</v>
      </c>
      <c r="AU51" s="12">
        <f>IF(Tableau4[[#This Row],[priorecol]]="R",1,0)</f>
        <v>1</v>
      </c>
      <c r="AV51" s="12">
        <f>VLOOKUP(Tableau4[[#This Row],[essence]],Tableau6[],23,FALSE)</f>
        <v>0</v>
      </c>
      <c r="AW51" s="12">
        <f>IF(Tableau4[[#This Row],[priorecol]]="S",1,0)</f>
        <v>0</v>
      </c>
      <c r="AX51" s="12">
        <f>VLOOKUP(Tableau4[[#This Row],[essence]],Tableau6[],24,FALSE)</f>
        <v>0</v>
      </c>
      <c r="AY51" s="12">
        <f>VLOOKUP(Tableau4[[#This Row],[essence]],Tableau6[],25,FALSE)</f>
        <v>0</v>
      </c>
      <c r="AZ51" s="12">
        <f>VLOOKUP(Tableau4[[#This Row],[essence]],Tableau6[],26,FALSE)</f>
        <v>0</v>
      </c>
      <c r="BA51" s="12">
        <f>VLOOKUP(Tableau4[[#This Row],[essence]],Tableau6[],27,FALSE)</f>
        <v>0</v>
      </c>
      <c r="BB51" s="12">
        <f>VLOOKUP(Tableau4[[#This Row],[essence]],Tableau6[],16,FALSE)</f>
        <v>-4.8999999999999998E-4</v>
      </c>
      <c r="BC5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2.0159000000000002</v>
      </c>
      <c r="BD51" s="12">
        <f>Tableau4[[#This Row],[xb_]]+Tableau4[[#This Row],[b_intercept_C]]+Tableau4[[#This Row],[b_dhpcm_x_intercept_C]]*Tableau4[[#This Row],[dhpcm]]</f>
        <v>2.8377000000000003</v>
      </c>
      <c r="BE51" s="12">
        <f>Tableau4[[#This Row],[xb_]]+Tableau4[[#This Row],[b_intercept_B]]+Tableau4[[#This Row],[b_dhpcm_x_intercept_B]]*Tableau4[[#This Row],[dhpcm]]</f>
        <v>1.3348000000000002</v>
      </c>
      <c r="BF51" s="12">
        <f>Tableau4[[#This Row],[xb_]]+Tableau4[[#This Row],[b_intercept_A]]+Tableau4[[#This Row],[b_dhpcm_x_intercept_A]]*Tableau4[[#This Row],[dhpcm]]</f>
        <v>0.22220000000000018</v>
      </c>
      <c r="BG51" s="12">
        <f>1/(1+EXP(-Tableau4[[#This Row],[xb_c]]))</f>
        <v>0.94467938651955985</v>
      </c>
      <c r="BH51" s="12">
        <f>1/(1+EXP(-Tableau4[[#This Row],[xb_b]]))</f>
        <v>0.79163350267402532</v>
      </c>
      <c r="BI51" s="12">
        <f>1/(1+EXP(-Tableau4[[#This Row],[xb_a]]))</f>
        <v>0.55532256772659339</v>
      </c>
      <c r="BJ51" s="12">
        <f>Tableau4[[#This Row],[prob_a]]</f>
        <v>0.55532256772659339</v>
      </c>
      <c r="BK51" s="12">
        <f>Tableau4[[#This Row],[prob_b]]-Tableau4[[#This Row],[prob_a]]</f>
        <v>0.23631093494743194</v>
      </c>
      <c r="BL51" s="12">
        <f>Tableau4[[#This Row],[prob_c]]-Tableau4[[#This Row],[prob_b]]</f>
        <v>0.15304588384553452</v>
      </c>
      <c r="BM51" s="12">
        <f>1-Tableau4[[#This Row],[prob_c]]</f>
        <v>5.5320613480440151E-2</v>
      </c>
    </row>
    <row r="52" spans="1:65" x14ac:dyDescent="0.25">
      <c r="A52" s="12">
        <v>3</v>
      </c>
      <c r="B52" s="12" t="s">
        <v>11</v>
      </c>
      <c r="C52" s="12">
        <v>2.1</v>
      </c>
      <c r="D52" s="12">
        <v>700</v>
      </c>
      <c r="E52" s="12">
        <v>20</v>
      </c>
      <c r="F52" s="12">
        <v>1</v>
      </c>
      <c r="G52" s="12">
        <v>51</v>
      </c>
      <c r="H52" s="12">
        <v>90</v>
      </c>
      <c r="I52" s="12" t="s">
        <v>19</v>
      </c>
      <c r="J52" s="12" t="s">
        <v>29</v>
      </c>
      <c r="K52" s="12">
        <f>VLOOKUP(Tableau4[[#This Row],[essence]],Tableau6[],2,FALSE)</f>
        <v>-1.7937000000000001</v>
      </c>
      <c r="L52" s="12">
        <f>VLOOKUP(Tableau4[[#This Row],[essence]],Tableau6[],3,FALSE)</f>
        <v>-0.68110000000000004</v>
      </c>
      <c r="M52" s="12">
        <f>VLOOKUP(Tableau4[[#This Row],[essence]],Tableau6[],4,FALSE)</f>
        <v>0.82179999999999997</v>
      </c>
      <c r="N52" s="12">
        <f>VLOOKUP(Tableau4[[#This Row],[essence]],Tableau6[],5,FALSE)</f>
        <v>1.5014000000000001</v>
      </c>
      <c r="O52" s="12">
        <f>IF(Tableau4[[#This Row],[priorecol]]="C",1,0)</f>
        <v>0</v>
      </c>
      <c r="P52" s="12">
        <f>VLOOKUP(Tableau4[[#This Row],[essence]],Tableau6[],6,FALSE)</f>
        <v>2.3875000000000002</v>
      </c>
      <c r="Q52" s="12">
        <f>IF(Tableau4[[#This Row],[priorecol]]="R",1,0)</f>
        <v>0</v>
      </c>
      <c r="R52" s="12">
        <f>VLOOKUP(Tableau4[[#This Row],[essence]],Tableau6[],7,FALSE)</f>
        <v>0.94669999999999999</v>
      </c>
      <c r="S52" s="12">
        <f>IF(Tableau4[[#This Row],[priorecol]]="S",1,0)</f>
        <v>1</v>
      </c>
      <c r="T52" s="12">
        <f>VLOOKUP(Tableau4[[#This Row],[essence]],Tableau6[],20,FALSE)</f>
        <v>0</v>
      </c>
      <c r="U52" s="12">
        <f>VLOOKUP(Tableau4[[#This Row],[essence]],Tableau6[],15,FALSE)</f>
        <v>6.4000000000000003E-3</v>
      </c>
      <c r="V52" s="12">
        <f>VLOOKUP(Tableau4[[#This Row],[essence]],Tableau6[],28,FALSE)</f>
        <v>0</v>
      </c>
      <c r="W52" s="12">
        <f>IF(Tableau4[[#This Row],[sdom]]=1,1,0)</f>
        <v>0</v>
      </c>
      <c r="X52" s="12">
        <f>VLOOKUP(Tableau4[[#This Row],[essence]],Tableau6[],8,FALSE)</f>
        <v>9.4399999999999998E-2</v>
      </c>
      <c r="Y52" s="12">
        <f>IF(Tableau4[[#This Row],[sdom]]="2EST",1,0)</f>
        <v>0</v>
      </c>
      <c r="Z52" s="12">
        <f>VLOOKUP(Tableau4[[#This Row],[essence]],Tableau6[],9,FALSE)</f>
        <v>-0.40260000000000001</v>
      </c>
      <c r="AA52" s="12">
        <f>IF(Tableau4[[#This Row],[sdom]]="2OUEST",1,0)</f>
        <v>1</v>
      </c>
      <c r="AB52" s="12">
        <f>VLOOKUP(Tableau4[[#This Row],[essence]],Tableau6[],10,FALSE)</f>
        <v>-3.5699999999999998E-3</v>
      </c>
      <c r="AC52" s="12">
        <f>IF(Tableau4[[#This Row],[sdom]]="3EST",1,0)</f>
        <v>0</v>
      </c>
      <c r="AD52" s="12">
        <f>VLOOKUP(Tableau4[[#This Row],[essence]],Tableau6[],11,FALSE)</f>
        <v>0.14949999999999999</v>
      </c>
      <c r="AE52" s="12">
        <f>IF(Tableau4[[#This Row],[sdom]]="3OUEST",1,0)</f>
        <v>0</v>
      </c>
      <c r="AF52" s="12">
        <f>VLOOKUP(Tableau4[[#This Row],[essence]],Tableau6[],12,FALSE)</f>
        <v>-0.1822</v>
      </c>
      <c r="AG52" s="12">
        <f>IF(Tableau4[[#This Row],[sdom]]="4EST",1,0)</f>
        <v>0</v>
      </c>
      <c r="AH52" s="12">
        <f>VLOOKUP(Tableau4[[#This Row],[essence]],Tableau6[],13,FALSE)</f>
        <v>-0.1013</v>
      </c>
      <c r="AI52" s="12">
        <f>IF(Tableau4[[#This Row],[sdom]]="4OUEST",1,0)</f>
        <v>0</v>
      </c>
      <c r="AJ52" s="12">
        <f>VLOOKUP(Tableau4[[#This Row],[essence]],Tableau6[],14,FALSE)</f>
        <v>-0.33779999999999999</v>
      </c>
      <c r="AK52" s="12">
        <f>IF(Tableau4[[#This Row],[sdom]]="5EST",1,0)</f>
        <v>0</v>
      </c>
      <c r="AL52" s="12">
        <f>VLOOKUP(Tableau4[[#This Row],[essence]],Tableau6[],17,FALSE)</f>
        <v>1.03E-2</v>
      </c>
      <c r="AM52" s="12">
        <f>IF(Tableau4[[#This Row],[priorecol]]="C",1,0)</f>
        <v>0</v>
      </c>
      <c r="AN52" s="12">
        <f>VLOOKUP(Tableau4[[#This Row],[essence]],Tableau6[],18,FALSE)</f>
        <v>1.23E-2</v>
      </c>
      <c r="AO52" s="12">
        <f>IF(Tableau4[[#This Row],[priorecol]]="R",1,0)</f>
        <v>0</v>
      </c>
      <c r="AP52" s="12">
        <f>VLOOKUP(Tableau4[[#This Row],[essence]],Tableau6[],19,FALSE)</f>
        <v>1.2800000000000001E-2</v>
      </c>
      <c r="AQ52" s="12">
        <f>IF(Tableau4[[#This Row],[priorecol]]="S",1,0)</f>
        <v>1</v>
      </c>
      <c r="AR52" s="12">
        <f>VLOOKUP(Tableau4[[#This Row],[essence]],Tableau6[],21,FALSE)</f>
        <v>0</v>
      </c>
      <c r="AS52" s="12">
        <f>IF(Tableau4[[#This Row],[priorecol]]="C",1,0)</f>
        <v>0</v>
      </c>
      <c r="AT52" s="12">
        <f>VLOOKUP(Tableau4[[#This Row],[essence]],Tableau6[],22,FALSE)</f>
        <v>0</v>
      </c>
      <c r="AU52" s="12">
        <f>IF(Tableau4[[#This Row],[priorecol]]="R",1,0)</f>
        <v>0</v>
      </c>
      <c r="AV52" s="12">
        <f>VLOOKUP(Tableau4[[#This Row],[essence]],Tableau6[],23,FALSE)</f>
        <v>0</v>
      </c>
      <c r="AW52" s="12">
        <f>IF(Tableau4[[#This Row],[priorecol]]="S",1,0)</f>
        <v>1</v>
      </c>
      <c r="AX52" s="12">
        <f>VLOOKUP(Tableau4[[#This Row],[essence]],Tableau6[],24,FALSE)</f>
        <v>0</v>
      </c>
      <c r="AY52" s="12">
        <f>VLOOKUP(Tableau4[[#This Row],[essence]],Tableau6[],25,FALSE)</f>
        <v>0</v>
      </c>
      <c r="AZ52" s="12">
        <f>VLOOKUP(Tableau4[[#This Row],[essence]],Tableau6[],26,FALSE)</f>
        <v>0</v>
      </c>
      <c r="BA52" s="12">
        <f>VLOOKUP(Tableau4[[#This Row],[essence]],Tableau6[],27,FALSE)</f>
        <v>0</v>
      </c>
      <c r="BB52" s="12">
        <f>VLOOKUP(Tableau4[[#This Row],[essence]],Tableau6[],16,FALSE)</f>
        <v>-4.8999999999999998E-4</v>
      </c>
      <c r="BC5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0.58509999999999995</v>
      </c>
      <c r="BD52" s="12">
        <f>Tableau4[[#This Row],[xb_]]+Tableau4[[#This Row],[b_intercept_C]]+Tableau4[[#This Row],[b_dhpcm_x_intercept_C]]*Tableau4[[#This Row],[dhpcm]]</f>
        <v>1.4068999999999998</v>
      </c>
      <c r="BE52" s="12">
        <f>Tableau4[[#This Row],[xb_]]+Tableau4[[#This Row],[b_intercept_B]]+Tableau4[[#This Row],[b_dhpcm_x_intercept_B]]*Tableau4[[#This Row],[dhpcm]]</f>
        <v>-9.6000000000000085E-2</v>
      </c>
      <c r="BF52" s="12">
        <f>Tableau4[[#This Row],[xb_]]+Tableau4[[#This Row],[b_intercept_A]]+Tableau4[[#This Row],[b_dhpcm_x_intercept_A]]*Tableau4[[#This Row],[dhpcm]]</f>
        <v>-1.2086000000000001</v>
      </c>
      <c r="BG52" s="12">
        <f>1/(1+EXP(-Tableau4[[#This Row],[xb_c]]))</f>
        <v>0.80327653177991865</v>
      </c>
      <c r="BH52" s="12">
        <f>1/(1+EXP(-Tableau4[[#This Row],[xb_b]]))</f>
        <v>0.47601841502889553</v>
      </c>
      <c r="BI52" s="12">
        <f>1/(1+EXP(-Tableau4[[#This Row],[xb_a]]))</f>
        <v>0.22994885855731376</v>
      </c>
      <c r="BJ52" s="12">
        <f>Tableau4[[#This Row],[prob_a]]</f>
        <v>0.22994885855731376</v>
      </c>
      <c r="BK52" s="12">
        <f>Tableau4[[#This Row],[prob_b]]-Tableau4[[#This Row],[prob_a]]</f>
        <v>0.24606955647158177</v>
      </c>
      <c r="BL52" s="12">
        <f>Tableau4[[#This Row],[prob_c]]-Tableau4[[#This Row],[prob_b]]</f>
        <v>0.32725811675102312</v>
      </c>
      <c r="BM52" s="12">
        <f>1-Tableau4[[#This Row],[prob_c]]</f>
        <v>0.19672346822008135</v>
      </c>
    </row>
    <row r="53" spans="1:65" x14ac:dyDescent="0.25">
      <c r="A53" s="12">
        <v>3</v>
      </c>
      <c r="B53" s="12" t="s">
        <v>11</v>
      </c>
      <c r="C53" s="12">
        <v>2.1</v>
      </c>
      <c r="D53" s="12">
        <v>700</v>
      </c>
      <c r="E53" s="12">
        <v>20</v>
      </c>
      <c r="F53" s="12">
        <v>1</v>
      </c>
      <c r="G53" s="12">
        <v>52</v>
      </c>
      <c r="H53" s="12">
        <v>91</v>
      </c>
      <c r="I53" s="12" t="s">
        <v>20</v>
      </c>
      <c r="J53" s="12" t="s">
        <v>27</v>
      </c>
      <c r="K53" s="12">
        <f>VLOOKUP(Tableau4[[#This Row],[essence]],Tableau6[],2,FALSE)</f>
        <v>1.0688</v>
      </c>
      <c r="L53" s="12">
        <f>VLOOKUP(Tableau4[[#This Row],[essence]],Tableau6[],3,FALSE)</f>
        <v>2.0478000000000001</v>
      </c>
      <c r="M53" s="12">
        <f>VLOOKUP(Tableau4[[#This Row],[essence]],Tableau6[],4,FALSE)</f>
        <v>3.3382999999999998</v>
      </c>
      <c r="N53" s="12">
        <f>VLOOKUP(Tableau4[[#This Row],[essence]],Tableau6[],5,FALSE)</f>
        <v>-1.2143999999999999</v>
      </c>
      <c r="O53" s="12">
        <f>IF(Tableau4[[#This Row],[priorecol]]="C",1,0)</f>
        <v>1</v>
      </c>
      <c r="P53" s="12">
        <f>VLOOKUP(Tableau4[[#This Row],[essence]],Tableau6[],6,FALSE)</f>
        <v>-1.2690999999999999</v>
      </c>
      <c r="Q53" s="12">
        <f>IF(Tableau4[[#This Row],[priorecol]]="R",1,0)</f>
        <v>0</v>
      </c>
      <c r="R53" s="12">
        <f>VLOOKUP(Tableau4[[#This Row],[essence]],Tableau6[],7,FALSE)</f>
        <v>-7.1900000000000006E-2</v>
      </c>
      <c r="S53" s="12">
        <f>IF(Tableau4[[#This Row],[priorecol]]="S",1,0)</f>
        <v>0</v>
      </c>
      <c r="T53" s="12">
        <f>VLOOKUP(Tableau4[[#This Row],[essence]],Tableau6[],20,FALSE)</f>
        <v>-3.04E-2</v>
      </c>
      <c r="U53" s="12">
        <f>VLOOKUP(Tableau4[[#This Row],[essence]],Tableau6[],15,FALSE)</f>
        <v>1.4200000000000001E-2</v>
      </c>
      <c r="V53" s="12">
        <f>VLOOKUP(Tableau4[[#This Row],[essence]],Tableau6[],28,FALSE)</f>
        <v>0</v>
      </c>
      <c r="W53" s="12">
        <f>IF(Tableau4[[#This Row],[sdom]]=1,1,0)</f>
        <v>0</v>
      </c>
      <c r="X53" s="12">
        <f>VLOOKUP(Tableau4[[#This Row],[essence]],Tableau6[],8,FALSE)</f>
        <v>0</v>
      </c>
      <c r="Y53" s="12">
        <f>IF(Tableau4[[#This Row],[sdom]]="2EST",1,0)</f>
        <v>0</v>
      </c>
      <c r="Z53" s="12">
        <f>VLOOKUP(Tableau4[[#This Row],[essence]],Tableau6[],9,FALSE)</f>
        <v>0</v>
      </c>
      <c r="AA53" s="12">
        <f>IF(Tableau4[[#This Row],[sdom]]="2OUEST",1,0)</f>
        <v>1</v>
      </c>
      <c r="AB53" s="12">
        <f>VLOOKUP(Tableau4[[#This Row],[essence]],Tableau6[],10,FALSE)</f>
        <v>0</v>
      </c>
      <c r="AC53" s="12">
        <f>IF(Tableau4[[#This Row],[sdom]]="3EST",1,0)</f>
        <v>0</v>
      </c>
      <c r="AD53" s="12">
        <f>VLOOKUP(Tableau4[[#This Row],[essence]],Tableau6[],11,FALSE)</f>
        <v>0</v>
      </c>
      <c r="AE53" s="12">
        <f>IF(Tableau4[[#This Row],[sdom]]="3OUEST",1,0)</f>
        <v>0</v>
      </c>
      <c r="AF53" s="12">
        <f>VLOOKUP(Tableau4[[#This Row],[essence]],Tableau6[],12,FALSE)</f>
        <v>0</v>
      </c>
      <c r="AG53" s="12">
        <f>IF(Tableau4[[#This Row],[sdom]]="4EST",1,0)</f>
        <v>0</v>
      </c>
      <c r="AH53" s="12">
        <f>VLOOKUP(Tableau4[[#This Row],[essence]],Tableau6[],13,FALSE)</f>
        <v>0</v>
      </c>
      <c r="AI53" s="12">
        <f>IF(Tableau4[[#This Row],[sdom]]="4OUEST",1,0)</f>
        <v>0</v>
      </c>
      <c r="AJ53" s="12">
        <f>VLOOKUP(Tableau4[[#This Row],[essence]],Tableau6[],14,FALSE)</f>
        <v>0</v>
      </c>
      <c r="AK53" s="12">
        <f>IF(Tableau4[[#This Row],[sdom]]="5EST",1,0)</f>
        <v>0</v>
      </c>
      <c r="AL53" s="12">
        <f>VLOOKUP(Tableau4[[#This Row],[essence]],Tableau6[],17,FALSE)</f>
        <v>0</v>
      </c>
      <c r="AM53" s="12">
        <f>IF(Tableau4[[#This Row],[priorecol]]="C",1,0)</f>
        <v>1</v>
      </c>
      <c r="AN53" s="12">
        <f>VLOOKUP(Tableau4[[#This Row],[essence]],Tableau6[],18,FALSE)</f>
        <v>0</v>
      </c>
      <c r="AO53" s="12">
        <f>IF(Tableau4[[#This Row],[priorecol]]="R",1,0)</f>
        <v>0</v>
      </c>
      <c r="AP53" s="12">
        <f>VLOOKUP(Tableau4[[#This Row],[essence]],Tableau6[],19,FALSE)</f>
        <v>0</v>
      </c>
      <c r="AQ53" s="12">
        <f>IF(Tableau4[[#This Row],[priorecol]]="S",1,0)</f>
        <v>0</v>
      </c>
      <c r="AR53" s="12">
        <f>VLOOKUP(Tableau4[[#This Row],[essence]],Tableau6[],21,FALSE)</f>
        <v>5.4600000000000003E-2</v>
      </c>
      <c r="AS53" s="12">
        <f>IF(Tableau4[[#This Row],[priorecol]]="C",1,0)</f>
        <v>1</v>
      </c>
      <c r="AT53" s="12">
        <f>VLOOKUP(Tableau4[[#This Row],[essence]],Tableau6[],22,FALSE)</f>
        <v>6.7900000000000002E-2</v>
      </c>
      <c r="AU53" s="12">
        <f>IF(Tableau4[[#This Row],[priorecol]]="R",1,0)</f>
        <v>0</v>
      </c>
      <c r="AV53" s="12">
        <f>VLOOKUP(Tableau4[[#This Row],[essence]],Tableau6[],23,FALSE)</f>
        <v>1.8700000000000001E-2</v>
      </c>
      <c r="AW53" s="12">
        <f>IF(Tableau4[[#This Row],[priorecol]]="S",1,0)</f>
        <v>0</v>
      </c>
      <c r="AX53" s="12">
        <f>VLOOKUP(Tableau4[[#This Row],[essence]],Tableau6[],24,FALSE)</f>
        <v>0</v>
      </c>
      <c r="AY53" s="12">
        <f>VLOOKUP(Tableau4[[#This Row],[essence]],Tableau6[],25,FALSE)</f>
        <v>0</v>
      </c>
      <c r="AZ53" s="12">
        <f>VLOOKUP(Tableau4[[#This Row],[essence]],Tableau6[],26,FALSE)</f>
        <v>0</v>
      </c>
      <c r="BA53" s="12">
        <f>VLOOKUP(Tableau4[[#This Row],[essence]],Tableau6[],27,FALSE)</f>
        <v>0</v>
      </c>
      <c r="BB53" s="12">
        <f>VLOOKUP(Tableau4[[#This Row],[essence]],Tableau6[],16,FALSE)</f>
        <v>-1.33E-3</v>
      </c>
      <c r="BC5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0.34080000000000066</v>
      </c>
      <c r="BD53" s="12">
        <f>Tableau4[[#This Row],[xb_]]+Tableau4[[#This Row],[b_intercept_C]]+Tableau4[[#This Row],[b_dhpcm_x_intercept_C]]*Tableau4[[#This Row],[dhpcm]]</f>
        <v>3.6791000000000005</v>
      </c>
      <c r="BE53" s="12">
        <f>Tableau4[[#This Row],[xb_]]+Tableau4[[#This Row],[b_intercept_B]]+Tableau4[[#This Row],[b_dhpcm_x_intercept_B]]*Tableau4[[#This Row],[dhpcm]]</f>
        <v>2.3886000000000007</v>
      </c>
      <c r="BF53" s="12">
        <f>Tableau4[[#This Row],[xb_]]+Tableau4[[#This Row],[b_intercept_A]]+Tableau4[[#This Row],[b_dhpcm_x_intercept_A]]*Tableau4[[#This Row],[dhpcm]]</f>
        <v>1.4096000000000006</v>
      </c>
      <c r="BG53" s="12">
        <f>1/(1+EXP(-Tableau4[[#This Row],[xb_c]]))</f>
        <v>0.97537596492010581</v>
      </c>
      <c r="BH53" s="12">
        <f>1/(1+EXP(-Tableau4[[#This Row],[xb_b]]))</f>
        <v>0.91595385549876296</v>
      </c>
      <c r="BI53" s="12">
        <f>1/(1+EXP(-Tableau4[[#This Row],[xb_a]]))</f>
        <v>0.80370284546763748</v>
      </c>
      <c r="BJ53" s="12">
        <f>Tableau4[[#This Row],[prob_a]]</f>
        <v>0.80370284546763748</v>
      </c>
      <c r="BK53" s="12">
        <f>Tableau4[[#This Row],[prob_b]]-Tableau4[[#This Row],[prob_a]]</f>
        <v>0.11225101003112548</v>
      </c>
      <c r="BL53" s="12">
        <f>Tableau4[[#This Row],[prob_c]]-Tableau4[[#This Row],[prob_b]]</f>
        <v>5.942210942134285E-2</v>
      </c>
      <c r="BM53" s="12">
        <f>1-Tableau4[[#This Row],[prob_c]]</f>
        <v>2.4624035079894191E-2</v>
      </c>
    </row>
    <row r="54" spans="1:65" x14ac:dyDescent="0.25">
      <c r="A54" s="12">
        <v>3</v>
      </c>
      <c r="B54" s="12" t="s">
        <v>11</v>
      </c>
      <c r="C54" s="12">
        <v>2.1</v>
      </c>
      <c r="D54" s="12">
        <v>700</v>
      </c>
      <c r="E54" s="12">
        <v>20</v>
      </c>
      <c r="F54" s="12">
        <v>1</v>
      </c>
      <c r="G54" s="12">
        <v>53</v>
      </c>
      <c r="H54" s="12">
        <v>92</v>
      </c>
      <c r="I54" s="12" t="s">
        <v>20</v>
      </c>
      <c r="J54" s="12" t="s">
        <v>28</v>
      </c>
      <c r="K54" s="12">
        <f>VLOOKUP(Tableau4[[#This Row],[essence]],Tableau6[],2,FALSE)</f>
        <v>1.0688</v>
      </c>
      <c r="L54" s="12">
        <f>VLOOKUP(Tableau4[[#This Row],[essence]],Tableau6[],3,FALSE)</f>
        <v>2.0478000000000001</v>
      </c>
      <c r="M54" s="12">
        <f>VLOOKUP(Tableau4[[#This Row],[essence]],Tableau6[],4,FALSE)</f>
        <v>3.3382999999999998</v>
      </c>
      <c r="N54" s="12">
        <f>VLOOKUP(Tableau4[[#This Row],[essence]],Tableau6[],5,FALSE)</f>
        <v>-1.2143999999999999</v>
      </c>
      <c r="O54" s="12">
        <f>IF(Tableau4[[#This Row],[priorecol]]="C",1,0)</f>
        <v>0</v>
      </c>
      <c r="P54" s="12">
        <f>VLOOKUP(Tableau4[[#This Row],[essence]],Tableau6[],6,FALSE)</f>
        <v>-1.2690999999999999</v>
      </c>
      <c r="Q54" s="12">
        <f>IF(Tableau4[[#This Row],[priorecol]]="R",1,0)</f>
        <v>1</v>
      </c>
      <c r="R54" s="12">
        <f>VLOOKUP(Tableau4[[#This Row],[essence]],Tableau6[],7,FALSE)</f>
        <v>-7.1900000000000006E-2</v>
      </c>
      <c r="S54" s="12">
        <f>IF(Tableau4[[#This Row],[priorecol]]="S",1,0)</f>
        <v>0</v>
      </c>
      <c r="T54" s="12">
        <f>VLOOKUP(Tableau4[[#This Row],[essence]],Tableau6[],20,FALSE)</f>
        <v>-3.04E-2</v>
      </c>
      <c r="U54" s="12">
        <f>VLOOKUP(Tableau4[[#This Row],[essence]],Tableau6[],15,FALSE)</f>
        <v>1.4200000000000001E-2</v>
      </c>
      <c r="V54" s="12">
        <f>VLOOKUP(Tableau4[[#This Row],[essence]],Tableau6[],28,FALSE)</f>
        <v>0</v>
      </c>
      <c r="W54" s="12">
        <f>IF(Tableau4[[#This Row],[sdom]]=1,1,0)</f>
        <v>0</v>
      </c>
      <c r="X54" s="12">
        <f>VLOOKUP(Tableau4[[#This Row],[essence]],Tableau6[],8,FALSE)</f>
        <v>0</v>
      </c>
      <c r="Y54" s="12">
        <f>IF(Tableau4[[#This Row],[sdom]]="2EST",1,0)</f>
        <v>0</v>
      </c>
      <c r="Z54" s="12">
        <f>VLOOKUP(Tableau4[[#This Row],[essence]],Tableau6[],9,FALSE)</f>
        <v>0</v>
      </c>
      <c r="AA54" s="12">
        <f>IF(Tableau4[[#This Row],[sdom]]="2OUEST",1,0)</f>
        <v>1</v>
      </c>
      <c r="AB54" s="12">
        <f>VLOOKUP(Tableau4[[#This Row],[essence]],Tableau6[],10,FALSE)</f>
        <v>0</v>
      </c>
      <c r="AC54" s="12">
        <f>IF(Tableau4[[#This Row],[sdom]]="3EST",1,0)</f>
        <v>0</v>
      </c>
      <c r="AD54" s="12">
        <f>VLOOKUP(Tableau4[[#This Row],[essence]],Tableau6[],11,FALSE)</f>
        <v>0</v>
      </c>
      <c r="AE54" s="12">
        <f>IF(Tableau4[[#This Row],[sdom]]="3OUEST",1,0)</f>
        <v>0</v>
      </c>
      <c r="AF54" s="12">
        <f>VLOOKUP(Tableau4[[#This Row],[essence]],Tableau6[],12,FALSE)</f>
        <v>0</v>
      </c>
      <c r="AG54" s="12">
        <f>IF(Tableau4[[#This Row],[sdom]]="4EST",1,0)</f>
        <v>0</v>
      </c>
      <c r="AH54" s="12">
        <f>VLOOKUP(Tableau4[[#This Row],[essence]],Tableau6[],13,FALSE)</f>
        <v>0</v>
      </c>
      <c r="AI54" s="12">
        <f>IF(Tableau4[[#This Row],[sdom]]="4OUEST",1,0)</f>
        <v>0</v>
      </c>
      <c r="AJ54" s="12">
        <f>VLOOKUP(Tableau4[[#This Row],[essence]],Tableau6[],14,FALSE)</f>
        <v>0</v>
      </c>
      <c r="AK54" s="12">
        <f>IF(Tableau4[[#This Row],[sdom]]="5EST",1,0)</f>
        <v>0</v>
      </c>
      <c r="AL54" s="12">
        <f>VLOOKUP(Tableau4[[#This Row],[essence]],Tableau6[],17,FALSE)</f>
        <v>0</v>
      </c>
      <c r="AM54" s="12">
        <f>IF(Tableau4[[#This Row],[priorecol]]="C",1,0)</f>
        <v>0</v>
      </c>
      <c r="AN54" s="12">
        <f>VLOOKUP(Tableau4[[#This Row],[essence]],Tableau6[],18,FALSE)</f>
        <v>0</v>
      </c>
      <c r="AO54" s="12">
        <f>IF(Tableau4[[#This Row],[priorecol]]="R",1,0)</f>
        <v>1</v>
      </c>
      <c r="AP54" s="12">
        <f>VLOOKUP(Tableau4[[#This Row],[essence]],Tableau6[],19,FALSE)</f>
        <v>0</v>
      </c>
      <c r="AQ54" s="12">
        <f>IF(Tableau4[[#This Row],[priorecol]]="S",1,0)</f>
        <v>0</v>
      </c>
      <c r="AR54" s="12">
        <f>VLOOKUP(Tableau4[[#This Row],[essence]],Tableau6[],21,FALSE)</f>
        <v>5.4600000000000003E-2</v>
      </c>
      <c r="AS54" s="12">
        <f>IF(Tableau4[[#This Row],[priorecol]]="C",1,0)</f>
        <v>0</v>
      </c>
      <c r="AT54" s="12">
        <f>VLOOKUP(Tableau4[[#This Row],[essence]],Tableau6[],22,FALSE)</f>
        <v>6.7900000000000002E-2</v>
      </c>
      <c r="AU54" s="12">
        <f>IF(Tableau4[[#This Row],[priorecol]]="R",1,0)</f>
        <v>1</v>
      </c>
      <c r="AV54" s="12">
        <f>VLOOKUP(Tableau4[[#This Row],[essence]],Tableau6[],23,FALSE)</f>
        <v>1.8700000000000001E-2</v>
      </c>
      <c r="AW54" s="12">
        <f>IF(Tableau4[[#This Row],[priorecol]]="S",1,0)</f>
        <v>0</v>
      </c>
      <c r="AX54" s="12">
        <f>VLOOKUP(Tableau4[[#This Row],[essence]],Tableau6[],24,FALSE)</f>
        <v>0</v>
      </c>
      <c r="AY54" s="12">
        <f>VLOOKUP(Tableau4[[#This Row],[essence]],Tableau6[],25,FALSE)</f>
        <v>0</v>
      </c>
      <c r="AZ54" s="12">
        <f>VLOOKUP(Tableau4[[#This Row],[essence]],Tableau6[],26,FALSE)</f>
        <v>0</v>
      </c>
      <c r="BA54" s="12">
        <f>VLOOKUP(Tableau4[[#This Row],[essence]],Tableau6[],27,FALSE)</f>
        <v>0</v>
      </c>
      <c r="BB54" s="12">
        <f>VLOOKUP(Tableau4[[#This Row],[essence]],Tableau6[],16,FALSE)</f>
        <v>-1.33E-3</v>
      </c>
      <c r="BC5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1.5339</v>
      </c>
      <c r="BD54" s="12">
        <f>Tableau4[[#This Row],[xb_]]+Tableau4[[#This Row],[b_intercept_C]]+Tableau4[[#This Row],[b_dhpcm_x_intercept_C]]*Tableau4[[#This Row],[dhpcm]]</f>
        <v>4.8721999999999994</v>
      </c>
      <c r="BE54" s="12">
        <f>Tableau4[[#This Row],[xb_]]+Tableau4[[#This Row],[b_intercept_B]]+Tableau4[[#This Row],[b_dhpcm_x_intercept_B]]*Tableau4[[#This Row],[dhpcm]]</f>
        <v>3.5817000000000001</v>
      </c>
      <c r="BF54" s="12">
        <f>Tableau4[[#This Row],[xb_]]+Tableau4[[#This Row],[b_intercept_A]]+Tableau4[[#This Row],[b_dhpcm_x_intercept_A]]*Tableau4[[#This Row],[dhpcm]]</f>
        <v>2.6027</v>
      </c>
      <c r="BG54" s="12">
        <f>1/(1+EXP(-Tableau4[[#This Row],[xb_c]]))</f>
        <v>0.99240167416013836</v>
      </c>
      <c r="BH54" s="12">
        <f>1/(1+EXP(-Tableau4[[#This Row],[xb_b]]))</f>
        <v>0.97292509996392085</v>
      </c>
      <c r="BI54" s="12">
        <f>1/(1+EXP(-Tableau4[[#This Row],[xb_a]]))</f>
        <v>0.93103514504581097</v>
      </c>
      <c r="BJ54" s="12">
        <f>Tableau4[[#This Row],[prob_a]]</f>
        <v>0.93103514504581097</v>
      </c>
      <c r="BK54" s="12">
        <f>Tableau4[[#This Row],[prob_b]]-Tableau4[[#This Row],[prob_a]]</f>
        <v>4.1889954918109873E-2</v>
      </c>
      <c r="BL54" s="12">
        <f>Tableau4[[#This Row],[prob_c]]-Tableau4[[#This Row],[prob_b]]</f>
        <v>1.9476574196217511E-2</v>
      </c>
      <c r="BM54" s="12">
        <f>1-Tableau4[[#This Row],[prob_c]]</f>
        <v>7.5983258398616416E-3</v>
      </c>
    </row>
    <row r="55" spans="1:65" x14ac:dyDescent="0.25">
      <c r="A55" s="12">
        <v>3</v>
      </c>
      <c r="B55" s="12" t="s">
        <v>11</v>
      </c>
      <c r="C55" s="12">
        <v>2.1</v>
      </c>
      <c r="D55" s="12">
        <v>700</v>
      </c>
      <c r="E55" s="12">
        <v>20</v>
      </c>
      <c r="F55" s="12">
        <v>1</v>
      </c>
      <c r="G55" s="12">
        <v>54</v>
      </c>
      <c r="H55" s="12">
        <v>93</v>
      </c>
      <c r="I55" s="12" t="s">
        <v>20</v>
      </c>
      <c r="J55" s="12" t="s">
        <v>29</v>
      </c>
      <c r="K55" s="12">
        <f>VLOOKUP(Tableau4[[#This Row],[essence]],Tableau6[],2,FALSE)</f>
        <v>1.0688</v>
      </c>
      <c r="L55" s="12">
        <f>VLOOKUP(Tableau4[[#This Row],[essence]],Tableau6[],3,FALSE)</f>
        <v>2.0478000000000001</v>
      </c>
      <c r="M55" s="12">
        <f>VLOOKUP(Tableau4[[#This Row],[essence]],Tableau6[],4,FALSE)</f>
        <v>3.3382999999999998</v>
      </c>
      <c r="N55" s="12">
        <f>VLOOKUP(Tableau4[[#This Row],[essence]],Tableau6[],5,FALSE)</f>
        <v>-1.2143999999999999</v>
      </c>
      <c r="O55" s="12">
        <f>IF(Tableau4[[#This Row],[priorecol]]="C",1,0)</f>
        <v>0</v>
      </c>
      <c r="P55" s="12">
        <f>VLOOKUP(Tableau4[[#This Row],[essence]],Tableau6[],6,FALSE)</f>
        <v>-1.2690999999999999</v>
      </c>
      <c r="Q55" s="12">
        <f>IF(Tableau4[[#This Row],[priorecol]]="R",1,0)</f>
        <v>0</v>
      </c>
      <c r="R55" s="12">
        <f>VLOOKUP(Tableau4[[#This Row],[essence]],Tableau6[],7,FALSE)</f>
        <v>-7.1900000000000006E-2</v>
      </c>
      <c r="S55" s="12">
        <f>IF(Tableau4[[#This Row],[priorecol]]="S",1,0)</f>
        <v>1</v>
      </c>
      <c r="T55" s="12">
        <f>VLOOKUP(Tableau4[[#This Row],[essence]],Tableau6[],20,FALSE)</f>
        <v>-3.04E-2</v>
      </c>
      <c r="U55" s="12">
        <f>VLOOKUP(Tableau4[[#This Row],[essence]],Tableau6[],15,FALSE)</f>
        <v>1.4200000000000001E-2</v>
      </c>
      <c r="V55" s="12">
        <f>VLOOKUP(Tableau4[[#This Row],[essence]],Tableau6[],28,FALSE)</f>
        <v>0</v>
      </c>
      <c r="W55" s="12">
        <f>IF(Tableau4[[#This Row],[sdom]]=1,1,0)</f>
        <v>0</v>
      </c>
      <c r="X55" s="12">
        <f>VLOOKUP(Tableau4[[#This Row],[essence]],Tableau6[],8,FALSE)</f>
        <v>0</v>
      </c>
      <c r="Y55" s="12">
        <f>IF(Tableau4[[#This Row],[sdom]]="2EST",1,0)</f>
        <v>0</v>
      </c>
      <c r="Z55" s="12">
        <f>VLOOKUP(Tableau4[[#This Row],[essence]],Tableau6[],9,FALSE)</f>
        <v>0</v>
      </c>
      <c r="AA55" s="12">
        <f>IF(Tableau4[[#This Row],[sdom]]="2OUEST",1,0)</f>
        <v>1</v>
      </c>
      <c r="AB55" s="12">
        <f>VLOOKUP(Tableau4[[#This Row],[essence]],Tableau6[],10,FALSE)</f>
        <v>0</v>
      </c>
      <c r="AC55" s="12">
        <f>IF(Tableau4[[#This Row],[sdom]]="3EST",1,0)</f>
        <v>0</v>
      </c>
      <c r="AD55" s="12">
        <f>VLOOKUP(Tableau4[[#This Row],[essence]],Tableau6[],11,FALSE)</f>
        <v>0</v>
      </c>
      <c r="AE55" s="12">
        <f>IF(Tableau4[[#This Row],[sdom]]="3OUEST",1,0)</f>
        <v>0</v>
      </c>
      <c r="AF55" s="12">
        <f>VLOOKUP(Tableau4[[#This Row],[essence]],Tableau6[],12,FALSE)</f>
        <v>0</v>
      </c>
      <c r="AG55" s="12">
        <f>IF(Tableau4[[#This Row],[sdom]]="4EST",1,0)</f>
        <v>0</v>
      </c>
      <c r="AH55" s="12">
        <f>VLOOKUP(Tableau4[[#This Row],[essence]],Tableau6[],13,FALSE)</f>
        <v>0</v>
      </c>
      <c r="AI55" s="12">
        <f>IF(Tableau4[[#This Row],[sdom]]="4OUEST",1,0)</f>
        <v>0</v>
      </c>
      <c r="AJ55" s="12">
        <f>VLOOKUP(Tableau4[[#This Row],[essence]],Tableau6[],14,FALSE)</f>
        <v>0</v>
      </c>
      <c r="AK55" s="12">
        <f>IF(Tableau4[[#This Row],[sdom]]="5EST",1,0)</f>
        <v>0</v>
      </c>
      <c r="AL55" s="12">
        <f>VLOOKUP(Tableau4[[#This Row],[essence]],Tableau6[],17,FALSE)</f>
        <v>0</v>
      </c>
      <c r="AM55" s="12">
        <f>IF(Tableau4[[#This Row],[priorecol]]="C",1,0)</f>
        <v>0</v>
      </c>
      <c r="AN55" s="12">
        <f>VLOOKUP(Tableau4[[#This Row],[essence]],Tableau6[],18,FALSE)</f>
        <v>0</v>
      </c>
      <c r="AO55" s="12">
        <f>IF(Tableau4[[#This Row],[priorecol]]="R",1,0)</f>
        <v>0</v>
      </c>
      <c r="AP55" s="12">
        <f>VLOOKUP(Tableau4[[#This Row],[essence]],Tableau6[],19,FALSE)</f>
        <v>0</v>
      </c>
      <c r="AQ55" s="12">
        <f>IF(Tableau4[[#This Row],[priorecol]]="S",1,0)</f>
        <v>1</v>
      </c>
      <c r="AR55" s="12">
        <f>VLOOKUP(Tableau4[[#This Row],[essence]],Tableau6[],21,FALSE)</f>
        <v>5.4600000000000003E-2</v>
      </c>
      <c r="AS55" s="12">
        <f>IF(Tableau4[[#This Row],[priorecol]]="C",1,0)</f>
        <v>0</v>
      </c>
      <c r="AT55" s="12">
        <f>VLOOKUP(Tableau4[[#This Row],[essence]],Tableau6[],22,FALSE)</f>
        <v>6.7900000000000002E-2</v>
      </c>
      <c r="AU55" s="12">
        <f>IF(Tableau4[[#This Row],[priorecol]]="R",1,0)</f>
        <v>0</v>
      </c>
      <c r="AV55" s="12">
        <f>VLOOKUP(Tableau4[[#This Row],[essence]],Tableau6[],23,FALSE)</f>
        <v>1.8700000000000001E-2</v>
      </c>
      <c r="AW55" s="12">
        <f>IF(Tableau4[[#This Row],[priorecol]]="S",1,0)</f>
        <v>1</v>
      </c>
      <c r="AX55" s="12">
        <f>VLOOKUP(Tableau4[[#This Row],[essence]],Tableau6[],24,FALSE)</f>
        <v>0</v>
      </c>
      <c r="AY55" s="12">
        <f>VLOOKUP(Tableau4[[#This Row],[essence]],Tableau6[],25,FALSE)</f>
        <v>0</v>
      </c>
      <c r="AZ55" s="12">
        <f>VLOOKUP(Tableau4[[#This Row],[essence]],Tableau6[],26,FALSE)</f>
        <v>0</v>
      </c>
      <c r="BA55" s="12">
        <f>VLOOKUP(Tableau4[[#This Row],[essence]],Tableau6[],27,FALSE)</f>
        <v>0</v>
      </c>
      <c r="BB55" s="12">
        <f>VLOOKUP(Tableau4[[#This Row],[essence]],Tableau6[],16,FALSE)</f>
        <v>-1.33E-3</v>
      </c>
      <c r="BC5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-1.8069999999999999</v>
      </c>
      <c r="BD55" s="12">
        <f>Tableau4[[#This Row],[xb_]]+Tableau4[[#This Row],[b_intercept_C]]+Tableau4[[#This Row],[b_dhpcm_x_intercept_C]]*Tableau4[[#This Row],[dhpcm]]</f>
        <v>1.5312999999999999</v>
      </c>
      <c r="BE55" s="12">
        <f>Tableau4[[#This Row],[xb_]]+Tableau4[[#This Row],[b_intercept_B]]+Tableau4[[#This Row],[b_dhpcm_x_intercept_B]]*Tableau4[[#This Row],[dhpcm]]</f>
        <v>0.24080000000000013</v>
      </c>
      <c r="BF55" s="12">
        <f>Tableau4[[#This Row],[xb_]]+Tableau4[[#This Row],[b_intercept_A]]+Tableau4[[#This Row],[b_dhpcm_x_intercept_A]]*Tableau4[[#This Row],[dhpcm]]</f>
        <v>-0.73819999999999997</v>
      </c>
      <c r="BG55" s="12">
        <f>1/(1+EXP(-Tableau4[[#This Row],[xb_c]]))</f>
        <v>0.822196440112404</v>
      </c>
      <c r="BH55" s="12">
        <f>1/(1+EXP(-Tableau4[[#This Row],[xb_b]]))</f>
        <v>0.55991078726328858</v>
      </c>
      <c r="BI55" s="12">
        <f>1/(1+EXP(-Tableau4[[#This Row],[xb_a]]))</f>
        <v>0.32339787953682347</v>
      </c>
      <c r="BJ55" s="12">
        <f>Tableau4[[#This Row],[prob_a]]</f>
        <v>0.32339787953682347</v>
      </c>
      <c r="BK55" s="12">
        <f>Tableau4[[#This Row],[prob_b]]-Tableau4[[#This Row],[prob_a]]</f>
        <v>0.2365129077264651</v>
      </c>
      <c r="BL55" s="12">
        <f>Tableau4[[#This Row],[prob_c]]-Tableau4[[#This Row],[prob_b]]</f>
        <v>0.26228565284911542</v>
      </c>
      <c r="BM55" s="12">
        <f>1-Tableau4[[#This Row],[prob_c]]</f>
        <v>0.177803559887596</v>
      </c>
    </row>
    <row r="56" spans="1:65" x14ac:dyDescent="0.25">
      <c r="A56" s="12">
        <v>3</v>
      </c>
      <c r="B56" s="12" t="s">
        <v>11</v>
      </c>
      <c r="C56" s="12">
        <v>2.1</v>
      </c>
      <c r="D56" s="12">
        <v>700</v>
      </c>
      <c r="E56" s="12">
        <v>20</v>
      </c>
      <c r="F56" s="12">
        <v>1</v>
      </c>
      <c r="G56" s="12">
        <v>55</v>
      </c>
      <c r="H56" s="12">
        <v>94</v>
      </c>
      <c r="I56" s="12" t="s">
        <v>21</v>
      </c>
      <c r="J56" s="12" t="s">
        <v>27</v>
      </c>
      <c r="K56" s="12">
        <f>VLOOKUP(Tableau4[[#This Row],[essence]],Tableau6[],2,FALSE)</f>
        <v>-2.4091999999999998</v>
      </c>
      <c r="L56" s="12">
        <f>VLOOKUP(Tableau4[[#This Row],[essence]],Tableau6[],3,FALSE)</f>
        <v>-1.3315999999999999</v>
      </c>
      <c r="M56" s="12">
        <f>VLOOKUP(Tableau4[[#This Row],[essence]],Tableau6[],4,FALSE)</f>
        <v>0.2475</v>
      </c>
      <c r="N56" s="12">
        <f>VLOOKUP(Tableau4[[#This Row],[essence]],Tableau6[],5,FALSE)</f>
        <v>1.9658</v>
      </c>
      <c r="O56" s="12">
        <f>IF(Tableau4[[#This Row],[priorecol]]="C",1,0)</f>
        <v>1</v>
      </c>
      <c r="P56" s="12">
        <f>VLOOKUP(Tableau4[[#This Row],[essence]],Tableau6[],6,FALSE)</f>
        <v>2.8807</v>
      </c>
      <c r="Q56" s="12">
        <f>IF(Tableau4[[#This Row],[priorecol]]="R",1,0)</f>
        <v>0</v>
      </c>
      <c r="R56" s="12">
        <f>VLOOKUP(Tableau4[[#This Row],[essence]],Tableau6[],7,FALSE)</f>
        <v>1.1791</v>
      </c>
      <c r="S56" s="12">
        <f>IF(Tableau4[[#This Row],[priorecol]]="S",1,0)</f>
        <v>0</v>
      </c>
      <c r="T56" s="12">
        <f>VLOOKUP(Tableau4[[#This Row],[essence]],Tableau6[],20,FALSE)</f>
        <v>0</v>
      </c>
      <c r="U56" s="12">
        <f>VLOOKUP(Tableau4[[#This Row],[essence]],Tableau6[],15,FALSE)</f>
        <v>2.4500000000000001E-2</v>
      </c>
      <c r="V56" s="12">
        <f>VLOOKUP(Tableau4[[#This Row],[essence]],Tableau6[],28,FALSE)</f>
        <v>0</v>
      </c>
      <c r="W56" s="12">
        <f>IF(Tableau4[[#This Row],[sdom]]=1,1,0)</f>
        <v>0</v>
      </c>
      <c r="X56" s="12">
        <f>VLOOKUP(Tableau4[[#This Row],[essence]],Tableau6[],8,FALSE)</f>
        <v>0</v>
      </c>
      <c r="Y56" s="12">
        <f>IF(Tableau4[[#This Row],[sdom]]="2EST",1,0)</f>
        <v>0</v>
      </c>
      <c r="Z56" s="12">
        <f>VLOOKUP(Tableau4[[#This Row],[essence]],Tableau6[],9,FALSE)</f>
        <v>0</v>
      </c>
      <c r="AA56" s="12">
        <f>IF(Tableau4[[#This Row],[sdom]]="2OUEST",1,0)</f>
        <v>1</v>
      </c>
      <c r="AB56" s="12">
        <f>VLOOKUP(Tableau4[[#This Row],[essence]],Tableau6[],10,FALSE)</f>
        <v>0</v>
      </c>
      <c r="AC56" s="12">
        <f>IF(Tableau4[[#This Row],[sdom]]="3EST",1,0)</f>
        <v>0</v>
      </c>
      <c r="AD56" s="12">
        <f>VLOOKUP(Tableau4[[#This Row],[essence]],Tableau6[],11,FALSE)</f>
        <v>0</v>
      </c>
      <c r="AE56" s="12">
        <f>IF(Tableau4[[#This Row],[sdom]]="3OUEST",1,0)</f>
        <v>0</v>
      </c>
      <c r="AF56" s="12">
        <f>VLOOKUP(Tableau4[[#This Row],[essence]],Tableau6[],12,FALSE)</f>
        <v>0</v>
      </c>
      <c r="AG56" s="12">
        <f>IF(Tableau4[[#This Row],[sdom]]="4EST",1,0)</f>
        <v>0</v>
      </c>
      <c r="AH56" s="12">
        <f>VLOOKUP(Tableau4[[#This Row],[essence]],Tableau6[],13,FALSE)</f>
        <v>0</v>
      </c>
      <c r="AI56" s="12">
        <f>IF(Tableau4[[#This Row],[sdom]]="4OUEST",1,0)</f>
        <v>0</v>
      </c>
      <c r="AJ56" s="12">
        <f>VLOOKUP(Tableau4[[#This Row],[essence]],Tableau6[],14,FALSE)</f>
        <v>0</v>
      </c>
      <c r="AK56" s="12">
        <f>IF(Tableau4[[#This Row],[sdom]]="5EST",1,0)</f>
        <v>0</v>
      </c>
      <c r="AL56" s="12">
        <f>VLOOKUP(Tableau4[[#This Row],[essence]],Tableau6[],17,FALSE)</f>
        <v>0</v>
      </c>
      <c r="AM56" s="12">
        <f>IF(Tableau4[[#This Row],[priorecol]]="C",1,0)</f>
        <v>1</v>
      </c>
      <c r="AN56" s="12">
        <f>VLOOKUP(Tableau4[[#This Row],[essence]],Tableau6[],18,FALSE)</f>
        <v>0</v>
      </c>
      <c r="AO56" s="12">
        <f>IF(Tableau4[[#This Row],[priorecol]]="R",1,0)</f>
        <v>0</v>
      </c>
      <c r="AP56" s="12">
        <f>VLOOKUP(Tableau4[[#This Row],[essence]],Tableau6[],19,FALSE)</f>
        <v>0</v>
      </c>
      <c r="AQ56" s="12">
        <f>IF(Tableau4[[#This Row],[priorecol]]="S",1,0)</f>
        <v>0</v>
      </c>
      <c r="AR56" s="12">
        <f>VLOOKUP(Tableau4[[#This Row],[essence]],Tableau6[],21,FALSE)</f>
        <v>0</v>
      </c>
      <c r="AS56" s="12">
        <f>IF(Tableau4[[#This Row],[priorecol]]="C",1,0)</f>
        <v>1</v>
      </c>
      <c r="AT56" s="12">
        <f>VLOOKUP(Tableau4[[#This Row],[essence]],Tableau6[],22,FALSE)</f>
        <v>0</v>
      </c>
      <c r="AU56" s="12">
        <f>IF(Tableau4[[#This Row],[priorecol]]="R",1,0)</f>
        <v>0</v>
      </c>
      <c r="AV56" s="12">
        <f>VLOOKUP(Tableau4[[#This Row],[essence]],Tableau6[],23,FALSE)</f>
        <v>0</v>
      </c>
      <c r="AW56" s="12">
        <f>IF(Tableau4[[#This Row],[priorecol]]="S",1,0)</f>
        <v>0</v>
      </c>
      <c r="AX56" s="12">
        <f>VLOOKUP(Tableau4[[#This Row],[essence]],Tableau6[],24,FALSE)</f>
        <v>0</v>
      </c>
      <c r="AY56" s="12">
        <f>VLOOKUP(Tableau4[[#This Row],[essence]],Tableau6[],25,FALSE)</f>
        <v>0</v>
      </c>
      <c r="AZ56" s="12">
        <f>VLOOKUP(Tableau4[[#This Row],[essence]],Tableau6[],26,FALSE)</f>
        <v>0</v>
      </c>
      <c r="BA56" s="12">
        <f>VLOOKUP(Tableau4[[#This Row],[essence]],Tableau6[],27,FALSE)</f>
        <v>0</v>
      </c>
      <c r="BB56" s="12">
        <f>VLOOKUP(Tableau4[[#This Row],[essence]],Tableau6[],16,FALSE)</f>
        <v>0</v>
      </c>
      <c r="BC5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56" s="12">
        <f>Tableau4[[#This Row],[xb_]]+Tableau4[[#This Row],[b_intercept_C]]+Tableau4[[#This Row],[b_dhpcm_x_intercept_C]]*Tableau4[[#This Row],[dhpcm]]</f>
        <v>2.7033</v>
      </c>
      <c r="BE56" s="12">
        <f>Tableau4[[#This Row],[xb_]]+Tableau4[[#This Row],[b_intercept_B]]+Tableau4[[#This Row],[b_dhpcm_x_intercept_B]]*Tableau4[[#This Row],[dhpcm]]</f>
        <v>1.1242000000000001</v>
      </c>
      <c r="BF56" s="12">
        <f>Tableau4[[#This Row],[xb_]]+Tableau4[[#This Row],[b_intercept_A]]+Tableau4[[#This Row],[b_dhpcm_x_intercept_A]]*Tableau4[[#This Row],[dhpcm]]</f>
        <v>4.6600000000000197E-2</v>
      </c>
      <c r="BG56" s="12">
        <f>1/(1+EXP(-Tableau4[[#This Row],[xb_c]]))</f>
        <v>0.93722108879172883</v>
      </c>
      <c r="BH56" s="12">
        <f>1/(1+EXP(-Tableau4[[#This Row],[xb_b]]))</f>
        <v>0.75476694200486438</v>
      </c>
      <c r="BI56" s="12">
        <f>1/(1+EXP(-Tableau4[[#This Row],[xb_a]]))</f>
        <v>0.51164789223487939</v>
      </c>
      <c r="BJ56" s="12">
        <f>Tableau4[[#This Row],[prob_a]]</f>
        <v>0.51164789223487939</v>
      </c>
      <c r="BK56" s="12">
        <f>Tableau4[[#This Row],[prob_b]]-Tableau4[[#This Row],[prob_a]]</f>
        <v>0.243119049769985</v>
      </c>
      <c r="BL56" s="12">
        <f>Tableau4[[#This Row],[prob_c]]-Tableau4[[#This Row],[prob_b]]</f>
        <v>0.18245414678686445</v>
      </c>
      <c r="BM56" s="12">
        <f>1-Tableau4[[#This Row],[prob_c]]</f>
        <v>6.2778911208271171E-2</v>
      </c>
    </row>
    <row r="57" spans="1:65" x14ac:dyDescent="0.25">
      <c r="A57" s="12">
        <v>3</v>
      </c>
      <c r="B57" s="12" t="s">
        <v>11</v>
      </c>
      <c r="C57" s="12">
        <v>2.1</v>
      </c>
      <c r="D57" s="12">
        <v>700</v>
      </c>
      <c r="E57" s="12">
        <v>20</v>
      </c>
      <c r="F57" s="12">
        <v>1</v>
      </c>
      <c r="G57" s="12">
        <v>56</v>
      </c>
      <c r="H57" s="12">
        <v>95</v>
      </c>
      <c r="I57" s="12" t="s">
        <v>21</v>
      </c>
      <c r="J57" s="12" t="s">
        <v>28</v>
      </c>
      <c r="K57" s="12">
        <f>VLOOKUP(Tableau4[[#This Row],[essence]],Tableau6[],2,FALSE)</f>
        <v>-2.4091999999999998</v>
      </c>
      <c r="L57" s="12">
        <f>VLOOKUP(Tableau4[[#This Row],[essence]],Tableau6[],3,FALSE)</f>
        <v>-1.3315999999999999</v>
      </c>
      <c r="M57" s="12">
        <f>VLOOKUP(Tableau4[[#This Row],[essence]],Tableau6[],4,FALSE)</f>
        <v>0.2475</v>
      </c>
      <c r="N57" s="12">
        <f>VLOOKUP(Tableau4[[#This Row],[essence]],Tableau6[],5,FALSE)</f>
        <v>1.9658</v>
      </c>
      <c r="O57" s="12">
        <f>IF(Tableau4[[#This Row],[priorecol]]="C",1,0)</f>
        <v>0</v>
      </c>
      <c r="P57" s="12">
        <f>VLOOKUP(Tableau4[[#This Row],[essence]],Tableau6[],6,FALSE)</f>
        <v>2.8807</v>
      </c>
      <c r="Q57" s="12">
        <f>IF(Tableau4[[#This Row],[priorecol]]="R",1,0)</f>
        <v>1</v>
      </c>
      <c r="R57" s="12">
        <f>VLOOKUP(Tableau4[[#This Row],[essence]],Tableau6[],7,FALSE)</f>
        <v>1.1791</v>
      </c>
      <c r="S57" s="12">
        <f>IF(Tableau4[[#This Row],[priorecol]]="S",1,0)</f>
        <v>0</v>
      </c>
      <c r="T57" s="12">
        <f>VLOOKUP(Tableau4[[#This Row],[essence]],Tableau6[],20,FALSE)</f>
        <v>0</v>
      </c>
      <c r="U57" s="12">
        <f>VLOOKUP(Tableau4[[#This Row],[essence]],Tableau6[],15,FALSE)</f>
        <v>2.4500000000000001E-2</v>
      </c>
      <c r="V57" s="12">
        <f>VLOOKUP(Tableau4[[#This Row],[essence]],Tableau6[],28,FALSE)</f>
        <v>0</v>
      </c>
      <c r="W57" s="12">
        <f>IF(Tableau4[[#This Row],[sdom]]=1,1,0)</f>
        <v>0</v>
      </c>
      <c r="X57" s="12">
        <f>VLOOKUP(Tableau4[[#This Row],[essence]],Tableau6[],8,FALSE)</f>
        <v>0</v>
      </c>
      <c r="Y57" s="12">
        <f>IF(Tableau4[[#This Row],[sdom]]="2EST",1,0)</f>
        <v>0</v>
      </c>
      <c r="Z57" s="12">
        <f>VLOOKUP(Tableau4[[#This Row],[essence]],Tableau6[],9,FALSE)</f>
        <v>0</v>
      </c>
      <c r="AA57" s="12">
        <f>IF(Tableau4[[#This Row],[sdom]]="2OUEST",1,0)</f>
        <v>1</v>
      </c>
      <c r="AB57" s="12">
        <f>VLOOKUP(Tableau4[[#This Row],[essence]],Tableau6[],10,FALSE)</f>
        <v>0</v>
      </c>
      <c r="AC57" s="12">
        <f>IF(Tableau4[[#This Row],[sdom]]="3EST",1,0)</f>
        <v>0</v>
      </c>
      <c r="AD57" s="12">
        <f>VLOOKUP(Tableau4[[#This Row],[essence]],Tableau6[],11,FALSE)</f>
        <v>0</v>
      </c>
      <c r="AE57" s="12">
        <f>IF(Tableau4[[#This Row],[sdom]]="3OUEST",1,0)</f>
        <v>0</v>
      </c>
      <c r="AF57" s="12">
        <f>VLOOKUP(Tableau4[[#This Row],[essence]],Tableau6[],12,FALSE)</f>
        <v>0</v>
      </c>
      <c r="AG57" s="12">
        <f>IF(Tableau4[[#This Row],[sdom]]="4EST",1,0)</f>
        <v>0</v>
      </c>
      <c r="AH57" s="12">
        <f>VLOOKUP(Tableau4[[#This Row],[essence]],Tableau6[],13,FALSE)</f>
        <v>0</v>
      </c>
      <c r="AI57" s="12">
        <f>IF(Tableau4[[#This Row],[sdom]]="4OUEST",1,0)</f>
        <v>0</v>
      </c>
      <c r="AJ57" s="12">
        <f>VLOOKUP(Tableau4[[#This Row],[essence]],Tableau6[],14,FALSE)</f>
        <v>0</v>
      </c>
      <c r="AK57" s="12">
        <f>IF(Tableau4[[#This Row],[sdom]]="5EST",1,0)</f>
        <v>0</v>
      </c>
      <c r="AL57" s="12">
        <f>VLOOKUP(Tableau4[[#This Row],[essence]],Tableau6[],17,FALSE)</f>
        <v>0</v>
      </c>
      <c r="AM57" s="12">
        <f>IF(Tableau4[[#This Row],[priorecol]]="C",1,0)</f>
        <v>0</v>
      </c>
      <c r="AN57" s="12">
        <f>VLOOKUP(Tableau4[[#This Row],[essence]],Tableau6[],18,FALSE)</f>
        <v>0</v>
      </c>
      <c r="AO57" s="12">
        <f>IF(Tableau4[[#This Row],[priorecol]]="R",1,0)</f>
        <v>1</v>
      </c>
      <c r="AP57" s="12">
        <f>VLOOKUP(Tableau4[[#This Row],[essence]],Tableau6[],19,FALSE)</f>
        <v>0</v>
      </c>
      <c r="AQ57" s="12">
        <f>IF(Tableau4[[#This Row],[priorecol]]="S",1,0)</f>
        <v>0</v>
      </c>
      <c r="AR57" s="12">
        <f>VLOOKUP(Tableau4[[#This Row],[essence]],Tableau6[],21,FALSE)</f>
        <v>0</v>
      </c>
      <c r="AS57" s="12">
        <f>IF(Tableau4[[#This Row],[priorecol]]="C",1,0)</f>
        <v>0</v>
      </c>
      <c r="AT57" s="12">
        <f>VLOOKUP(Tableau4[[#This Row],[essence]],Tableau6[],22,FALSE)</f>
        <v>0</v>
      </c>
      <c r="AU57" s="12">
        <f>IF(Tableau4[[#This Row],[priorecol]]="R",1,0)</f>
        <v>1</v>
      </c>
      <c r="AV57" s="12">
        <f>VLOOKUP(Tableau4[[#This Row],[essence]],Tableau6[],23,FALSE)</f>
        <v>0</v>
      </c>
      <c r="AW57" s="12">
        <f>IF(Tableau4[[#This Row],[priorecol]]="S",1,0)</f>
        <v>0</v>
      </c>
      <c r="AX57" s="12">
        <f>VLOOKUP(Tableau4[[#This Row],[essence]],Tableau6[],24,FALSE)</f>
        <v>0</v>
      </c>
      <c r="AY57" s="12">
        <f>VLOOKUP(Tableau4[[#This Row],[essence]],Tableau6[],25,FALSE)</f>
        <v>0</v>
      </c>
      <c r="AZ57" s="12">
        <f>VLOOKUP(Tableau4[[#This Row],[essence]],Tableau6[],26,FALSE)</f>
        <v>0</v>
      </c>
      <c r="BA57" s="12">
        <f>VLOOKUP(Tableau4[[#This Row],[essence]],Tableau6[],27,FALSE)</f>
        <v>0</v>
      </c>
      <c r="BB57" s="12">
        <f>VLOOKUP(Tableau4[[#This Row],[essence]],Tableau6[],16,FALSE)</f>
        <v>0</v>
      </c>
      <c r="BC5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57" s="12">
        <f>Tableau4[[#This Row],[xb_]]+Tableau4[[#This Row],[b_intercept_C]]+Tableau4[[#This Row],[b_dhpcm_x_intercept_C]]*Tableau4[[#This Row],[dhpcm]]</f>
        <v>3.6182000000000003</v>
      </c>
      <c r="BE57" s="12">
        <f>Tableau4[[#This Row],[xb_]]+Tableau4[[#This Row],[b_intercept_B]]+Tableau4[[#This Row],[b_dhpcm_x_intercept_B]]*Tableau4[[#This Row],[dhpcm]]</f>
        <v>2.0391000000000004</v>
      </c>
      <c r="BF57" s="12">
        <f>Tableau4[[#This Row],[xb_]]+Tableau4[[#This Row],[b_intercept_A]]+Tableau4[[#This Row],[b_dhpcm_x_intercept_A]]*Tableau4[[#This Row],[dhpcm]]</f>
        <v>0.96150000000000047</v>
      </c>
      <c r="BG57" s="12">
        <f>1/(1+EXP(-Tableau4[[#This Row],[xb_c]]))</f>
        <v>0.97387015917251429</v>
      </c>
      <c r="BH57" s="12">
        <f>1/(1+EXP(-Tableau4[[#This Row],[xb_b]]))</f>
        <v>0.88484159245928551</v>
      </c>
      <c r="BI57" s="12">
        <f>1/(1+EXP(-Tableau4[[#This Row],[xb_a]]))</f>
        <v>0.72342202957828172</v>
      </c>
      <c r="BJ57" s="12">
        <f>Tableau4[[#This Row],[prob_a]]</f>
        <v>0.72342202957828172</v>
      </c>
      <c r="BK57" s="12">
        <f>Tableau4[[#This Row],[prob_b]]-Tableau4[[#This Row],[prob_a]]</f>
        <v>0.16141956288100379</v>
      </c>
      <c r="BL57" s="12">
        <f>Tableau4[[#This Row],[prob_c]]-Tableau4[[#This Row],[prob_b]]</f>
        <v>8.9028566713228785E-2</v>
      </c>
      <c r="BM57" s="12">
        <f>1-Tableau4[[#This Row],[prob_c]]</f>
        <v>2.6129840827485706E-2</v>
      </c>
    </row>
    <row r="58" spans="1:65" x14ac:dyDescent="0.25">
      <c r="A58" s="12">
        <v>3</v>
      </c>
      <c r="B58" s="12" t="s">
        <v>11</v>
      </c>
      <c r="C58" s="12">
        <v>2.1</v>
      </c>
      <c r="D58" s="12">
        <v>700</v>
      </c>
      <c r="E58" s="12">
        <v>20</v>
      </c>
      <c r="F58" s="12">
        <v>1</v>
      </c>
      <c r="G58" s="12">
        <v>57</v>
      </c>
      <c r="H58" s="12">
        <v>96</v>
      </c>
      <c r="I58" s="12" t="s">
        <v>21</v>
      </c>
      <c r="J58" s="12" t="s">
        <v>29</v>
      </c>
      <c r="K58" s="12">
        <f>VLOOKUP(Tableau4[[#This Row],[essence]],Tableau6[],2,FALSE)</f>
        <v>-2.4091999999999998</v>
      </c>
      <c r="L58" s="12">
        <f>VLOOKUP(Tableau4[[#This Row],[essence]],Tableau6[],3,FALSE)</f>
        <v>-1.3315999999999999</v>
      </c>
      <c r="M58" s="12">
        <f>VLOOKUP(Tableau4[[#This Row],[essence]],Tableau6[],4,FALSE)</f>
        <v>0.2475</v>
      </c>
      <c r="N58" s="12">
        <f>VLOOKUP(Tableau4[[#This Row],[essence]],Tableau6[],5,FALSE)</f>
        <v>1.9658</v>
      </c>
      <c r="O58" s="12">
        <f>IF(Tableau4[[#This Row],[priorecol]]="C",1,0)</f>
        <v>0</v>
      </c>
      <c r="P58" s="12">
        <f>VLOOKUP(Tableau4[[#This Row],[essence]],Tableau6[],6,FALSE)</f>
        <v>2.8807</v>
      </c>
      <c r="Q58" s="12">
        <f>IF(Tableau4[[#This Row],[priorecol]]="R",1,0)</f>
        <v>0</v>
      </c>
      <c r="R58" s="12">
        <f>VLOOKUP(Tableau4[[#This Row],[essence]],Tableau6[],7,FALSE)</f>
        <v>1.1791</v>
      </c>
      <c r="S58" s="12">
        <f>IF(Tableau4[[#This Row],[priorecol]]="S",1,0)</f>
        <v>1</v>
      </c>
      <c r="T58" s="12">
        <f>VLOOKUP(Tableau4[[#This Row],[essence]],Tableau6[],20,FALSE)</f>
        <v>0</v>
      </c>
      <c r="U58" s="12">
        <f>VLOOKUP(Tableau4[[#This Row],[essence]],Tableau6[],15,FALSE)</f>
        <v>2.4500000000000001E-2</v>
      </c>
      <c r="V58" s="12">
        <f>VLOOKUP(Tableau4[[#This Row],[essence]],Tableau6[],28,FALSE)</f>
        <v>0</v>
      </c>
      <c r="W58" s="12">
        <f>IF(Tableau4[[#This Row],[sdom]]=1,1,0)</f>
        <v>0</v>
      </c>
      <c r="X58" s="12">
        <f>VLOOKUP(Tableau4[[#This Row],[essence]],Tableau6[],8,FALSE)</f>
        <v>0</v>
      </c>
      <c r="Y58" s="12">
        <f>IF(Tableau4[[#This Row],[sdom]]="2EST",1,0)</f>
        <v>0</v>
      </c>
      <c r="Z58" s="12">
        <f>VLOOKUP(Tableau4[[#This Row],[essence]],Tableau6[],9,FALSE)</f>
        <v>0</v>
      </c>
      <c r="AA58" s="12">
        <f>IF(Tableau4[[#This Row],[sdom]]="2OUEST",1,0)</f>
        <v>1</v>
      </c>
      <c r="AB58" s="12">
        <f>VLOOKUP(Tableau4[[#This Row],[essence]],Tableau6[],10,FALSE)</f>
        <v>0</v>
      </c>
      <c r="AC58" s="12">
        <f>IF(Tableau4[[#This Row],[sdom]]="3EST",1,0)</f>
        <v>0</v>
      </c>
      <c r="AD58" s="12">
        <f>VLOOKUP(Tableau4[[#This Row],[essence]],Tableau6[],11,FALSE)</f>
        <v>0</v>
      </c>
      <c r="AE58" s="12">
        <f>IF(Tableau4[[#This Row],[sdom]]="3OUEST",1,0)</f>
        <v>0</v>
      </c>
      <c r="AF58" s="12">
        <f>VLOOKUP(Tableau4[[#This Row],[essence]],Tableau6[],12,FALSE)</f>
        <v>0</v>
      </c>
      <c r="AG58" s="12">
        <f>IF(Tableau4[[#This Row],[sdom]]="4EST",1,0)</f>
        <v>0</v>
      </c>
      <c r="AH58" s="12">
        <f>VLOOKUP(Tableau4[[#This Row],[essence]],Tableau6[],13,FALSE)</f>
        <v>0</v>
      </c>
      <c r="AI58" s="12">
        <f>IF(Tableau4[[#This Row],[sdom]]="4OUEST",1,0)</f>
        <v>0</v>
      </c>
      <c r="AJ58" s="12">
        <f>VLOOKUP(Tableau4[[#This Row],[essence]],Tableau6[],14,FALSE)</f>
        <v>0</v>
      </c>
      <c r="AK58" s="12">
        <f>IF(Tableau4[[#This Row],[sdom]]="5EST",1,0)</f>
        <v>0</v>
      </c>
      <c r="AL58" s="12">
        <f>VLOOKUP(Tableau4[[#This Row],[essence]],Tableau6[],17,FALSE)</f>
        <v>0</v>
      </c>
      <c r="AM58" s="12">
        <f>IF(Tableau4[[#This Row],[priorecol]]="C",1,0)</f>
        <v>0</v>
      </c>
      <c r="AN58" s="12">
        <f>VLOOKUP(Tableau4[[#This Row],[essence]],Tableau6[],18,FALSE)</f>
        <v>0</v>
      </c>
      <c r="AO58" s="12">
        <f>IF(Tableau4[[#This Row],[priorecol]]="R",1,0)</f>
        <v>0</v>
      </c>
      <c r="AP58" s="12">
        <f>VLOOKUP(Tableau4[[#This Row],[essence]],Tableau6[],19,FALSE)</f>
        <v>0</v>
      </c>
      <c r="AQ58" s="12">
        <f>IF(Tableau4[[#This Row],[priorecol]]="S",1,0)</f>
        <v>1</v>
      </c>
      <c r="AR58" s="12">
        <f>VLOOKUP(Tableau4[[#This Row],[essence]],Tableau6[],21,FALSE)</f>
        <v>0</v>
      </c>
      <c r="AS58" s="12">
        <f>IF(Tableau4[[#This Row],[priorecol]]="C",1,0)</f>
        <v>0</v>
      </c>
      <c r="AT58" s="12">
        <f>VLOOKUP(Tableau4[[#This Row],[essence]],Tableau6[],22,FALSE)</f>
        <v>0</v>
      </c>
      <c r="AU58" s="12">
        <f>IF(Tableau4[[#This Row],[priorecol]]="R",1,0)</f>
        <v>0</v>
      </c>
      <c r="AV58" s="12">
        <f>VLOOKUP(Tableau4[[#This Row],[essence]],Tableau6[],23,FALSE)</f>
        <v>0</v>
      </c>
      <c r="AW58" s="12">
        <f>IF(Tableau4[[#This Row],[priorecol]]="S",1,0)</f>
        <v>1</v>
      </c>
      <c r="AX58" s="12">
        <f>VLOOKUP(Tableau4[[#This Row],[essence]],Tableau6[],24,FALSE)</f>
        <v>0</v>
      </c>
      <c r="AY58" s="12">
        <f>VLOOKUP(Tableau4[[#This Row],[essence]],Tableau6[],25,FALSE)</f>
        <v>0</v>
      </c>
      <c r="AZ58" s="12">
        <f>VLOOKUP(Tableau4[[#This Row],[essence]],Tableau6[],26,FALSE)</f>
        <v>0</v>
      </c>
      <c r="BA58" s="12">
        <f>VLOOKUP(Tableau4[[#This Row],[essence]],Tableau6[],27,FALSE)</f>
        <v>0</v>
      </c>
      <c r="BB58" s="12">
        <f>VLOOKUP(Tableau4[[#This Row],[essence]],Tableau6[],16,FALSE)</f>
        <v>0</v>
      </c>
      <c r="BC5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58" s="12">
        <f>Tableau4[[#This Row],[xb_]]+Tableau4[[#This Row],[b_intercept_C]]+Tableau4[[#This Row],[b_dhpcm_x_intercept_C]]*Tableau4[[#This Row],[dhpcm]]</f>
        <v>1.9166000000000001</v>
      </c>
      <c r="BE58" s="12">
        <f>Tableau4[[#This Row],[xb_]]+Tableau4[[#This Row],[b_intercept_B]]+Tableau4[[#This Row],[b_dhpcm_x_intercept_B]]*Tableau4[[#This Row],[dhpcm]]</f>
        <v>0.33750000000000013</v>
      </c>
      <c r="BF58" s="12">
        <f>Tableau4[[#This Row],[xb_]]+Tableau4[[#This Row],[b_intercept_A]]+Tableau4[[#This Row],[b_dhpcm_x_intercept_A]]*Tableau4[[#This Row],[dhpcm]]</f>
        <v>-0.74009999999999976</v>
      </c>
      <c r="BG58" s="12">
        <f>1/(1+EXP(-Tableau4[[#This Row],[xb_c]]))</f>
        <v>0.87175880956636009</v>
      </c>
      <c r="BH58" s="12">
        <f>1/(1+EXP(-Tableau4[[#This Row],[xb_b]]))</f>
        <v>0.58358311551727526</v>
      </c>
      <c r="BI58" s="12">
        <f>1/(1+EXP(-Tableau4[[#This Row],[xb_a]]))</f>
        <v>0.32298227690184222</v>
      </c>
      <c r="BJ58" s="12">
        <f>Tableau4[[#This Row],[prob_a]]</f>
        <v>0.32298227690184222</v>
      </c>
      <c r="BK58" s="12">
        <f>Tableau4[[#This Row],[prob_b]]-Tableau4[[#This Row],[prob_a]]</f>
        <v>0.26060083861543304</v>
      </c>
      <c r="BL58" s="12">
        <f>Tableau4[[#This Row],[prob_c]]-Tableau4[[#This Row],[prob_b]]</f>
        <v>0.28817569404908483</v>
      </c>
      <c r="BM58" s="12">
        <f>1-Tableau4[[#This Row],[prob_c]]</f>
        <v>0.12824119043363991</v>
      </c>
    </row>
    <row r="59" spans="1:65" x14ac:dyDescent="0.25">
      <c r="A59" s="12">
        <v>3</v>
      </c>
      <c r="B59" s="12" t="s">
        <v>11</v>
      </c>
      <c r="C59" s="12">
        <v>2.1</v>
      </c>
      <c r="D59" s="12">
        <v>700</v>
      </c>
      <c r="E59" s="12">
        <v>20</v>
      </c>
      <c r="F59" s="12">
        <v>1</v>
      </c>
      <c r="G59" s="12">
        <v>58</v>
      </c>
      <c r="H59" s="12">
        <v>97</v>
      </c>
      <c r="I59" s="12" t="s">
        <v>22</v>
      </c>
      <c r="J59" s="12" t="s">
        <v>27</v>
      </c>
      <c r="K59" s="12">
        <f>VLOOKUP(Tableau4[[#This Row],[essence]],Tableau6[],2,FALSE)</f>
        <v>-3.5731999999999999</v>
      </c>
      <c r="L59" s="12">
        <f>VLOOKUP(Tableau4[[#This Row],[essence]],Tableau6[],3,FALSE)</f>
        <v>-1.9289000000000001</v>
      </c>
      <c r="M59" s="12">
        <f>VLOOKUP(Tableau4[[#This Row],[essence]],Tableau6[],4,FALSE)</f>
        <v>0.40949999999999998</v>
      </c>
      <c r="N59" s="12">
        <f>VLOOKUP(Tableau4[[#This Row],[essence]],Tableau6[],5,FALSE)</f>
        <v>2.0705</v>
      </c>
      <c r="O59" s="12">
        <f>IF(Tableau4[[#This Row],[priorecol]]="C",1,0)</f>
        <v>1</v>
      </c>
      <c r="P59" s="12">
        <f>VLOOKUP(Tableau4[[#This Row],[essence]],Tableau6[],6,FALSE)</f>
        <v>2.9992999999999999</v>
      </c>
      <c r="Q59" s="12">
        <f>IF(Tableau4[[#This Row],[priorecol]]="R",1,0)</f>
        <v>0</v>
      </c>
      <c r="R59" s="12">
        <f>VLOOKUP(Tableau4[[#This Row],[essence]],Tableau6[],7,FALSE)</f>
        <v>1.3050999999999999</v>
      </c>
      <c r="S59" s="12">
        <f>IF(Tableau4[[#This Row],[priorecol]]="S",1,0)</f>
        <v>0</v>
      </c>
      <c r="T59" s="12">
        <f>VLOOKUP(Tableau4[[#This Row],[essence]],Tableau6[],20,FALSE)</f>
        <v>0</v>
      </c>
      <c r="U59" s="12">
        <f>VLOOKUP(Tableau4[[#This Row],[essence]],Tableau6[],15,FALSE)</f>
        <v>0</v>
      </c>
      <c r="V59" s="12">
        <f>VLOOKUP(Tableau4[[#This Row],[essence]],Tableau6[],28,FALSE)</f>
        <v>0</v>
      </c>
      <c r="W59" s="12">
        <f>IF(Tableau4[[#This Row],[sdom]]=1,1,0)</f>
        <v>0</v>
      </c>
      <c r="X59" s="12">
        <f>VLOOKUP(Tableau4[[#This Row],[essence]],Tableau6[],8,FALSE)</f>
        <v>0</v>
      </c>
      <c r="Y59" s="12">
        <f>IF(Tableau4[[#This Row],[sdom]]="2EST",1,0)</f>
        <v>0</v>
      </c>
      <c r="Z59" s="12">
        <f>VLOOKUP(Tableau4[[#This Row],[essence]],Tableau6[],9,FALSE)</f>
        <v>0</v>
      </c>
      <c r="AA59" s="12">
        <f>IF(Tableau4[[#This Row],[sdom]]="2OUEST",1,0)</f>
        <v>1</v>
      </c>
      <c r="AB59" s="12">
        <f>VLOOKUP(Tableau4[[#This Row],[essence]],Tableau6[],10,FALSE)</f>
        <v>0</v>
      </c>
      <c r="AC59" s="12">
        <f>IF(Tableau4[[#This Row],[sdom]]="3EST",1,0)</f>
        <v>0</v>
      </c>
      <c r="AD59" s="12">
        <f>VLOOKUP(Tableau4[[#This Row],[essence]],Tableau6[],11,FALSE)</f>
        <v>0</v>
      </c>
      <c r="AE59" s="12">
        <f>IF(Tableau4[[#This Row],[sdom]]="3OUEST",1,0)</f>
        <v>0</v>
      </c>
      <c r="AF59" s="12">
        <f>VLOOKUP(Tableau4[[#This Row],[essence]],Tableau6[],12,FALSE)</f>
        <v>0</v>
      </c>
      <c r="AG59" s="12">
        <f>IF(Tableau4[[#This Row],[sdom]]="4EST",1,0)</f>
        <v>0</v>
      </c>
      <c r="AH59" s="12">
        <f>VLOOKUP(Tableau4[[#This Row],[essence]],Tableau6[],13,FALSE)</f>
        <v>0</v>
      </c>
      <c r="AI59" s="12">
        <f>IF(Tableau4[[#This Row],[sdom]]="4OUEST",1,0)</f>
        <v>0</v>
      </c>
      <c r="AJ59" s="12">
        <f>VLOOKUP(Tableau4[[#This Row],[essence]],Tableau6[],14,FALSE)</f>
        <v>0</v>
      </c>
      <c r="AK59" s="12">
        <f>IF(Tableau4[[#This Row],[sdom]]="5EST",1,0)</f>
        <v>0</v>
      </c>
      <c r="AL59" s="12">
        <f>VLOOKUP(Tableau4[[#This Row],[essence]],Tableau6[],17,FALSE)</f>
        <v>0</v>
      </c>
      <c r="AM59" s="12">
        <f>IF(Tableau4[[#This Row],[priorecol]]="C",1,0)</f>
        <v>1</v>
      </c>
      <c r="AN59" s="12">
        <f>VLOOKUP(Tableau4[[#This Row],[essence]],Tableau6[],18,FALSE)</f>
        <v>0</v>
      </c>
      <c r="AO59" s="12">
        <f>IF(Tableau4[[#This Row],[priorecol]]="R",1,0)</f>
        <v>0</v>
      </c>
      <c r="AP59" s="12">
        <f>VLOOKUP(Tableau4[[#This Row],[essence]],Tableau6[],19,FALSE)</f>
        <v>0</v>
      </c>
      <c r="AQ59" s="12">
        <f>IF(Tableau4[[#This Row],[priorecol]]="S",1,0)</f>
        <v>0</v>
      </c>
      <c r="AR59" s="12">
        <f>VLOOKUP(Tableau4[[#This Row],[essence]],Tableau6[],21,FALSE)</f>
        <v>0</v>
      </c>
      <c r="AS59" s="12">
        <f>IF(Tableau4[[#This Row],[priorecol]]="C",1,0)</f>
        <v>1</v>
      </c>
      <c r="AT59" s="12">
        <f>VLOOKUP(Tableau4[[#This Row],[essence]],Tableau6[],22,FALSE)</f>
        <v>0</v>
      </c>
      <c r="AU59" s="12">
        <f>IF(Tableau4[[#This Row],[priorecol]]="R",1,0)</f>
        <v>0</v>
      </c>
      <c r="AV59" s="12">
        <f>VLOOKUP(Tableau4[[#This Row],[essence]],Tableau6[],23,FALSE)</f>
        <v>0</v>
      </c>
      <c r="AW59" s="12">
        <f>IF(Tableau4[[#This Row],[priorecol]]="S",1,0)</f>
        <v>0</v>
      </c>
      <c r="AX59" s="12">
        <f>VLOOKUP(Tableau4[[#This Row],[essence]],Tableau6[],24,FALSE)</f>
        <v>-2.1000000000000001E-4</v>
      </c>
      <c r="AY59" s="12">
        <f>VLOOKUP(Tableau4[[#This Row],[essence]],Tableau6[],25,FALSE)</f>
        <v>-1.34E-2</v>
      </c>
      <c r="AZ59" s="12">
        <f>VLOOKUP(Tableau4[[#This Row],[essence]],Tableau6[],26,FALSE)</f>
        <v>-2.8899999999999999E-2</v>
      </c>
      <c r="BA59" s="12">
        <f>VLOOKUP(Tableau4[[#This Row],[essence]],Tableau6[],27,FALSE)</f>
        <v>0.2873</v>
      </c>
      <c r="BB59" s="12">
        <f>VLOOKUP(Tableau4[[#This Row],[essence]],Tableau6[],16,FALSE)</f>
        <v>0</v>
      </c>
      <c r="BC5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59" s="12">
        <f>Tableau4[[#This Row],[xb_]]+Tableau4[[#This Row],[b_intercept_C]]+Tableau4[[#This Row],[b_dhpcm_x_intercept_C]]*Tableau4[[#This Row],[dhpcm]]</f>
        <v>0.28003000000000045</v>
      </c>
      <c r="BE59" s="12">
        <f>Tableau4[[#This Row],[xb_]]+Tableau4[[#This Row],[b_intercept_B]]+Tableau4[[#This Row],[b_dhpcm_x_intercept_B]]*Tableau4[[#This Row],[dhpcm]]</f>
        <v>-0.55486999999999997</v>
      </c>
      <c r="BF59" s="12">
        <f>Tableau4[[#This Row],[xb_]]+Tableau4[[#This Row],[b_intercept_A]]+Tableau4[[#This Row],[b_dhpcm_x_intercept_A]]*Tableau4[[#This Row],[dhpcm]]</f>
        <v>-0.91973999999999978</v>
      </c>
      <c r="BG59" s="12">
        <f>1/(1+EXP(-Tableau4[[#This Row],[xb_c]]))</f>
        <v>0.5695535788235655</v>
      </c>
      <c r="BH59" s="12">
        <f>1/(1+EXP(-Tableau4[[#This Row],[xb_b]]))</f>
        <v>0.36473527159641428</v>
      </c>
      <c r="BI59" s="12">
        <f>1/(1+EXP(-Tableau4[[#This Row],[xb_a]]))</f>
        <v>0.28501087405298176</v>
      </c>
      <c r="BJ59" s="12">
        <f>Tableau4[[#This Row],[prob_a]]</f>
        <v>0.28501087405298176</v>
      </c>
      <c r="BK59" s="12">
        <f>Tableau4[[#This Row],[prob_b]]-Tableau4[[#This Row],[prob_a]]</f>
        <v>7.9724397543432524E-2</v>
      </c>
      <c r="BL59" s="12">
        <f>Tableau4[[#This Row],[prob_c]]-Tableau4[[#This Row],[prob_b]]</f>
        <v>0.20481830722715122</v>
      </c>
      <c r="BM59" s="12">
        <f>1-Tableau4[[#This Row],[prob_c]]</f>
        <v>0.4304464211764345</v>
      </c>
    </row>
    <row r="60" spans="1:65" x14ac:dyDescent="0.25">
      <c r="A60" s="12">
        <v>3</v>
      </c>
      <c r="B60" s="12" t="s">
        <v>11</v>
      </c>
      <c r="C60" s="12">
        <v>2.1</v>
      </c>
      <c r="D60" s="12">
        <v>700</v>
      </c>
      <c r="E60" s="12">
        <v>20</v>
      </c>
      <c r="F60" s="12">
        <v>1</v>
      </c>
      <c r="G60" s="12">
        <v>59</v>
      </c>
      <c r="H60" s="12">
        <v>98</v>
      </c>
      <c r="I60" s="12" t="s">
        <v>22</v>
      </c>
      <c r="J60" s="12" t="s">
        <v>28</v>
      </c>
      <c r="K60" s="12">
        <f>VLOOKUP(Tableau4[[#This Row],[essence]],Tableau6[],2,FALSE)</f>
        <v>-3.5731999999999999</v>
      </c>
      <c r="L60" s="12">
        <f>VLOOKUP(Tableau4[[#This Row],[essence]],Tableau6[],3,FALSE)</f>
        <v>-1.9289000000000001</v>
      </c>
      <c r="M60" s="12">
        <f>VLOOKUP(Tableau4[[#This Row],[essence]],Tableau6[],4,FALSE)</f>
        <v>0.40949999999999998</v>
      </c>
      <c r="N60" s="12">
        <f>VLOOKUP(Tableau4[[#This Row],[essence]],Tableau6[],5,FALSE)</f>
        <v>2.0705</v>
      </c>
      <c r="O60" s="12">
        <f>IF(Tableau4[[#This Row],[priorecol]]="C",1,0)</f>
        <v>0</v>
      </c>
      <c r="P60" s="12">
        <f>VLOOKUP(Tableau4[[#This Row],[essence]],Tableau6[],6,FALSE)</f>
        <v>2.9992999999999999</v>
      </c>
      <c r="Q60" s="12">
        <f>IF(Tableau4[[#This Row],[priorecol]]="R",1,0)</f>
        <v>1</v>
      </c>
      <c r="R60" s="12">
        <f>VLOOKUP(Tableau4[[#This Row],[essence]],Tableau6[],7,FALSE)</f>
        <v>1.3050999999999999</v>
      </c>
      <c r="S60" s="12">
        <f>IF(Tableau4[[#This Row],[priorecol]]="S",1,0)</f>
        <v>0</v>
      </c>
      <c r="T60" s="12">
        <f>VLOOKUP(Tableau4[[#This Row],[essence]],Tableau6[],20,FALSE)</f>
        <v>0</v>
      </c>
      <c r="U60" s="12">
        <f>VLOOKUP(Tableau4[[#This Row],[essence]],Tableau6[],15,FALSE)</f>
        <v>0</v>
      </c>
      <c r="V60" s="12">
        <f>VLOOKUP(Tableau4[[#This Row],[essence]],Tableau6[],28,FALSE)</f>
        <v>0</v>
      </c>
      <c r="W60" s="12">
        <f>IF(Tableau4[[#This Row],[sdom]]=1,1,0)</f>
        <v>0</v>
      </c>
      <c r="X60" s="12">
        <f>VLOOKUP(Tableau4[[#This Row],[essence]],Tableau6[],8,FALSE)</f>
        <v>0</v>
      </c>
      <c r="Y60" s="12">
        <f>IF(Tableau4[[#This Row],[sdom]]="2EST",1,0)</f>
        <v>0</v>
      </c>
      <c r="Z60" s="12">
        <f>VLOOKUP(Tableau4[[#This Row],[essence]],Tableau6[],9,FALSE)</f>
        <v>0</v>
      </c>
      <c r="AA60" s="12">
        <f>IF(Tableau4[[#This Row],[sdom]]="2OUEST",1,0)</f>
        <v>1</v>
      </c>
      <c r="AB60" s="12">
        <f>VLOOKUP(Tableau4[[#This Row],[essence]],Tableau6[],10,FALSE)</f>
        <v>0</v>
      </c>
      <c r="AC60" s="12">
        <f>IF(Tableau4[[#This Row],[sdom]]="3EST",1,0)</f>
        <v>0</v>
      </c>
      <c r="AD60" s="12">
        <f>VLOOKUP(Tableau4[[#This Row],[essence]],Tableau6[],11,FALSE)</f>
        <v>0</v>
      </c>
      <c r="AE60" s="12">
        <f>IF(Tableau4[[#This Row],[sdom]]="3OUEST",1,0)</f>
        <v>0</v>
      </c>
      <c r="AF60" s="12">
        <f>VLOOKUP(Tableau4[[#This Row],[essence]],Tableau6[],12,FALSE)</f>
        <v>0</v>
      </c>
      <c r="AG60" s="12">
        <f>IF(Tableau4[[#This Row],[sdom]]="4EST",1,0)</f>
        <v>0</v>
      </c>
      <c r="AH60" s="12">
        <f>VLOOKUP(Tableau4[[#This Row],[essence]],Tableau6[],13,FALSE)</f>
        <v>0</v>
      </c>
      <c r="AI60" s="12">
        <f>IF(Tableau4[[#This Row],[sdom]]="4OUEST",1,0)</f>
        <v>0</v>
      </c>
      <c r="AJ60" s="12">
        <f>VLOOKUP(Tableau4[[#This Row],[essence]],Tableau6[],14,FALSE)</f>
        <v>0</v>
      </c>
      <c r="AK60" s="12">
        <f>IF(Tableau4[[#This Row],[sdom]]="5EST",1,0)</f>
        <v>0</v>
      </c>
      <c r="AL60" s="12">
        <f>VLOOKUP(Tableau4[[#This Row],[essence]],Tableau6[],17,FALSE)</f>
        <v>0</v>
      </c>
      <c r="AM60" s="12">
        <f>IF(Tableau4[[#This Row],[priorecol]]="C",1,0)</f>
        <v>0</v>
      </c>
      <c r="AN60" s="12">
        <f>VLOOKUP(Tableau4[[#This Row],[essence]],Tableau6[],18,FALSE)</f>
        <v>0</v>
      </c>
      <c r="AO60" s="12">
        <f>IF(Tableau4[[#This Row],[priorecol]]="R",1,0)</f>
        <v>1</v>
      </c>
      <c r="AP60" s="12">
        <f>VLOOKUP(Tableau4[[#This Row],[essence]],Tableau6[],19,FALSE)</f>
        <v>0</v>
      </c>
      <c r="AQ60" s="12">
        <f>IF(Tableau4[[#This Row],[priorecol]]="S",1,0)</f>
        <v>0</v>
      </c>
      <c r="AR60" s="12">
        <f>VLOOKUP(Tableau4[[#This Row],[essence]],Tableau6[],21,FALSE)</f>
        <v>0</v>
      </c>
      <c r="AS60" s="12">
        <f>IF(Tableau4[[#This Row],[priorecol]]="C",1,0)</f>
        <v>0</v>
      </c>
      <c r="AT60" s="12">
        <f>VLOOKUP(Tableau4[[#This Row],[essence]],Tableau6[],22,FALSE)</f>
        <v>0</v>
      </c>
      <c r="AU60" s="12">
        <f>IF(Tableau4[[#This Row],[priorecol]]="R",1,0)</f>
        <v>1</v>
      </c>
      <c r="AV60" s="12">
        <f>VLOOKUP(Tableau4[[#This Row],[essence]],Tableau6[],23,FALSE)</f>
        <v>0</v>
      </c>
      <c r="AW60" s="12">
        <f>IF(Tableau4[[#This Row],[priorecol]]="S",1,0)</f>
        <v>0</v>
      </c>
      <c r="AX60" s="12">
        <f>VLOOKUP(Tableau4[[#This Row],[essence]],Tableau6[],24,FALSE)</f>
        <v>-2.1000000000000001E-4</v>
      </c>
      <c r="AY60" s="12">
        <f>VLOOKUP(Tableau4[[#This Row],[essence]],Tableau6[],25,FALSE)</f>
        <v>-1.34E-2</v>
      </c>
      <c r="AZ60" s="12">
        <f>VLOOKUP(Tableau4[[#This Row],[essence]],Tableau6[],26,FALSE)</f>
        <v>-2.8899999999999999E-2</v>
      </c>
      <c r="BA60" s="12">
        <f>VLOOKUP(Tableau4[[#This Row],[essence]],Tableau6[],27,FALSE)</f>
        <v>0.2873</v>
      </c>
      <c r="BB60" s="12">
        <f>VLOOKUP(Tableau4[[#This Row],[essence]],Tableau6[],16,FALSE)</f>
        <v>0</v>
      </c>
      <c r="BC6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60" s="12">
        <f>Tableau4[[#This Row],[xb_]]+Tableau4[[#This Row],[b_intercept_C]]+Tableau4[[#This Row],[b_dhpcm_x_intercept_C]]*Tableau4[[#This Row],[dhpcm]]</f>
        <v>1.1799300000000001</v>
      </c>
      <c r="BE60" s="12">
        <f>Tableau4[[#This Row],[xb_]]+Tableau4[[#This Row],[b_intercept_B]]+Tableau4[[#This Row],[b_dhpcm_x_intercept_B]]*Tableau4[[#This Row],[dhpcm]]</f>
        <v>0.3605299999999998</v>
      </c>
      <c r="BF60" s="12">
        <f>Tableau4[[#This Row],[xb_]]+Tableau4[[#This Row],[b_intercept_A]]+Tableau4[[#This Row],[b_dhpcm_x_intercept_A]]*Tableau4[[#This Row],[dhpcm]]</f>
        <v>8.8500000000000661E-3</v>
      </c>
      <c r="BG60" s="12">
        <f>1/(1+EXP(-Tableau4[[#This Row],[xb_c]]))</f>
        <v>0.76493521734404812</v>
      </c>
      <c r="BH60" s="12">
        <f>1/(1+EXP(-Tableau4[[#This Row],[xb_b]]))</f>
        <v>0.58916872605596349</v>
      </c>
      <c r="BI60" s="12">
        <f>1/(1+EXP(-Tableau4[[#This Row],[xb_a]]))</f>
        <v>0.50221248555940223</v>
      </c>
      <c r="BJ60" s="12">
        <f>Tableau4[[#This Row],[prob_a]]</f>
        <v>0.50221248555940223</v>
      </c>
      <c r="BK60" s="12">
        <f>Tableau4[[#This Row],[prob_b]]-Tableau4[[#This Row],[prob_a]]</f>
        <v>8.6956240496561255E-2</v>
      </c>
      <c r="BL60" s="12">
        <f>Tableau4[[#This Row],[prob_c]]-Tableau4[[#This Row],[prob_b]]</f>
        <v>0.17576649128808464</v>
      </c>
      <c r="BM60" s="12">
        <f>1-Tableau4[[#This Row],[prob_c]]</f>
        <v>0.23506478265595188</v>
      </c>
    </row>
    <row r="61" spans="1:65" x14ac:dyDescent="0.25">
      <c r="A61" s="12">
        <v>3</v>
      </c>
      <c r="B61" s="12" t="s">
        <v>11</v>
      </c>
      <c r="C61" s="12">
        <v>2.1</v>
      </c>
      <c r="D61" s="12">
        <v>700</v>
      </c>
      <c r="E61" s="12">
        <v>20</v>
      </c>
      <c r="F61" s="12">
        <v>1</v>
      </c>
      <c r="G61" s="12">
        <v>60</v>
      </c>
      <c r="H61" s="12">
        <v>99</v>
      </c>
      <c r="I61" s="12" t="s">
        <v>22</v>
      </c>
      <c r="J61" s="12" t="s">
        <v>29</v>
      </c>
      <c r="K61" s="12">
        <f>VLOOKUP(Tableau4[[#This Row],[essence]],Tableau6[],2,FALSE)</f>
        <v>-3.5731999999999999</v>
      </c>
      <c r="L61" s="12">
        <f>VLOOKUP(Tableau4[[#This Row],[essence]],Tableau6[],3,FALSE)</f>
        <v>-1.9289000000000001</v>
      </c>
      <c r="M61" s="12">
        <f>VLOOKUP(Tableau4[[#This Row],[essence]],Tableau6[],4,FALSE)</f>
        <v>0.40949999999999998</v>
      </c>
      <c r="N61" s="12">
        <f>VLOOKUP(Tableau4[[#This Row],[essence]],Tableau6[],5,FALSE)</f>
        <v>2.0705</v>
      </c>
      <c r="O61" s="12">
        <f>IF(Tableau4[[#This Row],[priorecol]]="C",1,0)</f>
        <v>0</v>
      </c>
      <c r="P61" s="12">
        <f>VLOOKUP(Tableau4[[#This Row],[essence]],Tableau6[],6,FALSE)</f>
        <v>2.9992999999999999</v>
      </c>
      <c r="Q61" s="12">
        <f>IF(Tableau4[[#This Row],[priorecol]]="R",1,0)</f>
        <v>0</v>
      </c>
      <c r="R61" s="12">
        <f>VLOOKUP(Tableau4[[#This Row],[essence]],Tableau6[],7,FALSE)</f>
        <v>1.3050999999999999</v>
      </c>
      <c r="S61" s="12">
        <f>IF(Tableau4[[#This Row],[priorecol]]="S",1,0)</f>
        <v>1</v>
      </c>
      <c r="T61" s="12">
        <f>VLOOKUP(Tableau4[[#This Row],[essence]],Tableau6[],20,FALSE)</f>
        <v>0</v>
      </c>
      <c r="U61" s="12">
        <f>VLOOKUP(Tableau4[[#This Row],[essence]],Tableau6[],15,FALSE)</f>
        <v>0</v>
      </c>
      <c r="V61" s="12">
        <f>VLOOKUP(Tableau4[[#This Row],[essence]],Tableau6[],28,FALSE)</f>
        <v>0</v>
      </c>
      <c r="W61" s="12">
        <f>IF(Tableau4[[#This Row],[sdom]]=1,1,0)</f>
        <v>0</v>
      </c>
      <c r="X61" s="12">
        <f>VLOOKUP(Tableau4[[#This Row],[essence]],Tableau6[],8,FALSE)</f>
        <v>0</v>
      </c>
      <c r="Y61" s="12">
        <f>IF(Tableau4[[#This Row],[sdom]]="2EST",1,0)</f>
        <v>0</v>
      </c>
      <c r="Z61" s="12">
        <f>VLOOKUP(Tableau4[[#This Row],[essence]],Tableau6[],9,FALSE)</f>
        <v>0</v>
      </c>
      <c r="AA61" s="12">
        <f>IF(Tableau4[[#This Row],[sdom]]="2OUEST",1,0)</f>
        <v>1</v>
      </c>
      <c r="AB61" s="12">
        <f>VLOOKUP(Tableau4[[#This Row],[essence]],Tableau6[],10,FALSE)</f>
        <v>0</v>
      </c>
      <c r="AC61" s="12">
        <f>IF(Tableau4[[#This Row],[sdom]]="3EST",1,0)</f>
        <v>0</v>
      </c>
      <c r="AD61" s="12">
        <f>VLOOKUP(Tableau4[[#This Row],[essence]],Tableau6[],11,FALSE)</f>
        <v>0</v>
      </c>
      <c r="AE61" s="12">
        <f>IF(Tableau4[[#This Row],[sdom]]="3OUEST",1,0)</f>
        <v>0</v>
      </c>
      <c r="AF61" s="12">
        <f>VLOOKUP(Tableau4[[#This Row],[essence]],Tableau6[],12,FALSE)</f>
        <v>0</v>
      </c>
      <c r="AG61" s="12">
        <f>IF(Tableau4[[#This Row],[sdom]]="4EST",1,0)</f>
        <v>0</v>
      </c>
      <c r="AH61" s="12">
        <f>VLOOKUP(Tableau4[[#This Row],[essence]],Tableau6[],13,FALSE)</f>
        <v>0</v>
      </c>
      <c r="AI61" s="12">
        <f>IF(Tableau4[[#This Row],[sdom]]="4OUEST",1,0)</f>
        <v>0</v>
      </c>
      <c r="AJ61" s="12">
        <f>VLOOKUP(Tableau4[[#This Row],[essence]],Tableau6[],14,FALSE)</f>
        <v>0</v>
      </c>
      <c r="AK61" s="12">
        <f>IF(Tableau4[[#This Row],[sdom]]="5EST",1,0)</f>
        <v>0</v>
      </c>
      <c r="AL61" s="12">
        <f>VLOOKUP(Tableau4[[#This Row],[essence]],Tableau6[],17,FALSE)</f>
        <v>0</v>
      </c>
      <c r="AM61" s="12">
        <f>IF(Tableau4[[#This Row],[priorecol]]="C",1,0)</f>
        <v>0</v>
      </c>
      <c r="AN61" s="12">
        <f>VLOOKUP(Tableau4[[#This Row],[essence]],Tableau6[],18,FALSE)</f>
        <v>0</v>
      </c>
      <c r="AO61" s="12">
        <f>IF(Tableau4[[#This Row],[priorecol]]="R",1,0)</f>
        <v>0</v>
      </c>
      <c r="AP61" s="12">
        <f>VLOOKUP(Tableau4[[#This Row],[essence]],Tableau6[],19,FALSE)</f>
        <v>0</v>
      </c>
      <c r="AQ61" s="12">
        <f>IF(Tableau4[[#This Row],[priorecol]]="S",1,0)</f>
        <v>1</v>
      </c>
      <c r="AR61" s="12">
        <f>VLOOKUP(Tableau4[[#This Row],[essence]],Tableau6[],21,FALSE)</f>
        <v>0</v>
      </c>
      <c r="AS61" s="12">
        <f>IF(Tableau4[[#This Row],[priorecol]]="C",1,0)</f>
        <v>0</v>
      </c>
      <c r="AT61" s="12">
        <f>VLOOKUP(Tableau4[[#This Row],[essence]],Tableau6[],22,FALSE)</f>
        <v>0</v>
      </c>
      <c r="AU61" s="12">
        <f>IF(Tableau4[[#This Row],[priorecol]]="R",1,0)</f>
        <v>0</v>
      </c>
      <c r="AV61" s="12">
        <f>VLOOKUP(Tableau4[[#This Row],[essence]],Tableau6[],23,FALSE)</f>
        <v>0</v>
      </c>
      <c r="AW61" s="12">
        <f>IF(Tableau4[[#This Row],[priorecol]]="S",1,0)</f>
        <v>1</v>
      </c>
      <c r="AX61" s="12">
        <f>VLOOKUP(Tableau4[[#This Row],[essence]],Tableau6[],24,FALSE)</f>
        <v>-2.1000000000000001E-4</v>
      </c>
      <c r="AY61" s="12">
        <f>VLOOKUP(Tableau4[[#This Row],[essence]],Tableau6[],25,FALSE)</f>
        <v>-1.34E-2</v>
      </c>
      <c r="AZ61" s="12">
        <f>VLOOKUP(Tableau4[[#This Row],[essence]],Tableau6[],26,FALSE)</f>
        <v>-2.8899999999999999E-2</v>
      </c>
      <c r="BA61" s="12">
        <f>VLOOKUP(Tableau4[[#This Row],[essence]],Tableau6[],27,FALSE)</f>
        <v>0.2873</v>
      </c>
      <c r="BB61" s="12">
        <f>VLOOKUP(Tableau4[[#This Row],[essence]],Tableau6[],16,FALSE)</f>
        <v>0</v>
      </c>
      <c r="BC6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61" s="12">
        <f>Tableau4[[#This Row],[xb_]]+Tableau4[[#This Row],[b_intercept_C]]+Tableau4[[#This Row],[b_dhpcm_x_intercept_C]]*Tableau4[[#This Row],[dhpcm]]</f>
        <v>-0.54316999999999993</v>
      </c>
      <c r="BE61" s="12">
        <f>Tableau4[[#This Row],[xb_]]+Tableau4[[#This Row],[b_intercept_B]]+Tableau4[[#This Row],[b_dhpcm_x_intercept_B]]*Tableau4[[#This Row],[dhpcm]]</f>
        <v>-1.34707</v>
      </c>
      <c r="BF61" s="12">
        <f>Tableau4[[#This Row],[xb_]]+Tableau4[[#This Row],[b_intercept_A]]+Tableau4[[#This Row],[b_dhpcm_x_intercept_A]]*Tableau4[[#This Row],[dhpcm]]</f>
        <v>-1.6855599999999999</v>
      </c>
      <c r="BG61" s="12">
        <f>1/(1+EXP(-Tableau4[[#This Row],[xb_c]]))</f>
        <v>0.36745046808860304</v>
      </c>
      <c r="BH61" s="12">
        <f>1/(1+EXP(-Tableau4[[#This Row],[xb_b]]))</f>
        <v>0.2063498037744611</v>
      </c>
      <c r="BI61" s="12">
        <f>1/(1+EXP(-Tableau4[[#This Row],[xb_a]]))</f>
        <v>0.15636063613034656</v>
      </c>
      <c r="BJ61" s="12">
        <f>Tableau4[[#This Row],[prob_a]]</f>
        <v>0.15636063613034656</v>
      </c>
      <c r="BK61" s="12">
        <f>Tableau4[[#This Row],[prob_b]]-Tableau4[[#This Row],[prob_a]]</f>
        <v>4.9989167644114541E-2</v>
      </c>
      <c r="BL61" s="12">
        <f>Tableau4[[#This Row],[prob_c]]-Tableau4[[#This Row],[prob_b]]</f>
        <v>0.16110066431414194</v>
      </c>
      <c r="BM61" s="12">
        <f>1-Tableau4[[#This Row],[prob_c]]</f>
        <v>0.63254953191139696</v>
      </c>
    </row>
    <row r="62" spans="1:65" x14ac:dyDescent="0.25">
      <c r="A62" s="12">
        <v>3</v>
      </c>
      <c r="B62" s="12" t="s">
        <v>11</v>
      </c>
      <c r="C62" s="12">
        <v>2.1</v>
      </c>
      <c r="D62" s="12">
        <v>700</v>
      </c>
      <c r="E62" s="12">
        <v>20</v>
      </c>
      <c r="F62" s="12">
        <v>1</v>
      </c>
      <c r="G62" s="12">
        <v>61</v>
      </c>
      <c r="H62" s="12">
        <v>100</v>
      </c>
      <c r="I62" s="12" t="s">
        <v>23</v>
      </c>
      <c r="J62" s="12" t="s">
        <v>27</v>
      </c>
      <c r="K62" s="12">
        <f>VLOOKUP(Tableau4[[#This Row],[essence]],Tableau6[],2,FALSE)</f>
        <v>-1.6034999999999999</v>
      </c>
      <c r="L62" s="12">
        <f>VLOOKUP(Tableau4[[#This Row],[essence]],Tableau6[],3,FALSE)</f>
        <v>-0.41120000000000001</v>
      </c>
      <c r="M62" s="12">
        <f>VLOOKUP(Tableau4[[#This Row],[essence]],Tableau6[],4,FALSE)</f>
        <v>1.1791</v>
      </c>
      <c r="N62" s="12">
        <f>VLOOKUP(Tableau4[[#This Row],[essence]],Tableau6[],5,FALSE)</f>
        <v>-0.48980000000000001</v>
      </c>
      <c r="O62" s="12">
        <f>IF(Tableau4[[#This Row],[priorecol]]="C",1,0)</f>
        <v>1</v>
      </c>
      <c r="P62" s="12">
        <f>VLOOKUP(Tableau4[[#This Row],[essence]],Tableau6[],6,FALSE)</f>
        <v>-3.5700000000000003E-2</v>
      </c>
      <c r="Q62" s="12">
        <f>IF(Tableau4[[#This Row],[priorecol]]="R",1,0)</f>
        <v>0</v>
      </c>
      <c r="R62" s="12">
        <f>VLOOKUP(Tableau4[[#This Row],[essence]],Tableau6[],7,FALSE)</f>
        <v>0.1021</v>
      </c>
      <c r="S62" s="12">
        <f>IF(Tableau4[[#This Row],[priorecol]]="S",1,0)</f>
        <v>0</v>
      </c>
      <c r="T62" s="12">
        <f>VLOOKUP(Tableau4[[#This Row],[essence]],Tableau6[],20,FALSE)</f>
        <v>-3.3500000000000002E-2</v>
      </c>
      <c r="U62" s="12">
        <f>VLOOKUP(Tableau4[[#This Row],[essence]],Tableau6[],15,FALSE)</f>
        <v>7.4200000000000004E-3</v>
      </c>
      <c r="V62" s="12">
        <f>VLOOKUP(Tableau4[[#This Row],[essence]],Tableau6[],28,FALSE)</f>
        <v>1.071</v>
      </c>
      <c r="W62" s="12">
        <f>IF(Tableau4[[#This Row],[sdom]]=1,1,0)</f>
        <v>0</v>
      </c>
      <c r="X62" s="12">
        <f>VLOOKUP(Tableau4[[#This Row],[essence]],Tableau6[],8,FALSE)</f>
        <v>0.83450000000000002</v>
      </c>
      <c r="Y62" s="12">
        <f>IF(Tableau4[[#This Row],[sdom]]="2EST",1,0)</f>
        <v>0</v>
      </c>
      <c r="Z62" s="12">
        <f>VLOOKUP(Tableau4[[#This Row],[essence]],Tableau6[],9,FALSE)</f>
        <v>0.94689999999999996</v>
      </c>
      <c r="AA62" s="12">
        <f>IF(Tableau4[[#This Row],[sdom]]="2OUEST",1,0)</f>
        <v>1</v>
      </c>
      <c r="AB62" s="12">
        <f>VLOOKUP(Tableau4[[#This Row],[essence]],Tableau6[],10,FALSE)</f>
        <v>0.62780000000000002</v>
      </c>
      <c r="AC62" s="12">
        <f>IF(Tableau4[[#This Row],[sdom]]="3EST",1,0)</f>
        <v>0</v>
      </c>
      <c r="AD62" s="12">
        <f>VLOOKUP(Tableau4[[#This Row],[essence]],Tableau6[],11,FALSE)</f>
        <v>0.95940000000000003</v>
      </c>
      <c r="AE62" s="12">
        <f>IF(Tableau4[[#This Row],[sdom]]="3OUEST",1,0)</f>
        <v>0</v>
      </c>
      <c r="AF62" s="12">
        <f>VLOOKUP(Tableau4[[#This Row],[essence]],Tableau6[],12,FALSE)</f>
        <v>0.49719999999999998</v>
      </c>
      <c r="AG62" s="12">
        <f>IF(Tableau4[[#This Row],[sdom]]="4EST",1,0)</f>
        <v>0</v>
      </c>
      <c r="AH62" s="12">
        <f>VLOOKUP(Tableau4[[#This Row],[essence]],Tableau6[],13,FALSE)</f>
        <v>0.37669999999999998</v>
      </c>
      <c r="AI62" s="12">
        <f>IF(Tableau4[[#This Row],[sdom]]="4OUEST",1,0)</f>
        <v>0</v>
      </c>
      <c r="AJ62" s="12">
        <f>VLOOKUP(Tableau4[[#This Row],[essence]],Tableau6[],14,FALSE)</f>
        <v>0</v>
      </c>
      <c r="AK62" s="12">
        <f>IF(Tableau4[[#This Row],[sdom]]="5EST",1,0)</f>
        <v>0</v>
      </c>
      <c r="AL62" s="12">
        <f>VLOOKUP(Tableau4[[#This Row],[essence]],Tableau6[],17,FALSE)</f>
        <v>2.8E-3</v>
      </c>
      <c r="AM62" s="12">
        <f>IF(Tableau4[[#This Row],[priorecol]]="C",1,0)</f>
        <v>1</v>
      </c>
      <c r="AN62" s="12">
        <f>VLOOKUP(Tableau4[[#This Row],[essence]],Tableau6[],18,FALSE)</f>
        <v>-2.2499999999999999E-2</v>
      </c>
      <c r="AO62" s="12">
        <f>IF(Tableau4[[#This Row],[priorecol]]="R",1,0)</f>
        <v>0</v>
      </c>
      <c r="AP62" s="12">
        <f>VLOOKUP(Tableau4[[#This Row],[essence]],Tableau6[],19,FALSE)</f>
        <v>3.0699999999999998E-3</v>
      </c>
      <c r="AQ62" s="12">
        <f>IF(Tableau4[[#This Row],[priorecol]]="S",1,0)</f>
        <v>0</v>
      </c>
      <c r="AR62" s="12">
        <f>VLOOKUP(Tableau4[[#This Row],[essence]],Tableau6[],21,FALSE)</f>
        <v>5.2400000000000002E-2</v>
      </c>
      <c r="AS62" s="12">
        <f>IF(Tableau4[[#This Row],[priorecol]]="C",1,0)</f>
        <v>1</v>
      </c>
      <c r="AT62" s="12">
        <f>VLOOKUP(Tableau4[[#This Row],[essence]],Tableau6[],22,FALSE)</f>
        <v>7.7799999999999994E-2</v>
      </c>
      <c r="AU62" s="12">
        <f>IF(Tableau4[[#This Row],[priorecol]]="R",1,0)</f>
        <v>0</v>
      </c>
      <c r="AV62" s="12">
        <f>VLOOKUP(Tableau4[[#This Row],[essence]],Tableau6[],23,FALSE)</f>
        <v>1.9E-2</v>
      </c>
      <c r="AW62" s="12">
        <f>IF(Tableau4[[#This Row],[priorecol]]="S",1,0)</f>
        <v>0</v>
      </c>
      <c r="AX62" s="12">
        <f>VLOOKUP(Tableau4[[#This Row],[essence]],Tableau6[],24,FALSE)</f>
        <v>0</v>
      </c>
      <c r="AY62" s="12">
        <f>VLOOKUP(Tableau4[[#This Row],[essence]],Tableau6[],25,FALSE)</f>
        <v>0</v>
      </c>
      <c r="AZ62" s="12">
        <f>VLOOKUP(Tableau4[[#This Row],[essence]],Tableau6[],26,FALSE)</f>
        <v>0</v>
      </c>
      <c r="BA62" s="12">
        <f>VLOOKUP(Tableau4[[#This Row],[essence]],Tableau6[],27,FALSE)</f>
        <v>0</v>
      </c>
      <c r="BB62" s="12">
        <f>VLOOKUP(Tableau4[[#This Row],[essence]],Tableau6[],16,FALSE)</f>
        <v>0</v>
      </c>
      <c r="BC6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2.5514999999999999</v>
      </c>
      <c r="BD62" s="12">
        <f>Tableau4[[#This Row],[xb_]]+Tableau4[[#This Row],[b_intercept_C]]+Tableau4[[#This Row],[b_dhpcm_x_intercept_C]]*Tableau4[[#This Row],[dhpcm]]</f>
        <v>3.7305999999999999</v>
      </c>
      <c r="BE62" s="12">
        <f>Tableau4[[#This Row],[xb_]]+Tableau4[[#This Row],[b_intercept_B]]+Tableau4[[#This Row],[b_dhpcm_x_intercept_B]]*Tableau4[[#This Row],[dhpcm]]</f>
        <v>2.1402999999999999</v>
      </c>
      <c r="BF62" s="12">
        <f>Tableau4[[#This Row],[xb_]]+Tableau4[[#This Row],[b_intercept_A]]+Tableau4[[#This Row],[b_dhpcm_x_intercept_A]]*Tableau4[[#This Row],[dhpcm]]</f>
        <v>0.94799999999999995</v>
      </c>
      <c r="BG62" s="12">
        <f>1/(1+EXP(-Tableau4[[#This Row],[xb_c]]))</f>
        <v>0.9765830574042389</v>
      </c>
      <c r="BH62" s="12">
        <f>1/(1+EXP(-Tableau4[[#This Row],[xb_b]]))</f>
        <v>0.89475886345512945</v>
      </c>
      <c r="BI62" s="12">
        <f>1/(1+EXP(-Tableau4[[#This Row],[xb_a]]))</f>
        <v>0.72071278405006878</v>
      </c>
      <c r="BJ62" s="12">
        <f>Tableau4[[#This Row],[prob_a]]</f>
        <v>0.72071278405006878</v>
      </c>
      <c r="BK62" s="12">
        <f>Tableau4[[#This Row],[prob_b]]-Tableau4[[#This Row],[prob_a]]</f>
        <v>0.17404607940506067</v>
      </c>
      <c r="BL62" s="12">
        <f>Tableau4[[#This Row],[prob_c]]-Tableau4[[#This Row],[prob_b]]</f>
        <v>8.1824193949109447E-2</v>
      </c>
      <c r="BM62" s="12">
        <f>1-Tableau4[[#This Row],[prob_c]]</f>
        <v>2.3416942595761103E-2</v>
      </c>
    </row>
    <row r="63" spans="1:65" x14ac:dyDescent="0.25">
      <c r="A63" s="12">
        <v>3</v>
      </c>
      <c r="B63" s="12" t="s">
        <v>11</v>
      </c>
      <c r="C63" s="12">
        <v>2.1</v>
      </c>
      <c r="D63" s="12">
        <v>700</v>
      </c>
      <c r="E63" s="12">
        <v>20</v>
      </c>
      <c r="F63" s="12">
        <v>1</v>
      </c>
      <c r="G63" s="12">
        <v>62</v>
      </c>
      <c r="H63" s="12">
        <v>101</v>
      </c>
      <c r="I63" s="12" t="s">
        <v>23</v>
      </c>
      <c r="J63" s="12" t="s">
        <v>28</v>
      </c>
      <c r="K63" s="12">
        <f>VLOOKUP(Tableau4[[#This Row],[essence]],Tableau6[],2,FALSE)</f>
        <v>-1.6034999999999999</v>
      </c>
      <c r="L63" s="12">
        <f>VLOOKUP(Tableau4[[#This Row],[essence]],Tableau6[],3,FALSE)</f>
        <v>-0.41120000000000001</v>
      </c>
      <c r="M63" s="12">
        <f>VLOOKUP(Tableau4[[#This Row],[essence]],Tableau6[],4,FALSE)</f>
        <v>1.1791</v>
      </c>
      <c r="N63" s="12">
        <f>VLOOKUP(Tableau4[[#This Row],[essence]],Tableau6[],5,FALSE)</f>
        <v>-0.48980000000000001</v>
      </c>
      <c r="O63" s="12">
        <f>IF(Tableau4[[#This Row],[priorecol]]="C",1,0)</f>
        <v>0</v>
      </c>
      <c r="P63" s="12">
        <f>VLOOKUP(Tableau4[[#This Row],[essence]],Tableau6[],6,FALSE)</f>
        <v>-3.5700000000000003E-2</v>
      </c>
      <c r="Q63" s="12">
        <f>IF(Tableau4[[#This Row],[priorecol]]="R",1,0)</f>
        <v>1</v>
      </c>
      <c r="R63" s="12">
        <f>VLOOKUP(Tableau4[[#This Row],[essence]],Tableau6[],7,FALSE)</f>
        <v>0.1021</v>
      </c>
      <c r="S63" s="12">
        <f>IF(Tableau4[[#This Row],[priorecol]]="S",1,0)</f>
        <v>0</v>
      </c>
      <c r="T63" s="12">
        <f>VLOOKUP(Tableau4[[#This Row],[essence]],Tableau6[],20,FALSE)</f>
        <v>-3.3500000000000002E-2</v>
      </c>
      <c r="U63" s="12">
        <f>VLOOKUP(Tableau4[[#This Row],[essence]],Tableau6[],15,FALSE)</f>
        <v>7.4200000000000004E-3</v>
      </c>
      <c r="V63" s="12">
        <f>VLOOKUP(Tableau4[[#This Row],[essence]],Tableau6[],28,FALSE)</f>
        <v>1.071</v>
      </c>
      <c r="W63" s="12">
        <f>IF(Tableau4[[#This Row],[sdom]]=1,1,0)</f>
        <v>0</v>
      </c>
      <c r="X63" s="12">
        <f>VLOOKUP(Tableau4[[#This Row],[essence]],Tableau6[],8,FALSE)</f>
        <v>0.83450000000000002</v>
      </c>
      <c r="Y63" s="12">
        <f>IF(Tableau4[[#This Row],[sdom]]="2EST",1,0)</f>
        <v>0</v>
      </c>
      <c r="Z63" s="12">
        <f>VLOOKUP(Tableau4[[#This Row],[essence]],Tableau6[],9,FALSE)</f>
        <v>0.94689999999999996</v>
      </c>
      <c r="AA63" s="12">
        <f>IF(Tableau4[[#This Row],[sdom]]="2OUEST",1,0)</f>
        <v>1</v>
      </c>
      <c r="AB63" s="12">
        <f>VLOOKUP(Tableau4[[#This Row],[essence]],Tableau6[],10,FALSE)</f>
        <v>0.62780000000000002</v>
      </c>
      <c r="AC63" s="12">
        <f>IF(Tableau4[[#This Row],[sdom]]="3EST",1,0)</f>
        <v>0</v>
      </c>
      <c r="AD63" s="12">
        <f>VLOOKUP(Tableau4[[#This Row],[essence]],Tableau6[],11,FALSE)</f>
        <v>0.95940000000000003</v>
      </c>
      <c r="AE63" s="12">
        <f>IF(Tableau4[[#This Row],[sdom]]="3OUEST",1,0)</f>
        <v>0</v>
      </c>
      <c r="AF63" s="12">
        <f>VLOOKUP(Tableau4[[#This Row],[essence]],Tableau6[],12,FALSE)</f>
        <v>0.49719999999999998</v>
      </c>
      <c r="AG63" s="12">
        <f>IF(Tableau4[[#This Row],[sdom]]="4EST",1,0)</f>
        <v>0</v>
      </c>
      <c r="AH63" s="12">
        <f>VLOOKUP(Tableau4[[#This Row],[essence]],Tableau6[],13,FALSE)</f>
        <v>0.37669999999999998</v>
      </c>
      <c r="AI63" s="12">
        <f>IF(Tableau4[[#This Row],[sdom]]="4OUEST",1,0)</f>
        <v>0</v>
      </c>
      <c r="AJ63" s="12">
        <f>VLOOKUP(Tableau4[[#This Row],[essence]],Tableau6[],14,FALSE)</f>
        <v>0</v>
      </c>
      <c r="AK63" s="12">
        <f>IF(Tableau4[[#This Row],[sdom]]="5EST",1,0)</f>
        <v>0</v>
      </c>
      <c r="AL63" s="12">
        <f>VLOOKUP(Tableau4[[#This Row],[essence]],Tableau6[],17,FALSE)</f>
        <v>2.8E-3</v>
      </c>
      <c r="AM63" s="12">
        <f>IF(Tableau4[[#This Row],[priorecol]]="C",1,0)</f>
        <v>0</v>
      </c>
      <c r="AN63" s="12">
        <f>VLOOKUP(Tableau4[[#This Row],[essence]],Tableau6[],18,FALSE)</f>
        <v>-2.2499999999999999E-2</v>
      </c>
      <c r="AO63" s="12">
        <f>IF(Tableau4[[#This Row],[priorecol]]="R",1,0)</f>
        <v>1</v>
      </c>
      <c r="AP63" s="12">
        <f>VLOOKUP(Tableau4[[#This Row],[essence]],Tableau6[],19,FALSE)</f>
        <v>3.0699999999999998E-3</v>
      </c>
      <c r="AQ63" s="12">
        <f>IF(Tableau4[[#This Row],[priorecol]]="S",1,0)</f>
        <v>0</v>
      </c>
      <c r="AR63" s="12">
        <f>VLOOKUP(Tableau4[[#This Row],[essence]],Tableau6[],21,FALSE)</f>
        <v>5.2400000000000002E-2</v>
      </c>
      <c r="AS63" s="12">
        <f>IF(Tableau4[[#This Row],[priorecol]]="C",1,0)</f>
        <v>0</v>
      </c>
      <c r="AT63" s="12">
        <f>VLOOKUP(Tableau4[[#This Row],[essence]],Tableau6[],22,FALSE)</f>
        <v>7.7799999999999994E-2</v>
      </c>
      <c r="AU63" s="12">
        <f>IF(Tableau4[[#This Row],[priorecol]]="R",1,0)</f>
        <v>1</v>
      </c>
      <c r="AV63" s="12">
        <f>VLOOKUP(Tableau4[[#This Row],[essence]],Tableau6[],23,FALSE)</f>
        <v>1.9E-2</v>
      </c>
      <c r="AW63" s="12">
        <f>IF(Tableau4[[#This Row],[priorecol]]="S",1,0)</f>
        <v>0</v>
      </c>
      <c r="AX63" s="12">
        <f>VLOOKUP(Tableau4[[#This Row],[essence]],Tableau6[],24,FALSE)</f>
        <v>0</v>
      </c>
      <c r="AY63" s="12">
        <f>VLOOKUP(Tableau4[[#This Row],[essence]],Tableau6[],25,FALSE)</f>
        <v>0</v>
      </c>
      <c r="AZ63" s="12">
        <f>VLOOKUP(Tableau4[[#This Row],[essence]],Tableau6[],26,FALSE)</f>
        <v>0</v>
      </c>
      <c r="BA63" s="12">
        <f>VLOOKUP(Tableau4[[#This Row],[essence]],Tableau6[],27,FALSE)</f>
        <v>0</v>
      </c>
      <c r="BB63" s="12">
        <f>VLOOKUP(Tableau4[[#This Row],[essence]],Tableau6[],16,FALSE)</f>
        <v>0</v>
      </c>
      <c r="BC6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5.083899999999999</v>
      </c>
      <c r="BD63" s="12">
        <f>Tableau4[[#This Row],[xb_]]+Tableau4[[#This Row],[b_intercept_C]]+Tableau4[[#This Row],[b_dhpcm_x_intercept_C]]*Tableau4[[#This Row],[dhpcm]]</f>
        <v>6.262999999999999</v>
      </c>
      <c r="BE63" s="12">
        <f>Tableau4[[#This Row],[xb_]]+Tableau4[[#This Row],[b_intercept_B]]+Tableau4[[#This Row],[b_dhpcm_x_intercept_B]]*Tableau4[[#This Row],[dhpcm]]</f>
        <v>4.672699999999999</v>
      </c>
      <c r="BF63" s="12">
        <f>Tableau4[[#This Row],[xb_]]+Tableau4[[#This Row],[b_intercept_A]]+Tableau4[[#This Row],[b_dhpcm_x_intercept_A]]*Tableau4[[#This Row],[dhpcm]]</f>
        <v>3.4803999999999991</v>
      </c>
      <c r="BG63" s="12">
        <f>1/(1+EXP(-Tableau4[[#This Row],[xb_c]]))</f>
        <v>0.99809810345189431</v>
      </c>
      <c r="BH63" s="12">
        <f>1/(1+EXP(-Tableau4[[#This Row],[xb_b]]))</f>
        <v>0.99073955879980924</v>
      </c>
      <c r="BI63" s="12">
        <f>1/(1+EXP(-Tableau4[[#This Row],[xb_a]]))</f>
        <v>0.97012491540225454</v>
      </c>
      <c r="BJ63" s="12">
        <f>Tableau4[[#This Row],[prob_a]]</f>
        <v>0.97012491540225454</v>
      </c>
      <c r="BK63" s="12">
        <f>Tableau4[[#This Row],[prob_b]]-Tableau4[[#This Row],[prob_a]]</f>
        <v>2.0614643397554699E-2</v>
      </c>
      <c r="BL63" s="12">
        <f>Tableau4[[#This Row],[prob_c]]-Tableau4[[#This Row],[prob_b]]</f>
        <v>7.358544652085075E-3</v>
      </c>
      <c r="BM63" s="12">
        <f>1-Tableau4[[#This Row],[prob_c]]</f>
        <v>1.901896548105686E-3</v>
      </c>
    </row>
    <row r="64" spans="1:65" x14ac:dyDescent="0.25">
      <c r="A64" s="12">
        <v>3</v>
      </c>
      <c r="B64" s="12" t="s">
        <v>11</v>
      </c>
      <c r="C64" s="12">
        <v>2.1</v>
      </c>
      <c r="D64" s="12">
        <v>700</v>
      </c>
      <c r="E64" s="12">
        <v>20</v>
      </c>
      <c r="F64" s="12">
        <v>1</v>
      </c>
      <c r="G64" s="12">
        <v>63</v>
      </c>
      <c r="H64" s="12">
        <v>102</v>
      </c>
      <c r="I64" s="12" t="s">
        <v>23</v>
      </c>
      <c r="J64" s="12" t="s">
        <v>29</v>
      </c>
      <c r="K64" s="12">
        <f>VLOOKUP(Tableau4[[#This Row],[essence]],Tableau6[],2,FALSE)</f>
        <v>-1.6034999999999999</v>
      </c>
      <c r="L64" s="12">
        <f>VLOOKUP(Tableau4[[#This Row],[essence]],Tableau6[],3,FALSE)</f>
        <v>-0.41120000000000001</v>
      </c>
      <c r="M64" s="12">
        <f>VLOOKUP(Tableau4[[#This Row],[essence]],Tableau6[],4,FALSE)</f>
        <v>1.1791</v>
      </c>
      <c r="N64" s="12">
        <f>VLOOKUP(Tableau4[[#This Row],[essence]],Tableau6[],5,FALSE)</f>
        <v>-0.48980000000000001</v>
      </c>
      <c r="O64" s="12">
        <f>IF(Tableau4[[#This Row],[priorecol]]="C",1,0)</f>
        <v>0</v>
      </c>
      <c r="P64" s="12">
        <f>VLOOKUP(Tableau4[[#This Row],[essence]],Tableau6[],6,FALSE)</f>
        <v>-3.5700000000000003E-2</v>
      </c>
      <c r="Q64" s="12">
        <f>IF(Tableau4[[#This Row],[priorecol]]="R",1,0)</f>
        <v>0</v>
      </c>
      <c r="R64" s="12">
        <f>VLOOKUP(Tableau4[[#This Row],[essence]],Tableau6[],7,FALSE)</f>
        <v>0.1021</v>
      </c>
      <c r="S64" s="12">
        <f>IF(Tableau4[[#This Row],[priorecol]]="S",1,0)</f>
        <v>1</v>
      </c>
      <c r="T64" s="12">
        <f>VLOOKUP(Tableau4[[#This Row],[essence]],Tableau6[],20,FALSE)</f>
        <v>-3.3500000000000002E-2</v>
      </c>
      <c r="U64" s="12">
        <f>VLOOKUP(Tableau4[[#This Row],[essence]],Tableau6[],15,FALSE)</f>
        <v>7.4200000000000004E-3</v>
      </c>
      <c r="V64" s="12">
        <f>VLOOKUP(Tableau4[[#This Row],[essence]],Tableau6[],28,FALSE)</f>
        <v>1.071</v>
      </c>
      <c r="W64" s="12">
        <f>IF(Tableau4[[#This Row],[sdom]]=1,1,0)</f>
        <v>0</v>
      </c>
      <c r="X64" s="12">
        <f>VLOOKUP(Tableau4[[#This Row],[essence]],Tableau6[],8,FALSE)</f>
        <v>0.83450000000000002</v>
      </c>
      <c r="Y64" s="12">
        <f>IF(Tableau4[[#This Row],[sdom]]="2EST",1,0)</f>
        <v>0</v>
      </c>
      <c r="Z64" s="12">
        <f>VLOOKUP(Tableau4[[#This Row],[essence]],Tableau6[],9,FALSE)</f>
        <v>0.94689999999999996</v>
      </c>
      <c r="AA64" s="12">
        <f>IF(Tableau4[[#This Row],[sdom]]="2OUEST",1,0)</f>
        <v>1</v>
      </c>
      <c r="AB64" s="12">
        <f>VLOOKUP(Tableau4[[#This Row],[essence]],Tableau6[],10,FALSE)</f>
        <v>0.62780000000000002</v>
      </c>
      <c r="AC64" s="12">
        <f>IF(Tableau4[[#This Row],[sdom]]="3EST",1,0)</f>
        <v>0</v>
      </c>
      <c r="AD64" s="12">
        <f>VLOOKUP(Tableau4[[#This Row],[essence]],Tableau6[],11,FALSE)</f>
        <v>0.95940000000000003</v>
      </c>
      <c r="AE64" s="12">
        <f>IF(Tableau4[[#This Row],[sdom]]="3OUEST",1,0)</f>
        <v>0</v>
      </c>
      <c r="AF64" s="12">
        <f>VLOOKUP(Tableau4[[#This Row],[essence]],Tableau6[],12,FALSE)</f>
        <v>0.49719999999999998</v>
      </c>
      <c r="AG64" s="12">
        <f>IF(Tableau4[[#This Row],[sdom]]="4EST",1,0)</f>
        <v>0</v>
      </c>
      <c r="AH64" s="12">
        <f>VLOOKUP(Tableau4[[#This Row],[essence]],Tableau6[],13,FALSE)</f>
        <v>0.37669999999999998</v>
      </c>
      <c r="AI64" s="12">
        <f>IF(Tableau4[[#This Row],[sdom]]="4OUEST",1,0)</f>
        <v>0</v>
      </c>
      <c r="AJ64" s="12">
        <f>VLOOKUP(Tableau4[[#This Row],[essence]],Tableau6[],14,FALSE)</f>
        <v>0</v>
      </c>
      <c r="AK64" s="12">
        <f>IF(Tableau4[[#This Row],[sdom]]="5EST",1,0)</f>
        <v>0</v>
      </c>
      <c r="AL64" s="12">
        <f>VLOOKUP(Tableau4[[#This Row],[essence]],Tableau6[],17,FALSE)</f>
        <v>2.8E-3</v>
      </c>
      <c r="AM64" s="12">
        <f>IF(Tableau4[[#This Row],[priorecol]]="C",1,0)</f>
        <v>0</v>
      </c>
      <c r="AN64" s="12">
        <f>VLOOKUP(Tableau4[[#This Row],[essence]],Tableau6[],18,FALSE)</f>
        <v>-2.2499999999999999E-2</v>
      </c>
      <c r="AO64" s="12">
        <f>IF(Tableau4[[#This Row],[priorecol]]="R",1,0)</f>
        <v>0</v>
      </c>
      <c r="AP64" s="12">
        <f>VLOOKUP(Tableau4[[#This Row],[essence]],Tableau6[],19,FALSE)</f>
        <v>3.0699999999999998E-3</v>
      </c>
      <c r="AQ64" s="12">
        <f>IF(Tableau4[[#This Row],[priorecol]]="S",1,0)</f>
        <v>1</v>
      </c>
      <c r="AR64" s="12">
        <f>VLOOKUP(Tableau4[[#This Row],[essence]],Tableau6[],21,FALSE)</f>
        <v>5.2400000000000002E-2</v>
      </c>
      <c r="AS64" s="12">
        <f>IF(Tableau4[[#This Row],[priorecol]]="C",1,0)</f>
        <v>0</v>
      </c>
      <c r="AT64" s="12">
        <f>VLOOKUP(Tableau4[[#This Row],[essence]],Tableau6[],22,FALSE)</f>
        <v>7.7799999999999994E-2</v>
      </c>
      <c r="AU64" s="12">
        <f>IF(Tableau4[[#This Row],[priorecol]]="R",1,0)</f>
        <v>0</v>
      </c>
      <c r="AV64" s="12">
        <f>VLOOKUP(Tableau4[[#This Row],[essence]],Tableau6[],23,FALSE)</f>
        <v>1.9E-2</v>
      </c>
      <c r="AW64" s="12">
        <f>IF(Tableau4[[#This Row],[priorecol]]="S",1,0)</f>
        <v>1</v>
      </c>
      <c r="AX64" s="12">
        <f>VLOOKUP(Tableau4[[#This Row],[essence]],Tableau6[],24,FALSE)</f>
        <v>0</v>
      </c>
      <c r="AY64" s="12">
        <f>VLOOKUP(Tableau4[[#This Row],[essence]],Tableau6[],25,FALSE)</f>
        <v>0</v>
      </c>
      <c r="AZ64" s="12">
        <f>VLOOKUP(Tableau4[[#This Row],[essence]],Tableau6[],26,FALSE)</f>
        <v>0</v>
      </c>
      <c r="BA64" s="12">
        <f>VLOOKUP(Tableau4[[#This Row],[essence]],Tableau6[],27,FALSE)</f>
        <v>0</v>
      </c>
      <c r="BB64" s="12">
        <f>VLOOKUP(Tableau4[[#This Row],[essence]],Tableau6[],16,FALSE)</f>
        <v>0</v>
      </c>
      <c r="BC6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-0.2202000000000004</v>
      </c>
      <c r="BD64" s="12">
        <f>Tableau4[[#This Row],[xb_]]+Tableau4[[#This Row],[b_intercept_C]]+Tableau4[[#This Row],[b_dhpcm_x_intercept_C]]*Tableau4[[#This Row],[dhpcm]]</f>
        <v>0.95889999999999964</v>
      </c>
      <c r="BE64" s="12">
        <f>Tableau4[[#This Row],[xb_]]+Tableau4[[#This Row],[b_intercept_B]]+Tableau4[[#This Row],[b_dhpcm_x_intercept_B]]*Tableau4[[#This Row],[dhpcm]]</f>
        <v>-0.63140000000000041</v>
      </c>
      <c r="BF64" s="12">
        <f>Tableau4[[#This Row],[xb_]]+Tableau4[[#This Row],[b_intercept_A]]+Tableau4[[#This Row],[b_dhpcm_x_intercept_A]]*Tableau4[[#This Row],[dhpcm]]</f>
        <v>-1.8237000000000003</v>
      </c>
      <c r="BG64" s="12">
        <f>1/(1+EXP(-Tableau4[[#This Row],[xb_c]]))</f>
        <v>0.72290151275328207</v>
      </c>
      <c r="BH64" s="12">
        <f>1/(1+EXP(-Tableau4[[#This Row],[xb_b]]))</f>
        <v>0.34719315986511401</v>
      </c>
      <c r="BI64" s="12">
        <f>1/(1+EXP(-Tableau4[[#This Row],[xb_a]]))</f>
        <v>0.13899049432482677</v>
      </c>
      <c r="BJ64" s="12">
        <f>Tableau4[[#This Row],[prob_a]]</f>
        <v>0.13899049432482677</v>
      </c>
      <c r="BK64" s="12">
        <f>Tableau4[[#This Row],[prob_b]]-Tableau4[[#This Row],[prob_a]]</f>
        <v>0.20820266554028724</v>
      </c>
      <c r="BL64" s="12">
        <f>Tableau4[[#This Row],[prob_c]]-Tableau4[[#This Row],[prob_b]]</f>
        <v>0.37570835288816806</v>
      </c>
      <c r="BM64" s="12">
        <f>1-Tableau4[[#This Row],[prob_c]]</f>
        <v>0.27709848724671793</v>
      </c>
    </row>
    <row r="65" spans="1:65" x14ac:dyDescent="0.25">
      <c r="A65" s="12">
        <v>3</v>
      </c>
      <c r="B65" s="12" t="s">
        <v>11</v>
      </c>
      <c r="C65" s="12">
        <v>2.1</v>
      </c>
      <c r="D65" s="12">
        <v>700</v>
      </c>
      <c r="E65" s="12">
        <v>20</v>
      </c>
      <c r="F65" s="12">
        <v>1</v>
      </c>
      <c r="G65" s="12">
        <v>64</v>
      </c>
      <c r="H65" s="12">
        <v>103</v>
      </c>
      <c r="I65" s="12" t="s">
        <v>24</v>
      </c>
      <c r="J65" s="12" t="s">
        <v>27</v>
      </c>
      <c r="K65" s="12">
        <f>VLOOKUP(Tableau4[[#This Row],[essence]],Tableau6[],2,FALSE)</f>
        <v>0.5262</v>
      </c>
      <c r="L65" s="12">
        <f>VLOOKUP(Tableau4[[#This Row],[essence]],Tableau6[],3,FALSE)</f>
        <v>1.3954</v>
      </c>
      <c r="M65" s="12">
        <f>VLOOKUP(Tableau4[[#This Row],[essence]],Tableau6[],4,FALSE)</f>
        <v>2.8633000000000002</v>
      </c>
      <c r="N65" s="12">
        <f>VLOOKUP(Tableau4[[#This Row],[essence]],Tableau6[],5,FALSE)</f>
        <v>1.4995000000000001</v>
      </c>
      <c r="O65" s="12">
        <f>IF(Tableau4[[#This Row],[priorecol]]="C",1,0)</f>
        <v>1</v>
      </c>
      <c r="P65" s="12">
        <f>VLOOKUP(Tableau4[[#This Row],[essence]],Tableau6[],6,FALSE)</f>
        <v>2.5129000000000001</v>
      </c>
      <c r="Q65" s="12">
        <f>IF(Tableau4[[#This Row],[priorecol]]="R",1,0)</f>
        <v>0</v>
      </c>
      <c r="R65" s="12">
        <f>VLOOKUP(Tableau4[[#This Row],[essence]],Tableau6[],7,FALSE)</f>
        <v>0.88009999999999999</v>
      </c>
      <c r="S65" s="12">
        <f>IF(Tableau4[[#This Row],[priorecol]]="S",1,0)</f>
        <v>0</v>
      </c>
      <c r="T65" s="12">
        <f>VLOOKUP(Tableau4[[#This Row],[essence]],Tableau6[],20,FALSE)</f>
        <v>0</v>
      </c>
      <c r="U65" s="12">
        <f>VLOOKUP(Tableau4[[#This Row],[essence]],Tableau6[],15,FALSE)</f>
        <v>2.9000000000000001E-2</v>
      </c>
      <c r="V65" s="12">
        <f>VLOOKUP(Tableau4[[#This Row],[essence]],Tableau6[],28,FALSE)</f>
        <v>-0.43919999999999998</v>
      </c>
      <c r="W65" s="12">
        <f>IF(Tableau4[[#This Row],[sdom]]=1,1,0)</f>
        <v>0</v>
      </c>
      <c r="X65" s="12">
        <f>VLOOKUP(Tableau4[[#This Row],[essence]],Tableau6[],8,FALSE)</f>
        <v>-0.32929999999999998</v>
      </c>
      <c r="Y65" s="12">
        <f>IF(Tableau4[[#This Row],[sdom]]="2EST",1,0)</f>
        <v>0</v>
      </c>
      <c r="Z65" s="12">
        <f>VLOOKUP(Tableau4[[#This Row],[essence]],Tableau6[],9,FALSE)</f>
        <v>0</v>
      </c>
      <c r="AA65" s="12">
        <f>IF(Tableau4[[#This Row],[sdom]]="2OUEST",1,0)</f>
        <v>1</v>
      </c>
      <c r="AB65" s="12">
        <f>VLOOKUP(Tableau4[[#This Row],[essence]],Tableau6[],10,FALSE)</f>
        <v>0</v>
      </c>
      <c r="AC65" s="12">
        <f>IF(Tableau4[[#This Row],[sdom]]="3EST",1,0)</f>
        <v>0</v>
      </c>
      <c r="AD65" s="12">
        <f>VLOOKUP(Tableau4[[#This Row],[essence]],Tableau6[],11,FALSE)</f>
        <v>0</v>
      </c>
      <c r="AE65" s="12">
        <f>IF(Tableau4[[#This Row],[sdom]]="3OUEST",1,0)</f>
        <v>0</v>
      </c>
      <c r="AF65" s="12">
        <f>VLOOKUP(Tableau4[[#This Row],[essence]],Tableau6[],12,FALSE)</f>
        <v>0</v>
      </c>
      <c r="AG65" s="12">
        <f>IF(Tableau4[[#This Row],[sdom]]="4EST",1,0)</f>
        <v>0</v>
      </c>
      <c r="AH65" s="12">
        <f>VLOOKUP(Tableau4[[#This Row],[essence]],Tableau6[],13,FALSE)</f>
        <v>0</v>
      </c>
      <c r="AI65" s="12">
        <f>IF(Tableau4[[#This Row],[sdom]]="4OUEST",1,0)</f>
        <v>0</v>
      </c>
      <c r="AJ65" s="12">
        <f>VLOOKUP(Tableau4[[#This Row],[essence]],Tableau6[],14,FALSE)</f>
        <v>0</v>
      </c>
      <c r="AK65" s="12">
        <f>IF(Tableau4[[#This Row],[sdom]]="5EST",1,0)</f>
        <v>0</v>
      </c>
      <c r="AL65" s="12">
        <f>VLOOKUP(Tableau4[[#This Row],[essence]],Tableau6[],17,FALSE)</f>
        <v>0</v>
      </c>
      <c r="AM65" s="12">
        <f>IF(Tableau4[[#This Row],[priorecol]]="C",1,0)</f>
        <v>1</v>
      </c>
      <c r="AN65" s="12">
        <f>VLOOKUP(Tableau4[[#This Row],[essence]],Tableau6[],18,FALSE)</f>
        <v>0</v>
      </c>
      <c r="AO65" s="12">
        <f>IF(Tableau4[[#This Row],[priorecol]]="R",1,0)</f>
        <v>0</v>
      </c>
      <c r="AP65" s="12">
        <f>VLOOKUP(Tableau4[[#This Row],[essence]],Tableau6[],19,FALSE)</f>
        <v>0</v>
      </c>
      <c r="AQ65" s="12">
        <f>IF(Tableau4[[#This Row],[priorecol]]="S",1,0)</f>
        <v>0</v>
      </c>
      <c r="AR65" s="12">
        <f>VLOOKUP(Tableau4[[#This Row],[essence]],Tableau6[],21,FALSE)</f>
        <v>0</v>
      </c>
      <c r="AS65" s="12">
        <f>IF(Tableau4[[#This Row],[priorecol]]="C",1,0)</f>
        <v>1</v>
      </c>
      <c r="AT65" s="12">
        <f>VLOOKUP(Tableau4[[#This Row],[essence]],Tableau6[],22,FALSE)</f>
        <v>0</v>
      </c>
      <c r="AU65" s="12">
        <f>IF(Tableau4[[#This Row],[priorecol]]="R",1,0)</f>
        <v>0</v>
      </c>
      <c r="AV65" s="12">
        <f>VLOOKUP(Tableau4[[#This Row],[essence]],Tableau6[],23,FALSE)</f>
        <v>0</v>
      </c>
      <c r="AW65" s="12">
        <f>IF(Tableau4[[#This Row],[priorecol]]="S",1,0)</f>
        <v>0</v>
      </c>
      <c r="AX65" s="12">
        <f>VLOOKUP(Tableau4[[#This Row],[essence]],Tableau6[],24,FALSE)</f>
        <v>0</v>
      </c>
      <c r="AY65" s="12">
        <f>VLOOKUP(Tableau4[[#This Row],[essence]],Tableau6[],25,FALSE)</f>
        <v>0</v>
      </c>
      <c r="AZ65" s="12">
        <f>VLOOKUP(Tableau4[[#This Row],[essence]],Tableau6[],26,FALSE)</f>
        <v>0</v>
      </c>
      <c r="BA65" s="12">
        <f>VLOOKUP(Tableau4[[#This Row],[essence]],Tableau6[],27,FALSE)</f>
        <v>0</v>
      </c>
      <c r="BB65" s="12">
        <f>VLOOKUP(Tableau4[[#This Row],[essence]],Tableau6[],16,FALSE)</f>
        <v>-2.0699999999999998E-3</v>
      </c>
      <c r="BC6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65" s="12">
        <f>Tableau4[[#This Row],[xb_]]+Tableau4[[#This Row],[b_intercept_C]]+Tableau4[[#This Row],[b_dhpcm_x_intercept_C]]*Tableau4[[#This Row],[dhpcm]]</f>
        <v>3.4938000000000007</v>
      </c>
      <c r="BE65" s="12">
        <f>Tableau4[[#This Row],[xb_]]+Tableau4[[#This Row],[b_intercept_B]]+Tableau4[[#This Row],[b_dhpcm_x_intercept_B]]*Tableau4[[#This Row],[dhpcm]]</f>
        <v>2.0259000000000005</v>
      </c>
      <c r="BF65" s="12">
        <f>Tableau4[[#This Row],[xb_]]+Tableau4[[#This Row],[b_intercept_A]]+Tableau4[[#This Row],[b_dhpcm_x_intercept_A]]*Tableau4[[#This Row],[dhpcm]]</f>
        <v>1.1567000000000005</v>
      </c>
      <c r="BG65" s="12">
        <f>1/(1+EXP(-Tableau4[[#This Row],[xb_c]]))</f>
        <v>0.97051084475492644</v>
      </c>
      <c r="BH65" s="12">
        <f>1/(1+EXP(-Tableau4[[#This Row],[xb_b]]))</f>
        <v>0.88348970489981093</v>
      </c>
      <c r="BI65" s="12">
        <f>1/(1+EXP(-Tableau4[[#This Row],[xb_a]]))</f>
        <v>0.76073257062428778</v>
      </c>
      <c r="BJ65" s="12">
        <f>Tableau4[[#This Row],[prob_a]]</f>
        <v>0.76073257062428778</v>
      </c>
      <c r="BK65" s="12">
        <f>Tableau4[[#This Row],[prob_b]]-Tableau4[[#This Row],[prob_a]]</f>
        <v>0.12275713427552315</v>
      </c>
      <c r="BL65" s="12">
        <f>Tableau4[[#This Row],[prob_c]]-Tableau4[[#This Row],[prob_b]]</f>
        <v>8.7021139855115504E-2</v>
      </c>
      <c r="BM65" s="12">
        <f>1-Tableau4[[#This Row],[prob_c]]</f>
        <v>2.9489155245073562E-2</v>
      </c>
    </row>
    <row r="66" spans="1:65" x14ac:dyDescent="0.25">
      <c r="A66" s="12">
        <v>3</v>
      </c>
      <c r="B66" s="12" t="s">
        <v>11</v>
      </c>
      <c r="C66" s="12">
        <v>2.1</v>
      </c>
      <c r="D66" s="12">
        <v>700</v>
      </c>
      <c r="E66" s="12">
        <v>20</v>
      </c>
      <c r="F66" s="12">
        <v>1</v>
      </c>
      <c r="G66" s="12">
        <v>65</v>
      </c>
      <c r="H66" s="12">
        <v>104</v>
      </c>
      <c r="I66" s="12" t="s">
        <v>24</v>
      </c>
      <c r="J66" s="12" t="s">
        <v>28</v>
      </c>
      <c r="K66" s="12">
        <f>VLOOKUP(Tableau4[[#This Row],[essence]],Tableau6[],2,FALSE)</f>
        <v>0.5262</v>
      </c>
      <c r="L66" s="12">
        <f>VLOOKUP(Tableau4[[#This Row],[essence]],Tableau6[],3,FALSE)</f>
        <v>1.3954</v>
      </c>
      <c r="M66" s="12">
        <f>VLOOKUP(Tableau4[[#This Row],[essence]],Tableau6[],4,FALSE)</f>
        <v>2.8633000000000002</v>
      </c>
      <c r="N66" s="12">
        <f>VLOOKUP(Tableau4[[#This Row],[essence]],Tableau6[],5,FALSE)</f>
        <v>1.4995000000000001</v>
      </c>
      <c r="O66" s="12">
        <f>IF(Tableau4[[#This Row],[priorecol]]="C",1,0)</f>
        <v>0</v>
      </c>
      <c r="P66" s="12">
        <f>VLOOKUP(Tableau4[[#This Row],[essence]],Tableau6[],6,FALSE)</f>
        <v>2.5129000000000001</v>
      </c>
      <c r="Q66" s="12">
        <f>IF(Tableau4[[#This Row],[priorecol]]="R",1,0)</f>
        <v>1</v>
      </c>
      <c r="R66" s="12">
        <f>VLOOKUP(Tableau4[[#This Row],[essence]],Tableau6[],7,FALSE)</f>
        <v>0.88009999999999999</v>
      </c>
      <c r="S66" s="12">
        <f>IF(Tableau4[[#This Row],[priorecol]]="S",1,0)</f>
        <v>0</v>
      </c>
      <c r="T66" s="12">
        <f>VLOOKUP(Tableau4[[#This Row],[essence]],Tableau6[],20,FALSE)</f>
        <v>0</v>
      </c>
      <c r="U66" s="12">
        <f>VLOOKUP(Tableau4[[#This Row],[essence]],Tableau6[],15,FALSE)</f>
        <v>2.9000000000000001E-2</v>
      </c>
      <c r="V66" s="12">
        <f>VLOOKUP(Tableau4[[#This Row],[essence]],Tableau6[],28,FALSE)</f>
        <v>-0.43919999999999998</v>
      </c>
      <c r="W66" s="12">
        <f>IF(Tableau4[[#This Row],[sdom]]=1,1,0)</f>
        <v>0</v>
      </c>
      <c r="X66" s="12">
        <f>VLOOKUP(Tableau4[[#This Row],[essence]],Tableau6[],8,FALSE)</f>
        <v>-0.32929999999999998</v>
      </c>
      <c r="Y66" s="12">
        <f>IF(Tableau4[[#This Row],[sdom]]="2EST",1,0)</f>
        <v>0</v>
      </c>
      <c r="Z66" s="12">
        <f>VLOOKUP(Tableau4[[#This Row],[essence]],Tableau6[],9,FALSE)</f>
        <v>0</v>
      </c>
      <c r="AA66" s="12">
        <f>IF(Tableau4[[#This Row],[sdom]]="2OUEST",1,0)</f>
        <v>1</v>
      </c>
      <c r="AB66" s="12">
        <f>VLOOKUP(Tableau4[[#This Row],[essence]],Tableau6[],10,FALSE)</f>
        <v>0</v>
      </c>
      <c r="AC66" s="12">
        <f>IF(Tableau4[[#This Row],[sdom]]="3EST",1,0)</f>
        <v>0</v>
      </c>
      <c r="AD66" s="12">
        <f>VLOOKUP(Tableau4[[#This Row],[essence]],Tableau6[],11,FALSE)</f>
        <v>0</v>
      </c>
      <c r="AE66" s="12">
        <f>IF(Tableau4[[#This Row],[sdom]]="3OUEST",1,0)</f>
        <v>0</v>
      </c>
      <c r="AF66" s="12">
        <f>VLOOKUP(Tableau4[[#This Row],[essence]],Tableau6[],12,FALSE)</f>
        <v>0</v>
      </c>
      <c r="AG66" s="12">
        <f>IF(Tableau4[[#This Row],[sdom]]="4EST",1,0)</f>
        <v>0</v>
      </c>
      <c r="AH66" s="12">
        <f>VLOOKUP(Tableau4[[#This Row],[essence]],Tableau6[],13,FALSE)</f>
        <v>0</v>
      </c>
      <c r="AI66" s="12">
        <f>IF(Tableau4[[#This Row],[sdom]]="4OUEST",1,0)</f>
        <v>0</v>
      </c>
      <c r="AJ66" s="12">
        <f>VLOOKUP(Tableau4[[#This Row],[essence]],Tableau6[],14,FALSE)</f>
        <v>0</v>
      </c>
      <c r="AK66" s="12">
        <f>IF(Tableau4[[#This Row],[sdom]]="5EST",1,0)</f>
        <v>0</v>
      </c>
      <c r="AL66" s="12">
        <f>VLOOKUP(Tableau4[[#This Row],[essence]],Tableau6[],17,FALSE)</f>
        <v>0</v>
      </c>
      <c r="AM66" s="12">
        <f>IF(Tableau4[[#This Row],[priorecol]]="C",1,0)</f>
        <v>0</v>
      </c>
      <c r="AN66" s="12">
        <f>VLOOKUP(Tableau4[[#This Row],[essence]],Tableau6[],18,FALSE)</f>
        <v>0</v>
      </c>
      <c r="AO66" s="12">
        <f>IF(Tableau4[[#This Row],[priorecol]]="R",1,0)</f>
        <v>1</v>
      </c>
      <c r="AP66" s="12">
        <f>VLOOKUP(Tableau4[[#This Row],[essence]],Tableau6[],19,FALSE)</f>
        <v>0</v>
      </c>
      <c r="AQ66" s="12">
        <f>IF(Tableau4[[#This Row],[priorecol]]="S",1,0)</f>
        <v>0</v>
      </c>
      <c r="AR66" s="12">
        <f>VLOOKUP(Tableau4[[#This Row],[essence]],Tableau6[],21,FALSE)</f>
        <v>0</v>
      </c>
      <c r="AS66" s="12">
        <f>IF(Tableau4[[#This Row],[priorecol]]="C",1,0)</f>
        <v>0</v>
      </c>
      <c r="AT66" s="12">
        <f>VLOOKUP(Tableau4[[#This Row],[essence]],Tableau6[],22,FALSE)</f>
        <v>0</v>
      </c>
      <c r="AU66" s="12">
        <f>IF(Tableau4[[#This Row],[priorecol]]="R",1,0)</f>
        <v>1</v>
      </c>
      <c r="AV66" s="12">
        <f>VLOOKUP(Tableau4[[#This Row],[essence]],Tableau6[],23,FALSE)</f>
        <v>0</v>
      </c>
      <c r="AW66" s="12">
        <f>IF(Tableau4[[#This Row],[priorecol]]="S",1,0)</f>
        <v>0</v>
      </c>
      <c r="AX66" s="12">
        <f>VLOOKUP(Tableau4[[#This Row],[essence]],Tableau6[],24,FALSE)</f>
        <v>0</v>
      </c>
      <c r="AY66" s="12">
        <f>VLOOKUP(Tableau4[[#This Row],[essence]],Tableau6[],25,FALSE)</f>
        <v>0</v>
      </c>
      <c r="AZ66" s="12">
        <f>VLOOKUP(Tableau4[[#This Row],[essence]],Tableau6[],26,FALSE)</f>
        <v>0</v>
      </c>
      <c r="BA66" s="12">
        <f>VLOOKUP(Tableau4[[#This Row],[essence]],Tableau6[],27,FALSE)</f>
        <v>0</v>
      </c>
      <c r="BB66" s="12">
        <f>VLOOKUP(Tableau4[[#This Row],[essence]],Tableau6[],16,FALSE)</f>
        <v>-2.0699999999999998E-3</v>
      </c>
      <c r="BC6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66" s="12">
        <f>Tableau4[[#This Row],[xb_]]+Tableau4[[#This Row],[b_intercept_C]]+Tableau4[[#This Row],[b_dhpcm_x_intercept_C]]*Tableau4[[#This Row],[dhpcm]]</f>
        <v>4.507200000000001</v>
      </c>
      <c r="BE66" s="12">
        <f>Tableau4[[#This Row],[xb_]]+Tableau4[[#This Row],[b_intercept_B]]+Tableau4[[#This Row],[b_dhpcm_x_intercept_B]]*Tableau4[[#This Row],[dhpcm]]</f>
        <v>3.0393000000000003</v>
      </c>
      <c r="BF66" s="12">
        <f>Tableau4[[#This Row],[xb_]]+Tableau4[[#This Row],[b_intercept_A]]+Tableau4[[#This Row],[b_dhpcm_x_intercept_A]]*Tableau4[[#This Row],[dhpcm]]</f>
        <v>2.1701000000000006</v>
      </c>
      <c r="BG66" s="12">
        <f>1/(1+EXP(-Tableau4[[#This Row],[xb_c]]))</f>
        <v>0.9890910193905974</v>
      </c>
      <c r="BH66" s="12">
        <f>1/(1+EXP(-Tableau4[[#This Row],[xb_b]]))</f>
        <v>0.95431832251535009</v>
      </c>
      <c r="BI66" s="12">
        <f>1/(1+EXP(-Tableau4[[#This Row],[xb_a]]))</f>
        <v>0.89753216373939204</v>
      </c>
      <c r="BJ66" s="12">
        <f>Tableau4[[#This Row],[prob_a]]</f>
        <v>0.89753216373939204</v>
      </c>
      <c r="BK66" s="12">
        <f>Tableau4[[#This Row],[prob_b]]-Tableau4[[#This Row],[prob_a]]</f>
        <v>5.6786158775958051E-2</v>
      </c>
      <c r="BL66" s="12">
        <f>Tableau4[[#This Row],[prob_c]]-Tableau4[[#This Row],[prob_b]]</f>
        <v>3.4772696875247311E-2</v>
      </c>
      <c r="BM66" s="12">
        <f>1-Tableau4[[#This Row],[prob_c]]</f>
        <v>1.0908980609402597E-2</v>
      </c>
    </row>
    <row r="67" spans="1:65" x14ac:dyDescent="0.25">
      <c r="A67" s="12">
        <v>3</v>
      </c>
      <c r="B67" s="12" t="s">
        <v>11</v>
      </c>
      <c r="C67" s="12">
        <v>2.1</v>
      </c>
      <c r="D67" s="12">
        <v>700</v>
      </c>
      <c r="E67" s="12">
        <v>20</v>
      </c>
      <c r="F67" s="12">
        <v>1</v>
      </c>
      <c r="G67" s="12">
        <v>66</v>
      </c>
      <c r="H67" s="12">
        <v>105</v>
      </c>
      <c r="I67" s="12" t="s">
        <v>24</v>
      </c>
      <c r="J67" s="12" t="s">
        <v>29</v>
      </c>
      <c r="K67" s="12">
        <f>VLOOKUP(Tableau4[[#This Row],[essence]],Tableau6[],2,FALSE)</f>
        <v>0.5262</v>
      </c>
      <c r="L67" s="12">
        <f>VLOOKUP(Tableau4[[#This Row],[essence]],Tableau6[],3,FALSE)</f>
        <v>1.3954</v>
      </c>
      <c r="M67" s="12">
        <f>VLOOKUP(Tableau4[[#This Row],[essence]],Tableau6[],4,FALSE)</f>
        <v>2.8633000000000002</v>
      </c>
      <c r="N67" s="12">
        <f>VLOOKUP(Tableau4[[#This Row],[essence]],Tableau6[],5,FALSE)</f>
        <v>1.4995000000000001</v>
      </c>
      <c r="O67" s="12">
        <f>IF(Tableau4[[#This Row],[priorecol]]="C",1,0)</f>
        <v>0</v>
      </c>
      <c r="P67" s="12">
        <f>VLOOKUP(Tableau4[[#This Row],[essence]],Tableau6[],6,FALSE)</f>
        <v>2.5129000000000001</v>
      </c>
      <c r="Q67" s="12">
        <f>IF(Tableau4[[#This Row],[priorecol]]="R",1,0)</f>
        <v>0</v>
      </c>
      <c r="R67" s="12">
        <f>VLOOKUP(Tableau4[[#This Row],[essence]],Tableau6[],7,FALSE)</f>
        <v>0.88009999999999999</v>
      </c>
      <c r="S67" s="12">
        <f>IF(Tableau4[[#This Row],[priorecol]]="S",1,0)</f>
        <v>1</v>
      </c>
      <c r="T67" s="12">
        <f>VLOOKUP(Tableau4[[#This Row],[essence]],Tableau6[],20,FALSE)</f>
        <v>0</v>
      </c>
      <c r="U67" s="12">
        <f>VLOOKUP(Tableau4[[#This Row],[essence]],Tableau6[],15,FALSE)</f>
        <v>2.9000000000000001E-2</v>
      </c>
      <c r="V67" s="12">
        <f>VLOOKUP(Tableau4[[#This Row],[essence]],Tableau6[],28,FALSE)</f>
        <v>-0.43919999999999998</v>
      </c>
      <c r="W67" s="12">
        <f>IF(Tableau4[[#This Row],[sdom]]=1,1,0)</f>
        <v>0</v>
      </c>
      <c r="X67" s="12">
        <f>VLOOKUP(Tableau4[[#This Row],[essence]],Tableau6[],8,FALSE)</f>
        <v>-0.32929999999999998</v>
      </c>
      <c r="Y67" s="12">
        <f>IF(Tableau4[[#This Row],[sdom]]="2EST",1,0)</f>
        <v>0</v>
      </c>
      <c r="Z67" s="12">
        <f>VLOOKUP(Tableau4[[#This Row],[essence]],Tableau6[],9,FALSE)</f>
        <v>0</v>
      </c>
      <c r="AA67" s="12">
        <f>IF(Tableau4[[#This Row],[sdom]]="2OUEST",1,0)</f>
        <v>1</v>
      </c>
      <c r="AB67" s="12">
        <f>VLOOKUP(Tableau4[[#This Row],[essence]],Tableau6[],10,FALSE)</f>
        <v>0</v>
      </c>
      <c r="AC67" s="12">
        <f>IF(Tableau4[[#This Row],[sdom]]="3EST",1,0)</f>
        <v>0</v>
      </c>
      <c r="AD67" s="12">
        <f>VLOOKUP(Tableau4[[#This Row],[essence]],Tableau6[],11,FALSE)</f>
        <v>0</v>
      </c>
      <c r="AE67" s="12">
        <f>IF(Tableau4[[#This Row],[sdom]]="3OUEST",1,0)</f>
        <v>0</v>
      </c>
      <c r="AF67" s="12">
        <f>VLOOKUP(Tableau4[[#This Row],[essence]],Tableau6[],12,FALSE)</f>
        <v>0</v>
      </c>
      <c r="AG67" s="12">
        <f>IF(Tableau4[[#This Row],[sdom]]="4EST",1,0)</f>
        <v>0</v>
      </c>
      <c r="AH67" s="12">
        <f>VLOOKUP(Tableau4[[#This Row],[essence]],Tableau6[],13,FALSE)</f>
        <v>0</v>
      </c>
      <c r="AI67" s="12">
        <f>IF(Tableau4[[#This Row],[sdom]]="4OUEST",1,0)</f>
        <v>0</v>
      </c>
      <c r="AJ67" s="12">
        <f>VLOOKUP(Tableau4[[#This Row],[essence]],Tableau6[],14,FALSE)</f>
        <v>0</v>
      </c>
      <c r="AK67" s="12">
        <f>IF(Tableau4[[#This Row],[sdom]]="5EST",1,0)</f>
        <v>0</v>
      </c>
      <c r="AL67" s="12">
        <f>VLOOKUP(Tableau4[[#This Row],[essence]],Tableau6[],17,FALSE)</f>
        <v>0</v>
      </c>
      <c r="AM67" s="12">
        <f>IF(Tableau4[[#This Row],[priorecol]]="C",1,0)</f>
        <v>0</v>
      </c>
      <c r="AN67" s="12">
        <f>VLOOKUP(Tableau4[[#This Row],[essence]],Tableau6[],18,FALSE)</f>
        <v>0</v>
      </c>
      <c r="AO67" s="12">
        <f>IF(Tableau4[[#This Row],[priorecol]]="R",1,0)</f>
        <v>0</v>
      </c>
      <c r="AP67" s="12">
        <f>VLOOKUP(Tableau4[[#This Row],[essence]],Tableau6[],19,FALSE)</f>
        <v>0</v>
      </c>
      <c r="AQ67" s="12">
        <f>IF(Tableau4[[#This Row],[priorecol]]="S",1,0)</f>
        <v>1</v>
      </c>
      <c r="AR67" s="12">
        <f>VLOOKUP(Tableau4[[#This Row],[essence]],Tableau6[],21,FALSE)</f>
        <v>0</v>
      </c>
      <c r="AS67" s="12">
        <f>IF(Tableau4[[#This Row],[priorecol]]="C",1,0)</f>
        <v>0</v>
      </c>
      <c r="AT67" s="12">
        <f>VLOOKUP(Tableau4[[#This Row],[essence]],Tableau6[],22,FALSE)</f>
        <v>0</v>
      </c>
      <c r="AU67" s="12">
        <f>IF(Tableau4[[#This Row],[priorecol]]="R",1,0)</f>
        <v>0</v>
      </c>
      <c r="AV67" s="12">
        <f>VLOOKUP(Tableau4[[#This Row],[essence]],Tableau6[],23,FALSE)</f>
        <v>0</v>
      </c>
      <c r="AW67" s="12">
        <f>IF(Tableau4[[#This Row],[priorecol]]="S",1,0)</f>
        <v>1</v>
      </c>
      <c r="AX67" s="12">
        <f>VLOOKUP(Tableau4[[#This Row],[essence]],Tableau6[],24,FALSE)</f>
        <v>0</v>
      </c>
      <c r="AY67" s="12">
        <f>VLOOKUP(Tableau4[[#This Row],[essence]],Tableau6[],25,FALSE)</f>
        <v>0</v>
      </c>
      <c r="AZ67" s="12">
        <f>VLOOKUP(Tableau4[[#This Row],[essence]],Tableau6[],26,FALSE)</f>
        <v>0</v>
      </c>
      <c r="BA67" s="12">
        <f>VLOOKUP(Tableau4[[#This Row],[essence]],Tableau6[],27,FALSE)</f>
        <v>0</v>
      </c>
      <c r="BB67" s="12">
        <f>VLOOKUP(Tableau4[[#This Row],[essence]],Tableau6[],16,FALSE)</f>
        <v>-2.0699999999999998E-3</v>
      </c>
      <c r="BC6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67" s="12">
        <f>Tableau4[[#This Row],[xb_]]+Tableau4[[#This Row],[b_intercept_C]]+Tableau4[[#This Row],[b_dhpcm_x_intercept_C]]*Tableau4[[#This Row],[dhpcm]]</f>
        <v>2.8744000000000005</v>
      </c>
      <c r="BE67" s="12">
        <f>Tableau4[[#This Row],[xb_]]+Tableau4[[#This Row],[b_intercept_B]]+Tableau4[[#This Row],[b_dhpcm_x_intercept_B]]*Tableau4[[#This Row],[dhpcm]]</f>
        <v>1.4065000000000003</v>
      </c>
      <c r="BF67" s="12">
        <f>Tableau4[[#This Row],[xb_]]+Tableau4[[#This Row],[b_intercept_A]]+Tableau4[[#This Row],[b_dhpcm_x_intercept_A]]*Tableau4[[#This Row],[dhpcm]]</f>
        <v>0.53730000000000033</v>
      </c>
      <c r="BG67" s="12">
        <f>1/(1+EXP(-Tableau4[[#This Row],[xb_c]]))</f>
        <v>0.94656633122301448</v>
      </c>
      <c r="BH67" s="12">
        <f>1/(1+EXP(-Tableau4[[#This Row],[xb_b]]))</f>
        <v>0.80321331477375935</v>
      </c>
      <c r="BI67" s="12">
        <f>1/(1+EXP(-Tableau4[[#This Row],[xb_a]]))</f>
        <v>0.63118410569197869</v>
      </c>
      <c r="BJ67" s="12">
        <f>Tableau4[[#This Row],[prob_a]]</f>
        <v>0.63118410569197869</v>
      </c>
      <c r="BK67" s="12">
        <f>Tableau4[[#This Row],[prob_b]]-Tableau4[[#This Row],[prob_a]]</f>
        <v>0.17202920908178065</v>
      </c>
      <c r="BL67" s="12">
        <f>Tableau4[[#This Row],[prob_c]]-Tableau4[[#This Row],[prob_b]]</f>
        <v>0.14335301644925513</v>
      </c>
      <c r="BM67" s="12">
        <f>1-Tableau4[[#This Row],[prob_c]]</f>
        <v>5.3433668776985521E-2</v>
      </c>
    </row>
    <row r="68" spans="1:65" x14ac:dyDescent="0.25">
      <c r="A68" s="12">
        <v>3</v>
      </c>
      <c r="B68" s="12" t="s">
        <v>11</v>
      </c>
      <c r="C68" s="12">
        <v>2.1</v>
      </c>
      <c r="D68" s="12">
        <v>700</v>
      </c>
      <c r="E68" s="12">
        <v>20</v>
      </c>
      <c r="F68" s="12">
        <v>1</v>
      </c>
      <c r="G68" s="12">
        <v>67</v>
      </c>
      <c r="H68" s="12">
        <v>106</v>
      </c>
      <c r="I68" s="12" t="s">
        <v>25</v>
      </c>
      <c r="J68" s="12" t="s">
        <v>27</v>
      </c>
      <c r="K68" s="12">
        <f>VLOOKUP(Tableau4[[#This Row],[essence]],Tableau6[],2,FALSE)</f>
        <v>-4.3875000000000002</v>
      </c>
      <c r="L68" s="12">
        <f>VLOOKUP(Tableau4[[#This Row],[essence]],Tableau6[],3,FALSE)</f>
        <v>-3.0411999999999999</v>
      </c>
      <c r="M68" s="12">
        <f>VLOOKUP(Tableau4[[#This Row],[essence]],Tableau6[],4,FALSE)</f>
        <v>-1.2259</v>
      </c>
      <c r="N68" s="12">
        <f>VLOOKUP(Tableau4[[#This Row],[essence]],Tableau6[],5,FALSE)</f>
        <v>1.7715000000000001</v>
      </c>
      <c r="O68" s="12">
        <f>IF(Tableau4[[#This Row],[priorecol]]="C",1,0)</f>
        <v>1</v>
      </c>
      <c r="P68" s="12">
        <f>VLOOKUP(Tableau4[[#This Row],[essence]],Tableau6[],6,FALSE)</f>
        <v>2.6688000000000001</v>
      </c>
      <c r="Q68" s="12">
        <f>IF(Tableau4[[#This Row],[priorecol]]="R",1,0)</f>
        <v>0</v>
      </c>
      <c r="R68" s="12">
        <f>VLOOKUP(Tableau4[[#This Row],[essence]],Tableau6[],7,FALSE)</f>
        <v>1.5728</v>
      </c>
      <c r="S68" s="12">
        <f>IF(Tableau4[[#This Row],[priorecol]]="S",1,0)</f>
        <v>0</v>
      </c>
      <c r="T68" s="12">
        <f>VLOOKUP(Tableau4[[#This Row],[essence]],Tableau6[],20,FALSE)</f>
        <v>0</v>
      </c>
      <c r="U68" s="12">
        <f>VLOOKUP(Tableau4[[#This Row],[essence]],Tableau6[],15,FALSE)</f>
        <v>0</v>
      </c>
      <c r="V68" s="12">
        <f>VLOOKUP(Tableau4[[#This Row],[essence]],Tableau6[],28,FALSE)</f>
        <v>0</v>
      </c>
      <c r="W68" s="12">
        <f>IF(Tableau4[[#This Row],[sdom]]=1,1,0)</f>
        <v>0</v>
      </c>
      <c r="X68" s="12">
        <f>VLOOKUP(Tableau4[[#This Row],[essence]],Tableau6[],8,FALSE)</f>
        <v>0.86129999999999995</v>
      </c>
      <c r="Y68" s="12">
        <f>IF(Tableau4[[#This Row],[sdom]]="2EST",1,0)</f>
        <v>0</v>
      </c>
      <c r="Z68" s="12">
        <f>VLOOKUP(Tableau4[[#This Row],[essence]],Tableau6[],9,FALSE)</f>
        <v>0.39550000000000002</v>
      </c>
      <c r="AA68" s="12">
        <f>IF(Tableau4[[#This Row],[sdom]]="2OUEST",1,0)</f>
        <v>1</v>
      </c>
      <c r="AB68" s="12">
        <f>VLOOKUP(Tableau4[[#This Row],[essence]],Tableau6[],10,FALSE)</f>
        <v>0.58989999999999998</v>
      </c>
      <c r="AC68" s="12">
        <f>IF(Tableau4[[#This Row],[sdom]]="3EST",1,0)</f>
        <v>0</v>
      </c>
      <c r="AD68" s="12">
        <f>VLOOKUP(Tableau4[[#This Row],[essence]],Tableau6[],11,FALSE)</f>
        <v>0.52759999999999996</v>
      </c>
      <c r="AE68" s="12">
        <f>IF(Tableau4[[#This Row],[sdom]]="3OUEST",1,0)</f>
        <v>0</v>
      </c>
      <c r="AF68" s="12">
        <f>VLOOKUP(Tableau4[[#This Row],[essence]],Tableau6[],12,FALSE)</f>
        <v>0</v>
      </c>
      <c r="AG68" s="12">
        <f>IF(Tableau4[[#This Row],[sdom]]="4EST",1,0)</f>
        <v>0</v>
      </c>
      <c r="AH68" s="12">
        <f>VLOOKUP(Tableau4[[#This Row],[essence]],Tableau6[],13,FALSE)</f>
        <v>0</v>
      </c>
      <c r="AI68" s="12">
        <f>IF(Tableau4[[#This Row],[sdom]]="4OUEST",1,0)</f>
        <v>0</v>
      </c>
      <c r="AJ68" s="12">
        <f>VLOOKUP(Tableau4[[#This Row],[essence]],Tableau6[],14,FALSE)</f>
        <v>0</v>
      </c>
      <c r="AK68" s="12">
        <f>IF(Tableau4[[#This Row],[sdom]]="5EST",1,0)</f>
        <v>0</v>
      </c>
      <c r="AL68" s="12">
        <f>VLOOKUP(Tableau4[[#This Row],[essence]],Tableau6[],17,FALSE)</f>
        <v>0</v>
      </c>
      <c r="AM68" s="12">
        <f>IF(Tableau4[[#This Row],[priorecol]]="C",1,0)</f>
        <v>1</v>
      </c>
      <c r="AN68" s="12">
        <f>VLOOKUP(Tableau4[[#This Row],[essence]],Tableau6[],18,FALSE)</f>
        <v>0</v>
      </c>
      <c r="AO68" s="12">
        <f>IF(Tableau4[[#This Row],[priorecol]]="R",1,0)</f>
        <v>0</v>
      </c>
      <c r="AP68" s="12">
        <f>VLOOKUP(Tableau4[[#This Row],[essence]],Tableau6[],19,FALSE)</f>
        <v>0</v>
      </c>
      <c r="AQ68" s="12">
        <f>IF(Tableau4[[#This Row],[priorecol]]="S",1,0)</f>
        <v>0</v>
      </c>
      <c r="AR68" s="12">
        <f>VLOOKUP(Tableau4[[#This Row],[essence]],Tableau6[],21,FALSE)</f>
        <v>0</v>
      </c>
      <c r="AS68" s="12">
        <f>IF(Tableau4[[#This Row],[priorecol]]="C",1,0)</f>
        <v>1</v>
      </c>
      <c r="AT68" s="12">
        <f>VLOOKUP(Tableau4[[#This Row],[essence]],Tableau6[],22,FALSE)</f>
        <v>0</v>
      </c>
      <c r="AU68" s="12">
        <f>IF(Tableau4[[#This Row],[priorecol]]="R",1,0)</f>
        <v>0</v>
      </c>
      <c r="AV68" s="12">
        <f>VLOOKUP(Tableau4[[#This Row],[essence]],Tableau6[],23,FALSE)</f>
        <v>0</v>
      </c>
      <c r="AW68" s="12">
        <f>IF(Tableau4[[#This Row],[priorecol]]="S",1,0)</f>
        <v>0</v>
      </c>
      <c r="AX68" s="12">
        <f>VLOOKUP(Tableau4[[#This Row],[essence]],Tableau6[],24,FALSE)</f>
        <v>0</v>
      </c>
      <c r="AY68" s="12">
        <f>VLOOKUP(Tableau4[[#This Row],[essence]],Tableau6[],25,FALSE)</f>
        <v>0</v>
      </c>
      <c r="AZ68" s="12">
        <f>VLOOKUP(Tableau4[[#This Row],[essence]],Tableau6[],26,FALSE)</f>
        <v>0</v>
      </c>
      <c r="BA68" s="12">
        <f>VLOOKUP(Tableau4[[#This Row],[essence]],Tableau6[],27,FALSE)</f>
        <v>0</v>
      </c>
      <c r="BB68" s="12">
        <f>VLOOKUP(Tableau4[[#This Row],[essence]],Tableau6[],16,FALSE)</f>
        <v>0</v>
      </c>
      <c r="BC6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2.1670000000000003</v>
      </c>
      <c r="BD68" s="12">
        <f>Tableau4[[#This Row],[xb_]]+Tableau4[[#This Row],[b_intercept_C]]+Tableau4[[#This Row],[b_dhpcm_x_intercept_C]]*Tableau4[[#This Row],[dhpcm]]</f>
        <v>0.94110000000000027</v>
      </c>
      <c r="BE68" s="12">
        <f>Tableau4[[#This Row],[xb_]]+Tableau4[[#This Row],[b_intercept_B]]+Tableau4[[#This Row],[b_dhpcm_x_intercept_B]]*Tableau4[[#This Row],[dhpcm]]</f>
        <v>-0.87419999999999964</v>
      </c>
      <c r="BF68" s="12">
        <f>Tableau4[[#This Row],[xb_]]+Tableau4[[#This Row],[b_intercept_A]]+Tableau4[[#This Row],[b_dhpcm_x_intercept_A]]*Tableau4[[#This Row],[dhpcm]]</f>
        <v>-2.2204999999999999</v>
      </c>
      <c r="BG68" s="12">
        <f>1/(1+EXP(-Tableau4[[#This Row],[xb_c]]))</f>
        <v>0.71932179872992241</v>
      </c>
      <c r="BH68" s="12">
        <f>1/(1+EXP(-Tableau4[[#This Row],[xb_b]]))</f>
        <v>0.29438112152482288</v>
      </c>
      <c r="BI68" s="12">
        <f>1/(1+EXP(-Tableau4[[#This Row],[xb_a]]))</f>
        <v>9.7924627719814444E-2</v>
      </c>
      <c r="BJ68" s="12">
        <f>Tableau4[[#This Row],[prob_a]]</f>
        <v>9.7924627719814444E-2</v>
      </c>
      <c r="BK68" s="12">
        <f>Tableau4[[#This Row],[prob_b]]-Tableau4[[#This Row],[prob_a]]</f>
        <v>0.19645649380500843</v>
      </c>
      <c r="BL68" s="12">
        <f>Tableau4[[#This Row],[prob_c]]-Tableau4[[#This Row],[prob_b]]</f>
        <v>0.42494067720509954</v>
      </c>
      <c r="BM68" s="12">
        <f>1-Tableau4[[#This Row],[prob_c]]</f>
        <v>0.28067820127007759</v>
      </c>
    </row>
    <row r="69" spans="1:65" x14ac:dyDescent="0.25">
      <c r="A69" s="12">
        <v>3</v>
      </c>
      <c r="B69" s="12" t="s">
        <v>11</v>
      </c>
      <c r="C69" s="12">
        <v>2.1</v>
      </c>
      <c r="D69" s="12">
        <v>700</v>
      </c>
      <c r="E69" s="12">
        <v>20</v>
      </c>
      <c r="F69" s="12">
        <v>1</v>
      </c>
      <c r="G69" s="12">
        <v>68</v>
      </c>
      <c r="H69" s="12">
        <v>107</v>
      </c>
      <c r="I69" s="12" t="s">
        <v>25</v>
      </c>
      <c r="J69" s="12" t="s">
        <v>28</v>
      </c>
      <c r="K69" s="12">
        <f>VLOOKUP(Tableau4[[#This Row],[essence]],Tableau6[],2,FALSE)</f>
        <v>-4.3875000000000002</v>
      </c>
      <c r="L69" s="12">
        <f>VLOOKUP(Tableau4[[#This Row],[essence]],Tableau6[],3,FALSE)</f>
        <v>-3.0411999999999999</v>
      </c>
      <c r="M69" s="12">
        <f>VLOOKUP(Tableau4[[#This Row],[essence]],Tableau6[],4,FALSE)</f>
        <v>-1.2259</v>
      </c>
      <c r="N69" s="12">
        <f>VLOOKUP(Tableau4[[#This Row],[essence]],Tableau6[],5,FALSE)</f>
        <v>1.7715000000000001</v>
      </c>
      <c r="O69" s="12">
        <f>IF(Tableau4[[#This Row],[priorecol]]="C",1,0)</f>
        <v>0</v>
      </c>
      <c r="P69" s="12">
        <f>VLOOKUP(Tableau4[[#This Row],[essence]],Tableau6[],6,FALSE)</f>
        <v>2.6688000000000001</v>
      </c>
      <c r="Q69" s="12">
        <f>IF(Tableau4[[#This Row],[priorecol]]="R",1,0)</f>
        <v>1</v>
      </c>
      <c r="R69" s="12">
        <f>VLOOKUP(Tableau4[[#This Row],[essence]],Tableau6[],7,FALSE)</f>
        <v>1.5728</v>
      </c>
      <c r="S69" s="12">
        <f>IF(Tableau4[[#This Row],[priorecol]]="S",1,0)</f>
        <v>0</v>
      </c>
      <c r="T69" s="12">
        <f>VLOOKUP(Tableau4[[#This Row],[essence]],Tableau6[],20,FALSE)</f>
        <v>0</v>
      </c>
      <c r="U69" s="12">
        <f>VLOOKUP(Tableau4[[#This Row],[essence]],Tableau6[],15,FALSE)</f>
        <v>0</v>
      </c>
      <c r="V69" s="12">
        <f>VLOOKUP(Tableau4[[#This Row],[essence]],Tableau6[],28,FALSE)</f>
        <v>0</v>
      </c>
      <c r="W69" s="12">
        <f>IF(Tableau4[[#This Row],[sdom]]=1,1,0)</f>
        <v>0</v>
      </c>
      <c r="X69" s="12">
        <f>VLOOKUP(Tableau4[[#This Row],[essence]],Tableau6[],8,FALSE)</f>
        <v>0.86129999999999995</v>
      </c>
      <c r="Y69" s="12">
        <f>IF(Tableau4[[#This Row],[sdom]]="2EST",1,0)</f>
        <v>0</v>
      </c>
      <c r="Z69" s="12">
        <f>VLOOKUP(Tableau4[[#This Row],[essence]],Tableau6[],9,FALSE)</f>
        <v>0.39550000000000002</v>
      </c>
      <c r="AA69" s="12">
        <f>IF(Tableau4[[#This Row],[sdom]]="2OUEST",1,0)</f>
        <v>1</v>
      </c>
      <c r="AB69" s="12">
        <f>VLOOKUP(Tableau4[[#This Row],[essence]],Tableau6[],10,FALSE)</f>
        <v>0.58989999999999998</v>
      </c>
      <c r="AC69" s="12">
        <f>IF(Tableau4[[#This Row],[sdom]]="3EST",1,0)</f>
        <v>0</v>
      </c>
      <c r="AD69" s="12">
        <f>VLOOKUP(Tableau4[[#This Row],[essence]],Tableau6[],11,FALSE)</f>
        <v>0.52759999999999996</v>
      </c>
      <c r="AE69" s="12">
        <f>IF(Tableau4[[#This Row],[sdom]]="3OUEST",1,0)</f>
        <v>0</v>
      </c>
      <c r="AF69" s="12">
        <f>VLOOKUP(Tableau4[[#This Row],[essence]],Tableau6[],12,FALSE)</f>
        <v>0</v>
      </c>
      <c r="AG69" s="12">
        <f>IF(Tableau4[[#This Row],[sdom]]="4EST",1,0)</f>
        <v>0</v>
      </c>
      <c r="AH69" s="12">
        <f>VLOOKUP(Tableau4[[#This Row],[essence]],Tableau6[],13,FALSE)</f>
        <v>0</v>
      </c>
      <c r="AI69" s="12">
        <f>IF(Tableau4[[#This Row],[sdom]]="4OUEST",1,0)</f>
        <v>0</v>
      </c>
      <c r="AJ69" s="12">
        <f>VLOOKUP(Tableau4[[#This Row],[essence]],Tableau6[],14,FALSE)</f>
        <v>0</v>
      </c>
      <c r="AK69" s="12">
        <f>IF(Tableau4[[#This Row],[sdom]]="5EST",1,0)</f>
        <v>0</v>
      </c>
      <c r="AL69" s="12">
        <f>VLOOKUP(Tableau4[[#This Row],[essence]],Tableau6[],17,FALSE)</f>
        <v>0</v>
      </c>
      <c r="AM69" s="12">
        <f>IF(Tableau4[[#This Row],[priorecol]]="C",1,0)</f>
        <v>0</v>
      </c>
      <c r="AN69" s="12">
        <f>VLOOKUP(Tableau4[[#This Row],[essence]],Tableau6[],18,FALSE)</f>
        <v>0</v>
      </c>
      <c r="AO69" s="12">
        <f>IF(Tableau4[[#This Row],[priorecol]]="R",1,0)</f>
        <v>1</v>
      </c>
      <c r="AP69" s="12">
        <f>VLOOKUP(Tableau4[[#This Row],[essence]],Tableau6[],19,FALSE)</f>
        <v>0</v>
      </c>
      <c r="AQ69" s="12">
        <f>IF(Tableau4[[#This Row],[priorecol]]="S",1,0)</f>
        <v>0</v>
      </c>
      <c r="AR69" s="12">
        <f>VLOOKUP(Tableau4[[#This Row],[essence]],Tableau6[],21,FALSE)</f>
        <v>0</v>
      </c>
      <c r="AS69" s="12">
        <f>IF(Tableau4[[#This Row],[priorecol]]="C",1,0)</f>
        <v>0</v>
      </c>
      <c r="AT69" s="12">
        <f>VLOOKUP(Tableau4[[#This Row],[essence]],Tableau6[],22,FALSE)</f>
        <v>0</v>
      </c>
      <c r="AU69" s="12">
        <f>IF(Tableau4[[#This Row],[priorecol]]="R",1,0)</f>
        <v>1</v>
      </c>
      <c r="AV69" s="12">
        <f>VLOOKUP(Tableau4[[#This Row],[essence]],Tableau6[],23,FALSE)</f>
        <v>0</v>
      </c>
      <c r="AW69" s="12">
        <f>IF(Tableau4[[#This Row],[priorecol]]="S",1,0)</f>
        <v>0</v>
      </c>
      <c r="AX69" s="12">
        <f>VLOOKUP(Tableau4[[#This Row],[essence]],Tableau6[],24,FALSE)</f>
        <v>0</v>
      </c>
      <c r="AY69" s="12">
        <f>VLOOKUP(Tableau4[[#This Row],[essence]],Tableau6[],25,FALSE)</f>
        <v>0</v>
      </c>
      <c r="AZ69" s="12">
        <f>VLOOKUP(Tableau4[[#This Row],[essence]],Tableau6[],26,FALSE)</f>
        <v>0</v>
      </c>
      <c r="BA69" s="12">
        <f>VLOOKUP(Tableau4[[#This Row],[essence]],Tableau6[],27,FALSE)</f>
        <v>0</v>
      </c>
      <c r="BB69" s="12">
        <f>VLOOKUP(Tableau4[[#This Row],[essence]],Tableau6[],16,FALSE)</f>
        <v>0</v>
      </c>
      <c r="BC6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3.0643000000000002</v>
      </c>
      <c r="BD69" s="12">
        <f>Tableau4[[#This Row],[xb_]]+Tableau4[[#This Row],[b_intercept_C]]+Tableau4[[#This Row],[b_dhpcm_x_intercept_C]]*Tableau4[[#This Row],[dhpcm]]</f>
        <v>1.8384000000000003</v>
      </c>
      <c r="BE69" s="12">
        <f>Tableau4[[#This Row],[xb_]]+Tableau4[[#This Row],[b_intercept_B]]+Tableau4[[#This Row],[b_dhpcm_x_intercept_B]]*Tableau4[[#This Row],[dhpcm]]</f>
        <v>2.3100000000000342E-2</v>
      </c>
      <c r="BF69" s="12">
        <f>Tableau4[[#This Row],[xb_]]+Tableau4[[#This Row],[b_intercept_A]]+Tableau4[[#This Row],[b_dhpcm_x_intercept_A]]*Tableau4[[#This Row],[dhpcm]]</f>
        <v>-1.3231999999999999</v>
      </c>
      <c r="BG69" s="12">
        <f>1/(1+EXP(-Tableau4[[#This Row],[xb_c]]))</f>
        <v>0.86275936833508216</v>
      </c>
      <c r="BH69" s="12">
        <f>1/(1+EXP(-Tableau4[[#This Row],[xb_b]]))</f>
        <v>0.50577474321388993</v>
      </c>
      <c r="BI69" s="12">
        <f>1/(1+EXP(-Tableau4[[#This Row],[xb_a]]))</f>
        <v>0.21028638953572415</v>
      </c>
      <c r="BJ69" s="12">
        <f>Tableau4[[#This Row],[prob_a]]</f>
        <v>0.21028638953572415</v>
      </c>
      <c r="BK69" s="12">
        <f>Tableau4[[#This Row],[prob_b]]-Tableau4[[#This Row],[prob_a]]</f>
        <v>0.29548835367816578</v>
      </c>
      <c r="BL69" s="12">
        <f>Tableau4[[#This Row],[prob_c]]-Tableau4[[#This Row],[prob_b]]</f>
        <v>0.35698462512119222</v>
      </c>
      <c r="BM69" s="12">
        <f>1-Tableau4[[#This Row],[prob_c]]</f>
        <v>0.13724063166491784</v>
      </c>
    </row>
    <row r="70" spans="1:65" x14ac:dyDescent="0.25">
      <c r="A70" s="12">
        <v>3</v>
      </c>
      <c r="B70" s="12" t="s">
        <v>11</v>
      </c>
      <c r="C70" s="12">
        <v>2.1</v>
      </c>
      <c r="D70" s="12">
        <v>700</v>
      </c>
      <c r="E70" s="12">
        <v>20</v>
      </c>
      <c r="F70" s="12">
        <v>1</v>
      </c>
      <c r="G70" s="12">
        <v>69</v>
      </c>
      <c r="H70" s="12">
        <v>108</v>
      </c>
      <c r="I70" s="12" t="s">
        <v>25</v>
      </c>
      <c r="J70" s="12" t="s">
        <v>29</v>
      </c>
      <c r="K70" s="12">
        <f>VLOOKUP(Tableau4[[#This Row],[essence]],Tableau6[],2,FALSE)</f>
        <v>-4.3875000000000002</v>
      </c>
      <c r="L70" s="12">
        <f>VLOOKUP(Tableau4[[#This Row],[essence]],Tableau6[],3,FALSE)</f>
        <v>-3.0411999999999999</v>
      </c>
      <c r="M70" s="12">
        <f>VLOOKUP(Tableau4[[#This Row],[essence]],Tableau6[],4,FALSE)</f>
        <v>-1.2259</v>
      </c>
      <c r="N70" s="12">
        <f>VLOOKUP(Tableau4[[#This Row],[essence]],Tableau6[],5,FALSE)</f>
        <v>1.7715000000000001</v>
      </c>
      <c r="O70" s="12">
        <f>IF(Tableau4[[#This Row],[priorecol]]="C",1,0)</f>
        <v>0</v>
      </c>
      <c r="P70" s="12">
        <f>VLOOKUP(Tableau4[[#This Row],[essence]],Tableau6[],6,FALSE)</f>
        <v>2.6688000000000001</v>
      </c>
      <c r="Q70" s="12">
        <f>IF(Tableau4[[#This Row],[priorecol]]="R",1,0)</f>
        <v>0</v>
      </c>
      <c r="R70" s="12">
        <f>VLOOKUP(Tableau4[[#This Row],[essence]],Tableau6[],7,FALSE)</f>
        <v>1.5728</v>
      </c>
      <c r="S70" s="12">
        <f>IF(Tableau4[[#This Row],[priorecol]]="S",1,0)</f>
        <v>1</v>
      </c>
      <c r="T70" s="12">
        <f>VLOOKUP(Tableau4[[#This Row],[essence]],Tableau6[],20,FALSE)</f>
        <v>0</v>
      </c>
      <c r="U70" s="12">
        <f>VLOOKUP(Tableau4[[#This Row],[essence]],Tableau6[],15,FALSE)</f>
        <v>0</v>
      </c>
      <c r="V70" s="12">
        <f>VLOOKUP(Tableau4[[#This Row],[essence]],Tableau6[],28,FALSE)</f>
        <v>0</v>
      </c>
      <c r="W70" s="12">
        <f>IF(Tableau4[[#This Row],[sdom]]=1,1,0)</f>
        <v>0</v>
      </c>
      <c r="X70" s="12">
        <f>VLOOKUP(Tableau4[[#This Row],[essence]],Tableau6[],8,FALSE)</f>
        <v>0.86129999999999995</v>
      </c>
      <c r="Y70" s="12">
        <f>IF(Tableau4[[#This Row],[sdom]]="2EST",1,0)</f>
        <v>0</v>
      </c>
      <c r="Z70" s="12">
        <f>VLOOKUP(Tableau4[[#This Row],[essence]],Tableau6[],9,FALSE)</f>
        <v>0.39550000000000002</v>
      </c>
      <c r="AA70" s="12">
        <f>IF(Tableau4[[#This Row],[sdom]]="2OUEST",1,0)</f>
        <v>1</v>
      </c>
      <c r="AB70" s="12">
        <f>VLOOKUP(Tableau4[[#This Row],[essence]],Tableau6[],10,FALSE)</f>
        <v>0.58989999999999998</v>
      </c>
      <c r="AC70" s="12">
        <f>IF(Tableau4[[#This Row],[sdom]]="3EST",1,0)</f>
        <v>0</v>
      </c>
      <c r="AD70" s="12">
        <f>VLOOKUP(Tableau4[[#This Row],[essence]],Tableau6[],11,FALSE)</f>
        <v>0.52759999999999996</v>
      </c>
      <c r="AE70" s="12">
        <f>IF(Tableau4[[#This Row],[sdom]]="3OUEST",1,0)</f>
        <v>0</v>
      </c>
      <c r="AF70" s="12">
        <f>VLOOKUP(Tableau4[[#This Row],[essence]],Tableau6[],12,FALSE)</f>
        <v>0</v>
      </c>
      <c r="AG70" s="12">
        <f>IF(Tableau4[[#This Row],[sdom]]="4EST",1,0)</f>
        <v>0</v>
      </c>
      <c r="AH70" s="12">
        <f>VLOOKUP(Tableau4[[#This Row],[essence]],Tableau6[],13,FALSE)</f>
        <v>0</v>
      </c>
      <c r="AI70" s="12">
        <f>IF(Tableau4[[#This Row],[sdom]]="4OUEST",1,0)</f>
        <v>0</v>
      </c>
      <c r="AJ70" s="12">
        <f>VLOOKUP(Tableau4[[#This Row],[essence]],Tableau6[],14,FALSE)</f>
        <v>0</v>
      </c>
      <c r="AK70" s="12">
        <f>IF(Tableau4[[#This Row],[sdom]]="5EST",1,0)</f>
        <v>0</v>
      </c>
      <c r="AL70" s="12">
        <f>VLOOKUP(Tableau4[[#This Row],[essence]],Tableau6[],17,FALSE)</f>
        <v>0</v>
      </c>
      <c r="AM70" s="12">
        <f>IF(Tableau4[[#This Row],[priorecol]]="C",1,0)</f>
        <v>0</v>
      </c>
      <c r="AN70" s="12">
        <f>VLOOKUP(Tableau4[[#This Row],[essence]],Tableau6[],18,FALSE)</f>
        <v>0</v>
      </c>
      <c r="AO70" s="12">
        <f>IF(Tableau4[[#This Row],[priorecol]]="R",1,0)</f>
        <v>0</v>
      </c>
      <c r="AP70" s="12">
        <f>VLOOKUP(Tableau4[[#This Row],[essence]],Tableau6[],19,FALSE)</f>
        <v>0</v>
      </c>
      <c r="AQ70" s="12">
        <f>IF(Tableau4[[#This Row],[priorecol]]="S",1,0)</f>
        <v>1</v>
      </c>
      <c r="AR70" s="12">
        <f>VLOOKUP(Tableau4[[#This Row],[essence]],Tableau6[],21,FALSE)</f>
        <v>0</v>
      </c>
      <c r="AS70" s="12">
        <f>IF(Tableau4[[#This Row],[priorecol]]="C",1,0)</f>
        <v>0</v>
      </c>
      <c r="AT70" s="12">
        <f>VLOOKUP(Tableau4[[#This Row],[essence]],Tableau6[],22,FALSE)</f>
        <v>0</v>
      </c>
      <c r="AU70" s="12">
        <f>IF(Tableau4[[#This Row],[priorecol]]="R",1,0)</f>
        <v>0</v>
      </c>
      <c r="AV70" s="12">
        <f>VLOOKUP(Tableau4[[#This Row],[essence]],Tableau6[],23,FALSE)</f>
        <v>0</v>
      </c>
      <c r="AW70" s="12">
        <f>IF(Tableau4[[#This Row],[priorecol]]="S",1,0)</f>
        <v>1</v>
      </c>
      <c r="AX70" s="12">
        <f>VLOOKUP(Tableau4[[#This Row],[essence]],Tableau6[],24,FALSE)</f>
        <v>0</v>
      </c>
      <c r="AY70" s="12">
        <f>VLOOKUP(Tableau4[[#This Row],[essence]],Tableau6[],25,FALSE)</f>
        <v>0</v>
      </c>
      <c r="AZ70" s="12">
        <f>VLOOKUP(Tableau4[[#This Row],[essence]],Tableau6[],26,FALSE)</f>
        <v>0</v>
      </c>
      <c r="BA70" s="12">
        <f>VLOOKUP(Tableau4[[#This Row],[essence]],Tableau6[],27,FALSE)</f>
        <v>0</v>
      </c>
      <c r="BB70" s="12">
        <f>VLOOKUP(Tableau4[[#This Row],[essence]],Tableau6[],16,FALSE)</f>
        <v>0</v>
      </c>
      <c r="BC7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1.9682999999999999</v>
      </c>
      <c r="BD70" s="12">
        <f>Tableau4[[#This Row],[xb_]]+Tableau4[[#This Row],[b_intercept_C]]+Tableau4[[#This Row],[b_dhpcm_x_intercept_C]]*Tableau4[[#This Row],[dhpcm]]</f>
        <v>0.74239999999999995</v>
      </c>
      <c r="BE70" s="12">
        <f>Tableau4[[#This Row],[xb_]]+Tableau4[[#This Row],[b_intercept_B]]+Tableau4[[#This Row],[b_dhpcm_x_intercept_B]]*Tableau4[[#This Row],[dhpcm]]</f>
        <v>-1.0729</v>
      </c>
      <c r="BF70" s="12">
        <f>Tableau4[[#This Row],[xb_]]+Tableau4[[#This Row],[b_intercept_A]]+Tableau4[[#This Row],[b_dhpcm_x_intercept_A]]*Tableau4[[#This Row],[dhpcm]]</f>
        <v>-2.4192</v>
      </c>
      <c r="BG70" s="12">
        <f>1/(1+EXP(-Tableau4[[#This Row],[xb_c]]))</f>
        <v>0.67752044706625136</v>
      </c>
      <c r="BH70" s="12">
        <f>1/(1+EXP(-Tableau4[[#This Row],[xb_b]]))</f>
        <v>0.25485197566571199</v>
      </c>
      <c r="BI70" s="12">
        <f>1/(1+EXP(-Tableau4[[#This Row],[xb_a]]))</f>
        <v>8.172026902975417E-2</v>
      </c>
      <c r="BJ70" s="12">
        <f>Tableau4[[#This Row],[prob_a]]</f>
        <v>8.172026902975417E-2</v>
      </c>
      <c r="BK70" s="12">
        <f>Tableau4[[#This Row],[prob_b]]-Tableau4[[#This Row],[prob_a]]</f>
        <v>0.17313170663595784</v>
      </c>
      <c r="BL70" s="12">
        <f>Tableau4[[#This Row],[prob_c]]-Tableau4[[#This Row],[prob_b]]</f>
        <v>0.42266847140053937</v>
      </c>
      <c r="BM70" s="12">
        <f>1-Tableau4[[#This Row],[prob_c]]</f>
        <v>0.32247955293374864</v>
      </c>
    </row>
    <row r="71" spans="1:65" x14ac:dyDescent="0.25">
      <c r="A71" s="12">
        <v>3</v>
      </c>
      <c r="B71" s="12" t="s">
        <v>11</v>
      </c>
      <c r="C71" s="12">
        <v>2.1</v>
      </c>
      <c r="D71" s="12">
        <v>700</v>
      </c>
      <c r="E71" s="12">
        <v>20</v>
      </c>
      <c r="F71" s="12">
        <v>1</v>
      </c>
      <c r="G71" s="12">
        <v>70</v>
      </c>
      <c r="H71" s="12">
        <v>109</v>
      </c>
      <c r="I71" s="12" t="s">
        <v>26</v>
      </c>
      <c r="J71" s="12" t="s">
        <v>27</v>
      </c>
      <c r="K71" s="12">
        <f>VLOOKUP(Tableau4[[#This Row],[essence]],Tableau6[],2,FALSE)</f>
        <v>0.71340000000000003</v>
      </c>
      <c r="L71" s="12">
        <f>VLOOKUP(Tableau4[[#This Row],[essence]],Tableau6[],3,FALSE)</f>
        <v>1.7461</v>
      </c>
      <c r="M71" s="12">
        <f>VLOOKUP(Tableau4[[#This Row],[essence]],Tableau6[],4,FALSE)</f>
        <v>2.9828999999999999</v>
      </c>
      <c r="N71" s="12">
        <f>VLOOKUP(Tableau4[[#This Row],[essence]],Tableau6[],5,FALSE)</f>
        <v>1.5659000000000001</v>
      </c>
      <c r="O71" s="12">
        <f>IF(Tableau4[[#This Row],[priorecol]]="C",1,0)</f>
        <v>1</v>
      </c>
      <c r="P71" s="12">
        <f>VLOOKUP(Tableau4[[#This Row],[essence]],Tableau6[],6,FALSE)</f>
        <v>1.9651000000000001</v>
      </c>
      <c r="Q71" s="12">
        <f>IF(Tableau4[[#This Row],[priorecol]]="R",1,0)</f>
        <v>0</v>
      </c>
      <c r="R71" s="12">
        <f>VLOOKUP(Tableau4[[#This Row],[essence]],Tableau6[],7,FALSE)</f>
        <v>1.1892</v>
      </c>
      <c r="S71" s="12">
        <f>IF(Tableau4[[#This Row],[priorecol]]="S",1,0)</f>
        <v>0</v>
      </c>
      <c r="T71" s="12">
        <f>VLOOKUP(Tableau4[[#This Row],[essence]],Tableau6[],20,FALSE)</f>
        <v>0</v>
      </c>
      <c r="U71" s="12">
        <f>VLOOKUP(Tableau4[[#This Row],[essence]],Tableau6[],15,FALSE)</f>
        <v>0</v>
      </c>
      <c r="V71" s="12">
        <f>VLOOKUP(Tableau4[[#This Row],[essence]],Tableau6[],28,FALSE)</f>
        <v>0</v>
      </c>
      <c r="W71" s="12">
        <f>IF(Tableau4[[#This Row],[sdom]]=1,1,0)</f>
        <v>0</v>
      </c>
      <c r="X71" s="12">
        <f>VLOOKUP(Tableau4[[#This Row],[essence]],Tableau6[],8,FALSE)</f>
        <v>0</v>
      </c>
      <c r="Y71" s="12">
        <f>IF(Tableau4[[#This Row],[sdom]]="2EST",1,0)</f>
        <v>0</v>
      </c>
      <c r="Z71" s="12">
        <f>VLOOKUP(Tableau4[[#This Row],[essence]],Tableau6[],9,FALSE)</f>
        <v>0</v>
      </c>
      <c r="AA71" s="12">
        <f>IF(Tableau4[[#This Row],[sdom]]="2OUEST",1,0)</f>
        <v>1</v>
      </c>
      <c r="AB71" s="12">
        <f>VLOOKUP(Tableau4[[#This Row],[essence]],Tableau6[],10,FALSE)</f>
        <v>0</v>
      </c>
      <c r="AC71" s="12">
        <f>IF(Tableau4[[#This Row],[sdom]]="3EST",1,0)</f>
        <v>0</v>
      </c>
      <c r="AD71" s="12">
        <f>VLOOKUP(Tableau4[[#This Row],[essence]],Tableau6[],11,FALSE)</f>
        <v>0.71960000000000002</v>
      </c>
      <c r="AE71" s="12">
        <f>IF(Tableau4[[#This Row],[sdom]]="3OUEST",1,0)</f>
        <v>0</v>
      </c>
      <c r="AF71" s="12">
        <f>VLOOKUP(Tableau4[[#This Row],[essence]],Tableau6[],12,FALSE)</f>
        <v>-2.81E-2</v>
      </c>
      <c r="AG71" s="12">
        <f>IF(Tableau4[[#This Row],[sdom]]="4EST",1,0)</f>
        <v>0</v>
      </c>
      <c r="AH71" s="12">
        <f>VLOOKUP(Tableau4[[#This Row],[essence]],Tableau6[],13,FALSE)</f>
        <v>0.23519999999999999</v>
      </c>
      <c r="AI71" s="12">
        <f>IF(Tableau4[[#This Row],[sdom]]="4OUEST",1,0)</f>
        <v>0</v>
      </c>
      <c r="AJ71" s="12">
        <f>VLOOKUP(Tableau4[[#This Row],[essence]],Tableau6[],14,FALSE)</f>
        <v>0.24660000000000001</v>
      </c>
      <c r="AK71" s="12">
        <f>IF(Tableau4[[#This Row],[sdom]]="5EST",1,0)</f>
        <v>0</v>
      </c>
      <c r="AL71" s="12">
        <f>VLOOKUP(Tableau4[[#This Row],[essence]],Tableau6[],17,FALSE)</f>
        <v>0</v>
      </c>
      <c r="AM71" s="12">
        <f>IF(Tableau4[[#This Row],[priorecol]]="C",1,0)</f>
        <v>1</v>
      </c>
      <c r="AN71" s="12">
        <f>VLOOKUP(Tableau4[[#This Row],[essence]],Tableau6[],18,FALSE)</f>
        <v>0</v>
      </c>
      <c r="AO71" s="12">
        <f>IF(Tableau4[[#This Row],[priorecol]]="R",1,0)</f>
        <v>0</v>
      </c>
      <c r="AP71" s="12">
        <f>VLOOKUP(Tableau4[[#This Row],[essence]],Tableau6[],19,FALSE)</f>
        <v>0</v>
      </c>
      <c r="AQ71" s="12">
        <f>IF(Tableau4[[#This Row],[priorecol]]="S",1,0)</f>
        <v>0</v>
      </c>
      <c r="AR71" s="12">
        <f>VLOOKUP(Tableau4[[#This Row],[essence]],Tableau6[],21,FALSE)</f>
        <v>0</v>
      </c>
      <c r="AS71" s="12">
        <f>IF(Tableau4[[#This Row],[priorecol]]="C",1,0)</f>
        <v>1</v>
      </c>
      <c r="AT71" s="12">
        <f>VLOOKUP(Tableau4[[#This Row],[essence]],Tableau6[],22,FALSE)</f>
        <v>0</v>
      </c>
      <c r="AU71" s="12">
        <f>IF(Tableau4[[#This Row],[priorecol]]="R",1,0)</f>
        <v>0</v>
      </c>
      <c r="AV71" s="12">
        <f>VLOOKUP(Tableau4[[#This Row],[essence]],Tableau6[],23,FALSE)</f>
        <v>0</v>
      </c>
      <c r="AW71" s="12">
        <f>IF(Tableau4[[#This Row],[priorecol]]="S",1,0)</f>
        <v>0</v>
      </c>
      <c r="AX71" s="12">
        <f>VLOOKUP(Tableau4[[#This Row],[essence]],Tableau6[],24,FALSE)</f>
        <v>0</v>
      </c>
      <c r="AY71" s="12">
        <f>VLOOKUP(Tableau4[[#This Row],[essence]],Tableau6[],25,FALSE)</f>
        <v>0</v>
      </c>
      <c r="AZ71" s="12">
        <f>VLOOKUP(Tableau4[[#This Row],[essence]],Tableau6[],26,FALSE)</f>
        <v>0</v>
      </c>
      <c r="BA71" s="12">
        <f>VLOOKUP(Tableau4[[#This Row],[essence]],Tableau6[],27,FALSE)</f>
        <v>0</v>
      </c>
      <c r="BB71" s="12">
        <f>VLOOKUP(Tableau4[[#This Row],[essence]],Tableau6[],16,FALSE)</f>
        <v>-2.6700000000000001E-3</v>
      </c>
      <c r="BC7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-0.30309999999999993</v>
      </c>
      <c r="BD71" s="12">
        <f>Tableau4[[#This Row],[xb_]]+Tableau4[[#This Row],[b_intercept_C]]+Tableau4[[#This Row],[b_dhpcm_x_intercept_C]]*Tableau4[[#This Row],[dhpcm]]</f>
        <v>2.6798000000000002</v>
      </c>
      <c r="BE71" s="12">
        <f>Tableau4[[#This Row],[xb_]]+Tableau4[[#This Row],[b_intercept_B]]+Tableau4[[#This Row],[b_dhpcm_x_intercept_B]]*Tableau4[[#This Row],[dhpcm]]</f>
        <v>1.4430000000000001</v>
      </c>
      <c r="BF71" s="12">
        <f>Tableau4[[#This Row],[xb_]]+Tableau4[[#This Row],[b_intercept_A]]+Tableau4[[#This Row],[b_dhpcm_x_intercept_A]]*Tableau4[[#This Row],[dhpcm]]</f>
        <v>0.41030000000000011</v>
      </c>
      <c r="BG71" s="12">
        <f>1/(1+EXP(-Tableau4[[#This Row],[xb_c]]))</f>
        <v>0.93582411317327696</v>
      </c>
      <c r="BH71" s="12">
        <f>1/(1+EXP(-Tableau4[[#This Row],[xb_b]]))</f>
        <v>0.80891878877848322</v>
      </c>
      <c r="BI71" s="12">
        <f>1/(1+EXP(-Tableau4[[#This Row],[xb_a]]))</f>
        <v>0.60115981103861349</v>
      </c>
      <c r="BJ71" s="12">
        <f>Tableau4[[#This Row],[prob_a]]</f>
        <v>0.60115981103861349</v>
      </c>
      <c r="BK71" s="12">
        <f>Tableau4[[#This Row],[prob_b]]-Tableau4[[#This Row],[prob_a]]</f>
        <v>0.20775897773986973</v>
      </c>
      <c r="BL71" s="12">
        <f>Tableau4[[#This Row],[prob_c]]-Tableau4[[#This Row],[prob_b]]</f>
        <v>0.12690532439479374</v>
      </c>
      <c r="BM71" s="12">
        <f>1-Tableau4[[#This Row],[prob_c]]</f>
        <v>6.4175886826723039E-2</v>
      </c>
    </row>
    <row r="72" spans="1:65" x14ac:dyDescent="0.25">
      <c r="A72" s="12">
        <v>3</v>
      </c>
      <c r="B72" s="12" t="s">
        <v>11</v>
      </c>
      <c r="C72" s="12">
        <v>2.1</v>
      </c>
      <c r="D72" s="12">
        <v>700</v>
      </c>
      <c r="E72" s="12">
        <v>20</v>
      </c>
      <c r="F72" s="12">
        <v>1</v>
      </c>
      <c r="G72" s="12">
        <v>71</v>
      </c>
      <c r="H72" s="12">
        <v>110</v>
      </c>
      <c r="I72" s="12" t="s">
        <v>26</v>
      </c>
      <c r="J72" s="12" t="s">
        <v>28</v>
      </c>
      <c r="K72" s="12">
        <f>VLOOKUP(Tableau4[[#This Row],[essence]],Tableau6[],2,FALSE)</f>
        <v>0.71340000000000003</v>
      </c>
      <c r="L72" s="12">
        <f>VLOOKUP(Tableau4[[#This Row],[essence]],Tableau6[],3,FALSE)</f>
        <v>1.7461</v>
      </c>
      <c r="M72" s="12">
        <f>VLOOKUP(Tableau4[[#This Row],[essence]],Tableau6[],4,FALSE)</f>
        <v>2.9828999999999999</v>
      </c>
      <c r="N72" s="12">
        <f>VLOOKUP(Tableau4[[#This Row],[essence]],Tableau6[],5,FALSE)</f>
        <v>1.5659000000000001</v>
      </c>
      <c r="O72" s="12">
        <f>IF(Tableau4[[#This Row],[priorecol]]="C",1,0)</f>
        <v>0</v>
      </c>
      <c r="P72" s="12">
        <f>VLOOKUP(Tableau4[[#This Row],[essence]],Tableau6[],6,FALSE)</f>
        <v>1.9651000000000001</v>
      </c>
      <c r="Q72" s="12">
        <f>IF(Tableau4[[#This Row],[priorecol]]="R",1,0)</f>
        <v>1</v>
      </c>
      <c r="R72" s="12">
        <f>VLOOKUP(Tableau4[[#This Row],[essence]],Tableau6[],7,FALSE)</f>
        <v>1.1892</v>
      </c>
      <c r="S72" s="12">
        <f>IF(Tableau4[[#This Row],[priorecol]]="S",1,0)</f>
        <v>0</v>
      </c>
      <c r="T72" s="12">
        <f>VLOOKUP(Tableau4[[#This Row],[essence]],Tableau6[],20,FALSE)</f>
        <v>0</v>
      </c>
      <c r="U72" s="12">
        <f>VLOOKUP(Tableau4[[#This Row],[essence]],Tableau6[],15,FALSE)</f>
        <v>0</v>
      </c>
      <c r="V72" s="12">
        <f>VLOOKUP(Tableau4[[#This Row],[essence]],Tableau6[],28,FALSE)</f>
        <v>0</v>
      </c>
      <c r="W72" s="12">
        <f>IF(Tableau4[[#This Row],[sdom]]=1,1,0)</f>
        <v>0</v>
      </c>
      <c r="X72" s="12">
        <f>VLOOKUP(Tableau4[[#This Row],[essence]],Tableau6[],8,FALSE)</f>
        <v>0</v>
      </c>
      <c r="Y72" s="12">
        <f>IF(Tableau4[[#This Row],[sdom]]="2EST",1,0)</f>
        <v>0</v>
      </c>
      <c r="Z72" s="12">
        <f>VLOOKUP(Tableau4[[#This Row],[essence]],Tableau6[],9,FALSE)</f>
        <v>0</v>
      </c>
      <c r="AA72" s="12">
        <f>IF(Tableau4[[#This Row],[sdom]]="2OUEST",1,0)</f>
        <v>1</v>
      </c>
      <c r="AB72" s="12">
        <f>VLOOKUP(Tableau4[[#This Row],[essence]],Tableau6[],10,FALSE)</f>
        <v>0</v>
      </c>
      <c r="AC72" s="12">
        <f>IF(Tableau4[[#This Row],[sdom]]="3EST",1,0)</f>
        <v>0</v>
      </c>
      <c r="AD72" s="12">
        <f>VLOOKUP(Tableau4[[#This Row],[essence]],Tableau6[],11,FALSE)</f>
        <v>0.71960000000000002</v>
      </c>
      <c r="AE72" s="12">
        <f>IF(Tableau4[[#This Row],[sdom]]="3OUEST",1,0)</f>
        <v>0</v>
      </c>
      <c r="AF72" s="12">
        <f>VLOOKUP(Tableau4[[#This Row],[essence]],Tableau6[],12,FALSE)</f>
        <v>-2.81E-2</v>
      </c>
      <c r="AG72" s="12">
        <f>IF(Tableau4[[#This Row],[sdom]]="4EST",1,0)</f>
        <v>0</v>
      </c>
      <c r="AH72" s="12">
        <f>VLOOKUP(Tableau4[[#This Row],[essence]],Tableau6[],13,FALSE)</f>
        <v>0.23519999999999999</v>
      </c>
      <c r="AI72" s="12">
        <f>IF(Tableau4[[#This Row],[sdom]]="4OUEST",1,0)</f>
        <v>0</v>
      </c>
      <c r="AJ72" s="12">
        <f>VLOOKUP(Tableau4[[#This Row],[essence]],Tableau6[],14,FALSE)</f>
        <v>0.24660000000000001</v>
      </c>
      <c r="AK72" s="12">
        <f>IF(Tableau4[[#This Row],[sdom]]="5EST",1,0)</f>
        <v>0</v>
      </c>
      <c r="AL72" s="12">
        <f>VLOOKUP(Tableau4[[#This Row],[essence]],Tableau6[],17,FALSE)</f>
        <v>0</v>
      </c>
      <c r="AM72" s="12">
        <f>IF(Tableau4[[#This Row],[priorecol]]="C",1,0)</f>
        <v>0</v>
      </c>
      <c r="AN72" s="12">
        <f>VLOOKUP(Tableau4[[#This Row],[essence]],Tableau6[],18,FALSE)</f>
        <v>0</v>
      </c>
      <c r="AO72" s="12">
        <f>IF(Tableau4[[#This Row],[priorecol]]="R",1,0)</f>
        <v>1</v>
      </c>
      <c r="AP72" s="12">
        <f>VLOOKUP(Tableau4[[#This Row],[essence]],Tableau6[],19,FALSE)</f>
        <v>0</v>
      </c>
      <c r="AQ72" s="12">
        <f>IF(Tableau4[[#This Row],[priorecol]]="S",1,0)</f>
        <v>0</v>
      </c>
      <c r="AR72" s="12">
        <f>VLOOKUP(Tableau4[[#This Row],[essence]],Tableau6[],21,FALSE)</f>
        <v>0</v>
      </c>
      <c r="AS72" s="12">
        <f>IF(Tableau4[[#This Row],[priorecol]]="C",1,0)</f>
        <v>0</v>
      </c>
      <c r="AT72" s="12">
        <f>VLOOKUP(Tableau4[[#This Row],[essence]],Tableau6[],22,FALSE)</f>
        <v>0</v>
      </c>
      <c r="AU72" s="12">
        <f>IF(Tableau4[[#This Row],[priorecol]]="R",1,0)</f>
        <v>1</v>
      </c>
      <c r="AV72" s="12">
        <f>VLOOKUP(Tableau4[[#This Row],[essence]],Tableau6[],23,FALSE)</f>
        <v>0</v>
      </c>
      <c r="AW72" s="12">
        <f>IF(Tableau4[[#This Row],[priorecol]]="S",1,0)</f>
        <v>0</v>
      </c>
      <c r="AX72" s="12">
        <f>VLOOKUP(Tableau4[[#This Row],[essence]],Tableau6[],24,FALSE)</f>
        <v>0</v>
      </c>
      <c r="AY72" s="12">
        <f>VLOOKUP(Tableau4[[#This Row],[essence]],Tableau6[],25,FALSE)</f>
        <v>0</v>
      </c>
      <c r="AZ72" s="12">
        <f>VLOOKUP(Tableau4[[#This Row],[essence]],Tableau6[],26,FALSE)</f>
        <v>0</v>
      </c>
      <c r="BA72" s="12">
        <f>VLOOKUP(Tableau4[[#This Row],[essence]],Tableau6[],27,FALSE)</f>
        <v>0</v>
      </c>
      <c r="BB72" s="12">
        <f>VLOOKUP(Tableau4[[#This Row],[essence]],Tableau6[],16,FALSE)</f>
        <v>-2.6700000000000001E-3</v>
      </c>
      <c r="BC7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9.6100000000000074E-2</v>
      </c>
      <c r="BD72" s="12">
        <f>Tableau4[[#This Row],[xb_]]+Tableau4[[#This Row],[b_intercept_C]]+Tableau4[[#This Row],[b_dhpcm_x_intercept_C]]*Tableau4[[#This Row],[dhpcm]]</f>
        <v>3.0789999999999997</v>
      </c>
      <c r="BE72" s="12">
        <f>Tableau4[[#This Row],[xb_]]+Tableau4[[#This Row],[b_intercept_B]]+Tableau4[[#This Row],[b_dhpcm_x_intercept_B]]*Tableau4[[#This Row],[dhpcm]]</f>
        <v>1.8422000000000001</v>
      </c>
      <c r="BF72" s="12">
        <f>Tableau4[[#This Row],[xb_]]+Tableau4[[#This Row],[b_intercept_A]]+Tableau4[[#This Row],[b_dhpcm_x_intercept_A]]*Tableau4[[#This Row],[dhpcm]]</f>
        <v>0.80950000000000011</v>
      </c>
      <c r="BG72" s="12">
        <f>1/(1+EXP(-Tableau4[[#This Row],[xb_c]]))</f>
        <v>0.95601815633192033</v>
      </c>
      <c r="BH72" s="12">
        <f>1/(1+EXP(-Tableau4[[#This Row],[xb_b]]))</f>
        <v>0.86320868984577004</v>
      </c>
      <c r="BI72" s="12">
        <f>1/(1+EXP(-Tableau4[[#This Row],[xb_a]]))</f>
        <v>0.69200294709950394</v>
      </c>
      <c r="BJ72" s="12">
        <f>Tableau4[[#This Row],[prob_a]]</f>
        <v>0.69200294709950394</v>
      </c>
      <c r="BK72" s="12">
        <f>Tableau4[[#This Row],[prob_b]]-Tableau4[[#This Row],[prob_a]]</f>
        <v>0.1712057427462661</v>
      </c>
      <c r="BL72" s="12">
        <f>Tableau4[[#This Row],[prob_c]]-Tableau4[[#This Row],[prob_b]]</f>
        <v>9.2809466486150294E-2</v>
      </c>
      <c r="BM72" s="12">
        <f>1-Tableau4[[#This Row],[prob_c]]</f>
        <v>4.3981843668079668E-2</v>
      </c>
    </row>
    <row r="73" spans="1:65" x14ac:dyDescent="0.25">
      <c r="A73" s="12">
        <v>3</v>
      </c>
      <c r="B73" s="12" t="s">
        <v>11</v>
      </c>
      <c r="C73" s="12">
        <v>2.1</v>
      </c>
      <c r="D73" s="12">
        <v>700</v>
      </c>
      <c r="E73" s="12">
        <v>20</v>
      </c>
      <c r="F73" s="12">
        <v>1</v>
      </c>
      <c r="G73" s="12">
        <v>72</v>
      </c>
      <c r="H73" s="12">
        <v>111</v>
      </c>
      <c r="I73" s="12" t="s">
        <v>26</v>
      </c>
      <c r="J73" s="12" t="s">
        <v>29</v>
      </c>
      <c r="K73" s="12">
        <f>VLOOKUP(Tableau4[[#This Row],[essence]],Tableau6[],2,FALSE)</f>
        <v>0.71340000000000003</v>
      </c>
      <c r="L73" s="12">
        <f>VLOOKUP(Tableau4[[#This Row],[essence]],Tableau6[],3,FALSE)</f>
        <v>1.7461</v>
      </c>
      <c r="M73" s="12">
        <f>VLOOKUP(Tableau4[[#This Row],[essence]],Tableau6[],4,FALSE)</f>
        <v>2.9828999999999999</v>
      </c>
      <c r="N73" s="12">
        <f>VLOOKUP(Tableau4[[#This Row],[essence]],Tableau6[],5,FALSE)</f>
        <v>1.5659000000000001</v>
      </c>
      <c r="O73" s="12">
        <f>IF(Tableau4[[#This Row],[priorecol]]="C",1,0)</f>
        <v>0</v>
      </c>
      <c r="P73" s="12">
        <f>VLOOKUP(Tableau4[[#This Row],[essence]],Tableau6[],6,FALSE)</f>
        <v>1.9651000000000001</v>
      </c>
      <c r="Q73" s="12">
        <f>IF(Tableau4[[#This Row],[priorecol]]="R",1,0)</f>
        <v>0</v>
      </c>
      <c r="R73" s="12">
        <f>VLOOKUP(Tableau4[[#This Row],[essence]],Tableau6[],7,FALSE)</f>
        <v>1.1892</v>
      </c>
      <c r="S73" s="12">
        <f>IF(Tableau4[[#This Row],[priorecol]]="S",1,0)</f>
        <v>1</v>
      </c>
      <c r="T73" s="12">
        <f>VLOOKUP(Tableau4[[#This Row],[essence]],Tableau6[],20,FALSE)</f>
        <v>0</v>
      </c>
      <c r="U73" s="12">
        <f>VLOOKUP(Tableau4[[#This Row],[essence]],Tableau6[],15,FALSE)</f>
        <v>0</v>
      </c>
      <c r="V73" s="12">
        <f>VLOOKUP(Tableau4[[#This Row],[essence]],Tableau6[],28,FALSE)</f>
        <v>0</v>
      </c>
      <c r="W73" s="12">
        <f>IF(Tableau4[[#This Row],[sdom]]=1,1,0)</f>
        <v>0</v>
      </c>
      <c r="X73" s="12">
        <f>VLOOKUP(Tableau4[[#This Row],[essence]],Tableau6[],8,FALSE)</f>
        <v>0</v>
      </c>
      <c r="Y73" s="12">
        <f>IF(Tableau4[[#This Row],[sdom]]="2EST",1,0)</f>
        <v>0</v>
      </c>
      <c r="Z73" s="12">
        <f>VLOOKUP(Tableau4[[#This Row],[essence]],Tableau6[],9,FALSE)</f>
        <v>0</v>
      </c>
      <c r="AA73" s="12">
        <f>IF(Tableau4[[#This Row],[sdom]]="2OUEST",1,0)</f>
        <v>1</v>
      </c>
      <c r="AB73" s="12">
        <f>VLOOKUP(Tableau4[[#This Row],[essence]],Tableau6[],10,FALSE)</f>
        <v>0</v>
      </c>
      <c r="AC73" s="12">
        <f>IF(Tableau4[[#This Row],[sdom]]="3EST",1,0)</f>
        <v>0</v>
      </c>
      <c r="AD73" s="12">
        <f>VLOOKUP(Tableau4[[#This Row],[essence]],Tableau6[],11,FALSE)</f>
        <v>0.71960000000000002</v>
      </c>
      <c r="AE73" s="12">
        <f>IF(Tableau4[[#This Row],[sdom]]="3OUEST",1,0)</f>
        <v>0</v>
      </c>
      <c r="AF73" s="12">
        <f>VLOOKUP(Tableau4[[#This Row],[essence]],Tableau6[],12,FALSE)</f>
        <v>-2.81E-2</v>
      </c>
      <c r="AG73" s="12">
        <f>IF(Tableau4[[#This Row],[sdom]]="4EST",1,0)</f>
        <v>0</v>
      </c>
      <c r="AH73" s="12">
        <f>VLOOKUP(Tableau4[[#This Row],[essence]],Tableau6[],13,FALSE)</f>
        <v>0.23519999999999999</v>
      </c>
      <c r="AI73" s="12">
        <f>IF(Tableau4[[#This Row],[sdom]]="4OUEST",1,0)</f>
        <v>0</v>
      </c>
      <c r="AJ73" s="12">
        <f>VLOOKUP(Tableau4[[#This Row],[essence]],Tableau6[],14,FALSE)</f>
        <v>0.24660000000000001</v>
      </c>
      <c r="AK73" s="12">
        <f>IF(Tableau4[[#This Row],[sdom]]="5EST",1,0)</f>
        <v>0</v>
      </c>
      <c r="AL73" s="12">
        <f>VLOOKUP(Tableau4[[#This Row],[essence]],Tableau6[],17,FALSE)</f>
        <v>0</v>
      </c>
      <c r="AM73" s="12">
        <f>IF(Tableau4[[#This Row],[priorecol]]="C",1,0)</f>
        <v>0</v>
      </c>
      <c r="AN73" s="12">
        <f>VLOOKUP(Tableau4[[#This Row],[essence]],Tableau6[],18,FALSE)</f>
        <v>0</v>
      </c>
      <c r="AO73" s="12">
        <f>IF(Tableau4[[#This Row],[priorecol]]="R",1,0)</f>
        <v>0</v>
      </c>
      <c r="AP73" s="12">
        <f>VLOOKUP(Tableau4[[#This Row],[essence]],Tableau6[],19,FALSE)</f>
        <v>0</v>
      </c>
      <c r="AQ73" s="12">
        <f>IF(Tableau4[[#This Row],[priorecol]]="S",1,0)</f>
        <v>1</v>
      </c>
      <c r="AR73" s="12">
        <f>VLOOKUP(Tableau4[[#This Row],[essence]],Tableau6[],21,FALSE)</f>
        <v>0</v>
      </c>
      <c r="AS73" s="12">
        <f>IF(Tableau4[[#This Row],[priorecol]]="C",1,0)</f>
        <v>0</v>
      </c>
      <c r="AT73" s="12">
        <f>VLOOKUP(Tableau4[[#This Row],[essence]],Tableau6[],22,FALSE)</f>
        <v>0</v>
      </c>
      <c r="AU73" s="12">
        <f>IF(Tableau4[[#This Row],[priorecol]]="R",1,0)</f>
        <v>0</v>
      </c>
      <c r="AV73" s="12">
        <f>VLOOKUP(Tableau4[[#This Row],[essence]],Tableau6[],23,FALSE)</f>
        <v>0</v>
      </c>
      <c r="AW73" s="12">
        <f>IF(Tableau4[[#This Row],[priorecol]]="S",1,0)</f>
        <v>1</v>
      </c>
      <c r="AX73" s="12">
        <f>VLOOKUP(Tableau4[[#This Row],[essence]],Tableau6[],24,FALSE)</f>
        <v>0</v>
      </c>
      <c r="AY73" s="12">
        <f>VLOOKUP(Tableau4[[#This Row],[essence]],Tableau6[],25,FALSE)</f>
        <v>0</v>
      </c>
      <c r="AZ73" s="12">
        <f>VLOOKUP(Tableau4[[#This Row],[essence]],Tableau6[],26,FALSE)</f>
        <v>0</v>
      </c>
      <c r="BA73" s="12">
        <f>VLOOKUP(Tableau4[[#This Row],[essence]],Tableau6[],27,FALSE)</f>
        <v>0</v>
      </c>
      <c r="BB73" s="12">
        <f>VLOOKUP(Tableau4[[#This Row],[essence]],Tableau6[],16,FALSE)</f>
        <v>-2.6700000000000001E-3</v>
      </c>
      <c r="BC7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-0.67979999999999996</v>
      </c>
      <c r="BD73" s="12">
        <f>Tableau4[[#This Row],[xb_]]+Tableau4[[#This Row],[b_intercept_C]]+Tableau4[[#This Row],[b_dhpcm_x_intercept_C]]*Tableau4[[#This Row],[dhpcm]]</f>
        <v>2.3030999999999997</v>
      </c>
      <c r="BE73" s="12">
        <f>Tableau4[[#This Row],[xb_]]+Tableau4[[#This Row],[b_intercept_B]]+Tableau4[[#This Row],[b_dhpcm_x_intercept_B]]*Tableau4[[#This Row],[dhpcm]]</f>
        <v>1.0663</v>
      </c>
      <c r="BF73" s="12">
        <f>Tableau4[[#This Row],[xb_]]+Tableau4[[#This Row],[b_intercept_A]]+Tableau4[[#This Row],[b_dhpcm_x_intercept_A]]*Tableau4[[#This Row],[dhpcm]]</f>
        <v>3.3600000000000074E-2</v>
      </c>
      <c r="BG73" s="12">
        <f>1/(1+EXP(-Tableau4[[#This Row],[xb_c]]))</f>
        <v>0.90913345442607185</v>
      </c>
      <c r="BH73" s="12">
        <f>1/(1+EXP(-Tableau4[[#This Row],[xb_b]]))</f>
        <v>0.74389264156623969</v>
      </c>
      <c r="BI73" s="12">
        <f>1/(1+EXP(-Tableau4[[#This Row],[xb_a]]))</f>
        <v>0.50839920981720832</v>
      </c>
      <c r="BJ73" s="12">
        <f>Tableau4[[#This Row],[prob_a]]</f>
        <v>0.50839920981720832</v>
      </c>
      <c r="BK73" s="12">
        <f>Tableau4[[#This Row],[prob_b]]-Tableau4[[#This Row],[prob_a]]</f>
        <v>0.23549343174903137</v>
      </c>
      <c r="BL73" s="12">
        <f>Tableau4[[#This Row],[prob_c]]-Tableau4[[#This Row],[prob_b]]</f>
        <v>0.16524081285983216</v>
      </c>
      <c r="BM73" s="12">
        <f>1-Tableau4[[#This Row],[prob_c]]</f>
        <v>9.0866545573928148E-2</v>
      </c>
    </row>
    <row r="74" spans="1:65" x14ac:dyDescent="0.25">
      <c r="A74" s="12">
        <v>4</v>
      </c>
      <c r="B74" s="12" t="s">
        <v>12</v>
      </c>
      <c r="C74" s="12">
        <v>2.1</v>
      </c>
      <c r="D74" s="12">
        <v>700</v>
      </c>
      <c r="E74" s="12">
        <v>20</v>
      </c>
      <c r="F74" s="12">
        <v>1</v>
      </c>
      <c r="G74" s="12">
        <v>49</v>
      </c>
      <c r="H74" s="12">
        <v>112</v>
      </c>
      <c r="I74" s="12" t="s">
        <v>19</v>
      </c>
      <c r="J74" s="12" t="s">
        <v>27</v>
      </c>
      <c r="K74" s="12">
        <f>VLOOKUP(Tableau4[[#This Row],[essence]],Tableau6[],2,FALSE)</f>
        <v>-1.7937000000000001</v>
      </c>
      <c r="L74" s="12">
        <f>VLOOKUP(Tableau4[[#This Row],[essence]],Tableau6[],3,FALSE)</f>
        <v>-0.68110000000000004</v>
      </c>
      <c r="M74" s="12">
        <f>VLOOKUP(Tableau4[[#This Row],[essence]],Tableau6[],4,FALSE)</f>
        <v>0.82179999999999997</v>
      </c>
      <c r="N74" s="12">
        <f>VLOOKUP(Tableau4[[#This Row],[essence]],Tableau6[],5,FALSE)</f>
        <v>1.5014000000000001</v>
      </c>
      <c r="O74" s="12">
        <f>IF(Tableau4[[#This Row],[priorecol]]="C",1,0)</f>
        <v>1</v>
      </c>
      <c r="P74" s="12">
        <f>VLOOKUP(Tableau4[[#This Row],[essence]],Tableau6[],6,FALSE)</f>
        <v>2.3875000000000002</v>
      </c>
      <c r="Q74" s="12">
        <f>IF(Tableau4[[#This Row],[priorecol]]="R",1,0)</f>
        <v>0</v>
      </c>
      <c r="R74" s="12">
        <f>VLOOKUP(Tableau4[[#This Row],[essence]],Tableau6[],7,FALSE)</f>
        <v>0.94669999999999999</v>
      </c>
      <c r="S74" s="12">
        <f>IF(Tableau4[[#This Row],[priorecol]]="S",1,0)</f>
        <v>0</v>
      </c>
      <c r="T74" s="12">
        <f>VLOOKUP(Tableau4[[#This Row],[essence]],Tableau6[],20,FALSE)</f>
        <v>0</v>
      </c>
      <c r="U74" s="12">
        <f>VLOOKUP(Tableau4[[#This Row],[essence]],Tableau6[],15,FALSE)</f>
        <v>6.4000000000000003E-3</v>
      </c>
      <c r="V74" s="12">
        <f>VLOOKUP(Tableau4[[#This Row],[essence]],Tableau6[],28,FALSE)</f>
        <v>0</v>
      </c>
      <c r="W74" s="12">
        <f>IF(Tableau4[[#This Row],[sdom]]=1,1,0)</f>
        <v>0</v>
      </c>
      <c r="X74" s="12">
        <f>VLOOKUP(Tableau4[[#This Row],[essence]],Tableau6[],8,FALSE)</f>
        <v>9.4399999999999998E-2</v>
      </c>
      <c r="Y74" s="12">
        <f>IF(Tableau4[[#This Row],[sdom]]="2EST",1,0)</f>
        <v>0</v>
      </c>
      <c r="Z74" s="12">
        <f>VLOOKUP(Tableau4[[#This Row],[essence]],Tableau6[],9,FALSE)</f>
        <v>-0.40260000000000001</v>
      </c>
      <c r="AA74" s="12">
        <f>IF(Tableau4[[#This Row],[sdom]]="2OUEST",1,0)</f>
        <v>0</v>
      </c>
      <c r="AB74" s="12">
        <f>VLOOKUP(Tableau4[[#This Row],[essence]],Tableau6[],10,FALSE)</f>
        <v>-3.5699999999999998E-3</v>
      </c>
      <c r="AC74" s="12">
        <f>IF(Tableau4[[#This Row],[sdom]]="3EST",1,0)</f>
        <v>1</v>
      </c>
      <c r="AD74" s="12">
        <f>VLOOKUP(Tableau4[[#This Row],[essence]],Tableau6[],11,FALSE)</f>
        <v>0.14949999999999999</v>
      </c>
      <c r="AE74" s="12">
        <f>IF(Tableau4[[#This Row],[sdom]]="3OUEST",1,0)</f>
        <v>0</v>
      </c>
      <c r="AF74" s="12">
        <f>VLOOKUP(Tableau4[[#This Row],[essence]],Tableau6[],12,FALSE)</f>
        <v>-0.1822</v>
      </c>
      <c r="AG74" s="12">
        <f>IF(Tableau4[[#This Row],[sdom]]="4EST",1,0)</f>
        <v>0</v>
      </c>
      <c r="AH74" s="12">
        <f>VLOOKUP(Tableau4[[#This Row],[essence]],Tableau6[],13,FALSE)</f>
        <v>-0.1013</v>
      </c>
      <c r="AI74" s="12">
        <f>IF(Tableau4[[#This Row],[sdom]]="4OUEST",1,0)</f>
        <v>0</v>
      </c>
      <c r="AJ74" s="12">
        <f>VLOOKUP(Tableau4[[#This Row],[essence]],Tableau6[],14,FALSE)</f>
        <v>-0.33779999999999999</v>
      </c>
      <c r="AK74" s="12">
        <f>IF(Tableau4[[#This Row],[sdom]]="5EST",1,0)</f>
        <v>0</v>
      </c>
      <c r="AL74" s="12">
        <f>VLOOKUP(Tableau4[[#This Row],[essence]],Tableau6[],17,FALSE)</f>
        <v>1.03E-2</v>
      </c>
      <c r="AM74" s="12">
        <f>IF(Tableau4[[#This Row],[priorecol]]="C",1,0)</f>
        <v>1</v>
      </c>
      <c r="AN74" s="12">
        <f>VLOOKUP(Tableau4[[#This Row],[essence]],Tableau6[],18,FALSE)</f>
        <v>1.23E-2</v>
      </c>
      <c r="AO74" s="12">
        <f>IF(Tableau4[[#This Row],[priorecol]]="R",1,0)</f>
        <v>0</v>
      </c>
      <c r="AP74" s="12">
        <f>VLOOKUP(Tableau4[[#This Row],[essence]],Tableau6[],19,FALSE)</f>
        <v>1.2800000000000001E-2</v>
      </c>
      <c r="AQ74" s="12">
        <f>IF(Tableau4[[#This Row],[priorecol]]="S",1,0)</f>
        <v>0</v>
      </c>
      <c r="AR74" s="12">
        <f>VLOOKUP(Tableau4[[#This Row],[essence]],Tableau6[],21,FALSE)</f>
        <v>0</v>
      </c>
      <c r="AS74" s="12">
        <f>IF(Tableau4[[#This Row],[priorecol]]="C",1,0)</f>
        <v>1</v>
      </c>
      <c r="AT74" s="12">
        <f>VLOOKUP(Tableau4[[#This Row],[essence]],Tableau6[],22,FALSE)</f>
        <v>0</v>
      </c>
      <c r="AU74" s="12">
        <f>IF(Tableau4[[#This Row],[priorecol]]="R",1,0)</f>
        <v>0</v>
      </c>
      <c r="AV74" s="12">
        <f>VLOOKUP(Tableau4[[#This Row],[essence]],Tableau6[],23,FALSE)</f>
        <v>0</v>
      </c>
      <c r="AW74" s="12">
        <f>IF(Tableau4[[#This Row],[priorecol]]="S",1,0)</f>
        <v>0</v>
      </c>
      <c r="AX74" s="12">
        <f>VLOOKUP(Tableau4[[#This Row],[essence]],Tableau6[],24,FALSE)</f>
        <v>0</v>
      </c>
      <c r="AY74" s="12">
        <f>VLOOKUP(Tableau4[[#This Row],[essence]],Tableau6[],25,FALSE)</f>
        <v>0</v>
      </c>
      <c r="AZ74" s="12">
        <f>VLOOKUP(Tableau4[[#This Row],[essence]],Tableau6[],26,FALSE)</f>
        <v>0</v>
      </c>
      <c r="BA74" s="12">
        <f>VLOOKUP(Tableau4[[#This Row],[essence]],Tableau6[],27,FALSE)</f>
        <v>0</v>
      </c>
      <c r="BB74" s="12">
        <f>VLOOKUP(Tableau4[[#This Row],[essence]],Tableau6[],16,FALSE)</f>
        <v>-4.8999999999999998E-4</v>
      </c>
      <c r="BC7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1.4888299999999999</v>
      </c>
      <c r="BD74" s="12">
        <f>Tableau4[[#This Row],[xb_]]+Tableau4[[#This Row],[b_intercept_C]]+Tableau4[[#This Row],[b_dhpcm_x_intercept_C]]*Tableau4[[#This Row],[dhpcm]]</f>
        <v>2.3106299999999997</v>
      </c>
      <c r="BE74" s="12">
        <f>Tableau4[[#This Row],[xb_]]+Tableau4[[#This Row],[b_intercept_B]]+Tableau4[[#This Row],[b_dhpcm_x_intercept_B]]*Tableau4[[#This Row],[dhpcm]]</f>
        <v>0.80772999999999984</v>
      </c>
      <c r="BF74" s="12">
        <f>Tableau4[[#This Row],[xb_]]+Tableau4[[#This Row],[b_intercept_A]]+Tableau4[[#This Row],[b_dhpcm_x_intercept_A]]*Tableau4[[#This Row],[dhpcm]]</f>
        <v>-0.3048700000000002</v>
      </c>
      <c r="BG74" s="12">
        <f>1/(1+EXP(-Tableau4[[#This Row],[xb_c]]))</f>
        <v>0.90975359290681479</v>
      </c>
      <c r="BH74" s="12">
        <f>1/(1+EXP(-Tableau4[[#This Row],[xb_b]]))</f>
        <v>0.69162557023140425</v>
      </c>
      <c r="BI74" s="12">
        <f>1/(1+EXP(-Tableau4[[#This Row],[xb_a]]))</f>
        <v>0.42436740500754749</v>
      </c>
      <c r="BJ74" s="12">
        <f>Tableau4[[#This Row],[prob_a]]</f>
        <v>0.42436740500754749</v>
      </c>
      <c r="BK74" s="12">
        <f>Tableau4[[#This Row],[prob_b]]-Tableau4[[#This Row],[prob_a]]</f>
        <v>0.26725816522385676</v>
      </c>
      <c r="BL74" s="12">
        <f>Tableau4[[#This Row],[prob_c]]-Tableau4[[#This Row],[prob_b]]</f>
        <v>0.21812802267541054</v>
      </c>
      <c r="BM74" s="12">
        <f>1-Tableau4[[#This Row],[prob_c]]</f>
        <v>9.024640709318521E-2</v>
      </c>
    </row>
    <row r="75" spans="1:65" x14ac:dyDescent="0.25">
      <c r="A75" s="12">
        <v>4</v>
      </c>
      <c r="B75" s="12" t="s">
        <v>12</v>
      </c>
      <c r="C75" s="12">
        <v>2.1</v>
      </c>
      <c r="D75" s="12">
        <v>700</v>
      </c>
      <c r="E75" s="12">
        <v>20</v>
      </c>
      <c r="F75" s="12">
        <v>1</v>
      </c>
      <c r="G75" s="12">
        <v>50</v>
      </c>
      <c r="H75" s="12">
        <v>113</v>
      </c>
      <c r="I75" s="12" t="s">
        <v>19</v>
      </c>
      <c r="J75" s="12" t="s">
        <v>28</v>
      </c>
      <c r="K75" s="12">
        <f>VLOOKUP(Tableau4[[#This Row],[essence]],Tableau6[],2,FALSE)</f>
        <v>-1.7937000000000001</v>
      </c>
      <c r="L75" s="12">
        <f>VLOOKUP(Tableau4[[#This Row],[essence]],Tableau6[],3,FALSE)</f>
        <v>-0.68110000000000004</v>
      </c>
      <c r="M75" s="12">
        <f>VLOOKUP(Tableau4[[#This Row],[essence]],Tableau6[],4,FALSE)</f>
        <v>0.82179999999999997</v>
      </c>
      <c r="N75" s="12">
        <f>VLOOKUP(Tableau4[[#This Row],[essence]],Tableau6[],5,FALSE)</f>
        <v>1.5014000000000001</v>
      </c>
      <c r="O75" s="12">
        <f>IF(Tableau4[[#This Row],[priorecol]]="C",1,0)</f>
        <v>0</v>
      </c>
      <c r="P75" s="12">
        <f>VLOOKUP(Tableau4[[#This Row],[essence]],Tableau6[],6,FALSE)</f>
        <v>2.3875000000000002</v>
      </c>
      <c r="Q75" s="12">
        <f>IF(Tableau4[[#This Row],[priorecol]]="R",1,0)</f>
        <v>1</v>
      </c>
      <c r="R75" s="12">
        <f>VLOOKUP(Tableau4[[#This Row],[essence]],Tableau6[],7,FALSE)</f>
        <v>0.94669999999999999</v>
      </c>
      <c r="S75" s="12">
        <f>IF(Tableau4[[#This Row],[priorecol]]="S",1,0)</f>
        <v>0</v>
      </c>
      <c r="T75" s="12">
        <f>VLOOKUP(Tableau4[[#This Row],[essence]],Tableau6[],20,FALSE)</f>
        <v>0</v>
      </c>
      <c r="U75" s="12">
        <f>VLOOKUP(Tableau4[[#This Row],[essence]],Tableau6[],15,FALSE)</f>
        <v>6.4000000000000003E-3</v>
      </c>
      <c r="V75" s="12">
        <f>VLOOKUP(Tableau4[[#This Row],[essence]],Tableau6[],28,FALSE)</f>
        <v>0</v>
      </c>
      <c r="W75" s="12">
        <f>IF(Tableau4[[#This Row],[sdom]]=1,1,0)</f>
        <v>0</v>
      </c>
      <c r="X75" s="12">
        <f>VLOOKUP(Tableau4[[#This Row],[essence]],Tableau6[],8,FALSE)</f>
        <v>9.4399999999999998E-2</v>
      </c>
      <c r="Y75" s="12">
        <f>IF(Tableau4[[#This Row],[sdom]]="2EST",1,0)</f>
        <v>0</v>
      </c>
      <c r="Z75" s="12">
        <f>VLOOKUP(Tableau4[[#This Row],[essence]],Tableau6[],9,FALSE)</f>
        <v>-0.40260000000000001</v>
      </c>
      <c r="AA75" s="12">
        <f>IF(Tableau4[[#This Row],[sdom]]="2OUEST",1,0)</f>
        <v>0</v>
      </c>
      <c r="AB75" s="12">
        <f>VLOOKUP(Tableau4[[#This Row],[essence]],Tableau6[],10,FALSE)</f>
        <v>-3.5699999999999998E-3</v>
      </c>
      <c r="AC75" s="12">
        <f>IF(Tableau4[[#This Row],[sdom]]="3EST",1,0)</f>
        <v>1</v>
      </c>
      <c r="AD75" s="12">
        <f>VLOOKUP(Tableau4[[#This Row],[essence]],Tableau6[],11,FALSE)</f>
        <v>0.14949999999999999</v>
      </c>
      <c r="AE75" s="12">
        <f>IF(Tableau4[[#This Row],[sdom]]="3OUEST",1,0)</f>
        <v>0</v>
      </c>
      <c r="AF75" s="12">
        <f>VLOOKUP(Tableau4[[#This Row],[essence]],Tableau6[],12,FALSE)</f>
        <v>-0.1822</v>
      </c>
      <c r="AG75" s="12">
        <f>IF(Tableau4[[#This Row],[sdom]]="4EST",1,0)</f>
        <v>0</v>
      </c>
      <c r="AH75" s="12">
        <f>VLOOKUP(Tableau4[[#This Row],[essence]],Tableau6[],13,FALSE)</f>
        <v>-0.1013</v>
      </c>
      <c r="AI75" s="12">
        <f>IF(Tableau4[[#This Row],[sdom]]="4OUEST",1,0)</f>
        <v>0</v>
      </c>
      <c r="AJ75" s="12">
        <f>VLOOKUP(Tableau4[[#This Row],[essence]],Tableau6[],14,FALSE)</f>
        <v>-0.33779999999999999</v>
      </c>
      <c r="AK75" s="12">
        <f>IF(Tableau4[[#This Row],[sdom]]="5EST",1,0)</f>
        <v>0</v>
      </c>
      <c r="AL75" s="12">
        <f>VLOOKUP(Tableau4[[#This Row],[essence]],Tableau6[],17,FALSE)</f>
        <v>1.03E-2</v>
      </c>
      <c r="AM75" s="12">
        <f>IF(Tableau4[[#This Row],[priorecol]]="C",1,0)</f>
        <v>0</v>
      </c>
      <c r="AN75" s="12">
        <f>VLOOKUP(Tableau4[[#This Row],[essence]],Tableau6[],18,FALSE)</f>
        <v>1.23E-2</v>
      </c>
      <c r="AO75" s="12">
        <f>IF(Tableau4[[#This Row],[priorecol]]="R",1,0)</f>
        <v>1</v>
      </c>
      <c r="AP75" s="12">
        <f>VLOOKUP(Tableau4[[#This Row],[essence]],Tableau6[],19,FALSE)</f>
        <v>1.2800000000000001E-2</v>
      </c>
      <c r="AQ75" s="12">
        <f>IF(Tableau4[[#This Row],[priorecol]]="S",1,0)</f>
        <v>0</v>
      </c>
      <c r="AR75" s="12">
        <f>VLOOKUP(Tableau4[[#This Row],[essence]],Tableau6[],21,FALSE)</f>
        <v>0</v>
      </c>
      <c r="AS75" s="12">
        <f>IF(Tableau4[[#This Row],[priorecol]]="C",1,0)</f>
        <v>0</v>
      </c>
      <c r="AT75" s="12">
        <f>VLOOKUP(Tableau4[[#This Row],[essence]],Tableau6[],22,FALSE)</f>
        <v>0</v>
      </c>
      <c r="AU75" s="12">
        <f>IF(Tableau4[[#This Row],[priorecol]]="R",1,0)</f>
        <v>1</v>
      </c>
      <c r="AV75" s="12">
        <f>VLOOKUP(Tableau4[[#This Row],[essence]],Tableau6[],23,FALSE)</f>
        <v>0</v>
      </c>
      <c r="AW75" s="12">
        <f>IF(Tableau4[[#This Row],[priorecol]]="S",1,0)</f>
        <v>0</v>
      </c>
      <c r="AX75" s="12">
        <f>VLOOKUP(Tableau4[[#This Row],[essence]],Tableau6[],24,FALSE)</f>
        <v>0</v>
      </c>
      <c r="AY75" s="12">
        <f>VLOOKUP(Tableau4[[#This Row],[essence]],Tableau6[],25,FALSE)</f>
        <v>0</v>
      </c>
      <c r="AZ75" s="12">
        <f>VLOOKUP(Tableau4[[#This Row],[essence]],Tableau6[],26,FALSE)</f>
        <v>0</v>
      </c>
      <c r="BA75" s="12">
        <f>VLOOKUP(Tableau4[[#This Row],[essence]],Tableau6[],27,FALSE)</f>
        <v>0</v>
      </c>
      <c r="BB75" s="12">
        <f>VLOOKUP(Tableau4[[#This Row],[essence]],Tableau6[],16,FALSE)</f>
        <v>-4.8999999999999998E-4</v>
      </c>
      <c r="BC7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2.4149300000000005</v>
      </c>
      <c r="BD75" s="12">
        <f>Tableau4[[#This Row],[xb_]]+Tableau4[[#This Row],[b_intercept_C]]+Tableau4[[#This Row],[b_dhpcm_x_intercept_C]]*Tableau4[[#This Row],[dhpcm]]</f>
        <v>3.2367300000000006</v>
      </c>
      <c r="BE75" s="12">
        <f>Tableau4[[#This Row],[xb_]]+Tableau4[[#This Row],[b_intercept_B]]+Tableau4[[#This Row],[b_dhpcm_x_intercept_B]]*Tableau4[[#This Row],[dhpcm]]</f>
        <v>1.7338300000000004</v>
      </c>
      <c r="BF75" s="12">
        <f>Tableau4[[#This Row],[xb_]]+Tableau4[[#This Row],[b_intercept_A]]+Tableau4[[#This Row],[b_dhpcm_x_intercept_A]]*Tableau4[[#This Row],[dhpcm]]</f>
        <v>0.62123000000000039</v>
      </c>
      <c r="BG75" s="12">
        <f>1/(1+EXP(-Tableau4[[#This Row],[xb_c]]))</f>
        <v>0.96219333527016748</v>
      </c>
      <c r="BH75" s="12">
        <f>1/(1+EXP(-Tableau4[[#This Row],[xb_b]]))</f>
        <v>0.84990166390498689</v>
      </c>
      <c r="BI75" s="12">
        <f>1/(1+EXP(-Tableau4[[#This Row],[xb_a]]))</f>
        <v>0.65049824115692501</v>
      </c>
      <c r="BJ75" s="12">
        <f>Tableau4[[#This Row],[prob_a]]</f>
        <v>0.65049824115692501</v>
      </c>
      <c r="BK75" s="12">
        <f>Tableau4[[#This Row],[prob_b]]-Tableau4[[#This Row],[prob_a]]</f>
        <v>0.19940342274806189</v>
      </c>
      <c r="BL75" s="12">
        <f>Tableau4[[#This Row],[prob_c]]-Tableau4[[#This Row],[prob_b]]</f>
        <v>0.11229167136518059</v>
      </c>
      <c r="BM75" s="12">
        <f>1-Tableau4[[#This Row],[prob_c]]</f>
        <v>3.7806664729832518E-2</v>
      </c>
    </row>
    <row r="76" spans="1:65" x14ac:dyDescent="0.25">
      <c r="A76" s="12">
        <v>4</v>
      </c>
      <c r="B76" s="12" t="s">
        <v>12</v>
      </c>
      <c r="C76" s="12">
        <v>2.1</v>
      </c>
      <c r="D76" s="12">
        <v>700</v>
      </c>
      <c r="E76" s="12">
        <v>20</v>
      </c>
      <c r="F76" s="12">
        <v>1</v>
      </c>
      <c r="G76" s="12">
        <v>51</v>
      </c>
      <c r="H76" s="12">
        <v>114</v>
      </c>
      <c r="I76" s="12" t="s">
        <v>19</v>
      </c>
      <c r="J76" s="12" t="s">
        <v>29</v>
      </c>
      <c r="K76" s="12">
        <f>VLOOKUP(Tableau4[[#This Row],[essence]],Tableau6[],2,FALSE)</f>
        <v>-1.7937000000000001</v>
      </c>
      <c r="L76" s="12">
        <f>VLOOKUP(Tableau4[[#This Row],[essence]],Tableau6[],3,FALSE)</f>
        <v>-0.68110000000000004</v>
      </c>
      <c r="M76" s="12">
        <f>VLOOKUP(Tableau4[[#This Row],[essence]],Tableau6[],4,FALSE)</f>
        <v>0.82179999999999997</v>
      </c>
      <c r="N76" s="12">
        <f>VLOOKUP(Tableau4[[#This Row],[essence]],Tableau6[],5,FALSE)</f>
        <v>1.5014000000000001</v>
      </c>
      <c r="O76" s="12">
        <f>IF(Tableau4[[#This Row],[priorecol]]="C",1,0)</f>
        <v>0</v>
      </c>
      <c r="P76" s="12">
        <f>VLOOKUP(Tableau4[[#This Row],[essence]],Tableau6[],6,FALSE)</f>
        <v>2.3875000000000002</v>
      </c>
      <c r="Q76" s="12">
        <f>IF(Tableau4[[#This Row],[priorecol]]="R",1,0)</f>
        <v>0</v>
      </c>
      <c r="R76" s="12">
        <f>VLOOKUP(Tableau4[[#This Row],[essence]],Tableau6[],7,FALSE)</f>
        <v>0.94669999999999999</v>
      </c>
      <c r="S76" s="12">
        <f>IF(Tableau4[[#This Row],[priorecol]]="S",1,0)</f>
        <v>1</v>
      </c>
      <c r="T76" s="12">
        <f>VLOOKUP(Tableau4[[#This Row],[essence]],Tableau6[],20,FALSE)</f>
        <v>0</v>
      </c>
      <c r="U76" s="12">
        <f>VLOOKUP(Tableau4[[#This Row],[essence]],Tableau6[],15,FALSE)</f>
        <v>6.4000000000000003E-3</v>
      </c>
      <c r="V76" s="12">
        <f>VLOOKUP(Tableau4[[#This Row],[essence]],Tableau6[],28,FALSE)</f>
        <v>0</v>
      </c>
      <c r="W76" s="12">
        <f>IF(Tableau4[[#This Row],[sdom]]=1,1,0)</f>
        <v>0</v>
      </c>
      <c r="X76" s="12">
        <f>VLOOKUP(Tableau4[[#This Row],[essence]],Tableau6[],8,FALSE)</f>
        <v>9.4399999999999998E-2</v>
      </c>
      <c r="Y76" s="12">
        <f>IF(Tableau4[[#This Row],[sdom]]="2EST",1,0)</f>
        <v>0</v>
      </c>
      <c r="Z76" s="12">
        <f>VLOOKUP(Tableau4[[#This Row],[essence]],Tableau6[],9,FALSE)</f>
        <v>-0.40260000000000001</v>
      </c>
      <c r="AA76" s="12">
        <f>IF(Tableau4[[#This Row],[sdom]]="2OUEST",1,0)</f>
        <v>0</v>
      </c>
      <c r="AB76" s="12">
        <f>VLOOKUP(Tableau4[[#This Row],[essence]],Tableau6[],10,FALSE)</f>
        <v>-3.5699999999999998E-3</v>
      </c>
      <c r="AC76" s="12">
        <f>IF(Tableau4[[#This Row],[sdom]]="3EST",1,0)</f>
        <v>1</v>
      </c>
      <c r="AD76" s="12">
        <f>VLOOKUP(Tableau4[[#This Row],[essence]],Tableau6[],11,FALSE)</f>
        <v>0.14949999999999999</v>
      </c>
      <c r="AE76" s="12">
        <f>IF(Tableau4[[#This Row],[sdom]]="3OUEST",1,0)</f>
        <v>0</v>
      </c>
      <c r="AF76" s="12">
        <f>VLOOKUP(Tableau4[[#This Row],[essence]],Tableau6[],12,FALSE)</f>
        <v>-0.1822</v>
      </c>
      <c r="AG76" s="12">
        <f>IF(Tableau4[[#This Row],[sdom]]="4EST",1,0)</f>
        <v>0</v>
      </c>
      <c r="AH76" s="12">
        <f>VLOOKUP(Tableau4[[#This Row],[essence]],Tableau6[],13,FALSE)</f>
        <v>-0.1013</v>
      </c>
      <c r="AI76" s="12">
        <f>IF(Tableau4[[#This Row],[sdom]]="4OUEST",1,0)</f>
        <v>0</v>
      </c>
      <c r="AJ76" s="12">
        <f>VLOOKUP(Tableau4[[#This Row],[essence]],Tableau6[],14,FALSE)</f>
        <v>-0.33779999999999999</v>
      </c>
      <c r="AK76" s="12">
        <f>IF(Tableau4[[#This Row],[sdom]]="5EST",1,0)</f>
        <v>0</v>
      </c>
      <c r="AL76" s="12">
        <f>VLOOKUP(Tableau4[[#This Row],[essence]],Tableau6[],17,FALSE)</f>
        <v>1.03E-2</v>
      </c>
      <c r="AM76" s="12">
        <f>IF(Tableau4[[#This Row],[priorecol]]="C",1,0)</f>
        <v>0</v>
      </c>
      <c r="AN76" s="12">
        <f>VLOOKUP(Tableau4[[#This Row],[essence]],Tableau6[],18,FALSE)</f>
        <v>1.23E-2</v>
      </c>
      <c r="AO76" s="12">
        <f>IF(Tableau4[[#This Row],[priorecol]]="R",1,0)</f>
        <v>0</v>
      </c>
      <c r="AP76" s="12">
        <f>VLOOKUP(Tableau4[[#This Row],[essence]],Tableau6[],19,FALSE)</f>
        <v>1.2800000000000001E-2</v>
      </c>
      <c r="AQ76" s="12">
        <f>IF(Tableau4[[#This Row],[priorecol]]="S",1,0)</f>
        <v>1</v>
      </c>
      <c r="AR76" s="12">
        <f>VLOOKUP(Tableau4[[#This Row],[essence]],Tableau6[],21,FALSE)</f>
        <v>0</v>
      </c>
      <c r="AS76" s="12">
        <f>IF(Tableau4[[#This Row],[priorecol]]="C",1,0)</f>
        <v>0</v>
      </c>
      <c r="AT76" s="12">
        <f>VLOOKUP(Tableau4[[#This Row],[essence]],Tableau6[],22,FALSE)</f>
        <v>0</v>
      </c>
      <c r="AU76" s="12">
        <f>IF(Tableau4[[#This Row],[priorecol]]="R",1,0)</f>
        <v>0</v>
      </c>
      <c r="AV76" s="12">
        <f>VLOOKUP(Tableau4[[#This Row],[essence]],Tableau6[],23,FALSE)</f>
        <v>0</v>
      </c>
      <c r="AW76" s="12">
        <f>IF(Tableau4[[#This Row],[priorecol]]="S",1,0)</f>
        <v>1</v>
      </c>
      <c r="AX76" s="12">
        <f>VLOOKUP(Tableau4[[#This Row],[essence]],Tableau6[],24,FALSE)</f>
        <v>0</v>
      </c>
      <c r="AY76" s="12">
        <f>VLOOKUP(Tableau4[[#This Row],[essence]],Tableau6[],25,FALSE)</f>
        <v>0</v>
      </c>
      <c r="AZ76" s="12">
        <f>VLOOKUP(Tableau4[[#This Row],[essence]],Tableau6[],26,FALSE)</f>
        <v>0</v>
      </c>
      <c r="BA76" s="12">
        <f>VLOOKUP(Tableau4[[#This Row],[essence]],Tableau6[],27,FALSE)</f>
        <v>0</v>
      </c>
      <c r="BB76" s="12">
        <f>VLOOKUP(Tableau4[[#This Row],[essence]],Tableau6[],16,FALSE)</f>
        <v>-4.8999999999999998E-4</v>
      </c>
      <c r="BC7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0.98412999999999995</v>
      </c>
      <c r="BD76" s="12">
        <f>Tableau4[[#This Row],[xb_]]+Tableau4[[#This Row],[b_intercept_C]]+Tableau4[[#This Row],[b_dhpcm_x_intercept_C]]*Tableau4[[#This Row],[dhpcm]]</f>
        <v>1.80593</v>
      </c>
      <c r="BE76" s="12">
        <f>Tableau4[[#This Row],[xb_]]+Tableau4[[#This Row],[b_intercept_B]]+Tableau4[[#This Row],[b_dhpcm_x_intercept_B]]*Tableau4[[#This Row],[dhpcm]]</f>
        <v>0.30302999999999991</v>
      </c>
      <c r="BF76" s="12">
        <f>Tableau4[[#This Row],[xb_]]+Tableau4[[#This Row],[b_intercept_A]]+Tableau4[[#This Row],[b_dhpcm_x_intercept_A]]*Tableau4[[#This Row],[dhpcm]]</f>
        <v>-0.80957000000000012</v>
      </c>
      <c r="BG76" s="12">
        <f>1/(1+EXP(-Tableau4[[#This Row],[xb_c]]))</f>
        <v>0.85886925813780568</v>
      </c>
      <c r="BH76" s="12">
        <f>1/(1+EXP(-Tableau4[[#This Row],[xb_b]]))</f>
        <v>0.57518305789245472</v>
      </c>
      <c r="BI76" s="12">
        <f>1/(1+EXP(-Tableau4[[#This Row],[xb_a]]))</f>
        <v>0.30798213366023841</v>
      </c>
      <c r="BJ76" s="12">
        <f>Tableau4[[#This Row],[prob_a]]</f>
        <v>0.30798213366023841</v>
      </c>
      <c r="BK76" s="12">
        <f>Tableau4[[#This Row],[prob_b]]-Tableau4[[#This Row],[prob_a]]</f>
        <v>0.26720092423221631</v>
      </c>
      <c r="BL76" s="12">
        <f>Tableau4[[#This Row],[prob_c]]-Tableau4[[#This Row],[prob_b]]</f>
        <v>0.28368620024535096</v>
      </c>
      <c r="BM76" s="12">
        <f>1-Tableau4[[#This Row],[prob_c]]</f>
        <v>0.14113074186219432</v>
      </c>
    </row>
    <row r="77" spans="1:65" x14ac:dyDescent="0.25">
      <c r="A77" s="12">
        <v>4</v>
      </c>
      <c r="B77" s="12" t="s">
        <v>12</v>
      </c>
      <c r="C77" s="12">
        <v>2.1</v>
      </c>
      <c r="D77" s="12">
        <v>700</v>
      </c>
      <c r="E77" s="12">
        <v>20</v>
      </c>
      <c r="F77" s="12">
        <v>1</v>
      </c>
      <c r="G77" s="12">
        <v>52</v>
      </c>
      <c r="H77" s="12">
        <v>115</v>
      </c>
      <c r="I77" s="12" t="s">
        <v>20</v>
      </c>
      <c r="J77" s="12" t="s">
        <v>27</v>
      </c>
      <c r="K77" s="12">
        <f>VLOOKUP(Tableau4[[#This Row],[essence]],Tableau6[],2,FALSE)</f>
        <v>1.0688</v>
      </c>
      <c r="L77" s="12">
        <f>VLOOKUP(Tableau4[[#This Row],[essence]],Tableau6[],3,FALSE)</f>
        <v>2.0478000000000001</v>
      </c>
      <c r="M77" s="12">
        <f>VLOOKUP(Tableau4[[#This Row],[essence]],Tableau6[],4,FALSE)</f>
        <v>3.3382999999999998</v>
      </c>
      <c r="N77" s="12">
        <f>VLOOKUP(Tableau4[[#This Row],[essence]],Tableau6[],5,FALSE)</f>
        <v>-1.2143999999999999</v>
      </c>
      <c r="O77" s="12">
        <f>IF(Tableau4[[#This Row],[priorecol]]="C",1,0)</f>
        <v>1</v>
      </c>
      <c r="P77" s="12">
        <f>VLOOKUP(Tableau4[[#This Row],[essence]],Tableau6[],6,FALSE)</f>
        <v>-1.2690999999999999</v>
      </c>
      <c r="Q77" s="12">
        <f>IF(Tableau4[[#This Row],[priorecol]]="R",1,0)</f>
        <v>0</v>
      </c>
      <c r="R77" s="12">
        <f>VLOOKUP(Tableau4[[#This Row],[essence]],Tableau6[],7,FALSE)</f>
        <v>-7.1900000000000006E-2</v>
      </c>
      <c r="S77" s="12">
        <f>IF(Tableau4[[#This Row],[priorecol]]="S",1,0)</f>
        <v>0</v>
      </c>
      <c r="T77" s="12">
        <f>VLOOKUP(Tableau4[[#This Row],[essence]],Tableau6[],20,FALSE)</f>
        <v>-3.04E-2</v>
      </c>
      <c r="U77" s="12">
        <f>VLOOKUP(Tableau4[[#This Row],[essence]],Tableau6[],15,FALSE)</f>
        <v>1.4200000000000001E-2</v>
      </c>
      <c r="V77" s="12">
        <f>VLOOKUP(Tableau4[[#This Row],[essence]],Tableau6[],28,FALSE)</f>
        <v>0</v>
      </c>
      <c r="W77" s="12">
        <f>IF(Tableau4[[#This Row],[sdom]]=1,1,0)</f>
        <v>0</v>
      </c>
      <c r="X77" s="12">
        <f>VLOOKUP(Tableau4[[#This Row],[essence]],Tableau6[],8,FALSE)</f>
        <v>0</v>
      </c>
      <c r="Y77" s="12">
        <f>IF(Tableau4[[#This Row],[sdom]]="2EST",1,0)</f>
        <v>0</v>
      </c>
      <c r="Z77" s="12">
        <f>VLOOKUP(Tableau4[[#This Row],[essence]],Tableau6[],9,FALSE)</f>
        <v>0</v>
      </c>
      <c r="AA77" s="12">
        <f>IF(Tableau4[[#This Row],[sdom]]="2OUEST",1,0)</f>
        <v>0</v>
      </c>
      <c r="AB77" s="12">
        <f>VLOOKUP(Tableau4[[#This Row],[essence]],Tableau6[],10,FALSE)</f>
        <v>0</v>
      </c>
      <c r="AC77" s="12">
        <f>IF(Tableau4[[#This Row],[sdom]]="3EST",1,0)</f>
        <v>1</v>
      </c>
      <c r="AD77" s="12">
        <f>VLOOKUP(Tableau4[[#This Row],[essence]],Tableau6[],11,FALSE)</f>
        <v>0</v>
      </c>
      <c r="AE77" s="12">
        <f>IF(Tableau4[[#This Row],[sdom]]="3OUEST",1,0)</f>
        <v>0</v>
      </c>
      <c r="AF77" s="12">
        <f>VLOOKUP(Tableau4[[#This Row],[essence]],Tableau6[],12,FALSE)</f>
        <v>0</v>
      </c>
      <c r="AG77" s="12">
        <f>IF(Tableau4[[#This Row],[sdom]]="4EST",1,0)</f>
        <v>0</v>
      </c>
      <c r="AH77" s="12">
        <f>VLOOKUP(Tableau4[[#This Row],[essence]],Tableau6[],13,FALSE)</f>
        <v>0</v>
      </c>
      <c r="AI77" s="12">
        <f>IF(Tableau4[[#This Row],[sdom]]="4OUEST",1,0)</f>
        <v>0</v>
      </c>
      <c r="AJ77" s="12">
        <f>VLOOKUP(Tableau4[[#This Row],[essence]],Tableau6[],14,FALSE)</f>
        <v>0</v>
      </c>
      <c r="AK77" s="12">
        <f>IF(Tableau4[[#This Row],[sdom]]="5EST",1,0)</f>
        <v>0</v>
      </c>
      <c r="AL77" s="12">
        <f>VLOOKUP(Tableau4[[#This Row],[essence]],Tableau6[],17,FALSE)</f>
        <v>0</v>
      </c>
      <c r="AM77" s="12">
        <f>IF(Tableau4[[#This Row],[priorecol]]="C",1,0)</f>
        <v>1</v>
      </c>
      <c r="AN77" s="12">
        <f>VLOOKUP(Tableau4[[#This Row],[essence]],Tableau6[],18,FALSE)</f>
        <v>0</v>
      </c>
      <c r="AO77" s="12">
        <f>IF(Tableau4[[#This Row],[priorecol]]="R",1,0)</f>
        <v>0</v>
      </c>
      <c r="AP77" s="12">
        <f>VLOOKUP(Tableau4[[#This Row],[essence]],Tableau6[],19,FALSE)</f>
        <v>0</v>
      </c>
      <c r="AQ77" s="12">
        <f>IF(Tableau4[[#This Row],[priorecol]]="S",1,0)</f>
        <v>0</v>
      </c>
      <c r="AR77" s="12">
        <f>VLOOKUP(Tableau4[[#This Row],[essence]],Tableau6[],21,FALSE)</f>
        <v>5.4600000000000003E-2</v>
      </c>
      <c r="AS77" s="12">
        <f>IF(Tableau4[[#This Row],[priorecol]]="C",1,0)</f>
        <v>1</v>
      </c>
      <c r="AT77" s="12">
        <f>VLOOKUP(Tableau4[[#This Row],[essence]],Tableau6[],22,FALSE)</f>
        <v>6.7900000000000002E-2</v>
      </c>
      <c r="AU77" s="12">
        <f>IF(Tableau4[[#This Row],[priorecol]]="R",1,0)</f>
        <v>0</v>
      </c>
      <c r="AV77" s="12">
        <f>VLOOKUP(Tableau4[[#This Row],[essence]],Tableau6[],23,FALSE)</f>
        <v>1.8700000000000001E-2</v>
      </c>
      <c r="AW77" s="12">
        <f>IF(Tableau4[[#This Row],[priorecol]]="S",1,0)</f>
        <v>0</v>
      </c>
      <c r="AX77" s="12">
        <f>VLOOKUP(Tableau4[[#This Row],[essence]],Tableau6[],24,FALSE)</f>
        <v>0</v>
      </c>
      <c r="AY77" s="12">
        <f>VLOOKUP(Tableau4[[#This Row],[essence]],Tableau6[],25,FALSE)</f>
        <v>0</v>
      </c>
      <c r="AZ77" s="12">
        <f>VLOOKUP(Tableau4[[#This Row],[essence]],Tableau6[],26,FALSE)</f>
        <v>0</v>
      </c>
      <c r="BA77" s="12">
        <f>VLOOKUP(Tableau4[[#This Row],[essence]],Tableau6[],27,FALSE)</f>
        <v>0</v>
      </c>
      <c r="BB77" s="12">
        <f>VLOOKUP(Tableau4[[#This Row],[essence]],Tableau6[],16,FALSE)</f>
        <v>-1.33E-3</v>
      </c>
      <c r="BC7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0.92159999999999975</v>
      </c>
      <c r="BD77" s="12">
        <f>Tableau4[[#This Row],[xb_]]+Tableau4[[#This Row],[b_intercept_C]]+Tableau4[[#This Row],[b_dhpcm_x_intercept_C]]*Tableau4[[#This Row],[dhpcm]]</f>
        <v>4.2599</v>
      </c>
      <c r="BE77" s="12">
        <f>Tableau4[[#This Row],[xb_]]+Tableau4[[#This Row],[b_intercept_B]]+Tableau4[[#This Row],[b_dhpcm_x_intercept_B]]*Tableau4[[#This Row],[dhpcm]]</f>
        <v>2.9693999999999998</v>
      </c>
      <c r="BF77" s="12">
        <f>Tableau4[[#This Row],[xb_]]+Tableau4[[#This Row],[b_intercept_A]]+Tableau4[[#This Row],[b_dhpcm_x_intercept_A]]*Tableau4[[#This Row],[dhpcm]]</f>
        <v>1.9903999999999997</v>
      </c>
      <c r="BG77" s="12">
        <f>1/(1+EXP(-Tableau4[[#This Row],[xb_c]]))</f>
        <v>0.98607298645506625</v>
      </c>
      <c r="BH77" s="12">
        <f>1/(1+EXP(-Tableau4[[#This Row],[xb_b]]))</f>
        <v>0.95117241847415024</v>
      </c>
      <c r="BI77" s="12">
        <f>1/(1+EXP(-Tableau4[[#This Row],[xb_a]]))</f>
        <v>0.87978544916446311</v>
      </c>
      <c r="BJ77" s="12">
        <f>Tableau4[[#This Row],[prob_a]]</f>
        <v>0.87978544916446311</v>
      </c>
      <c r="BK77" s="12">
        <f>Tableau4[[#This Row],[prob_b]]-Tableau4[[#This Row],[prob_a]]</f>
        <v>7.1386969309687132E-2</v>
      </c>
      <c r="BL77" s="12">
        <f>Tableau4[[#This Row],[prob_c]]-Tableau4[[#This Row],[prob_b]]</f>
        <v>3.4900567980916009E-2</v>
      </c>
      <c r="BM77" s="12">
        <f>1-Tableau4[[#This Row],[prob_c]]</f>
        <v>1.3927013544933753E-2</v>
      </c>
    </row>
    <row r="78" spans="1:65" x14ac:dyDescent="0.25">
      <c r="A78" s="12">
        <v>4</v>
      </c>
      <c r="B78" s="12" t="s">
        <v>12</v>
      </c>
      <c r="C78" s="12">
        <v>2.1</v>
      </c>
      <c r="D78" s="12">
        <v>700</v>
      </c>
      <c r="E78" s="12">
        <v>20</v>
      </c>
      <c r="F78" s="12">
        <v>1</v>
      </c>
      <c r="G78" s="12">
        <v>53</v>
      </c>
      <c r="H78" s="12">
        <v>116</v>
      </c>
      <c r="I78" s="12" t="s">
        <v>20</v>
      </c>
      <c r="J78" s="12" t="s">
        <v>28</v>
      </c>
      <c r="K78" s="12">
        <f>VLOOKUP(Tableau4[[#This Row],[essence]],Tableau6[],2,FALSE)</f>
        <v>1.0688</v>
      </c>
      <c r="L78" s="12">
        <f>VLOOKUP(Tableau4[[#This Row],[essence]],Tableau6[],3,FALSE)</f>
        <v>2.0478000000000001</v>
      </c>
      <c r="M78" s="12">
        <f>VLOOKUP(Tableau4[[#This Row],[essence]],Tableau6[],4,FALSE)</f>
        <v>3.3382999999999998</v>
      </c>
      <c r="N78" s="12">
        <f>VLOOKUP(Tableau4[[#This Row],[essence]],Tableau6[],5,FALSE)</f>
        <v>-1.2143999999999999</v>
      </c>
      <c r="O78" s="12">
        <f>IF(Tableau4[[#This Row],[priorecol]]="C",1,0)</f>
        <v>0</v>
      </c>
      <c r="P78" s="12">
        <f>VLOOKUP(Tableau4[[#This Row],[essence]],Tableau6[],6,FALSE)</f>
        <v>-1.2690999999999999</v>
      </c>
      <c r="Q78" s="12">
        <f>IF(Tableau4[[#This Row],[priorecol]]="R",1,0)</f>
        <v>1</v>
      </c>
      <c r="R78" s="12">
        <f>VLOOKUP(Tableau4[[#This Row],[essence]],Tableau6[],7,FALSE)</f>
        <v>-7.1900000000000006E-2</v>
      </c>
      <c r="S78" s="12">
        <f>IF(Tableau4[[#This Row],[priorecol]]="S",1,0)</f>
        <v>0</v>
      </c>
      <c r="T78" s="12">
        <f>VLOOKUP(Tableau4[[#This Row],[essence]],Tableau6[],20,FALSE)</f>
        <v>-3.04E-2</v>
      </c>
      <c r="U78" s="12">
        <f>VLOOKUP(Tableau4[[#This Row],[essence]],Tableau6[],15,FALSE)</f>
        <v>1.4200000000000001E-2</v>
      </c>
      <c r="V78" s="12">
        <f>VLOOKUP(Tableau4[[#This Row],[essence]],Tableau6[],28,FALSE)</f>
        <v>0</v>
      </c>
      <c r="W78" s="12">
        <f>IF(Tableau4[[#This Row],[sdom]]=1,1,0)</f>
        <v>0</v>
      </c>
      <c r="X78" s="12">
        <f>VLOOKUP(Tableau4[[#This Row],[essence]],Tableau6[],8,FALSE)</f>
        <v>0</v>
      </c>
      <c r="Y78" s="12">
        <f>IF(Tableau4[[#This Row],[sdom]]="2EST",1,0)</f>
        <v>0</v>
      </c>
      <c r="Z78" s="12">
        <f>VLOOKUP(Tableau4[[#This Row],[essence]],Tableau6[],9,FALSE)</f>
        <v>0</v>
      </c>
      <c r="AA78" s="12">
        <f>IF(Tableau4[[#This Row],[sdom]]="2OUEST",1,0)</f>
        <v>0</v>
      </c>
      <c r="AB78" s="12">
        <f>VLOOKUP(Tableau4[[#This Row],[essence]],Tableau6[],10,FALSE)</f>
        <v>0</v>
      </c>
      <c r="AC78" s="12">
        <f>IF(Tableau4[[#This Row],[sdom]]="3EST",1,0)</f>
        <v>1</v>
      </c>
      <c r="AD78" s="12">
        <f>VLOOKUP(Tableau4[[#This Row],[essence]],Tableau6[],11,FALSE)</f>
        <v>0</v>
      </c>
      <c r="AE78" s="12">
        <f>IF(Tableau4[[#This Row],[sdom]]="3OUEST",1,0)</f>
        <v>0</v>
      </c>
      <c r="AF78" s="12">
        <f>VLOOKUP(Tableau4[[#This Row],[essence]],Tableau6[],12,FALSE)</f>
        <v>0</v>
      </c>
      <c r="AG78" s="12">
        <f>IF(Tableau4[[#This Row],[sdom]]="4EST",1,0)</f>
        <v>0</v>
      </c>
      <c r="AH78" s="12">
        <f>VLOOKUP(Tableau4[[#This Row],[essence]],Tableau6[],13,FALSE)</f>
        <v>0</v>
      </c>
      <c r="AI78" s="12">
        <f>IF(Tableau4[[#This Row],[sdom]]="4OUEST",1,0)</f>
        <v>0</v>
      </c>
      <c r="AJ78" s="12">
        <f>VLOOKUP(Tableau4[[#This Row],[essence]],Tableau6[],14,FALSE)</f>
        <v>0</v>
      </c>
      <c r="AK78" s="12">
        <f>IF(Tableau4[[#This Row],[sdom]]="5EST",1,0)</f>
        <v>0</v>
      </c>
      <c r="AL78" s="12">
        <f>VLOOKUP(Tableau4[[#This Row],[essence]],Tableau6[],17,FALSE)</f>
        <v>0</v>
      </c>
      <c r="AM78" s="12">
        <f>IF(Tableau4[[#This Row],[priorecol]]="C",1,0)</f>
        <v>0</v>
      </c>
      <c r="AN78" s="12">
        <f>VLOOKUP(Tableau4[[#This Row],[essence]],Tableau6[],18,FALSE)</f>
        <v>0</v>
      </c>
      <c r="AO78" s="12">
        <f>IF(Tableau4[[#This Row],[priorecol]]="R",1,0)</f>
        <v>1</v>
      </c>
      <c r="AP78" s="12">
        <f>VLOOKUP(Tableau4[[#This Row],[essence]],Tableau6[],19,FALSE)</f>
        <v>0</v>
      </c>
      <c r="AQ78" s="12">
        <f>IF(Tableau4[[#This Row],[priorecol]]="S",1,0)</f>
        <v>0</v>
      </c>
      <c r="AR78" s="12">
        <f>VLOOKUP(Tableau4[[#This Row],[essence]],Tableau6[],21,FALSE)</f>
        <v>5.4600000000000003E-2</v>
      </c>
      <c r="AS78" s="12">
        <f>IF(Tableau4[[#This Row],[priorecol]]="C",1,0)</f>
        <v>0</v>
      </c>
      <c r="AT78" s="12">
        <f>VLOOKUP(Tableau4[[#This Row],[essence]],Tableau6[],22,FALSE)</f>
        <v>6.7900000000000002E-2</v>
      </c>
      <c r="AU78" s="12">
        <f>IF(Tableau4[[#This Row],[priorecol]]="R",1,0)</f>
        <v>1</v>
      </c>
      <c r="AV78" s="12">
        <f>VLOOKUP(Tableau4[[#This Row],[essence]],Tableau6[],23,FALSE)</f>
        <v>1.8700000000000001E-2</v>
      </c>
      <c r="AW78" s="12">
        <f>IF(Tableau4[[#This Row],[priorecol]]="S",1,0)</f>
        <v>0</v>
      </c>
      <c r="AX78" s="12">
        <f>VLOOKUP(Tableau4[[#This Row],[essence]],Tableau6[],24,FALSE)</f>
        <v>0</v>
      </c>
      <c r="AY78" s="12">
        <f>VLOOKUP(Tableau4[[#This Row],[essence]],Tableau6[],25,FALSE)</f>
        <v>0</v>
      </c>
      <c r="AZ78" s="12">
        <f>VLOOKUP(Tableau4[[#This Row],[essence]],Tableau6[],26,FALSE)</f>
        <v>0</v>
      </c>
      <c r="BA78" s="12">
        <f>VLOOKUP(Tableau4[[#This Row],[essence]],Tableau6[],27,FALSE)</f>
        <v>0</v>
      </c>
      <c r="BB78" s="12">
        <f>VLOOKUP(Tableau4[[#This Row],[essence]],Tableau6[],16,FALSE)</f>
        <v>-1.33E-3</v>
      </c>
      <c r="BC7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2.4338999999999995</v>
      </c>
      <c r="BD78" s="12">
        <f>Tableau4[[#This Row],[xb_]]+Tableau4[[#This Row],[b_intercept_C]]+Tableau4[[#This Row],[b_dhpcm_x_intercept_C]]*Tableau4[[#This Row],[dhpcm]]</f>
        <v>5.7721999999999998</v>
      </c>
      <c r="BE78" s="12">
        <f>Tableau4[[#This Row],[xb_]]+Tableau4[[#This Row],[b_intercept_B]]+Tableau4[[#This Row],[b_dhpcm_x_intercept_B]]*Tableau4[[#This Row],[dhpcm]]</f>
        <v>4.4817</v>
      </c>
      <c r="BF78" s="12">
        <f>Tableau4[[#This Row],[xb_]]+Tableau4[[#This Row],[b_intercept_A]]+Tableau4[[#This Row],[b_dhpcm_x_intercept_A]]*Tableau4[[#This Row],[dhpcm]]</f>
        <v>3.5026999999999995</v>
      </c>
      <c r="BG78" s="12">
        <f>1/(1+EXP(-Tableau4[[#This Row],[xb_c]]))</f>
        <v>0.99689675849351211</v>
      </c>
      <c r="BH78" s="12">
        <f>1/(1+EXP(-Tableau4[[#This Row],[xb_b]]))</f>
        <v>0.98881241543242882</v>
      </c>
      <c r="BI78" s="12">
        <f>1/(1+EXP(-Tableau4[[#This Row],[xb_a]]))</f>
        <v>0.97076449485923055</v>
      </c>
      <c r="BJ78" s="12">
        <f>Tableau4[[#This Row],[prob_a]]</f>
        <v>0.97076449485923055</v>
      </c>
      <c r="BK78" s="12">
        <f>Tableau4[[#This Row],[prob_b]]-Tableau4[[#This Row],[prob_a]]</f>
        <v>1.8047920573198262E-2</v>
      </c>
      <c r="BL78" s="12">
        <f>Tableau4[[#This Row],[prob_c]]-Tableau4[[#This Row],[prob_b]]</f>
        <v>8.0843430610832989E-3</v>
      </c>
      <c r="BM78" s="12">
        <f>1-Tableau4[[#This Row],[prob_c]]</f>
        <v>3.103241506487886E-3</v>
      </c>
    </row>
    <row r="79" spans="1:65" x14ac:dyDescent="0.25">
      <c r="A79" s="12">
        <v>4</v>
      </c>
      <c r="B79" s="12" t="s">
        <v>12</v>
      </c>
      <c r="C79" s="12">
        <v>2.1</v>
      </c>
      <c r="D79" s="12">
        <v>700</v>
      </c>
      <c r="E79" s="12">
        <v>20</v>
      </c>
      <c r="F79" s="12">
        <v>1</v>
      </c>
      <c r="G79" s="12">
        <v>54</v>
      </c>
      <c r="H79" s="12">
        <v>117</v>
      </c>
      <c r="I79" s="12" t="s">
        <v>20</v>
      </c>
      <c r="J79" s="12" t="s">
        <v>29</v>
      </c>
      <c r="K79" s="12">
        <f>VLOOKUP(Tableau4[[#This Row],[essence]],Tableau6[],2,FALSE)</f>
        <v>1.0688</v>
      </c>
      <c r="L79" s="12">
        <f>VLOOKUP(Tableau4[[#This Row],[essence]],Tableau6[],3,FALSE)</f>
        <v>2.0478000000000001</v>
      </c>
      <c r="M79" s="12">
        <f>VLOOKUP(Tableau4[[#This Row],[essence]],Tableau6[],4,FALSE)</f>
        <v>3.3382999999999998</v>
      </c>
      <c r="N79" s="12">
        <f>VLOOKUP(Tableau4[[#This Row],[essence]],Tableau6[],5,FALSE)</f>
        <v>-1.2143999999999999</v>
      </c>
      <c r="O79" s="12">
        <f>IF(Tableau4[[#This Row],[priorecol]]="C",1,0)</f>
        <v>0</v>
      </c>
      <c r="P79" s="12">
        <f>VLOOKUP(Tableau4[[#This Row],[essence]],Tableau6[],6,FALSE)</f>
        <v>-1.2690999999999999</v>
      </c>
      <c r="Q79" s="12">
        <f>IF(Tableau4[[#This Row],[priorecol]]="R",1,0)</f>
        <v>0</v>
      </c>
      <c r="R79" s="12">
        <f>VLOOKUP(Tableau4[[#This Row],[essence]],Tableau6[],7,FALSE)</f>
        <v>-7.1900000000000006E-2</v>
      </c>
      <c r="S79" s="12">
        <f>IF(Tableau4[[#This Row],[priorecol]]="S",1,0)</f>
        <v>1</v>
      </c>
      <c r="T79" s="12">
        <f>VLOOKUP(Tableau4[[#This Row],[essence]],Tableau6[],20,FALSE)</f>
        <v>-3.04E-2</v>
      </c>
      <c r="U79" s="12">
        <f>VLOOKUP(Tableau4[[#This Row],[essence]],Tableau6[],15,FALSE)</f>
        <v>1.4200000000000001E-2</v>
      </c>
      <c r="V79" s="12">
        <f>VLOOKUP(Tableau4[[#This Row],[essence]],Tableau6[],28,FALSE)</f>
        <v>0</v>
      </c>
      <c r="W79" s="12">
        <f>IF(Tableau4[[#This Row],[sdom]]=1,1,0)</f>
        <v>0</v>
      </c>
      <c r="X79" s="12">
        <f>VLOOKUP(Tableau4[[#This Row],[essence]],Tableau6[],8,FALSE)</f>
        <v>0</v>
      </c>
      <c r="Y79" s="12">
        <f>IF(Tableau4[[#This Row],[sdom]]="2EST",1,0)</f>
        <v>0</v>
      </c>
      <c r="Z79" s="12">
        <f>VLOOKUP(Tableau4[[#This Row],[essence]],Tableau6[],9,FALSE)</f>
        <v>0</v>
      </c>
      <c r="AA79" s="12">
        <f>IF(Tableau4[[#This Row],[sdom]]="2OUEST",1,0)</f>
        <v>0</v>
      </c>
      <c r="AB79" s="12">
        <f>VLOOKUP(Tableau4[[#This Row],[essence]],Tableau6[],10,FALSE)</f>
        <v>0</v>
      </c>
      <c r="AC79" s="12">
        <f>IF(Tableau4[[#This Row],[sdom]]="3EST",1,0)</f>
        <v>1</v>
      </c>
      <c r="AD79" s="12">
        <f>VLOOKUP(Tableau4[[#This Row],[essence]],Tableau6[],11,FALSE)</f>
        <v>0</v>
      </c>
      <c r="AE79" s="12">
        <f>IF(Tableau4[[#This Row],[sdom]]="3OUEST",1,0)</f>
        <v>0</v>
      </c>
      <c r="AF79" s="12">
        <f>VLOOKUP(Tableau4[[#This Row],[essence]],Tableau6[],12,FALSE)</f>
        <v>0</v>
      </c>
      <c r="AG79" s="12">
        <f>IF(Tableau4[[#This Row],[sdom]]="4EST",1,0)</f>
        <v>0</v>
      </c>
      <c r="AH79" s="12">
        <f>VLOOKUP(Tableau4[[#This Row],[essence]],Tableau6[],13,FALSE)</f>
        <v>0</v>
      </c>
      <c r="AI79" s="12">
        <f>IF(Tableau4[[#This Row],[sdom]]="4OUEST",1,0)</f>
        <v>0</v>
      </c>
      <c r="AJ79" s="12">
        <f>VLOOKUP(Tableau4[[#This Row],[essence]],Tableau6[],14,FALSE)</f>
        <v>0</v>
      </c>
      <c r="AK79" s="12">
        <f>IF(Tableau4[[#This Row],[sdom]]="5EST",1,0)</f>
        <v>0</v>
      </c>
      <c r="AL79" s="12">
        <f>VLOOKUP(Tableau4[[#This Row],[essence]],Tableau6[],17,FALSE)</f>
        <v>0</v>
      </c>
      <c r="AM79" s="12">
        <f>IF(Tableau4[[#This Row],[priorecol]]="C",1,0)</f>
        <v>0</v>
      </c>
      <c r="AN79" s="12">
        <f>VLOOKUP(Tableau4[[#This Row],[essence]],Tableau6[],18,FALSE)</f>
        <v>0</v>
      </c>
      <c r="AO79" s="12">
        <f>IF(Tableau4[[#This Row],[priorecol]]="R",1,0)</f>
        <v>0</v>
      </c>
      <c r="AP79" s="12">
        <f>VLOOKUP(Tableau4[[#This Row],[essence]],Tableau6[],19,FALSE)</f>
        <v>0</v>
      </c>
      <c r="AQ79" s="12">
        <f>IF(Tableau4[[#This Row],[priorecol]]="S",1,0)</f>
        <v>1</v>
      </c>
      <c r="AR79" s="12">
        <f>VLOOKUP(Tableau4[[#This Row],[essence]],Tableau6[],21,FALSE)</f>
        <v>5.4600000000000003E-2</v>
      </c>
      <c r="AS79" s="12">
        <f>IF(Tableau4[[#This Row],[priorecol]]="C",1,0)</f>
        <v>0</v>
      </c>
      <c r="AT79" s="12">
        <f>VLOOKUP(Tableau4[[#This Row],[essence]],Tableau6[],22,FALSE)</f>
        <v>6.7900000000000002E-2</v>
      </c>
      <c r="AU79" s="12">
        <f>IF(Tableau4[[#This Row],[priorecol]]="R",1,0)</f>
        <v>0</v>
      </c>
      <c r="AV79" s="12">
        <f>VLOOKUP(Tableau4[[#This Row],[essence]],Tableau6[],23,FALSE)</f>
        <v>1.8700000000000001E-2</v>
      </c>
      <c r="AW79" s="12">
        <f>IF(Tableau4[[#This Row],[priorecol]]="S",1,0)</f>
        <v>1</v>
      </c>
      <c r="AX79" s="12">
        <f>VLOOKUP(Tableau4[[#This Row],[essence]],Tableau6[],24,FALSE)</f>
        <v>0</v>
      </c>
      <c r="AY79" s="12">
        <f>VLOOKUP(Tableau4[[#This Row],[essence]],Tableau6[],25,FALSE)</f>
        <v>0</v>
      </c>
      <c r="AZ79" s="12">
        <f>VLOOKUP(Tableau4[[#This Row],[essence]],Tableau6[],26,FALSE)</f>
        <v>0</v>
      </c>
      <c r="BA79" s="12">
        <f>VLOOKUP(Tableau4[[#This Row],[essence]],Tableau6[],27,FALSE)</f>
        <v>0</v>
      </c>
      <c r="BB79" s="12">
        <f>VLOOKUP(Tableau4[[#This Row],[essence]],Tableau6[],16,FALSE)</f>
        <v>-1.33E-3</v>
      </c>
      <c r="BC7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-2.0877999999999997</v>
      </c>
      <c r="BD79" s="12">
        <f>Tableau4[[#This Row],[xb_]]+Tableau4[[#This Row],[b_intercept_C]]+Tableau4[[#This Row],[b_dhpcm_x_intercept_C]]*Tableau4[[#This Row],[dhpcm]]</f>
        <v>1.2505000000000002</v>
      </c>
      <c r="BE79" s="12">
        <f>Tableau4[[#This Row],[xb_]]+Tableau4[[#This Row],[b_intercept_B]]+Tableau4[[#This Row],[b_dhpcm_x_intercept_B]]*Tableau4[[#This Row],[dhpcm]]</f>
        <v>-3.9999999999999591E-2</v>
      </c>
      <c r="BF79" s="12">
        <f>Tableau4[[#This Row],[xb_]]+Tableau4[[#This Row],[b_intercept_A]]+Tableau4[[#This Row],[b_dhpcm_x_intercept_A]]*Tableau4[[#This Row],[dhpcm]]</f>
        <v>-1.0189999999999997</v>
      </c>
      <c r="BG79" s="12">
        <f>1/(1+EXP(-Tableau4[[#This Row],[xb_c]]))</f>
        <v>0.777386401567565</v>
      </c>
      <c r="BH79" s="12">
        <f>1/(1+EXP(-Tableau4[[#This Row],[xb_b]]))</f>
        <v>0.49000133312003458</v>
      </c>
      <c r="BI79" s="12">
        <f>1/(1+EXP(-Tableau4[[#This Row],[xb_a]]))</f>
        <v>0.26522223417531238</v>
      </c>
      <c r="BJ79" s="12">
        <f>Tableau4[[#This Row],[prob_a]]</f>
        <v>0.26522223417531238</v>
      </c>
      <c r="BK79" s="12">
        <f>Tableau4[[#This Row],[prob_b]]-Tableau4[[#This Row],[prob_a]]</f>
        <v>0.2247790989447222</v>
      </c>
      <c r="BL79" s="12">
        <f>Tableau4[[#This Row],[prob_c]]-Tableau4[[#This Row],[prob_b]]</f>
        <v>0.28738506844753042</v>
      </c>
      <c r="BM79" s="12">
        <f>1-Tableau4[[#This Row],[prob_c]]</f>
        <v>0.222613598432435</v>
      </c>
    </row>
    <row r="80" spans="1:65" x14ac:dyDescent="0.25">
      <c r="A80" s="12">
        <v>4</v>
      </c>
      <c r="B80" s="12" t="s">
        <v>12</v>
      </c>
      <c r="C80" s="12">
        <v>2.1</v>
      </c>
      <c r="D80" s="12">
        <v>700</v>
      </c>
      <c r="E80" s="12">
        <v>20</v>
      </c>
      <c r="F80" s="12">
        <v>1</v>
      </c>
      <c r="G80" s="12">
        <v>55</v>
      </c>
      <c r="H80" s="12">
        <v>118</v>
      </c>
      <c r="I80" s="12" t="s">
        <v>21</v>
      </c>
      <c r="J80" s="12" t="s">
        <v>27</v>
      </c>
      <c r="K80" s="12">
        <f>VLOOKUP(Tableau4[[#This Row],[essence]],Tableau6[],2,FALSE)</f>
        <v>-2.4091999999999998</v>
      </c>
      <c r="L80" s="12">
        <f>VLOOKUP(Tableau4[[#This Row],[essence]],Tableau6[],3,FALSE)</f>
        <v>-1.3315999999999999</v>
      </c>
      <c r="M80" s="12">
        <f>VLOOKUP(Tableau4[[#This Row],[essence]],Tableau6[],4,FALSE)</f>
        <v>0.2475</v>
      </c>
      <c r="N80" s="12">
        <f>VLOOKUP(Tableau4[[#This Row],[essence]],Tableau6[],5,FALSE)</f>
        <v>1.9658</v>
      </c>
      <c r="O80" s="12">
        <f>IF(Tableau4[[#This Row],[priorecol]]="C",1,0)</f>
        <v>1</v>
      </c>
      <c r="P80" s="12">
        <f>VLOOKUP(Tableau4[[#This Row],[essence]],Tableau6[],6,FALSE)</f>
        <v>2.8807</v>
      </c>
      <c r="Q80" s="12">
        <f>IF(Tableau4[[#This Row],[priorecol]]="R",1,0)</f>
        <v>0</v>
      </c>
      <c r="R80" s="12">
        <f>VLOOKUP(Tableau4[[#This Row],[essence]],Tableau6[],7,FALSE)</f>
        <v>1.1791</v>
      </c>
      <c r="S80" s="12">
        <f>IF(Tableau4[[#This Row],[priorecol]]="S",1,0)</f>
        <v>0</v>
      </c>
      <c r="T80" s="12">
        <f>VLOOKUP(Tableau4[[#This Row],[essence]],Tableau6[],20,FALSE)</f>
        <v>0</v>
      </c>
      <c r="U80" s="12">
        <f>VLOOKUP(Tableau4[[#This Row],[essence]],Tableau6[],15,FALSE)</f>
        <v>2.4500000000000001E-2</v>
      </c>
      <c r="V80" s="12">
        <f>VLOOKUP(Tableau4[[#This Row],[essence]],Tableau6[],28,FALSE)</f>
        <v>0</v>
      </c>
      <c r="W80" s="12">
        <f>IF(Tableau4[[#This Row],[sdom]]=1,1,0)</f>
        <v>0</v>
      </c>
      <c r="X80" s="12">
        <f>VLOOKUP(Tableau4[[#This Row],[essence]],Tableau6[],8,FALSE)</f>
        <v>0</v>
      </c>
      <c r="Y80" s="12">
        <f>IF(Tableau4[[#This Row],[sdom]]="2EST",1,0)</f>
        <v>0</v>
      </c>
      <c r="Z80" s="12">
        <f>VLOOKUP(Tableau4[[#This Row],[essence]],Tableau6[],9,FALSE)</f>
        <v>0</v>
      </c>
      <c r="AA80" s="12">
        <f>IF(Tableau4[[#This Row],[sdom]]="2OUEST",1,0)</f>
        <v>0</v>
      </c>
      <c r="AB80" s="12">
        <f>VLOOKUP(Tableau4[[#This Row],[essence]],Tableau6[],10,FALSE)</f>
        <v>0</v>
      </c>
      <c r="AC80" s="12">
        <f>IF(Tableau4[[#This Row],[sdom]]="3EST",1,0)</f>
        <v>1</v>
      </c>
      <c r="AD80" s="12">
        <f>VLOOKUP(Tableau4[[#This Row],[essence]],Tableau6[],11,FALSE)</f>
        <v>0</v>
      </c>
      <c r="AE80" s="12">
        <f>IF(Tableau4[[#This Row],[sdom]]="3OUEST",1,0)</f>
        <v>0</v>
      </c>
      <c r="AF80" s="12">
        <f>VLOOKUP(Tableau4[[#This Row],[essence]],Tableau6[],12,FALSE)</f>
        <v>0</v>
      </c>
      <c r="AG80" s="12">
        <f>IF(Tableau4[[#This Row],[sdom]]="4EST",1,0)</f>
        <v>0</v>
      </c>
      <c r="AH80" s="12">
        <f>VLOOKUP(Tableau4[[#This Row],[essence]],Tableau6[],13,FALSE)</f>
        <v>0</v>
      </c>
      <c r="AI80" s="12">
        <f>IF(Tableau4[[#This Row],[sdom]]="4OUEST",1,0)</f>
        <v>0</v>
      </c>
      <c r="AJ80" s="12">
        <f>VLOOKUP(Tableau4[[#This Row],[essence]],Tableau6[],14,FALSE)</f>
        <v>0</v>
      </c>
      <c r="AK80" s="12">
        <f>IF(Tableau4[[#This Row],[sdom]]="5EST",1,0)</f>
        <v>0</v>
      </c>
      <c r="AL80" s="12">
        <f>VLOOKUP(Tableau4[[#This Row],[essence]],Tableau6[],17,FALSE)</f>
        <v>0</v>
      </c>
      <c r="AM80" s="12">
        <f>IF(Tableau4[[#This Row],[priorecol]]="C",1,0)</f>
        <v>1</v>
      </c>
      <c r="AN80" s="12">
        <f>VLOOKUP(Tableau4[[#This Row],[essence]],Tableau6[],18,FALSE)</f>
        <v>0</v>
      </c>
      <c r="AO80" s="12">
        <f>IF(Tableau4[[#This Row],[priorecol]]="R",1,0)</f>
        <v>0</v>
      </c>
      <c r="AP80" s="12">
        <f>VLOOKUP(Tableau4[[#This Row],[essence]],Tableau6[],19,FALSE)</f>
        <v>0</v>
      </c>
      <c r="AQ80" s="12">
        <f>IF(Tableau4[[#This Row],[priorecol]]="S",1,0)</f>
        <v>0</v>
      </c>
      <c r="AR80" s="12">
        <f>VLOOKUP(Tableau4[[#This Row],[essence]],Tableau6[],21,FALSE)</f>
        <v>0</v>
      </c>
      <c r="AS80" s="12">
        <f>IF(Tableau4[[#This Row],[priorecol]]="C",1,0)</f>
        <v>1</v>
      </c>
      <c r="AT80" s="12">
        <f>VLOOKUP(Tableau4[[#This Row],[essence]],Tableau6[],22,FALSE)</f>
        <v>0</v>
      </c>
      <c r="AU80" s="12">
        <f>IF(Tableau4[[#This Row],[priorecol]]="R",1,0)</f>
        <v>0</v>
      </c>
      <c r="AV80" s="12">
        <f>VLOOKUP(Tableau4[[#This Row],[essence]],Tableau6[],23,FALSE)</f>
        <v>0</v>
      </c>
      <c r="AW80" s="12">
        <f>IF(Tableau4[[#This Row],[priorecol]]="S",1,0)</f>
        <v>0</v>
      </c>
      <c r="AX80" s="12">
        <f>VLOOKUP(Tableau4[[#This Row],[essence]],Tableau6[],24,FALSE)</f>
        <v>0</v>
      </c>
      <c r="AY80" s="12">
        <f>VLOOKUP(Tableau4[[#This Row],[essence]],Tableau6[],25,FALSE)</f>
        <v>0</v>
      </c>
      <c r="AZ80" s="12">
        <f>VLOOKUP(Tableau4[[#This Row],[essence]],Tableau6[],26,FALSE)</f>
        <v>0</v>
      </c>
      <c r="BA80" s="12">
        <f>VLOOKUP(Tableau4[[#This Row],[essence]],Tableau6[],27,FALSE)</f>
        <v>0</v>
      </c>
      <c r="BB80" s="12">
        <f>VLOOKUP(Tableau4[[#This Row],[essence]],Tableau6[],16,FALSE)</f>
        <v>0</v>
      </c>
      <c r="BC8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80" s="12">
        <f>Tableau4[[#This Row],[xb_]]+Tableau4[[#This Row],[b_intercept_C]]+Tableau4[[#This Row],[b_dhpcm_x_intercept_C]]*Tableau4[[#This Row],[dhpcm]]</f>
        <v>2.7033</v>
      </c>
      <c r="BE80" s="12">
        <f>Tableau4[[#This Row],[xb_]]+Tableau4[[#This Row],[b_intercept_B]]+Tableau4[[#This Row],[b_dhpcm_x_intercept_B]]*Tableau4[[#This Row],[dhpcm]]</f>
        <v>1.1242000000000001</v>
      </c>
      <c r="BF80" s="12">
        <f>Tableau4[[#This Row],[xb_]]+Tableau4[[#This Row],[b_intercept_A]]+Tableau4[[#This Row],[b_dhpcm_x_intercept_A]]*Tableau4[[#This Row],[dhpcm]]</f>
        <v>4.6600000000000197E-2</v>
      </c>
      <c r="BG80" s="12">
        <f>1/(1+EXP(-Tableau4[[#This Row],[xb_c]]))</f>
        <v>0.93722108879172883</v>
      </c>
      <c r="BH80" s="12">
        <f>1/(1+EXP(-Tableau4[[#This Row],[xb_b]]))</f>
        <v>0.75476694200486438</v>
      </c>
      <c r="BI80" s="12">
        <f>1/(1+EXP(-Tableau4[[#This Row],[xb_a]]))</f>
        <v>0.51164789223487939</v>
      </c>
      <c r="BJ80" s="12">
        <f>Tableau4[[#This Row],[prob_a]]</f>
        <v>0.51164789223487939</v>
      </c>
      <c r="BK80" s="12">
        <f>Tableau4[[#This Row],[prob_b]]-Tableau4[[#This Row],[prob_a]]</f>
        <v>0.243119049769985</v>
      </c>
      <c r="BL80" s="12">
        <f>Tableau4[[#This Row],[prob_c]]-Tableau4[[#This Row],[prob_b]]</f>
        <v>0.18245414678686445</v>
      </c>
      <c r="BM80" s="12">
        <f>1-Tableau4[[#This Row],[prob_c]]</f>
        <v>6.2778911208271171E-2</v>
      </c>
    </row>
    <row r="81" spans="1:65" x14ac:dyDescent="0.25">
      <c r="A81" s="12">
        <v>4</v>
      </c>
      <c r="B81" s="12" t="s">
        <v>12</v>
      </c>
      <c r="C81" s="12">
        <v>2.1</v>
      </c>
      <c r="D81" s="12">
        <v>700</v>
      </c>
      <c r="E81" s="12">
        <v>20</v>
      </c>
      <c r="F81" s="12">
        <v>1</v>
      </c>
      <c r="G81" s="12">
        <v>56</v>
      </c>
      <c r="H81" s="12">
        <v>119</v>
      </c>
      <c r="I81" s="12" t="s">
        <v>21</v>
      </c>
      <c r="J81" s="12" t="s">
        <v>28</v>
      </c>
      <c r="K81" s="12">
        <f>VLOOKUP(Tableau4[[#This Row],[essence]],Tableau6[],2,FALSE)</f>
        <v>-2.4091999999999998</v>
      </c>
      <c r="L81" s="12">
        <f>VLOOKUP(Tableau4[[#This Row],[essence]],Tableau6[],3,FALSE)</f>
        <v>-1.3315999999999999</v>
      </c>
      <c r="M81" s="12">
        <f>VLOOKUP(Tableau4[[#This Row],[essence]],Tableau6[],4,FALSE)</f>
        <v>0.2475</v>
      </c>
      <c r="N81" s="12">
        <f>VLOOKUP(Tableau4[[#This Row],[essence]],Tableau6[],5,FALSE)</f>
        <v>1.9658</v>
      </c>
      <c r="O81" s="12">
        <f>IF(Tableau4[[#This Row],[priorecol]]="C",1,0)</f>
        <v>0</v>
      </c>
      <c r="P81" s="12">
        <f>VLOOKUP(Tableau4[[#This Row],[essence]],Tableau6[],6,FALSE)</f>
        <v>2.8807</v>
      </c>
      <c r="Q81" s="12">
        <f>IF(Tableau4[[#This Row],[priorecol]]="R",1,0)</f>
        <v>1</v>
      </c>
      <c r="R81" s="12">
        <f>VLOOKUP(Tableau4[[#This Row],[essence]],Tableau6[],7,FALSE)</f>
        <v>1.1791</v>
      </c>
      <c r="S81" s="12">
        <f>IF(Tableau4[[#This Row],[priorecol]]="S",1,0)</f>
        <v>0</v>
      </c>
      <c r="T81" s="12">
        <f>VLOOKUP(Tableau4[[#This Row],[essence]],Tableau6[],20,FALSE)</f>
        <v>0</v>
      </c>
      <c r="U81" s="12">
        <f>VLOOKUP(Tableau4[[#This Row],[essence]],Tableau6[],15,FALSE)</f>
        <v>2.4500000000000001E-2</v>
      </c>
      <c r="V81" s="12">
        <f>VLOOKUP(Tableau4[[#This Row],[essence]],Tableau6[],28,FALSE)</f>
        <v>0</v>
      </c>
      <c r="W81" s="12">
        <f>IF(Tableau4[[#This Row],[sdom]]=1,1,0)</f>
        <v>0</v>
      </c>
      <c r="X81" s="12">
        <f>VLOOKUP(Tableau4[[#This Row],[essence]],Tableau6[],8,FALSE)</f>
        <v>0</v>
      </c>
      <c r="Y81" s="12">
        <f>IF(Tableau4[[#This Row],[sdom]]="2EST",1,0)</f>
        <v>0</v>
      </c>
      <c r="Z81" s="12">
        <f>VLOOKUP(Tableau4[[#This Row],[essence]],Tableau6[],9,FALSE)</f>
        <v>0</v>
      </c>
      <c r="AA81" s="12">
        <f>IF(Tableau4[[#This Row],[sdom]]="2OUEST",1,0)</f>
        <v>0</v>
      </c>
      <c r="AB81" s="12">
        <f>VLOOKUP(Tableau4[[#This Row],[essence]],Tableau6[],10,FALSE)</f>
        <v>0</v>
      </c>
      <c r="AC81" s="12">
        <f>IF(Tableau4[[#This Row],[sdom]]="3EST",1,0)</f>
        <v>1</v>
      </c>
      <c r="AD81" s="12">
        <f>VLOOKUP(Tableau4[[#This Row],[essence]],Tableau6[],11,FALSE)</f>
        <v>0</v>
      </c>
      <c r="AE81" s="12">
        <f>IF(Tableau4[[#This Row],[sdom]]="3OUEST",1,0)</f>
        <v>0</v>
      </c>
      <c r="AF81" s="12">
        <f>VLOOKUP(Tableau4[[#This Row],[essence]],Tableau6[],12,FALSE)</f>
        <v>0</v>
      </c>
      <c r="AG81" s="12">
        <f>IF(Tableau4[[#This Row],[sdom]]="4EST",1,0)</f>
        <v>0</v>
      </c>
      <c r="AH81" s="12">
        <f>VLOOKUP(Tableau4[[#This Row],[essence]],Tableau6[],13,FALSE)</f>
        <v>0</v>
      </c>
      <c r="AI81" s="12">
        <f>IF(Tableau4[[#This Row],[sdom]]="4OUEST",1,0)</f>
        <v>0</v>
      </c>
      <c r="AJ81" s="12">
        <f>VLOOKUP(Tableau4[[#This Row],[essence]],Tableau6[],14,FALSE)</f>
        <v>0</v>
      </c>
      <c r="AK81" s="12">
        <f>IF(Tableau4[[#This Row],[sdom]]="5EST",1,0)</f>
        <v>0</v>
      </c>
      <c r="AL81" s="12">
        <f>VLOOKUP(Tableau4[[#This Row],[essence]],Tableau6[],17,FALSE)</f>
        <v>0</v>
      </c>
      <c r="AM81" s="12">
        <f>IF(Tableau4[[#This Row],[priorecol]]="C",1,0)</f>
        <v>0</v>
      </c>
      <c r="AN81" s="12">
        <f>VLOOKUP(Tableau4[[#This Row],[essence]],Tableau6[],18,FALSE)</f>
        <v>0</v>
      </c>
      <c r="AO81" s="12">
        <f>IF(Tableau4[[#This Row],[priorecol]]="R",1,0)</f>
        <v>1</v>
      </c>
      <c r="AP81" s="12">
        <f>VLOOKUP(Tableau4[[#This Row],[essence]],Tableau6[],19,FALSE)</f>
        <v>0</v>
      </c>
      <c r="AQ81" s="12">
        <f>IF(Tableau4[[#This Row],[priorecol]]="S",1,0)</f>
        <v>0</v>
      </c>
      <c r="AR81" s="12">
        <f>VLOOKUP(Tableau4[[#This Row],[essence]],Tableau6[],21,FALSE)</f>
        <v>0</v>
      </c>
      <c r="AS81" s="12">
        <f>IF(Tableau4[[#This Row],[priorecol]]="C",1,0)</f>
        <v>0</v>
      </c>
      <c r="AT81" s="12">
        <f>VLOOKUP(Tableau4[[#This Row],[essence]],Tableau6[],22,FALSE)</f>
        <v>0</v>
      </c>
      <c r="AU81" s="12">
        <f>IF(Tableau4[[#This Row],[priorecol]]="R",1,0)</f>
        <v>1</v>
      </c>
      <c r="AV81" s="12">
        <f>VLOOKUP(Tableau4[[#This Row],[essence]],Tableau6[],23,FALSE)</f>
        <v>0</v>
      </c>
      <c r="AW81" s="12">
        <f>IF(Tableau4[[#This Row],[priorecol]]="S",1,0)</f>
        <v>0</v>
      </c>
      <c r="AX81" s="12">
        <f>VLOOKUP(Tableau4[[#This Row],[essence]],Tableau6[],24,FALSE)</f>
        <v>0</v>
      </c>
      <c r="AY81" s="12">
        <f>VLOOKUP(Tableau4[[#This Row],[essence]],Tableau6[],25,FALSE)</f>
        <v>0</v>
      </c>
      <c r="AZ81" s="12">
        <f>VLOOKUP(Tableau4[[#This Row],[essence]],Tableau6[],26,FALSE)</f>
        <v>0</v>
      </c>
      <c r="BA81" s="12">
        <f>VLOOKUP(Tableau4[[#This Row],[essence]],Tableau6[],27,FALSE)</f>
        <v>0</v>
      </c>
      <c r="BB81" s="12">
        <f>VLOOKUP(Tableau4[[#This Row],[essence]],Tableau6[],16,FALSE)</f>
        <v>0</v>
      </c>
      <c r="BC8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81" s="12">
        <f>Tableau4[[#This Row],[xb_]]+Tableau4[[#This Row],[b_intercept_C]]+Tableau4[[#This Row],[b_dhpcm_x_intercept_C]]*Tableau4[[#This Row],[dhpcm]]</f>
        <v>3.6182000000000003</v>
      </c>
      <c r="BE81" s="12">
        <f>Tableau4[[#This Row],[xb_]]+Tableau4[[#This Row],[b_intercept_B]]+Tableau4[[#This Row],[b_dhpcm_x_intercept_B]]*Tableau4[[#This Row],[dhpcm]]</f>
        <v>2.0391000000000004</v>
      </c>
      <c r="BF81" s="12">
        <f>Tableau4[[#This Row],[xb_]]+Tableau4[[#This Row],[b_intercept_A]]+Tableau4[[#This Row],[b_dhpcm_x_intercept_A]]*Tableau4[[#This Row],[dhpcm]]</f>
        <v>0.96150000000000047</v>
      </c>
      <c r="BG81" s="12">
        <f>1/(1+EXP(-Tableau4[[#This Row],[xb_c]]))</f>
        <v>0.97387015917251429</v>
      </c>
      <c r="BH81" s="12">
        <f>1/(1+EXP(-Tableau4[[#This Row],[xb_b]]))</f>
        <v>0.88484159245928551</v>
      </c>
      <c r="BI81" s="12">
        <f>1/(1+EXP(-Tableau4[[#This Row],[xb_a]]))</f>
        <v>0.72342202957828172</v>
      </c>
      <c r="BJ81" s="12">
        <f>Tableau4[[#This Row],[prob_a]]</f>
        <v>0.72342202957828172</v>
      </c>
      <c r="BK81" s="12">
        <f>Tableau4[[#This Row],[prob_b]]-Tableau4[[#This Row],[prob_a]]</f>
        <v>0.16141956288100379</v>
      </c>
      <c r="BL81" s="12">
        <f>Tableau4[[#This Row],[prob_c]]-Tableau4[[#This Row],[prob_b]]</f>
        <v>8.9028566713228785E-2</v>
      </c>
      <c r="BM81" s="12">
        <f>1-Tableau4[[#This Row],[prob_c]]</f>
        <v>2.6129840827485706E-2</v>
      </c>
    </row>
    <row r="82" spans="1:65" x14ac:dyDescent="0.25">
      <c r="A82" s="12">
        <v>4</v>
      </c>
      <c r="B82" s="12" t="s">
        <v>12</v>
      </c>
      <c r="C82" s="12">
        <v>2.1</v>
      </c>
      <c r="D82" s="12">
        <v>700</v>
      </c>
      <c r="E82" s="12">
        <v>20</v>
      </c>
      <c r="F82" s="12">
        <v>1</v>
      </c>
      <c r="G82" s="12">
        <v>57</v>
      </c>
      <c r="H82" s="12">
        <v>120</v>
      </c>
      <c r="I82" s="12" t="s">
        <v>21</v>
      </c>
      <c r="J82" s="12" t="s">
        <v>29</v>
      </c>
      <c r="K82" s="12">
        <f>VLOOKUP(Tableau4[[#This Row],[essence]],Tableau6[],2,FALSE)</f>
        <v>-2.4091999999999998</v>
      </c>
      <c r="L82" s="12">
        <f>VLOOKUP(Tableau4[[#This Row],[essence]],Tableau6[],3,FALSE)</f>
        <v>-1.3315999999999999</v>
      </c>
      <c r="M82" s="12">
        <f>VLOOKUP(Tableau4[[#This Row],[essence]],Tableau6[],4,FALSE)</f>
        <v>0.2475</v>
      </c>
      <c r="N82" s="12">
        <f>VLOOKUP(Tableau4[[#This Row],[essence]],Tableau6[],5,FALSE)</f>
        <v>1.9658</v>
      </c>
      <c r="O82" s="12">
        <f>IF(Tableau4[[#This Row],[priorecol]]="C",1,0)</f>
        <v>0</v>
      </c>
      <c r="P82" s="12">
        <f>VLOOKUP(Tableau4[[#This Row],[essence]],Tableau6[],6,FALSE)</f>
        <v>2.8807</v>
      </c>
      <c r="Q82" s="12">
        <f>IF(Tableau4[[#This Row],[priorecol]]="R",1,0)</f>
        <v>0</v>
      </c>
      <c r="R82" s="12">
        <f>VLOOKUP(Tableau4[[#This Row],[essence]],Tableau6[],7,FALSE)</f>
        <v>1.1791</v>
      </c>
      <c r="S82" s="12">
        <f>IF(Tableau4[[#This Row],[priorecol]]="S",1,0)</f>
        <v>1</v>
      </c>
      <c r="T82" s="12">
        <f>VLOOKUP(Tableau4[[#This Row],[essence]],Tableau6[],20,FALSE)</f>
        <v>0</v>
      </c>
      <c r="U82" s="12">
        <f>VLOOKUP(Tableau4[[#This Row],[essence]],Tableau6[],15,FALSE)</f>
        <v>2.4500000000000001E-2</v>
      </c>
      <c r="V82" s="12">
        <f>VLOOKUP(Tableau4[[#This Row],[essence]],Tableau6[],28,FALSE)</f>
        <v>0</v>
      </c>
      <c r="W82" s="12">
        <f>IF(Tableau4[[#This Row],[sdom]]=1,1,0)</f>
        <v>0</v>
      </c>
      <c r="X82" s="12">
        <f>VLOOKUP(Tableau4[[#This Row],[essence]],Tableau6[],8,FALSE)</f>
        <v>0</v>
      </c>
      <c r="Y82" s="12">
        <f>IF(Tableau4[[#This Row],[sdom]]="2EST",1,0)</f>
        <v>0</v>
      </c>
      <c r="Z82" s="12">
        <f>VLOOKUP(Tableau4[[#This Row],[essence]],Tableau6[],9,FALSE)</f>
        <v>0</v>
      </c>
      <c r="AA82" s="12">
        <f>IF(Tableau4[[#This Row],[sdom]]="2OUEST",1,0)</f>
        <v>0</v>
      </c>
      <c r="AB82" s="12">
        <f>VLOOKUP(Tableau4[[#This Row],[essence]],Tableau6[],10,FALSE)</f>
        <v>0</v>
      </c>
      <c r="AC82" s="12">
        <f>IF(Tableau4[[#This Row],[sdom]]="3EST",1,0)</f>
        <v>1</v>
      </c>
      <c r="AD82" s="12">
        <f>VLOOKUP(Tableau4[[#This Row],[essence]],Tableau6[],11,FALSE)</f>
        <v>0</v>
      </c>
      <c r="AE82" s="12">
        <f>IF(Tableau4[[#This Row],[sdom]]="3OUEST",1,0)</f>
        <v>0</v>
      </c>
      <c r="AF82" s="12">
        <f>VLOOKUP(Tableau4[[#This Row],[essence]],Tableau6[],12,FALSE)</f>
        <v>0</v>
      </c>
      <c r="AG82" s="12">
        <f>IF(Tableau4[[#This Row],[sdom]]="4EST",1,0)</f>
        <v>0</v>
      </c>
      <c r="AH82" s="12">
        <f>VLOOKUP(Tableau4[[#This Row],[essence]],Tableau6[],13,FALSE)</f>
        <v>0</v>
      </c>
      <c r="AI82" s="12">
        <f>IF(Tableau4[[#This Row],[sdom]]="4OUEST",1,0)</f>
        <v>0</v>
      </c>
      <c r="AJ82" s="12">
        <f>VLOOKUP(Tableau4[[#This Row],[essence]],Tableau6[],14,FALSE)</f>
        <v>0</v>
      </c>
      <c r="AK82" s="12">
        <f>IF(Tableau4[[#This Row],[sdom]]="5EST",1,0)</f>
        <v>0</v>
      </c>
      <c r="AL82" s="12">
        <f>VLOOKUP(Tableau4[[#This Row],[essence]],Tableau6[],17,FALSE)</f>
        <v>0</v>
      </c>
      <c r="AM82" s="12">
        <f>IF(Tableau4[[#This Row],[priorecol]]="C",1,0)</f>
        <v>0</v>
      </c>
      <c r="AN82" s="12">
        <f>VLOOKUP(Tableau4[[#This Row],[essence]],Tableau6[],18,FALSE)</f>
        <v>0</v>
      </c>
      <c r="AO82" s="12">
        <f>IF(Tableau4[[#This Row],[priorecol]]="R",1,0)</f>
        <v>0</v>
      </c>
      <c r="AP82" s="12">
        <f>VLOOKUP(Tableau4[[#This Row],[essence]],Tableau6[],19,FALSE)</f>
        <v>0</v>
      </c>
      <c r="AQ82" s="12">
        <f>IF(Tableau4[[#This Row],[priorecol]]="S",1,0)</f>
        <v>1</v>
      </c>
      <c r="AR82" s="12">
        <f>VLOOKUP(Tableau4[[#This Row],[essence]],Tableau6[],21,FALSE)</f>
        <v>0</v>
      </c>
      <c r="AS82" s="12">
        <f>IF(Tableau4[[#This Row],[priorecol]]="C",1,0)</f>
        <v>0</v>
      </c>
      <c r="AT82" s="12">
        <f>VLOOKUP(Tableau4[[#This Row],[essence]],Tableau6[],22,FALSE)</f>
        <v>0</v>
      </c>
      <c r="AU82" s="12">
        <f>IF(Tableau4[[#This Row],[priorecol]]="R",1,0)</f>
        <v>0</v>
      </c>
      <c r="AV82" s="12">
        <f>VLOOKUP(Tableau4[[#This Row],[essence]],Tableau6[],23,FALSE)</f>
        <v>0</v>
      </c>
      <c r="AW82" s="12">
        <f>IF(Tableau4[[#This Row],[priorecol]]="S",1,0)</f>
        <v>1</v>
      </c>
      <c r="AX82" s="12">
        <f>VLOOKUP(Tableau4[[#This Row],[essence]],Tableau6[],24,FALSE)</f>
        <v>0</v>
      </c>
      <c r="AY82" s="12">
        <f>VLOOKUP(Tableau4[[#This Row],[essence]],Tableau6[],25,FALSE)</f>
        <v>0</v>
      </c>
      <c r="AZ82" s="12">
        <f>VLOOKUP(Tableau4[[#This Row],[essence]],Tableau6[],26,FALSE)</f>
        <v>0</v>
      </c>
      <c r="BA82" s="12">
        <f>VLOOKUP(Tableau4[[#This Row],[essence]],Tableau6[],27,FALSE)</f>
        <v>0</v>
      </c>
      <c r="BB82" s="12">
        <f>VLOOKUP(Tableau4[[#This Row],[essence]],Tableau6[],16,FALSE)</f>
        <v>0</v>
      </c>
      <c r="BC8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82" s="12">
        <f>Tableau4[[#This Row],[xb_]]+Tableau4[[#This Row],[b_intercept_C]]+Tableau4[[#This Row],[b_dhpcm_x_intercept_C]]*Tableau4[[#This Row],[dhpcm]]</f>
        <v>1.9166000000000001</v>
      </c>
      <c r="BE82" s="12">
        <f>Tableau4[[#This Row],[xb_]]+Tableau4[[#This Row],[b_intercept_B]]+Tableau4[[#This Row],[b_dhpcm_x_intercept_B]]*Tableau4[[#This Row],[dhpcm]]</f>
        <v>0.33750000000000013</v>
      </c>
      <c r="BF82" s="12">
        <f>Tableau4[[#This Row],[xb_]]+Tableau4[[#This Row],[b_intercept_A]]+Tableau4[[#This Row],[b_dhpcm_x_intercept_A]]*Tableau4[[#This Row],[dhpcm]]</f>
        <v>-0.74009999999999976</v>
      </c>
      <c r="BG82" s="12">
        <f>1/(1+EXP(-Tableau4[[#This Row],[xb_c]]))</f>
        <v>0.87175880956636009</v>
      </c>
      <c r="BH82" s="12">
        <f>1/(1+EXP(-Tableau4[[#This Row],[xb_b]]))</f>
        <v>0.58358311551727526</v>
      </c>
      <c r="BI82" s="12">
        <f>1/(1+EXP(-Tableau4[[#This Row],[xb_a]]))</f>
        <v>0.32298227690184222</v>
      </c>
      <c r="BJ82" s="12">
        <f>Tableau4[[#This Row],[prob_a]]</f>
        <v>0.32298227690184222</v>
      </c>
      <c r="BK82" s="12">
        <f>Tableau4[[#This Row],[prob_b]]-Tableau4[[#This Row],[prob_a]]</f>
        <v>0.26060083861543304</v>
      </c>
      <c r="BL82" s="12">
        <f>Tableau4[[#This Row],[prob_c]]-Tableau4[[#This Row],[prob_b]]</f>
        <v>0.28817569404908483</v>
      </c>
      <c r="BM82" s="12">
        <f>1-Tableau4[[#This Row],[prob_c]]</f>
        <v>0.12824119043363991</v>
      </c>
    </row>
    <row r="83" spans="1:65" x14ac:dyDescent="0.25">
      <c r="A83" s="12">
        <v>4</v>
      </c>
      <c r="B83" s="12" t="s">
        <v>12</v>
      </c>
      <c r="C83" s="12">
        <v>2.1</v>
      </c>
      <c r="D83" s="12">
        <v>700</v>
      </c>
      <c r="E83" s="12">
        <v>20</v>
      </c>
      <c r="F83" s="12">
        <v>1</v>
      </c>
      <c r="G83" s="12">
        <v>58</v>
      </c>
      <c r="H83" s="12">
        <v>121</v>
      </c>
      <c r="I83" s="12" t="s">
        <v>22</v>
      </c>
      <c r="J83" s="12" t="s">
        <v>27</v>
      </c>
      <c r="K83" s="12">
        <f>VLOOKUP(Tableau4[[#This Row],[essence]],Tableau6[],2,FALSE)</f>
        <v>-3.5731999999999999</v>
      </c>
      <c r="L83" s="12">
        <f>VLOOKUP(Tableau4[[#This Row],[essence]],Tableau6[],3,FALSE)</f>
        <v>-1.9289000000000001</v>
      </c>
      <c r="M83" s="12">
        <f>VLOOKUP(Tableau4[[#This Row],[essence]],Tableau6[],4,FALSE)</f>
        <v>0.40949999999999998</v>
      </c>
      <c r="N83" s="12">
        <f>VLOOKUP(Tableau4[[#This Row],[essence]],Tableau6[],5,FALSE)</f>
        <v>2.0705</v>
      </c>
      <c r="O83" s="12">
        <f>IF(Tableau4[[#This Row],[priorecol]]="C",1,0)</f>
        <v>1</v>
      </c>
      <c r="P83" s="12">
        <f>VLOOKUP(Tableau4[[#This Row],[essence]],Tableau6[],6,FALSE)</f>
        <v>2.9992999999999999</v>
      </c>
      <c r="Q83" s="12">
        <f>IF(Tableau4[[#This Row],[priorecol]]="R",1,0)</f>
        <v>0</v>
      </c>
      <c r="R83" s="12">
        <f>VLOOKUP(Tableau4[[#This Row],[essence]],Tableau6[],7,FALSE)</f>
        <v>1.3050999999999999</v>
      </c>
      <c r="S83" s="12">
        <f>IF(Tableau4[[#This Row],[priorecol]]="S",1,0)</f>
        <v>0</v>
      </c>
      <c r="T83" s="12">
        <f>VLOOKUP(Tableau4[[#This Row],[essence]],Tableau6[],20,FALSE)</f>
        <v>0</v>
      </c>
      <c r="U83" s="12">
        <f>VLOOKUP(Tableau4[[#This Row],[essence]],Tableau6[],15,FALSE)</f>
        <v>0</v>
      </c>
      <c r="V83" s="12">
        <f>VLOOKUP(Tableau4[[#This Row],[essence]],Tableau6[],28,FALSE)</f>
        <v>0</v>
      </c>
      <c r="W83" s="12">
        <f>IF(Tableau4[[#This Row],[sdom]]=1,1,0)</f>
        <v>0</v>
      </c>
      <c r="X83" s="12">
        <f>VLOOKUP(Tableau4[[#This Row],[essence]],Tableau6[],8,FALSE)</f>
        <v>0</v>
      </c>
      <c r="Y83" s="12">
        <f>IF(Tableau4[[#This Row],[sdom]]="2EST",1,0)</f>
        <v>0</v>
      </c>
      <c r="Z83" s="12">
        <f>VLOOKUP(Tableau4[[#This Row],[essence]],Tableau6[],9,FALSE)</f>
        <v>0</v>
      </c>
      <c r="AA83" s="12">
        <f>IF(Tableau4[[#This Row],[sdom]]="2OUEST",1,0)</f>
        <v>0</v>
      </c>
      <c r="AB83" s="12">
        <f>VLOOKUP(Tableau4[[#This Row],[essence]],Tableau6[],10,FALSE)</f>
        <v>0</v>
      </c>
      <c r="AC83" s="12">
        <f>IF(Tableau4[[#This Row],[sdom]]="3EST",1,0)</f>
        <v>1</v>
      </c>
      <c r="AD83" s="12">
        <f>VLOOKUP(Tableau4[[#This Row],[essence]],Tableau6[],11,FALSE)</f>
        <v>0</v>
      </c>
      <c r="AE83" s="12">
        <f>IF(Tableau4[[#This Row],[sdom]]="3OUEST",1,0)</f>
        <v>0</v>
      </c>
      <c r="AF83" s="12">
        <f>VLOOKUP(Tableau4[[#This Row],[essence]],Tableau6[],12,FALSE)</f>
        <v>0</v>
      </c>
      <c r="AG83" s="12">
        <f>IF(Tableau4[[#This Row],[sdom]]="4EST",1,0)</f>
        <v>0</v>
      </c>
      <c r="AH83" s="12">
        <f>VLOOKUP(Tableau4[[#This Row],[essence]],Tableau6[],13,FALSE)</f>
        <v>0</v>
      </c>
      <c r="AI83" s="12">
        <f>IF(Tableau4[[#This Row],[sdom]]="4OUEST",1,0)</f>
        <v>0</v>
      </c>
      <c r="AJ83" s="12">
        <f>VLOOKUP(Tableau4[[#This Row],[essence]],Tableau6[],14,FALSE)</f>
        <v>0</v>
      </c>
      <c r="AK83" s="12">
        <f>IF(Tableau4[[#This Row],[sdom]]="5EST",1,0)</f>
        <v>0</v>
      </c>
      <c r="AL83" s="12">
        <f>VLOOKUP(Tableau4[[#This Row],[essence]],Tableau6[],17,FALSE)</f>
        <v>0</v>
      </c>
      <c r="AM83" s="12">
        <f>IF(Tableau4[[#This Row],[priorecol]]="C",1,0)</f>
        <v>1</v>
      </c>
      <c r="AN83" s="12">
        <f>VLOOKUP(Tableau4[[#This Row],[essence]],Tableau6[],18,FALSE)</f>
        <v>0</v>
      </c>
      <c r="AO83" s="12">
        <f>IF(Tableau4[[#This Row],[priorecol]]="R",1,0)</f>
        <v>0</v>
      </c>
      <c r="AP83" s="12">
        <f>VLOOKUP(Tableau4[[#This Row],[essence]],Tableau6[],19,FALSE)</f>
        <v>0</v>
      </c>
      <c r="AQ83" s="12">
        <f>IF(Tableau4[[#This Row],[priorecol]]="S",1,0)</f>
        <v>0</v>
      </c>
      <c r="AR83" s="12">
        <f>VLOOKUP(Tableau4[[#This Row],[essence]],Tableau6[],21,FALSE)</f>
        <v>0</v>
      </c>
      <c r="AS83" s="12">
        <f>IF(Tableau4[[#This Row],[priorecol]]="C",1,0)</f>
        <v>1</v>
      </c>
      <c r="AT83" s="12">
        <f>VLOOKUP(Tableau4[[#This Row],[essence]],Tableau6[],22,FALSE)</f>
        <v>0</v>
      </c>
      <c r="AU83" s="12">
        <f>IF(Tableau4[[#This Row],[priorecol]]="R",1,0)</f>
        <v>0</v>
      </c>
      <c r="AV83" s="12">
        <f>VLOOKUP(Tableau4[[#This Row],[essence]],Tableau6[],23,FALSE)</f>
        <v>0</v>
      </c>
      <c r="AW83" s="12">
        <f>IF(Tableau4[[#This Row],[priorecol]]="S",1,0)</f>
        <v>0</v>
      </c>
      <c r="AX83" s="12">
        <f>VLOOKUP(Tableau4[[#This Row],[essence]],Tableau6[],24,FALSE)</f>
        <v>-2.1000000000000001E-4</v>
      </c>
      <c r="AY83" s="12">
        <f>VLOOKUP(Tableau4[[#This Row],[essence]],Tableau6[],25,FALSE)</f>
        <v>-1.34E-2</v>
      </c>
      <c r="AZ83" s="12">
        <f>VLOOKUP(Tableau4[[#This Row],[essence]],Tableau6[],26,FALSE)</f>
        <v>-2.8899999999999999E-2</v>
      </c>
      <c r="BA83" s="12">
        <f>VLOOKUP(Tableau4[[#This Row],[essence]],Tableau6[],27,FALSE)</f>
        <v>0.2873</v>
      </c>
      <c r="BB83" s="12">
        <f>VLOOKUP(Tableau4[[#This Row],[essence]],Tableau6[],16,FALSE)</f>
        <v>0</v>
      </c>
      <c r="BC8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83" s="12">
        <f>Tableau4[[#This Row],[xb_]]+Tableau4[[#This Row],[b_intercept_C]]+Tableau4[[#This Row],[b_dhpcm_x_intercept_C]]*Tableau4[[#This Row],[dhpcm]]</f>
        <v>-0.41356999999999955</v>
      </c>
      <c r="BE83" s="12">
        <f>Tableau4[[#This Row],[xb_]]+Tableau4[[#This Row],[b_intercept_B]]+Tableau4[[#This Row],[b_dhpcm_x_intercept_B]]*Tableau4[[#This Row],[dhpcm]]</f>
        <v>-0.87646999999999986</v>
      </c>
      <c r="BF83" s="12">
        <f>Tableau4[[#This Row],[xb_]]+Tableau4[[#This Row],[b_intercept_A]]+Tableau4[[#This Row],[b_dhpcm_x_intercept_A]]*Tableau4[[#This Row],[dhpcm]]</f>
        <v>-0.92477999999999982</v>
      </c>
      <c r="BG83" s="12">
        <f>1/(1+EXP(-Tableau4[[#This Row],[xb_c]]))</f>
        <v>0.39805641184254548</v>
      </c>
      <c r="BH83" s="12">
        <f>1/(1+EXP(-Tableau4[[#This Row],[xb_b]]))</f>
        <v>0.29390981532129473</v>
      </c>
      <c r="BI83" s="12">
        <f>1/(1+EXP(-Tableau4[[#This Row],[xb_a]]))</f>
        <v>0.2839849383067779</v>
      </c>
      <c r="BJ83" s="12">
        <f>Tableau4[[#This Row],[prob_a]]</f>
        <v>0.2839849383067779</v>
      </c>
      <c r="BK83" s="12">
        <f>Tableau4[[#This Row],[prob_b]]-Tableau4[[#This Row],[prob_a]]</f>
        <v>9.9248770145168308E-3</v>
      </c>
      <c r="BL83" s="12">
        <f>Tableau4[[#This Row],[prob_c]]-Tableau4[[#This Row],[prob_b]]</f>
        <v>0.10414659652125074</v>
      </c>
      <c r="BM83" s="12">
        <f>1-Tableau4[[#This Row],[prob_c]]</f>
        <v>0.60194358815745452</v>
      </c>
    </row>
    <row r="84" spans="1:65" x14ac:dyDescent="0.25">
      <c r="A84" s="12">
        <v>4</v>
      </c>
      <c r="B84" s="12" t="s">
        <v>12</v>
      </c>
      <c r="C84" s="12">
        <v>2.1</v>
      </c>
      <c r="D84" s="12">
        <v>700</v>
      </c>
      <c r="E84" s="12">
        <v>20</v>
      </c>
      <c r="F84" s="12">
        <v>1</v>
      </c>
      <c r="G84" s="12">
        <v>59</v>
      </c>
      <c r="H84" s="12">
        <v>122</v>
      </c>
      <c r="I84" s="12" t="s">
        <v>22</v>
      </c>
      <c r="J84" s="12" t="s">
        <v>28</v>
      </c>
      <c r="K84" s="12">
        <f>VLOOKUP(Tableau4[[#This Row],[essence]],Tableau6[],2,FALSE)</f>
        <v>-3.5731999999999999</v>
      </c>
      <c r="L84" s="12">
        <f>VLOOKUP(Tableau4[[#This Row],[essence]],Tableau6[],3,FALSE)</f>
        <v>-1.9289000000000001</v>
      </c>
      <c r="M84" s="12">
        <f>VLOOKUP(Tableau4[[#This Row],[essence]],Tableau6[],4,FALSE)</f>
        <v>0.40949999999999998</v>
      </c>
      <c r="N84" s="12">
        <f>VLOOKUP(Tableau4[[#This Row],[essence]],Tableau6[],5,FALSE)</f>
        <v>2.0705</v>
      </c>
      <c r="O84" s="12">
        <f>IF(Tableau4[[#This Row],[priorecol]]="C",1,0)</f>
        <v>0</v>
      </c>
      <c r="P84" s="12">
        <f>VLOOKUP(Tableau4[[#This Row],[essence]],Tableau6[],6,FALSE)</f>
        <v>2.9992999999999999</v>
      </c>
      <c r="Q84" s="12">
        <f>IF(Tableau4[[#This Row],[priorecol]]="R",1,0)</f>
        <v>1</v>
      </c>
      <c r="R84" s="12">
        <f>VLOOKUP(Tableau4[[#This Row],[essence]],Tableau6[],7,FALSE)</f>
        <v>1.3050999999999999</v>
      </c>
      <c r="S84" s="12">
        <f>IF(Tableau4[[#This Row],[priorecol]]="S",1,0)</f>
        <v>0</v>
      </c>
      <c r="T84" s="12">
        <f>VLOOKUP(Tableau4[[#This Row],[essence]],Tableau6[],20,FALSE)</f>
        <v>0</v>
      </c>
      <c r="U84" s="12">
        <f>VLOOKUP(Tableau4[[#This Row],[essence]],Tableau6[],15,FALSE)</f>
        <v>0</v>
      </c>
      <c r="V84" s="12">
        <f>VLOOKUP(Tableau4[[#This Row],[essence]],Tableau6[],28,FALSE)</f>
        <v>0</v>
      </c>
      <c r="W84" s="12">
        <f>IF(Tableau4[[#This Row],[sdom]]=1,1,0)</f>
        <v>0</v>
      </c>
      <c r="X84" s="12">
        <f>VLOOKUP(Tableau4[[#This Row],[essence]],Tableau6[],8,FALSE)</f>
        <v>0</v>
      </c>
      <c r="Y84" s="12">
        <f>IF(Tableau4[[#This Row],[sdom]]="2EST",1,0)</f>
        <v>0</v>
      </c>
      <c r="Z84" s="12">
        <f>VLOOKUP(Tableau4[[#This Row],[essence]],Tableau6[],9,FALSE)</f>
        <v>0</v>
      </c>
      <c r="AA84" s="12">
        <f>IF(Tableau4[[#This Row],[sdom]]="2OUEST",1,0)</f>
        <v>0</v>
      </c>
      <c r="AB84" s="12">
        <f>VLOOKUP(Tableau4[[#This Row],[essence]],Tableau6[],10,FALSE)</f>
        <v>0</v>
      </c>
      <c r="AC84" s="12">
        <f>IF(Tableau4[[#This Row],[sdom]]="3EST",1,0)</f>
        <v>1</v>
      </c>
      <c r="AD84" s="12">
        <f>VLOOKUP(Tableau4[[#This Row],[essence]],Tableau6[],11,FALSE)</f>
        <v>0</v>
      </c>
      <c r="AE84" s="12">
        <f>IF(Tableau4[[#This Row],[sdom]]="3OUEST",1,0)</f>
        <v>0</v>
      </c>
      <c r="AF84" s="12">
        <f>VLOOKUP(Tableau4[[#This Row],[essence]],Tableau6[],12,FALSE)</f>
        <v>0</v>
      </c>
      <c r="AG84" s="12">
        <f>IF(Tableau4[[#This Row],[sdom]]="4EST",1,0)</f>
        <v>0</v>
      </c>
      <c r="AH84" s="12">
        <f>VLOOKUP(Tableau4[[#This Row],[essence]],Tableau6[],13,FALSE)</f>
        <v>0</v>
      </c>
      <c r="AI84" s="12">
        <f>IF(Tableau4[[#This Row],[sdom]]="4OUEST",1,0)</f>
        <v>0</v>
      </c>
      <c r="AJ84" s="12">
        <f>VLOOKUP(Tableau4[[#This Row],[essence]],Tableau6[],14,FALSE)</f>
        <v>0</v>
      </c>
      <c r="AK84" s="12">
        <f>IF(Tableau4[[#This Row],[sdom]]="5EST",1,0)</f>
        <v>0</v>
      </c>
      <c r="AL84" s="12">
        <f>VLOOKUP(Tableau4[[#This Row],[essence]],Tableau6[],17,FALSE)</f>
        <v>0</v>
      </c>
      <c r="AM84" s="12">
        <f>IF(Tableau4[[#This Row],[priorecol]]="C",1,0)</f>
        <v>0</v>
      </c>
      <c r="AN84" s="12">
        <f>VLOOKUP(Tableau4[[#This Row],[essence]],Tableau6[],18,FALSE)</f>
        <v>0</v>
      </c>
      <c r="AO84" s="12">
        <f>IF(Tableau4[[#This Row],[priorecol]]="R",1,0)</f>
        <v>1</v>
      </c>
      <c r="AP84" s="12">
        <f>VLOOKUP(Tableau4[[#This Row],[essence]],Tableau6[],19,FALSE)</f>
        <v>0</v>
      </c>
      <c r="AQ84" s="12">
        <f>IF(Tableau4[[#This Row],[priorecol]]="S",1,0)</f>
        <v>0</v>
      </c>
      <c r="AR84" s="12">
        <f>VLOOKUP(Tableau4[[#This Row],[essence]],Tableau6[],21,FALSE)</f>
        <v>0</v>
      </c>
      <c r="AS84" s="12">
        <f>IF(Tableau4[[#This Row],[priorecol]]="C",1,0)</f>
        <v>0</v>
      </c>
      <c r="AT84" s="12">
        <f>VLOOKUP(Tableau4[[#This Row],[essence]],Tableau6[],22,FALSE)</f>
        <v>0</v>
      </c>
      <c r="AU84" s="12">
        <f>IF(Tableau4[[#This Row],[priorecol]]="R",1,0)</f>
        <v>1</v>
      </c>
      <c r="AV84" s="12">
        <f>VLOOKUP(Tableau4[[#This Row],[essence]],Tableau6[],23,FALSE)</f>
        <v>0</v>
      </c>
      <c r="AW84" s="12">
        <f>IF(Tableau4[[#This Row],[priorecol]]="S",1,0)</f>
        <v>0</v>
      </c>
      <c r="AX84" s="12">
        <f>VLOOKUP(Tableau4[[#This Row],[essence]],Tableau6[],24,FALSE)</f>
        <v>-2.1000000000000001E-4</v>
      </c>
      <c r="AY84" s="12">
        <f>VLOOKUP(Tableau4[[#This Row],[essence]],Tableau6[],25,FALSE)</f>
        <v>-1.34E-2</v>
      </c>
      <c r="AZ84" s="12">
        <f>VLOOKUP(Tableau4[[#This Row],[essence]],Tableau6[],26,FALSE)</f>
        <v>-2.8899999999999999E-2</v>
      </c>
      <c r="BA84" s="12">
        <f>VLOOKUP(Tableau4[[#This Row],[essence]],Tableau6[],27,FALSE)</f>
        <v>0.2873</v>
      </c>
      <c r="BB84" s="12">
        <f>VLOOKUP(Tableau4[[#This Row],[essence]],Tableau6[],16,FALSE)</f>
        <v>0</v>
      </c>
      <c r="BC8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84" s="12">
        <f>Tableau4[[#This Row],[xb_]]+Tableau4[[#This Row],[b_intercept_C]]+Tableau4[[#This Row],[b_dhpcm_x_intercept_C]]*Tableau4[[#This Row],[dhpcm]]</f>
        <v>0.48633000000000015</v>
      </c>
      <c r="BE84" s="12">
        <f>Tableau4[[#This Row],[xb_]]+Tableau4[[#This Row],[b_intercept_B]]+Tableau4[[#This Row],[b_dhpcm_x_intercept_B]]*Tableau4[[#This Row],[dhpcm]]</f>
        <v>3.8929999999999909E-2</v>
      </c>
      <c r="BF84" s="12">
        <f>Tableau4[[#This Row],[xb_]]+Tableau4[[#This Row],[b_intercept_A]]+Tableau4[[#This Row],[b_dhpcm_x_intercept_A]]*Tableau4[[#This Row],[dhpcm]]</f>
        <v>3.8100000000000668E-3</v>
      </c>
      <c r="BG84" s="12">
        <f>1/(1+EXP(-Tableau4[[#This Row],[xb_c]]))</f>
        <v>0.61924149384431948</v>
      </c>
      <c r="BH84" s="12">
        <f>1/(1+EXP(-Tableau4[[#This Row],[xb_b]]))</f>
        <v>0.50973127101619609</v>
      </c>
      <c r="BI84" s="12">
        <f>1/(1+EXP(-Tableau4[[#This Row],[xb_a]]))</f>
        <v>0.50095249884778625</v>
      </c>
      <c r="BJ84" s="12">
        <f>Tableau4[[#This Row],[prob_a]]</f>
        <v>0.50095249884778625</v>
      </c>
      <c r="BK84" s="12">
        <f>Tableau4[[#This Row],[prob_b]]-Tableau4[[#This Row],[prob_a]]</f>
        <v>8.7787721684098319E-3</v>
      </c>
      <c r="BL84" s="12">
        <f>Tableau4[[#This Row],[prob_c]]-Tableau4[[#This Row],[prob_b]]</f>
        <v>0.10951022282812339</v>
      </c>
      <c r="BM84" s="12">
        <f>1-Tableau4[[#This Row],[prob_c]]</f>
        <v>0.38075850615568052</v>
      </c>
    </row>
    <row r="85" spans="1:65" x14ac:dyDescent="0.25">
      <c r="A85" s="12">
        <v>4</v>
      </c>
      <c r="B85" s="12" t="s">
        <v>12</v>
      </c>
      <c r="C85" s="12">
        <v>2.1</v>
      </c>
      <c r="D85" s="12">
        <v>700</v>
      </c>
      <c r="E85" s="12">
        <v>20</v>
      </c>
      <c r="F85" s="12">
        <v>1</v>
      </c>
      <c r="G85" s="12">
        <v>60</v>
      </c>
      <c r="H85" s="12">
        <v>123</v>
      </c>
      <c r="I85" s="12" t="s">
        <v>22</v>
      </c>
      <c r="J85" s="12" t="s">
        <v>29</v>
      </c>
      <c r="K85" s="12">
        <f>VLOOKUP(Tableau4[[#This Row],[essence]],Tableau6[],2,FALSE)</f>
        <v>-3.5731999999999999</v>
      </c>
      <c r="L85" s="12">
        <f>VLOOKUP(Tableau4[[#This Row],[essence]],Tableau6[],3,FALSE)</f>
        <v>-1.9289000000000001</v>
      </c>
      <c r="M85" s="12">
        <f>VLOOKUP(Tableau4[[#This Row],[essence]],Tableau6[],4,FALSE)</f>
        <v>0.40949999999999998</v>
      </c>
      <c r="N85" s="12">
        <f>VLOOKUP(Tableau4[[#This Row],[essence]],Tableau6[],5,FALSE)</f>
        <v>2.0705</v>
      </c>
      <c r="O85" s="12">
        <f>IF(Tableau4[[#This Row],[priorecol]]="C",1,0)</f>
        <v>0</v>
      </c>
      <c r="P85" s="12">
        <f>VLOOKUP(Tableau4[[#This Row],[essence]],Tableau6[],6,FALSE)</f>
        <v>2.9992999999999999</v>
      </c>
      <c r="Q85" s="12">
        <f>IF(Tableau4[[#This Row],[priorecol]]="R",1,0)</f>
        <v>0</v>
      </c>
      <c r="R85" s="12">
        <f>VLOOKUP(Tableau4[[#This Row],[essence]],Tableau6[],7,FALSE)</f>
        <v>1.3050999999999999</v>
      </c>
      <c r="S85" s="12">
        <f>IF(Tableau4[[#This Row],[priorecol]]="S",1,0)</f>
        <v>1</v>
      </c>
      <c r="T85" s="12">
        <f>VLOOKUP(Tableau4[[#This Row],[essence]],Tableau6[],20,FALSE)</f>
        <v>0</v>
      </c>
      <c r="U85" s="12">
        <f>VLOOKUP(Tableau4[[#This Row],[essence]],Tableau6[],15,FALSE)</f>
        <v>0</v>
      </c>
      <c r="V85" s="12">
        <f>VLOOKUP(Tableau4[[#This Row],[essence]],Tableau6[],28,FALSE)</f>
        <v>0</v>
      </c>
      <c r="W85" s="12">
        <f>IF(Tableau4[[#This Row],[sdom]]=1,1,0)</f>
        <v>0</v>
      </c>
      <c r="X85" s="12">
        <f>VLOOKUP(Tableau4[[#This Row],[essence]],Tableau6[],8,FALSE)</f>
        <v>0</v>
      </c>
      <c r="Y85" s="12">
        <f>IF(Tableau4[[#This Row],[sdom]]="2EST",1,0)</f>
        <v>0</v>
      </c>
      <c r="Z85" s="12">
        <f>VLOOKUP(Tableau4[[#This Row],[essence]],Tableau6[],9,FALSE)</f>
        <v>0</v>
      </c>
      <c r="AA85" s="12">
        <f>IF(Tableau4[[#This Row],[sdom]]="2OUEST",1,0)</f>
        <v>0</v>
      </c>
      <c r="AB85" s="12">
        <f>VLOOKUP(Tableau4[[#This Row],[essence]],Tableau6[],10,FALSE)</f>
        <v>0</v>
      </c>
      <c r="AC85" s="12">
        <f>IF(Tableau4[[#This Row],[sdom]]="3EST",1,0)</f>
        <v>1</v>
      </c>
      <c r="AD85" s="12">
        <f>VLOOKUP(Tableau4[[#This Row],[essence]],Tableau6[],11,FALSE)</f>
        <v>0</v>
      </c>
      <c r="AE85" s="12">
        <f>IF(Tableau4[[#This Row],[sdom]]="3OUEST",1,0)</f>
        <v>0</v>
      </c>
      <c r="AF85" s="12">
        <f>VLOOKUP(Tableau4[[#This Row],[essence]],Tableau6[],12,FALSE)</f>
        <v>0</v>
      </c>
      <c r="AG85" s="12">
        <f>IF(Tableau4[[#This Row],[sdom]]="4EST",1,0)</f>
        <v>0</v>
      </c>
      <c r="AH85" s="12">
        <f>VLOOKUP(Tableau4[[#This Row],[essence]],Tableau6[],13,FALSE)</f>
        <v>0</v>
      </c>
      <c r="AI85" s="12">
        <f>IF(Tableau4[[#This Row],[sdom]]="4OUEST",1,0)</f>
        <v>0</v>
      </c>
      <c r="AJ85" s="12">
        <f>VLOOKUP(Tableau4[[#This Row],[essence]],Tableau6[],14,FALSE)</f>
        <v>0</v>
      </c>
      <c r="AK85" s="12">
        <f>IF(Tableau4[[#This Row],[sdom]]="5EST",1,0)</f>
        <v>0</v>
      </c>
      <c r="AL85" s="12">
        <f>VLOOKUP(Tableau4[[#This Row],[essence]],Tableau6[],17,FALSE)</f>
        <v>0</v>
      </c>
      <c r="AM85" s="12">
        <f>IF(Tableau4[[#This Row],[priorecol]]="C",1,0)</f>
        <v>0</v>
      </c>
      <c r="AN85" s="12">
        <f>VLOOKUP(Tableau4[[#This Row],[essence]],Tableau6[],18,FALSE)</f>
        <v>0</v>
      </c>
      <c r="AO85" s="12">
        <f>IF(Tableau4[[#This Row],[priorecol]]="R",1,0)</f>
        <v>0</v>
      </c>
      <c r="AP85" s="12">
        <f>VLOOKUP(Tableau4[[#This Row],[essence]],Tableau6[],19,FALSE)</f>
        <v>0</v>
      </c>
      <c r="AQ85" s="12">
        <f>IF(Tableau4[[#This Row],[priorecol]]="S",1,0)</f>
        <v>1</v>
      </c>
      <c r="AR85" s="12">
        <f>VLOOKUP(Tableau4[[#This Row],[essence]],Tableau6[],21,FALSE)</f>
        <v>0</v>
      </c>
      <c r="AS85" s="12">
        <f>IF(Tableau4[[#This Row],[priorecol]]="C",1,0)</f>
        <v>0</v>
      </c>
      <c r="AT85" s="12">
        <f>VLOOKUP(Tableau4[[#This Row],[essence]],Tableau6[],22,FALSE)</f>
        <v>0</v>
      </c>
      <c r="AU85" s="12">
        <f>IF(Tableau4[[#This Row],[priorecol]]="R",1,0)</f>
        <v>0</v>
      </c>
      <c r="AV85" s="12">
        <f>VLOOKUP(Tableau4[[#This Row],[essence]],Tableau6[],23,FALSE)</f>
        <v>0</v>
      </c>
      <c r="AW85" s="12">
        <f>IF(Tableau4[[#This Row],[priorecol]]="S",1,0)</f>
        <v>1</v>
      </c>
      <c r="AX85" s="12">
        <f>VLOOKUP(Tableau4[[#This Row],[essence]],Tableau6[],24,FALSE)</f>
        <v>-2.1000000000000001E-4</v>
      </c>
      <c r="AY85" s="12">
        <f>VLOOKUP(Tableau4[[#This Row],[essence]],Tableau6[],25,FALSE)</f>
        <v>-1.34E-2</v>
      </c>
      <c r="AZ85" s="12">
        <f>VLOOKUP(Tableau4[[#This Row],[essence]],Tableau6[],26,FALSE)</f>
        <v>-2.8899999999999999E-2</v>
      </c>
      <c r="BA85" s="12">
        <f>VLOOKUP(Tableau4[[#This Row],[essence]],Tableau6[],27,FALSE)</f>
        <v>0.2873</v>
      </c>
      <c r="BB85" s="12">
        <f>VLOOKUP(Tableau4[[#This Row],[essence]],Tableau6[],16,FALSE)</f>
        <v>0</v>
      </c>
      <c r="BC8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85" s="12">
        <f>Tableau4[[#This Row],[xb_]]+Tableau4[[#This Row],[b_intercept_C]]+Tableau4[[#This Row],[b_dhpcm_x_intercept_C]]*Tableau4[[#This Row],[dhpcm]]</f>
        <v>-1.2367699999999999</v>
      </c>
      <c r="BE85" s="12">
        <f>Tableau4[[#This Row],[xb_]]+Tableau4[[#This Row],[b_intercept_B]]+Tableau4[[#This Row],[b_dhpcm_x_intercept_B]]*Tableau4[[#This Row],[dhpcm]]</f>
        <v>-1.6686700000000001</v>
      </c>
      <c r="BF85" s="12">
        <f>Tableau4[[#This Row],[xb_]]+Tableau4[[#This Row],[b_intercept_A]]+Tableau4[[#This Row],[b_dhpcm_x_intercept_A]]*Tableau4[[#This Row],[dhpcm]]</f>
        <v>-1.6905999999999999</v>
      </c>
      <c r="BG85" s="12">
        <f>1/(1+EXP(-Tableau4[[#This Row],[xb_c]]))</f>
        <v>0.2249987143617008</v>
      </c>
      <c r="BH85" s="12">
        <f>1/(1+EXP(-Tableau4[[#This Row],[xb_b]]))</f>
        <v>0.15860158293742155</v>
      </c>
      <c r="BI85" s="12">
        <f>1/(1+EXP(-Tableau4[[#This Row],[xb_a]]))</f>
        <v>0.15569695058287117</v>
      </c>
      <c r="BJ85" s="12">
        <f>Tableau4[[#This Row],[prob_a]]</f>
        <v>0.15569695058287117</v>
      </c>
      <c r="BK85" s="12">
        <f>Tableau4[[#This Row],[prob_b]]-Tableau4[[#This Row],[prob_a]]</f>
        <v>2.9046323545503794E-3</v>
      </c>
      <c r="BL85" s="12">
        <f>Tableau4[[#This Row],[prob_c]]-Tableau4[[#This Row],[prob_b]]</f>
        <v>6.6397131424279249E-2</v>
      </c>
      <c r="BM85" s="12">
        <f>1-Tableau4[[#This Row],[prob_c]]</f>
        <v>0.77500128563829918</v>
      </c>
    </row>
    <row r="86" spans="1:65" x14ac:dyDescent="0.25">
      <c r="A86" s="12">
        <v>4</v>
      </c>
      <c r="B86" s="12" t="s">
        <v>12</v>
      </c>
      <c r="C86" s="12">
        <v>2.1</v>
      </c>
      <c r="D86" s="12">
        <v>700</v>
      </c>
      <c r="E86" s="12">
        <v>20</v>
      </c>
      <c r="F86" s="12">
        <v>1</v>
      </c>
      <c r="G86" s="12">
        <v>61</v>
      </c>
      <c r="H86" s="12">
        <v>124</v>
      </c>
      <c r="I86" s="12" t="s">
        <v>23</v>
      </c>
      <c r="J86" s="12" t="s">
        <v>27</v>
      </c>
      <c r="K86" s="12">
        <f>VLOOKUP(Tableau4[[#This Row],[essence]],Tableau6[],2,FALSE)</f>
        <v>-1.6034999999999999</v>
      </c>
      <c r="L86" s="12">
        <f>VLOOKUP(Tableau4[[#This Row],[essence]],Tableau6[],3,FALSE)</f>
        <v>-0.41120000000000001</v>
      </c>
      <c r="M86" s="12">
        <f>VLOOKUP(Tableau4[[#This Row],[essence]],Tableau6[],4,FALSE)</f>
        <v>1.1791</v>
      </c>
      <c r="N86" s="12">
        <f>VLOOKUP(Tableau4[[#This Row],[essence]],Tableau6[],5,FALSE)</f>
        <v>-0.48980000000000001</v>
      </c>
      <c r="O86" s="12">
        <f>IF(Tableau4[[#This Row],[priorecol]]="C",1,0)</f>
        <v>1</v>
      </c>
      <c r="P86" s="12">
        <f>VLOOKUP(Tableau4[[#This Row],[essence]],Tableau6[],6,FALSE)</f>
        <v>-3.5700000000000003E-2</v>
      </c>
      <c r="Q86" s="12">
        <f>IF(Tableau4[[#This Row],[priorecol]]="R",1,0)</f>
        <v>0</v>
      </c>
      <c r="R86" s="12">
        <f>VLOOKUP(Tableau4[[#This Row],[essence]],Tableau6[],7,FALSE)</f>
        <v>0.1021</v>
      </c>
      <c r="S86" s="12">
        <f>IF(Tableau4[[#This Row],[priorecol]]="S",1,0)</f>
        <v>0</v>
      </c>
      <c r="T86" s="12">
        <f>VLOOKUP(Tableau4[[#This Row],[essence]],Tableau6[],20,FALSE)</f>
        <v>-3.3500000000000002E-2</v>
      </c>
      <c r="U86" s="12">
        <f>VLOOKUP(Tableau4[[#This Row],[essence]],Tableau6[],15,FALSE)</f>
        <v>7.4200000000000004E-3</v>
      </c>
      <c r="V86" s="12">
        <f>VLOOKUP(Tableau4[[#This Row],[essence]],Tableau6[],28,FALSE)</f>
        <v>1.071</v>
      </c>
      <c r="W86" s="12">
        <f>IF(Tableau4[[#This Row],[sdom]]=1,1,0)</f>
        <v>0</v>
      </c>
      <c r="X86" s="12">
        <f>VLOOKUP(Tableau4[[#This Row],[essence]],Tableau6[],8,FALSE)</f>
        <v>0.83450000000000002</v>
      </c>
      <c r="Y86" s="12">
        <f>IF(Tableau4[[#This Row],[sdom]]="2EST",1,0)</f>
        <v>0</v>
      </c>
      <c r="Z86" s="12">
        <f>VLOOKUP(Tableau4[[#This Row],[essence]],Tableau6[],9,FALSE)</f>
        <v>0.94689999999999996</v>
      </c>
      <c r="AA86" s="12">
        <f>IF(Tableau4[[#This Row],[sdom]]="2OUEST",1,0)</f>
        <v>0</v>
      </c>
      <c r="AB86" s="12">
        <f>VLOOKUP(Tableau4[[#This Row],[essence]],Tableau6[],10,FALSE)</f>
        <v>0.62780000000000002</v>
      </c>
      <c r="AC86" s="12">
        <f>IF(Tableau4[[#This Row],[sdom]]="3EST",1,0)</f>
        <v>1</v>
      </c>
      <c r="AD86" s="12">
        <f>VLOOKUP(Tableau4[[#This Row],[essence]],Tableau6[],11,FALSE)</f>
        <v>0.95940000000000003</v>
      </c>
      <c r="AE86" s="12">
        <f>IF(Tableau4[[#This Row],[sdom]]="3OUEST",1,0)</f>
        <v>0</v>
      </c>
      <c r="AF86" s="12">
        <f>VLOOKUP(Tableau4[[#This Row],[essence]],Tableau6[],12,FALSE)</f>
        <v>0.49719999999999998</v>
      </c>
      <c r="AG86" s="12">
        <f>IF(Tableau4[[#This Row],[sdom]]="4EST",1,0)</f>
        <v>0</v>
      </c>
      <c r="AH86" s="12">
        <f>VLOOKUP(Tableau4[[#This Row],[essence]],Tableau6[],13,FALSE)</f>
        <v>0.37669999999999998</v>
      </c>
      <c r="AI86" s="12">
        <f>IF(Tableau4[[#This Row],[sdom]]="4OUEST",1,0)</f>
        <v>0</v>
      </c>
      <c r="AJ86" s="12">
        <f>VLOOKUP(Tableau4[[#This Row],[essence]],Tableau6[],14,FALSE)</f>
        <v>0</v>
      </c>
      <c r="AK86" s="12">
        <f>IF(Tableau4[[#This Row],[sdom]]="5EST",1,0)</f>
        <v>0</v>
      </c>
      <c r="AL86" s="12">
        <f>VLOOKUP(Tableau4[[#This Row],[essence]],Tableau6[],17,FALSE)</f>
        <v>2.8E-3</v>
      </c>
      <c r="AM86" s="12">
        <f>IF(Tableau4[[#This Row],[priorecol]]="C",1,0)</f>
        <v>1</v>
      </c>
      <c r="AN86" s="12">
        <f>VLOOKUP(Tableau4[[#This Row],[essence]],Tableau6[],18,FALSE)</f>
        <v>-2.2499999999999999E-2</v>
      </c>
      <c r="AO86" s="12">
        <f>IF(Tableau4[[#This Row],[priorecol]]="R",1,0)</f>
        <v>0</v>
      </c>
      <c r="AP86" s="12">
        <f>VLOOKUP(Tableau4[[#This Row],[essence]],Tableau6[],19,FALSE)</f>
        <v>3.0699999999999998E-3</v>
      </c>
      <c r="AQ86" s="12">
        <f>IF(Tableau4[[#This Row],[priorecol]]="S",1,0)</f>
        <v>0</v>
      </c>
      <c r="AR86" s="12">
        <f>VLOOKUP(Tableau4[[#This Row],[essence]],Tableau6[],21,FALSE)</f>
        <v>5.2400000000000002E-2</v>
      </c>
      <c r="AS86" s="12">
        <f>IF(Tableau4[[#This Row],[priorecol]]="C",1,0)</f>
        <v>1</v>
      </c>
      <c r="AT86" s="12">
        <f>VLOOKUP(Tableau4[[#This Row],[essence]],Tableau6[],22,FALSE)</f>
        <v>7.7799999999999994E-2</v>
      </c>
      <c r="AU86" s="12">
        <f>IF(Tableau4[[#This Row],[priorecol]]="R",1,0)</f>
        <v>0</v>
      </c>
      <c r="AV86" s="12">
        <f>VLOOKUP(Tableau4[[#This Row],[essence]],Tableau6[],23,FALSE)</f>
        <v>1.9E-2</v>
      </c>
      <c r="AW86" s="12">
        <f>IF(Tableau4[[#This Row],[priorecol]]="S",1,0)</f>
        <v>0</v>
      </c>
      <c r="AX86" s="12">
        <f>VLOOKUP(Tableau4[[#This Row],[essence]],Tableau6[],24,FALSE)</f>
        <v>0</v>
      </c>
      <c r="AY86" s="12">
        <f>VLOOKUP(Tableau4[[#This Row],[essence]],Tableau6[],25,FALSE)</f>
        <v>0</v>
      </c>
      <c r="AZ86" s="12">
        <f>VLOOKUP(Tableau4[[#This Row],[essence]],Tableau6[],26,FALSE)</f>
        <v>0</v>
      </c>
      <c r="BA86" s="12">
        <f>VLOOKUP(Tableau4[[#This Row],[essence]],Tableau6[],27,FALSE)</f>
        <v>0</v>
      </c>
      <c r="BB86" s="12">
        <f>VLOOKUP(Tableau4[[#This Row],[essence]],Tableau6[],16,FALSE)</f>
        <v>0</v>
      </c>
      <c r="BC8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2.6860000000000004</v>
      </c>
      <c r="BD86" s="12">
        <f>Tableau4[[#This Row],[xb_]]+Tableau4[[#This Row],[b_intercept_C]]+Tableau4[[#This Row],[b_dhpcm_x_intercept_C]]*Tableau4[[#This Row],[dhpcm]]</f>
        <v>3.8651000000000004</v>
      </c>
      <c r="BE86" s="12">
        <f>Tableau4[[#This Row],[xb_]]+Tableau4[[#This Row],[b_intercept_B]]+Tableau4[[#This Row],[b_dhpcm_x_intercept_B]]*Tableau4[[#This Row],[dhpcm]]</f>
        <v>2.2748000000000004</v>
      </c>
      <c r="BF86" s="12">
        <f>Tableau4[[#This Row],[xb_]]+Tableau4[[#This Row],[b_intercept_A]]+Tableau4[[#This Row],[b_dhpcm_x_intercept_A]]*Tableau4[[#This Row],[dhpcm]]</f>
        <v>1.0825000000000005</v>
      </c>
      <c r="BG86" s="12">
        <f>1/(1+EXP(-Tableau4[[#This Row],[xb_c]]))</f>
        <v>0.97946950978852321</v>
      </c>
      <c r="BH86" s="12">
        <f>1/(1+EXP(-Tableau4[[#This Row],[xb_b]]))</f>
        <v>0.9067683703950713</v>
      </c>
      <c r="BI86" s="12">
        <f>1/(1+EXP(-Tableau4[[#This Row],[xb_a]]))</f>
        <v>0.74696679351968998</v>
      </c>
      <c r="BJ86" s="12">
        <f>Tableau4[[#This Row],[prob_a]]</f>
        <v>0.74696679351968998</v>
      </c>
      <c r="BK86" s="12">
        <f>Tableau4[[#This Row],[prob_b]]-Tableau4[[#This Row],[prob_a]]</f>
        <v>0.15980157687538132</v>
      </c>
      <c r="BL86" s="12">
        <f>Tableau4[[#This Row],[prob_c]]-Tableau4[[#This Row],[prob_b]]</f>
        <v>7.2701139393451908E-2</v>
      </c>
      <c r="BM86" s="12">
        <f>1-Tableau4[[#This Row],[prob_c]]</f>
        <v>2.0530490211476793E-2</v>
      </c>
    </row>
    <row r="87" spans="1:65" x14ac:dyDescent="0.25">
      <c r="A87" s="12">
        <v>4</v>
      </c>
      <c r="B87" s="12" t="s">
        <v>12</v>
      </c>
      <c r="C87" s="12">
        <v>2.1</v>
      </c>
      <c r="D87" s="12">
        <v>700</v>
      </c>
      <c r="E87" s="12">
        <v>20</v>
      </c>
      <c r="F87" s="12">
        <v>1</v>
      </c>
      <c r="G87" s="12">
        <v>62</v>
      </c>
      <c r="H87" s="12">
        <v>125</v>
      </c>
      <c r="I87" s="12" t="s">
        <v>23</v>
      </c>
      <c r="J87" s="12" t="s">
        <v>28</v>
      </c>
      <c r="K87" s="12">
        <f>VLOOKUP(Tableau4[[#This Row],[essence]],Tableau6[],2,FALSE)</f>
        <v>-1.6034999999999999</v>
      </c>
      <c r="L87" s="12">
        <f>VLOOKUP(Tableau4[[#This Row],[essence]],Tableau6[],3,FALSE)</f>
        <v>-0.41120000000000001</v>
      </c>
      <c r="M87" s="12">
        <f>VLOOKUP(Tableau4[[#This Row],[essence]],Tableau6[],4,FALSE)</f>
        <v>1.1791</v>
      </c>
      <c r="N87" s="12">
        <f>VLOOKUP(Tableau4[[#This Row],[essence]],Tableau6[],5,FALSE)</f>
        <v>-0.48980000000000001</v>
      </c>
      <c r="O87" s="12">
        <f>IF(Tableau4[[#This Row],[priorecol]]="C",1,0)</f>
        <v>0</v>
      </c>
      <c r="P87" s="12">
        <f>VLOOKUP(Tableau4[[#This Row],[essence]],Tableau6[],6,FALSE)</f>
        <v>-3.5700000000000003E-2</v>
      </c>
      <c r="Q87" s="12">
        <f>IF(Tableau4[[#This Row],[priorecol]]="R",1,0)</f>
        <v>1</v>
      </c>
      <c r="R87" s="12">
        <f>VLOOKUP(Tableau4[[#This Row],[essence]],Tableau6[],7,FALSE)</f>
        <v>0.1021</v>
      </c>
      <c r="S87" s="12">
        <f>IF(Tableau4[[#This Row],[priorecol]]="S",1,0)</f>
        <v>0</v>
      </c>
      <c r="T87" s="12">
        <f>VLOOKUP(Tableau4[[#This Row],[essence]],Tableau6[],20,FALSE)</f>
        <v>-3.3500000000000002E-2</v>
      </c>
      <c r="U87" s="12">
        <f>VLOOKUP(Tableau4[[#This Row],[essence]],Tableau6[],15,FALSE)</f>
        <v>7.4200000000000004E-3</v>
      </c>
      <c r="V87" s="12">
        <f>VLOOKUP(Tableau4[[#This Row],[essence]],Tableau6[],28,FALSE)</f>
        <v>1.071</v>
      </c>
      <c r="W87" s="12">
        <f>IF(Tableau4[[#This Row],[sdom]]=1,1,0)</f>
        <v>0</v>
      </c>
      <c r="X87" s="12">
        <f>VLOOKUP(Tableau4[[#This Row],[essence]],Tableau6[],8,FALSE)</f>
        <v>0.83450000000000002</v>
      </c>
      <c r="Y87" s="12">
        <f>IF(Tableau4[[#This Row],[sdom]]="2EST",1,0)</f>
        <v>0</v>
      </c>
      <c r="Z87" s="12">
        <f>VLOOKUP(Tableau4[[#This Row],[essence]],Tableau6[],9,FALSE)</f>
        <v>0.94689999999999996</v>
      </c>
      <c r="AA87" s="12">
        <f>IF(Tableau4[[#This Row],[sdom]]="2OUEST",1,0)</f>
        <v>0</v>
      </c>
      <c r="AB87" s="12">
        <f>VLOOKUP(Tableau4[[#This Row],[essence]],Tableau6[],10,FALSE)</f>
        <v>0.62780000000000002</v>
      </c>
      <c r="AC87" s="12">
        <f>IF(Tableau4[[#This Row],[sdom]]="3EST",1,0)</f>
        <v>1</v>
      </c>
      <c r="AD87" s="12">
        <f>VLOOKUP(Tableau4[[#This Row],[essence]],Tableau6[],11,FALSE)</f>
        <v>0.95940000000000003</v>
      </c>
      <c r="AE87" s="12">
        <f>IF(Tableau4[[#This Row],[sdom]]="3OUEST",1,0)</f>
        <v>0</v>
      </c>
      <c r="AF87" s="12">
        <f>VLOOKUP(Tableau4[[#This Row],[essence]],Tableau6[],12,FALSE)</f>
        <v>0.49719999999999998</v>
      </c>
      <c r="AG87" s="12">
        <f>IF(Tableau4[[#This Row],[sdom]]="4EST",1,0)</f>
        <v>0</v>
      </c>
      <c r="AH87" s="12">
        <f>VLOOKUP(Tableau4[[#This Row],[essence]],Tableau6[],13,FALSE)</f>
        <v>0.37669999999999998</v>
      </c>
      <c r="AI87" s="12">
        <f>IF(Tableau4[[#This Row],[sdom]]="4OUEST",1,0)</f>
        <v>0</v>
      </c>
      <c r="AJ87" s="12">
        <f>VLOOKUP(Tableau4[[#This Row],[essence]],Tableau6[],14,FALSE)</f>
        <v>0</v>
      </c>
      <c r="AK87" s="12">
        <f>IF(Tableau4[[#This Row],[sdom]]="5EST",1,0)</f>
        <v>0</v>
      </c>
      <c r="AL87" s="12">
        <f>VLOOKUP(Tableau4[[#This Row],[essence]],Tableau6[],17,FALSE)</f>
        <v>2.8E-3</v>
      </c>
      <c r="AM87" s="12">
        <f>IF(Tableau4[[#This Row],[priorecol]]="C",1,0)</f>
        <v>0</v>
      </c>
      <c r="AN87" s="12">
        <f>VLOOKUP(Tableau4[[#This Row],[essence]],Tableau6[],18,FALSE)</f>
        <v>-2.2499999999999999E-2</v>
      </c>
      <c r="AO87" s="12">
        <f>IF(Tableau4[[#This Row],[priorecol]]="R",1,0)</f>
        <v>1</v>
      </c>
      <c r="AP87" s="12">
        <f>VLOOKUP(Tableau4[[#This Row],[essence]],Tableau6[],19,FALSE)</f>
        <v>3.0699999999999998E-3</v>
      </c>
      <c r="AQ87" s="12">
        <f>IF(Tableau4[[#This Row],[priorecol]]="S",1,0)</f>
        <v>0</v>
      </c>
      <c r="AR87" s="12">
        <f>VLOOKUP(Tableau4[[#This Row],[essence]],Tableau6[],21,FALSE)</f>
        <v>5.2400000000000002E-2</v>
      </c>
      <c r="AS87" s="12">
        <f>IF(Tableau4[[#This Row],[priorecol]]="C",1,0)</f>
        <v>0</v>
      </c>
      <c r="AT87" s="12">
        <f>VLOOKUP(Tableau4[[#This Row],[essence]],Tableau6[],22,FALSE)</f>
        <v>7.7799999999999994E-2</v>
      </c>
      <c r="AU87" s="12">
        <f>IF(Tableau4[[#This Row],[priorecol]]="R",1,0)</f>
        <v>1</v>
      </c>
      <c r="AV87" s="12">
        <f>VLOOKUP(Tableau4[[#This Row],[essence]],Tableau6[],23,FALSE)</f>
        <v>1.9E-2</v>
      </c>
      <c r="AW87" s="12">
        <f>IF(Tableau4[[#This Row],[priorecol]]="S",1,0)</f>
        <v>0</v>
      </c>
      <c r="AX87" s="12">
        <f>VLOOKUP(Tableau4[[#This Row],[essence]],Tableau6[],24,FALSE)</f>
        <v>0</v>
      </c>
      <c r="AY87" s="12">
        <f>VLOOKUP(Tableau4[[#This Row],[essence]],Tableau6[],25,FALSE)</f>
        <v>0</v>
      </c>
      <c r="AZ87" s="12">
        <f>VLOOKUP(Tableau4[[#This Row],[essence]],Tableau6[],26,FALSE)</f>
        <v>0</v>
      </c>
      <c r="BA87" s="12">
        <f>VLOOKUP(Tableau4[[#This Row],[essence]],Tableau6[],27,FALSE)</f>
        <v>0</v>
      </c>
      <c r="BB87" s="12">
        <f>VLOOKUP(Tableau4[[#This Row],[essence]],Tableau6[],16,FALSE)</f>
        <v>0</v>
      </c>
      <c r="BC8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5.8279999999999994</v>
      </c>
      <c r="BD87" s="12">
        <f>Tableau4[[#This Row],[xb_]]+Tableau4[[#This Row],[b_intercept_C]]+Tableau4[[#This Row],[b_dhpcm_x_intercept_C]]*Tableau4[[#This Row],[dhpcm]]</f>
        <v>7.0070999999999994</v>
      </c>
      <c r="BE87" s="12">
        <f>Tableau4[[#This Row],[xb_]]+Tableau4[[#This Row],[b_intercept_B]]+Tableau4[[#This Row],[b_dhpcm_x_intercept_B]]*Tableau4[[#This Row],[dhpcm]]</f>
        <v>5.4167999999999994</v>
      </c>
      <c r="BF87" s="12">
        <f>Tableau4[[#This Row],[xb_]]+Tableau4[[#This Row],[b_intercept_A]]+Tableau4[[#This Row],[b_dhpcm_x_intercept_A]]*Tableau4[[#This Row],[dhpcm]]</f>
        <v>4.224499999999999</v>
      </c>
      <c r="BG87" s="12">
        <f>1/(1+EXP(-Tableau4[[#This Row],[xb_c]]))</f>
        <v>0.99909538852956115</v>
      </c>
      <c r="BH87" s="12">
        <f>1/(1+EXP(-Tableau4[[#This Row],[xb_b]]))</f>
        <v>0.99557830203896358</v>
      </c>
      <c r="BI87" s="12">
        <f>1/(1+EXP(-Tableau4[[#This Row],[xb_a]]))</f>
        <v>0.98557837733993714</v>
      </c>
      <c r="BJ87" s="12">
        <f>Tableau4[[#This Row],[prob_a]]</f>
        <v>0.98557837733993714</v>
      </c>
      <c r="BK87" s="12">
        <f>Tableau4[[#This Row],[prob_b]]-Tableau4[[#This Row],[prob_a]]</f>
        <v>9.9999246990264412E-3</v>
      </c>
      <c r="BL87" s="12">
        <f>Tableau4[[#This Row],[prob_c]]-Tableau4[[#This Row],[prob_b]]</f>
        <v>3.5170864905975652E-3</v>
      </c>
      <c r="BM87" s="12">
        <f>1-Tableau4[[#This Row],[prob_c]]</f>
        <v>9.0461147043885415E-4</v>
      </c>
    </row>
    <row r="88" spans="1:65" x14ac:dyDescent="0.25">
      <c r="A88" s="12">
        <v>4</v>
      </c>
      <c r="B88" s="12" t="s">
        <v>12</v>
      </c>
      <c r="C88" s="12">
        <v>2.1</v>
      </c>
      <c r="D88" s="12">
        <v>700</v>
      </c>
      <c r="E88" s="12">
        <v>20</v>
      </c>
      <c r="F88" s="12">
        <v>1</v>
      </c>
      <c r="G88" s="12">
        <v>63</v>
      </c>
      <c r="H88" s="12">
        <v>126</v>
      </c>
      <c r="I88" s="12" t="s">
        <v>23</v>
      </c>
      <c r="J88" s="12" t="s">
        <v>29</v>
      </c>
      <c r="K88" s="12">
        <f>VLOOKUP(Tableau4[[#This Row],[essence]],Tableau6[],2,FALSE)</f>
        <v>-1.6034999999999999</v>
      </c>
      <c r="L88" s="12">
        <f>VLOOKUP(Tableau4[[#This Row],[essence]],Tableau6[],3,FALSE)</f>
        <v>-0.41120000000000001</v>
      </c>
      <c r="M88" s="12">
        <f>VLOOKUP(Tableau4[[#This Row],[essence]],Tableau6[],4,FALSE)</f>
        <v>1.1791</v>
      </c>
      <c r="N88" s="12">
        <f>VLOOKUP(Tableau4[[#This Row],[essence]],Tableau6[],5,FALSE)</f>
        <v>-0.48980000000000001</v>
      </c>
      <c r="O88" s="12">
        <f>IF(Tableau4[[#This Row],[priorecol]]="C",1,0)</f>
        <v>0</v>
      </c>
      <c r="P88" s="12">
        <f>VLOOKUP(Tableau4[[#This Row],[essence]],Tableau6[],6,FALSE)</f>
        <v>-3.5700000000000003E-2</v>
      </c>
      <c r="Q88" s="12">
        <f>IF(Tableau4[[#This Row],[priorecol]]="R",1,0)</f>
        <v>0</v>
      </c>
      <c r="R88" s="12">
        <f>VLOOKUP(Tableau4[[#This Row],[essence]],Tableau6[],7,FALSE)</f>
        <v>0.1021</v>
      </c>
      <c r="S88" s="12">
        <f>IF(Tableau4[[#This Row],[priorecol]]="S",1,0)</f>
        <v>1</v>
      </c>
      <c r="T88" s="12">
        <f>VLOOKUP(Tableau4[[#This Row],[essence]],Tableau6[],20,FALSE)</f>
        <v>-3.3500000000000002E-2</v>
      </c>
      <c r="U88" s="12">
        <f>VLOOKUP(Tableau4[[#This Row],[essence]],Tableau6[],15,FALSE)</f>
        <v>7.4200000000000004E-3</v>
      </c>
      <c r="V88" s="12">
        <f>VLOOKUP(Tableau4[[#This Row],[essence]],Tableau6[],28,FALSE)</f>
        <v>1.071</v>
      </c>
      <c r="W88" s="12">
        <f>IF(Tableau4[[#This Row],[sdom]]=1,1,0)</f>
        <v>0</v>
      </c>
      <c r="X88" s="12">
        <f>VLOOKUP(Tableau4[[#This Row],[essence]],Tableau6[],8,FALSE)</f>
        <v>0.83450000000000002</v>
      </c>
      <c r="Y88" s="12">
        <f>IF(Tableau4[[#This Row],[sdom]]="2EST",1,0)</f>
        <v>0</v>
      </c>
      <c r="Z88" s="12">
        <f>VLOOKUP(Tableau4[[#This Row],[essence]],Tableau6[],9,FALSE)</f>
        <v>0.94689999999999996</v>
      </c>
      <c r="AA88" s="12">
        <f>IF(Tableau4[[#This Row],[sdom]]="2OUEST",1,0)</f>
        <v>0</v>
      </c>
      <c r="AB88" s="12">
        <f>VLOOKUP(Tableau4[[#This Row],[essence]],Tableau6[],10,FALSE)</f>
        <v>0.62780000000000002</v>
      </c>
      <c r="AC88" s="12">
        <f>IF(Tableau4[[#This Row],[sdom]]="3EST",1,0)</f>
        <v>1</v>
      </c>
      <c r="AD88" s="12">
        <f>VLOOKUP(Tableau4[[#This Row],[essence]],Tableau6[],11,FALSE)</f>
        <v>0.95940000000000003</v>
      </c>
      <c r="AE88" s="12">
        <f>IF(Tableau4[[#This Row],[sdom]]="3OUEST",1,0)</f>
        <v>0</v>
      </c>
      <c r="AF88" s="12">
        <f>VLOOKUP(Tableau4[[#This Row],[essence]],Tableau6[],12,FALSE)</f>
        <v>0.49719999999999998</v>
      </c>
      <c r="AG88" s="12">
        <f>IF(Tableau4[[#This Row],[sdom]]="4EST",1,0)</f>
        <v>0</v>
      </c>
      <c r="AH88" s="12">
        <f>VLOOKUP(Tableau4[[#This Row],[essence]],Tableau6[],13,FALSE)</f>
        <v>0.37669999999999998</v>
      </c>
      <c r="AI88" s="12">
        <f>IF(Tableau4[[#This Row],[sdom]]="4OUEST",1,0)</f>
        <v>0</v>
      </c>
      <c r="AJ88" s="12">
        <f>VLOOKUP(Tableau4[[#This Row],[essence]],Tableau6[],14,FALSE)</f>
        <v>0</v>
      </c>
      <c r="AK88" s="12">
        <f>IF(Tableau4[[#This Row],[sdom]]="5EST",1,0)</f>
        <v>0</v>
      </c>
      <c r="AL88" s="12">
        <f>VLOOKUP(Tableau4[[#This Row],[essence]],Tableau6[],17,FALSE)</f>
        <v>2.8E-3</v>
      </c>
      <c r="AM88" s="12">
        <f>IF(Tableau4[[#This Row],[priorecol]]="C",1,0)</f>
        <v>0</v>
      </c>
      <c r="AN88" s="12">
        <f>VLOOKUP(Tableau4[[#This Row],[essence]],Tableau6[],18,FALSE)</f>
        <v>-2.2499999999999999E-2</v>
      </c>
      <c r="AO88" s="12">
        <f>IF(Tableau4[[#This Row],[priorecol]]="R",1,0)</f>
        <v>0</v>
      </c>
      <c r="AP88" s="12">
        <f>VLOOKUP(Tableau4[[#This Row],[essence]],Tableau6[],19,FALSE)</f>
        <v>3.0699999999999998E-3</v>
      </c>
      <c r="AQ88" s="12">
        <f>IF(Tableau4[[#This Row],[priorecol]]="S",1,0)</f>
        <v>1</v>
      </c>
      <c r="AR88" s="12">
        <f>VLOOKUP(Tableau4[[#This Row],[essence]],Tableau6[],21,FALSE)</f>
        <v>5.2400000000000002E-2</v>
      </c>
      <c r="AS88" s="12">
        <f>IF(Tableau4[[#This Row],[priorecol]]="C",1,0)</f>
        <v>0</v>
      </c>
      <c r="AT88" s="12">
        <f>VLOOKUP(Tableau4[[#This Row],[essence]],Tableau6[],22,FALSE)</f>
        <v>7.7799999999999994E-2</v>
      </c>
      <c r="AU88" s="12">
        <f>IF(Tableau4[[#This Row],[priorecol]]="R",1,0)</f>
        <v>0</v>
      </c>
      <c r="AV88" s="12">
        <f>VLOOKUP(Tableau4[[#This Row],[essence]],Tableau6[],23,FALSE)</f>
        <v>1.9E-2</v>
      </c>
      <c r="AW88" s="12">
        <f>IF(Tableau4[[#This Row],[priorecol]]="S",1,0)</f>
        <v>1</v>
      </c>
      <c r="AX88" s="12">
        <f>VLOOKUP(Tableau4[[#This Row],[essence]],Tableau6[],24,FALSE)</f>
        <v>0</v>
      </c>
      <c r="AY88" s="12">
        <f>VLOOKUP(Tableau4[[#This Row],[essence]],Tableau6[],25,FALSE)</f>
        <v>0</v>
      </c>
      <c r="AZ88" s="12">
        <f>VLOOKUP(Tableau4[[#This Row],[essence]],Tableau6[],26,FALSE)</f>
        <v>0</v>
      </c>
      <c r="BA88" s="12">
        <f>VLOOKUP(Tableau4[[#This Row],[essence]],Tableau6[],27,FALSE)</f>
        <v>0</v>
      </c>
      <c r="BB88" s="12">
        <f>VLOOKUP(Tableau4[[#This Row],[essence]],Tableau6[],16,FALSE)</f>
        <v>0</v>
      </c>
      <c r="BC8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-0.88729999999999976</v>
      </c>
      <c r="BD88" s="12">
        <f>Tableau4[[#This Row],[xb_]]+Tableau4[[#This Row],[b_intercept_C]]+Tableau4[[#This Row],[b_dhpcm_x_intercept_C]]*Tableau4[[#This Row],[dhpcm]]</f>
        <v>0.29180000000000028</v>
      </c>
      <c r="BE88" s="12">
        <f>Tableau4[[#This Row],[xb_]]+Tableau4[[#This Row],[b_intercept_B]]+Tableau4[[#This Row],[b_dhpcm_x_intercept_B]]*Tableau4[[#This Row],[dhpcm]]</f>
        <v>-1.2984999999999998</v>
      </c>
      <c r="BF88" s="12">
        <f>Tableau4[[#This Row],[xb_]]+Tableau4[[#This Row],[b_intercept_A]]+Tableau4[[#This Row],[b_dhpcm_x_intercept_A]]*Tableau4[[#This Row],[dhpcm]]</f>
        <v>-2.4907999999999997</v>
      </c>
      <c r="BG88" s="12">
        <f>1/(1+EXP(-Tableau4[[#This Row],[xb_c]]))</f>
        <v>0.57243674551454671</v>
      </c>
      <c r="BH88" s="12">
        <f>1/(1+EXP(-Tableau4[[#This Row],[xb_b]]))</f>
        <v>0.21441757273770654</v>
      </c>
      <c r="BI88" s="12">
        <f>1/(1+EXP(-Tableau4[[#This Row],[xb_a]]))</f>
        <v>7.6505656166337199E-2</v>
      </c>
      <c r="BJ88" s="12">
        <f>Tableau4[[#This Row],[prob_a]]</f>
        <v>7.6505656166337199E-2</v>
      </c>
      <c r="BK88" s="12">
        <f>Tableau4[[#This Row],[prob_b]]-Tableau4[[#This Row],[prob_a]]</f>
        <v>0.13791191657136934</v>
      </c>
      <c r="BL88" s="12">
        <f>Tableau4[[#This Row],[prob_c]]-Tableau4[[#This Row],[prob_b]]</f>
        <v>0.35801917277684014</v>
      </c>
      <c r="BM88" s="12">
        <f>1-Tableau4[[#This Row],[prob_c]]</f>
        <v>0.42756325448545329</v>
      </c>
    </row>
    <row r="89" spans="1:65" x14ac:dyDescent="0.25">
      <c r="A89" s="12">
        <v>4</v>
      </c>
      <c r="B89" s="12" t="s">
        <v>12</v>
      </c>
      <c r="C89" s="12">
        <v>2.1</v>
      </c>
      <c r="D89" s="12">
        <v>700</v>
      </c>
      <c r="E89" s="12">
        <v>20</v>
      </c>
      <c r="F89" s="12">
        <v>1</v>
      </c>
      <c r="G89" s="12">
        <v>64</v>
      </c>
      <c r="H89" s="12">
        <v>127</v>
      </c>
      <c r="I89" s="12" t="s">
        <v>24</v>
      </c>
      <c r="J89" s="12" t="s">
        <v>27</v>
      </c>
      <c r="K89" s="12">
        <f>VLOOKUP(Tableau4[[#This Row],[essence]],Tableau6[],2,FALSE)</f>
        <v>0.5262</v>
      </c>
      <c r="L89" s="12">
        <f>VLOOKUP(Tableau4[[#This Row],[essence]],Tableau6[],3,FALSE)</f>
        <v>1.3954</v>
      </c>
      <c r="M89" s="12">
        <f>VLOOKUP(Tableau4[[#This Row],[essence]],Tableau6[],4,FALSE)</f>
        <v>2.8633000000000002</v>
      </c>
      <c r="N89" s="12">
        <f>VLOOKUP(Tableau4[[#This Row],[essence]],Tableau6[],5,FALSE)</f>
        <v>1.4995000000000001</v>
      </c>
      <c r="O89" s="12">
        <f>IF(Tableau4[[#This Row],[priorecol]]="C",1,0)</f>
        <v>1</v>
      </c>
      <c r="P89" s="12">
        <f>VLOOKUP(Tableau4[[#This Row],[essence]],Tableau6[],6,FALSE)</f>
        <v>2.5129000000000001</v>
      </c>
      <c r="Q89" s="12">
        <f>IF(Tableau4[[#This Row],[priorecol]]="R",1,0)</f>
        <v>0</v>
      </c>
      <c r="R89" s="12">
        <f>VLOOKUP(Tableau4[[#This Row],[essence]],Tableau6[],7,FALSE)</f>
        <v>0.88009999999999999</v>
      </c>
      <c r="S89" s="12">
        <f>IF(Tableau4[[#This Row],[priorecol]]="S",1,0)</f>
        <v>0</v>
      </c>
      <c r="T89" s="12">
        <f>VLOOKUP(Tableau4[[#This Row],[essence]],Tableau6[],20,FALSE)</f>
        <v>0</v>
      </c>
      <c r="U89" s="12">
        <f>VLOOKUP(Tableau4[[#This Row],[essence]],Tableau6[],15,FALSE)</f>
        <v>2.9000000000000001E-2</v>
      </c>
      <c r="V89" s="12">
        <f>VLOOKUP(Tableau4[[#This Row],[essence]],Tableau6[],28,FALSE)</f>
        <v>-0.43919999999999998</v>
      </c>
      <c r="W89" s="12">
        <f>IF(Tableau4[[#This Row],[sdom]]=1,1,0)</f>
        <v>0</v>
      </c>
      <c r="X89" s="12">
        <f>VLOOKUP(Tableau4[[#This Row],[essence]],Tableau6[],8,FALSE)</f>
        <v>-0.32929999999999998</v>
      </c>
      <c r="Y89" s="12">
        <f>IF(Tableau4[[#This Row],[sdom]]="2EST",1,0)</f>
        <v>0</v>
      </c>
      <c r="Z89" s="12">
        <f>VLOOKUP(Tableau4[[#This Row],[essence]],Tableau6[],9,FALSE)</f>
        <v>0</v>
      </c>
      <c r="AA89" s="12">
        <f>IF(Tableau4[[#This Row],[sdom]]="2OUEST",1,0)</f>
        <v>0</v>
      </c>
      <c r="AB89" s="12">
        <f>VLOOKUP(Tableau4[[#This Row],[essence]],Tableau6[],10,FALSE)</f>
        <v>0</v>
      </c>
      <c r="AC89" s="12">
        <f>IF(Tableau4[[#This Row],[sdom]]="3EST",1,0)</f>
        <v>1</v>
      </c>
      <c r="AD89" s="12">
        <f>VLOOKUP(Tableau4[[#This Row],[essence]],Tableau6[],11,FALSE)</f>
        <v>0</v>
      </c>
      <c r="AE89" s="12">
        <f>IF(Tableau4[[#This Row],[sdom]]="3OUEST",1,0)</f>
        <v>0</v>
      </c>
      <c r="AF89" s="12">
        <f>VLOOKUP(Tableau4[[#This Row],[essence]],Tableau6[],12,FALSE)</f>
        <v>0</v>
      </c>
      <c r="AG89" s="12">
        <f>IF(Tableau4[[#This Row],[sdom]]="4EST",1,0)</f>
        <v>0</v>
      </c>
      <c r="AH89" s="12">
        <f>VLOOKUP(Tableau4[[#This Row],[essence]],Tableau6[],13,FALSE)</f>
        <v>0</v>
      </c>
      <c r="AI89" s="12">
        <f>IF(Tableau4[[#This Row],[sdom]]="4OUEST",1,0)</f>
        <v>0</v>
      </c>
      <c r="AJ89" s="12">
        <f>VLOOKUP(Tableau4[[#This Row],[essence]],Tableau6[],14,FALSE)</f>
        <v>0</v>
      </c>
      <c r="AK89" s="12">
        <f>IF(Tableau4[[#This Row],[sdom]]="5EST",1,0)</f>
        <v>0</v>
      </c>
      <c r="AL89" s="12">
        <f>VLOOKUP(Tableau4[[#This Row],[essence]],Tableau6[],17,FALSE)</f>
        <v>0</v>
      </c>
      <c r="AM89" s="12">
        <f>IF(Tableau4[[#This Row],[priorecol]]="C",1,0)</f>
        <v>1</v>
      </c>
      <c r="AN89" s="12">
        <f>VLOOKUP(Tableau4[[#This Row],[essence]],Tableau6[],18,FALSE)</f>
        <v>0</v>
      </c>
      <c r="AO89" s="12">
        <f>IF(Tableau4[[#This Row],[priorecol]]="R",1,0)</f>
        <v>0</v>
      </c>
      <c r="AP89" s="12">
        <f>VLOOKUP(Tableau4[[#This Row],[essence]],Tableau6[],19,FALSE)</f>
        <v>0</v>
      </c>
      <c r="AQ89" s="12">
        <f>IF(Tableau4[[#This Row],[priorecol]]="S",1,0)</f>
        <v>0</v>
      </c>
      <c r="AR89" s="12">
        <f>VLOOKUP(Tableau4[[#This Row],[essence]],Tableau6[],21,FALSE)</f>
        <v>0</v>
      </c>
      <c r="AS89" s="12">
        <f>IF(Tableau4[[#This Row],[priorecol]]="C",1,0)</f>
        <v>1</v>
      </c>
      <c r="AT89" s="12">
        <f>VLOOKUP(Tableau4[[#This Row],[essence]],Tableau6[],22,FALSE)</f>
        <v>0</v>
      </c>
      <c r="AU89" s="12">
        <f>IF(Tableau4[[#This Row],[priorecol]]="R",1,0)</f>
        <v>0</v>
      </c>
      <c r="AV89" s="12">
        <f>VLOOKUP(Tableau4[[#This Row],[essence]],Tableau6[],23,FALSE)</f>
        <v>0</v>
      </c>
      <c r="AW89" s="12">
        <f>IF(Tableau4[[#This Row],[priorecol]]="S",1,0)</f>
        <v>0</v>
      </c>
      <c r="AX89" s="12">
        <f>VLOOKUP(Tableau4[[#This Row],[essence]],Tableau6[],24,FALSE)</f>
        <v>0</v>
      </c>
      <c r="AY89" s="12">
        <f>VLOOKUP(Tableau4[[#This Row],[essence]],Tableau6[],25,FALSE)</f>
        <v>0</v>
      </c>
      <c r="AZ89" s="12">
        <f>VLOOKUP(Tableau4[[#This Row],[essence]],Tableau6[],26,FALSE)</f>
        <v>0</v>
      </c>
      <c r="BA89" s="12">
        <f>VLOOKUP(Tableau4[[#This Row],[essence]],Tableau6[],27,FALSE)</f>
        <v>0</v>
      </c>
      <c r="BB89" s="12">
        <f>VLOOKUP(Tableau4[[#This Row],[essence]],Tableau6[],16,FALSE)</f>
        <v>-2.0699999999999998E-3</v>
      </c>
      <c r="BC8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89" s="12">
        <f>Tableau4[[#This Row],[xb_]]+Tableau4[[#This Row],[b_intercept_C]]+Tableau4[[#This Row],[b_dhpcm_x_intercept_C]]*Tableau4[[#This Row],[dhpcm]]</f>
        <v>3.4938000000000007</v>
      </c>
      <c r="BE89" s="12">
        <f>Tableau4[[#This Row],[xb_]]+Tableau4[[#This Row],[b_intercept_B]]+Tableau4[[#This Row],[b_dhpcm_x_intercept_B]]*Tableau4[[#This Row],[dhpcm]]</f>
        <v>2.0259000000000005</v>
      </c>
      <c r="BF89" s="12">
        <f>Tableau4[[#This Row],[xb_]]+Tableau4[[#This Row],[b_intercept_A]]+Tableau4[[#This Row],[b_dhpcm_x_intercept_A]]*Tableau4[[#This Row],[dhpcm]]</f>
        <v>1.1567000000000005</v>
      </c>
      <c r="BG89" s="12">
        <f>1/(1+EXP(-Tableau4[[#This Row],[xb_c]]))</f>
        <v>0.97051084475492644</v>
      </c>
      <c r="BH89" s="12">
        <f>1/(1+EXP(-Tableau4[[#This Row],[xb_b]]))</f>
        <v>0.88348970489981093</v>
      </c>
      <c r="BI89" s="12">
        <f>1/(1+EXP(-Tableau4[[#This Row],[xb_a]]))</f>
        <v>0.76073257062428778</v>
      </c>
      <c r="BJ89" s="12">
        <f>Tableau4[[#This Row],[prob_a]]</f>
        <v>0.76073257062428778</v>
      </c>
      <c r="BK89" s="12">
        <f>Tableau4[[#This Row],[prob_b]]-Tableau4[[#This Row],[prob_a]]</f>
        <v>0.12275713427552315</v>
      </c>
      <c r="BL89" s="12">
        <f>Tableau4[[#This Row],[prob_c]]-Tableau4[[#This Row],[prob_b]]</f>
        <v>8.7021139855115504E-2</v>
      </c>
      <c r="BM89" s="12">
        <f>1-Tableau4[[#This Row],[prob_c]]</f>
        <v>2.9489155245073562E-2</v>
      </c>
    </row>
    <row r="90" spans="1:65" x14ac:dyDescent="0.25">
      <c r="A90" s="12">
        <v>4</v>
      </c>
      <c r="B90" s="12" t="s">
        <v>12</v>
      </c>
      <c r="C90" s="12">
        <v>2.1</v>
      </c>
      <c r="D90" s="12">
        <v>700</v>
      </c>
      <c r="E90" s="12">
        <v>20</v>
      </c>
      <c r="F90" s="12">
        <v>1</v>
      </c>
      <c r="G90" s="12">
        <v>65</v>
      </c>
      <c r="H90" s="12">
        <v>128</v>
      </c>
      <c r="I90" s="12" t="s">
        <v>24</v>
      </c>
      <c r="J90" s="12" t="s">
        <v>28</v>
      </c>
      <c r="K90" s="12">
        <f>VLOOKUP(Tableau4[[#This Row],[essence]],Tableau6[],2,FALSE)</f>
        <v>0.5262</v>
      </c>
      <c r="L90" s="12">
        <f>VLOOKUP(Tableau4[[#This Row],[essence]],Tableau6[],3,FALSE)</f>
        <v>1.3954</v>
      </c>
      <c r="M90" s="12">
        <f>VLOOKUP(Tableau4[[#This Row],[essence]],Tableau6[],4,FALSE)</f>
        <v>2.8633000000000002</v>
      </c>
      <c r="N90" s="12">
        <f>VLOOKUP(Tableau4[[#This Row],[essence]],Tableau6[],5,FALSE)</f>
        <v>1.4995000000000001</v>
      </c>
      <c r="O90" s="12">
        <f>IF(Tableau4[[#This Row],[priorecol]]="C",1,0)</f>
        <v>0</v>
      </c>
      <c r="P90" s="12">
        <f>VLOOKUP(Tableau4[[#This Row],[essence]],Tableau6[],6,FALSE)</f>
        <v>2.5129000000000001</v>
      </c>
      <c r="Q90" s="12">
        <f>IF(Tableau4[[#This Row],[priorecol]]="R",1,0)</f>
        <v>1</v>
      </c>
      <c r="R90" s="12">
        <f>VLOOKUP(Tableau4[[#This Row],[essence]],Tableau6[],7,FALSE)</f>
        <v>0.88009999999999999</v>
      </c>
      <c r="S90" s="12">
        <f>IF(Tableau4[[#This Row],[priorecol]]="S",1,0)</f>
        <v>0</v>
      </c>
      <c r="T90" s="12">
        <f>VLOOKUP(Tableau4[[#This Row],[essence]],Tableau6[],20,FALSE)</f>
        <v>0</v>
      </c>
      <c r="U90" s="12">
        <f>VLOOKUP(Tableau4[[#This Row],[essence]],Tableau6[],15,FALSE)</f>
        <v>2.9000000000000001E-2</v>
      </c>
      <c r="V90" s="12">
        <f>VLOOKUP(Tableau4[[#This Row],[essence]],Tableau6[],28,FALSE)</f>
        <v>-0.43919999999999998</v>
      </c>
      <c r="W90" s="12">
        <f>IF(Tableau4[[#This Row],[sdom]]=1,1,0)</f>
        <v>0</v>
      </c>
      <c r="X90" s="12">
        <f>VLOOKUP(Tableau4[[#This Row],[essence]],Tableau6[],8,FALSE)</f>
        <v>-0.32929999999999998</v>
      </c>
      <c r="Y90" s="12">
        <f>IF(Tableau4[[#This Row],[sdom]]="2EST",1,0)</f>
        <v>0</v>
      </c>
      <c r="Z90" s="12">
        <f>VLOOKUP(Tableau4[[#This Row],[essence]],Tableau6[],9,FALSE)</f>
        <v>0</v>
      </c>
      <c r="AA90" s="12">
        <f>IF(Tableau4[[#This Row],[sdom]]="2OUEST",1,0)</f>
        <v>0</v>
      </c>
      <c r="AB90" s="12">
        <f>VLOOKUP(Tableau4[[#This Row],[essence]],Tableau6[],10,FALSE)</f>
        <v>0</v>
      </c>
      <c r="AC90" s="12">
        <f>IF(Tableau4[[#This Row],[sdom]]="3EST",1,0)</f>
        <v>1</v>
      </c>
      <c r="AD90" s="12">
        <f>VLOOKUP(Tableau4[[#This Row],[essence]],Tableau6[],11,FALSE)</f>
        <v>0</v>
      </c>
      <c r="AE90" s="12">
        <f>IF(Tableau4[[#This Row],[sdom]]="3OUEST",1,0)</f>
        <v>0</v>
      </c>
      <c r="AF90" s="12">
        <f>VLOOKUP(Tableau4[[#This Row],[essence]],Tableau6[],12,FALSE)</f>
        <v>0</v>
      </c>
      <c r="AG90" s="12">
        <f>IF(Tableau4[[#This Row],[sdom]]="4EST",1,0)</f>
        <v>0</v>
      </c>
      <c r="AH90" s="12">
        <f>VLOOKUP(Tableau4[[#This Row],[essence]],Tableau6[],13,FALSE)</f>
        <v>0</v>
      </c>
      <c r="AI90" s="12">
        <f>IF(Tableau4[[#This Row],[sdom]]="4OUEST",1,0)</f>
        <v>0</v>
      </c>
      <c r="AJ90" s="12">
        <f>VLOOKUP(Tableau4[[#This Row],[essence]],Tableau6[],14,FALSE)</f>
        <v>0</v>
      </c>
      <c r="AK90" s="12">
        <f>IF(Tableau4[[#This Row],[sdom]]="5EST",1,0)</f>
        <v>0</v>
      </c>
      <c r="AL90" s="12">
        <f>VLOOKUP(Tableau4[[#This Row],[essence]],Tableau6[],17,FALSE)</f>
        <v>0</v>
      </c>
      <c r="AM90" s="12">
        <f>IF(Tableau4[[#This Row],[priorecol]]="C",1,0)</f>
        <v>0</v>
      </c>
      <c r="AN90" s="12">
        <f>VLOOKUP(Tableau4[[#This Row],[essence]],Tableau6[],18,FALSE)</f>
        <v>0</v>
      </c>
      <c r="AO90" s="12">
        <f>IF(Tableau4[[#This Row],[priorecol]]="R",1,0)</f>
        <v>1</v>
      </c>
      <c r="AP90" s="12">
        <f>VLOOKUP(Tableau4[[#This Row],[essence]],Tableau6[],19,FALSE)</f>
        <v>0</v>
      </c>
      <c r="AQ90" s="12">
        <f>IF(Tableau4[[#This Row],[priorecol]]="S",1,0)</f>
        <v>0</v>
      </c>
      <c r="AR90" s="12">
        <f>VLOOKUP(Tableau4[[#This Row],[essence]],Tableau6[],21,FALSE)</f>
        <v>0</v>
      </c>
      <c r="AS90" s="12">
        <f>IF(Tableau4[[#This Row],[priorecol]]="C",1,0)</f>
        <v>0</v>
      </c>
      <c r="AT90" s="12">
        <f>VLOOKUP(Tableau4[[#This Row],[essence]],Tableau6[],22,FALSE)</f>
        <v>0</v>
      </c>
      <c r="AU90" s="12">
        <f>IF(Tableau4[[#This Row],[priorecol]]="R",1,0)</f>
        <v>1</v>
      </c>
      <c r="AV90" s="12">
        <f>VLOOKUP(Tableau4[[#This Row],[essence]],Tableau6[],23,FALSE)</f>
        <v>0</v>
      </c>
      <c r="AW90" s="12">
        <f>IF(Tableau4[[#This Row],[priorecol]]="S",1,0)</f>
        <v>0</v>
      </c>
      <c r="AX90" s="12">
        <f>VLOOKUP(Tableau4[[#This Row],[essence]],Tableau6[],24,FALSE)</f>
        <v>0</v>
      </c>
      <c r="AY90" s="12">
        <f>VLOOKUP(Tableau4[[#This Row],[essence]],Tableau6[],25,FALSE)</f>
        <v>0</v>
      </c>
      <c r="AZ90" s="12">
        <f>VLOOKUP(Tableau4[[#This Row],[essence]],Tableau6[],26,FALSE)</f>
        <v>0</v>
      </c>
      <c r="BA90" s="12">
        <f>VLOOKUP(Tableau4[[#This Row],[essence]],Tableau6[],27,FALSE)</f>
        <v>0</v>
      </c>
      <c r="BB90" s="12">
        <f>VLOOKUP(Tableau4[[#This Row],[essence]],Tableau6[],16,FALSE)</f>
        <v>-2.0699999999999998E-3</v>
      </c>
      <c r="BC9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90" s="12">
        <f>Tableau4[[#This Row],[xb_]]+Tableau4[[#This Row],[b_intercept_C]]+Tableau4[[#This Row],[b_dhpcm_x_intercept_C]]*Tableau4[[#This Row],[dhpcm]]</f>
        <v>4.507200000000001</v>
      </c>
      <c r="BE90" s="12">
        <f>Tableau4[[#This Row],[xb_]]+Tableau4[[#This Row],[b_intercept_B]]+Tableau4[[#This Row],[b_dhpcm_x_intercept_B]]*Tableau4[[#This Row],[dhpcm]]</f>
        <v>3.0393000000000003</v>
      </c>
      <c r="BF90" s="12">
        <f>Tableau4[[#This Row],[xb_]]+Tableau4[[#This Row],[b_intercept_A]]+Tableau4[[#This Row],[b_dhpcm_x_intercept_A]]*Tableau4[[#This Row],[dhpcm]]</f>
        <v>2.1701000000000006</v>
      </c>
      <c r="BG90" s="12">
        <f>1/(1+EXP(-Tableau4[[#This Row],[xb_c]]))</f>
        <v>0.9890910193905974</v>
      </c>
      <c r="BH90" s="12">
        <f>1/(1+EXP(-Tableau4[[#This Row],[xb_b]]))</f>
        <v>0.95431832251535009</v>
      </c>
      <c r="BI90" s="12">
        <f>1/(1+EXP(-Tableau4[[#This Row],[xb_a]]))</f>
        <v>0.89753216373939204</v>
      </c>
      <c r="BJ90" s="12">
        <f>Tableau4[[#This Row],[prob_a]]</f>
        <v>0.89753216373939204</v>
      </c>
      <c r="BK90" s="12">
        <f>Tableau4[[#This Row],[prob_b]]-Tableau4[[#This Row],[prob_a]]</f>
        <v>5.6786158775958051E-2</v>
      </c>
      <c r="BL90" s="12">
        <f>Tableau4[[#This Row],[prob_c]]-Tableau4[[#This Row],[prob_b]]</f>
        <v>3.4772696875247311E-2</v>
      </c>
      <c r="BM90" s="12">
        <f>1-Tableau4[[#This Row],[prob_c]]</f>
        <v>1.0908980609402597E-2</v>
      </c>
    </row>
    <row r="91" spans="1:65" x14ac:dyDescent="0.25">
      <c r="A91" s="12">
        <v>4</v>
      </c>
      <c r="B91" s="12" t="s">
        <v>12</v>
      </c>
      <c r="C91" s="12">
        <v>2.1</v>
      </c>
      <c r="D91" s="12">
        <v>700</v>
      </c>
      <c r="E91" s="12">
        <v>20</v>
      </c>
      <c r="F91" s="12">
        <v>1</v>
      </c>
      <c r="G91" s="12">
        <v>66</v>
      </c>
      <c r="H91" s="12">
        <v>129</v>
      </c>
      <c r="I91" s="12" t="s">
        <v>24</v>
      </c>
      <c r="J91" s="12" t="s">
        <v>29</v>
      </c>
      <c r="K91" s="12">
        <f>VLOOKUP(Tableau4[[#This Row],[essence]],Tableau6[],2,FALSE)</f>
        <v>0.5262</v>
      </c>
      <c r="L91" s="12">
        <f>VLOOKUP(Tableau4[[#This Row],[essence]],Tableau6[],3,FALSE)</f>
        <v>1.3954</v>
      </c>
      <c r="M91" s="12">
        <f>VLOOKUP(Tableau4[[#This Row],[essence]],Tableau6[],4,FALSE)</f>
        <v>2.8633000000000002</v>
      </c>
      <c r="N91" s="12">
        <f>VLOOKUP(Tableau4[[#This Row],[essence]],Tableau6[],5,FALSE)</f>
        <v>1.4995000000000001</v>
      </c>
      <c r="O91" s="12">
        <f>IF(Tableau4[[#This Row],[priorecol]]="C",1,0)</f>
        <v>0</v>
      </c>
      <c r="P91" s="12">
        <f>VLOOKUP(Tableau4[[#This Row],[essence]],Tableau6[],6,FALSE)</f>
        <v>2.5129000000000001</v>
      </c>
      <c r="Q91" s="12">
        <f>IF(Tableau4[[#This Row],[priorecol]]="R",1,0)</f>
        <v>0</v>
      </c>
      <c r="R91" s="12">
        <f>VLOOKUP(Tableau4[[#This Row],[essence]],Tableau6[],7,FALSE)</f>
        <v>0.88009999999999999</v>
      </c>
      <c r="S91" s="12">
        <f>IF(Tableau4[[#This Row],[priorecol]]="S",1,0)</f>
        <v>1</v>
      </c>
      <c r="T91" s="12">
        <f>VLOOKUP(Tableau4[[#This Row],[essence]],Tableau6[],20,FALSE)</f>
        <v>0</v>
      </c>
      <c r="U91" s="12">
        <f>VLOOKUP(Tableau4[[#This Row],[essence]],Tableau6[],15,FALSE)</f>
        <v>2.9000000000000001E-2</v>
      </c>
      <c r="V91" s="12">
        <f>VLOOKUP(Tableau4[[#This Row],[essence]],Tableau6[],28,FALSE)</f>
        <v>-0.43919999999999998</v>
      </c>
      <c r="W91" s="12">
        <f>IF(Tableau4[[#This Row],[sdom]]=1,1,0)</f>
        <v>0</v>
      </c>
      <c r="X91" s="12">
        <f>VLOOKUP(Tableau4[[#This Row],[essence]],Tableau6[],8,FALSE)</f>
        <v>-0.32929999999999998</v>
      </c>
      <c r="Y91" s="12">
        <f>IF(Tableau4[[#This Row],[sdom]]="2EST",1,0)</f>
        <v>0</v>
      </c>
      <c r="Z91" s="12">
        <f>VLOOKUP(Tableau4[[#This Row],[essence]],Tableau6[],9,FALSE)</f>
        <v>0</v>
      </c>
      <c r="AA91" s="12">
        <f>IF(Tableau4[[#This Row],[sdom]]="2OUEST",1,0)</f>
        <v>0</v>
      </c>
      <c r="AB91" s="12">
        <f>VLOOKUP(Tableau4[[#This Row],[essence]],Tableau6[],10,FALSE)</f>
        <v>0</v>
      </c>
      <c r="AC91" s="12">
        <f>IF(Tableau4[[#This Row],[sdom]]="3EST",1,0)</f>
        <v>1</v>
      </c>
      <c r="AD91" s="12">
        <f>VLOOKUP(Tableau4[[#This Row],[essence]],Tableau6[],11,FALSE)</f>
        <v>0</v>
      </c>
      <c r="AE91" s="12">
        <f>IF(Tableau4[[#This Row],[sdom]]="3OUEST",1,0)</f>
        <v>0</v>
      </c>
      <c r="AF91" s="12">
        <f>VLOOKUP(Tableau4[[#This Row],[essence]],Tableau6[],12,FALSE)</f>
        <v>0</v>
      </c>
      <c r="AG91" s="12">
        <f>IF(Tableau4[[#This Row],[sdom]]="4EST",1,0)</f>
        <v>0</v>
      </c>
      <c r="AH91" s="12">
        <f>VLOOKUP(Tableau4[[#This Row],[essence]],Tableau6[],13,FALSE)</f>
        <v>0</v>
      </c>
      <c r="AI91" s="12">
        <f>IF(Tableau4[[#This Row],[sdom]]="4OUEST",1,0)</f>
        <v>0</v>
      </c>
      <c r="AJ91" s="12">
        <f>VLOOKUP(Tableau4[[#This Row],[essence]],Tableau6[],14,FALSE)</f>
        <v>0</v>
      </c>
      <c r="AK91" s="12">
        <f>IF(Tableau4[[#This Row],[sdom]]="5EST",1,0)</f>
        <v>0</v>
      </c>
      <c r="AL91" s="12">
        <f>VLOOKUP(Tableau4[[#This Row],[essence]],Tableau6[],17,FALSE)</f>
        <v>0</v>
      </c>
      <c r="AM91" s="12">
        <f>IF(Tableau4[[#This Row],[priorecol]]="C",1,0)</f>
        <v>0</v>
      </c>
      <c r="AN91" s="12">
        <f>VLOOKUP(Tableau4[[#This Row],[essence]],Tableau6[],18,FALSE)</f>
        <v>0</v>
      </c>
      <c r="AO91" s="12">
        <f>IF(Tableau4[[#This Row],[priorecol]]="R",1,0)</f>
        <v>0</v>
      </c>
      <c r="AP91" s="12">
        <f>VLOOKUP(Tableau4[[#This Row],[essence]],Tableau6[],19,FALSE)</f>
        <v>0</v>
      </c>
      <c r="AQ91" s="12">
        <f>IF(Tableau4[[#This Row],[priorecol]]="S",1,0)</f>
        <v>1</v>
      </c>
      <c r="AR91" s="12">
        <f>VLOOKUP(Tableau4[[#This Row],[essence]],Tableau6[],21,FALSE)</f>
        <v>0</v>
      </c>
      <c r="AS91" s="12">
        <f>IF(Tableau4[[#This Row],[priorecol]]="C",1,0)</f>
        <v>0</v>
      </c>
      <c r="AT91" s="12">
        <f>VLOOKUP(Tableau4[[#This Row],[essence]],Tableau6[],22,FALSE)</f>
        <v>0</v>
      </c>
      <c r="AU91" s="12">
        <f>IF(Tableau4[[#This Row],[priorecol]]="R",1,0)</f>
        <v>0</v>
      </c>
      <c r="AV91" s="12">
        <f>VLOOKUP(Tableau4[[#This Row],[essence]],Tableau6[],23,FALSE)</f>
        <v>0</v>
      </c>
      <c r="AW91" s="12">
        <f>IF(Tableau4[[#This Row],[priorecol]]="S",1,0)</f>
        <v>1</v>
      </c>
      <c r="AX91" s="12">
        <f>VLOOKUP(Tableau4[[#This Row],[essence]],Tableau6[],24,FALSE)</f>
        <v>0</v>
      </c>
      <c r="AY91" s="12">
        <f>VLOOKUP(Tableau4[[#This Row],[essence]],Tableau6[],25,FALSE)</f>
        <v>0</v>
      </c>
      <c r="AZ91" s="12">
        <f>VLOOKUP(Tableau4[[#This Row],[essence]],Tableau6[],26,FALSE)</f>
        <v>0</v>
      </c>
      <c r="BA91" s="12">
        <f>VLOOKUP(Tableau4[[#This Row],[essence]],Tableau6[],27,FALSE)</f>
        <v>0</v>
      </c>
      <c r="BB91" s="12">
        <f>VLOOKUP(Tableau4[[#This Row],[essence]],Tableau6[],16,FALSE)</f>
        <v>-2.0699999999999998E-3</v>
      </c>
      <c r="BC9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91" s="12">
        <f>Tableau4[[#This Row],[xb_]]+Tableau4[[#This Row],[b_intercept_C]]+Tableau4[[#This Row],[b_dhpcm_x_intercept_C]]*Tableau4[[#This Row],[dhpcm]]</f>
        <v>2.8744000000000005</v>
      </c>
      <c r="BE91" s="12">
        <f>Tableau4[[#This Row],[xb_]]+Tableau4[[#This Row],[b_intercept_B]]+Tableau4[[#This Row],[b_dhpcm_x_intercept_B]]*Tableau4[[#This Row],[dhpcm]]</f>
        <v>1.4065000000000003</v>
      </c>
      <c r="BF91" s="12">
        <f>Tableau4[[#This Row],[xb_]]+Tableau4[[#This Row],[b_intercept_A]]+Tableau4[[#This Row],[b_dhpcm_x_intercept_A]]*Tableau4[[#This Row],[dhpcm]]</f>
        <v>0.53730000000000033</v>
      </c>
      <c r="BG91" s="12">
        <f>1/(1+EXP(-Tableau4[[#This Row],[xb_c]]))</f>
        <v>0.94656633122301448</v>
      </c>
      <c r="BH91" s="12">
        <f>1/(1+EXP(-Tableau4[[#This Row],[xb_b]]))</f>
        <v>0.80321331477375935</v>
      </c>
      <c r="BI91" s="12">
        <f>1/(1+EXP(-Tableau4[[#This Row],[xb_a]]))</f>
        <v>0.63118410569197869</v>
      </c>
      <c r="BJ91" s="12">
        <f>Tableau4[[#This Row],[prob_a]]</f>
        <v>0.63118410569197869</v>
      </c>
      <c r="BK91" s="12">
        <f>Tableau4[[#This Row],[prob_b]]-Tableau4[[#This Row],[prob_a]]</f>
        <v>0.17202920908178065</v>
      </c>
      <c r="BL91" s="12">
        <f>Tableau4[[#This Row],[prob_c]]-Tableau4[[#This Row],[prob_b]]</f>
        <v>0.14335301644925513</v>
      </c>
      <c r="BM91" s="12">
        <f>1-Tableau4[[#This Row],[prob_c]]</f>
        <v>5.3433668776985521E-2</v>
      </c>
    </row>
    <row r="92" spans="1:65" x14ac:dyDescent="0.25">
      <c r="A92" s="12">
        <v>4</v>
      </c>
      <c r="B92" s="12" t="s">
        <v>12</v>
      </c>
      <c r="C92" s="12">
        <v>2.1</v>
      </c>
      <c r="D92" s="12">
        <v>700</v>
      </c>
      <c r="E92" s="12">
        <v>20</v>
      </c>
      <c r="F92" s="12">
        <v>1</v>
      </c>
      <c r="G92" s="12">
        <v>67</v>
      </c>
      <c r="H92" s="12">
        <v>130</v>
      </c>
      <c r="I92" s="12" t="s">
        <v>25</v>
      </c>
      <c r="J92" s="12" t="s">
        <v>27</v>
      </c>
      <c r="K92" s="12">
        <f>VLOOKUP(Tableau4[[#This Row],[essence]],Tableau6[],2,FALSE)</f>
        <v>-4.3875000000000002</v>
      </c>
      <c r="L92" s="12">
        <f>VLOOKUP(Tableau4[[#This Row],[essence]],Tableau6[],3,FALSE)</f>
        <v>-3.0411999999999999</v>
      </c>
      <c r="M92" s="12">
        <f>VLOOKUP(Tableau4[[#This Row],[essence]],Tableau6[],4,FALSE)</f>
        <v>-1.2259</v>
      </c>
      <c r="N92" s="12">
        <f>VLOOKUP(Tableau4[[#This Row],[essence]],Tableau6[],5,FALSE)</f>
        <v>1.7715000000000001</v>
      </c>
      <c r="O92" s="12">
        <f>IF(Tableau4[[#This Row],[priorecol]]="C",1,0)</f>
        <v>1</v>
      </c>
      <c r="P92" s="12">
        <f>VLOOKUP(Tableau4[[#This Row],[essence]],Tableau6[],6,FALSE)</f>
        <v>2.6688000000000001</v>
      </c>
      <c r="Q92" s="12">
        <f>IF(Tableau4[[#This Row],[priorecol]]="R",1,0)</f>
        <v>0</v>
      </c>
      <c r="R92" s="12">
        <f>VLOOKUP(Tableau4[[#This Row],[essence]],Tableau6[],7,FALSE)</f>
        <v>1.5728</v>
      </c>
      <c r="S92" s="12">
        <f>IF(Tableau4[[#This Row],[priorecol]]="S",1,0)</f>
        <v>0</v>
      </c>
      <c r="T92" s="12">
        <f>VLOOKUP(Tableau4[[#This Row],[essence]],Tableau6[],20,FALSE)</f>
        <v>0</v>
      </c>
      <c r="U92" s="12">
        <f>VLOOKUP(Tableau4[[#This Row],[essence]],Tableau6[],15,FALSE)</f>
        <v>0</v>
      </c>
      <c r="V92" s="12">
        <f>VLOOKUP(Tableau4[[#This Row],[essence]],Tableau6[],28,FALSE)</f>
        <v>0</v>
      </c>
      <c r="W92" s="12">
        <f>IF(Tableau4[[#This Row],[sdom]]=1,1,0)</f>
        <v>0</v>
      </c>
      <c r="X92" s="12">
        <f>VLOOKUP(Tableau4[[#This Row],[essence]],Tableau6[],8,FALSE)</f>
        <v>0.86129999999999995</v>
      </c>
      <c r="Y92" s="12">
        <f>IF(Tableau4[[#This Row],[sdom]]="2EST",1,0)</f>
        <v>0</v>
      </c>
      <c r="Z92" s="12">
        <f>VLOOKUP(Tableau4[[#This Row],[essence]],Tableau6[],9,FALSE)</f>
        <v>0.39550000000000002</v>
      </c>
      <c r="AA92" s="12">
        <f>IF(Tableau4[[#This Row],[sdom]]="2OUEST",1,0)</f>
        <v>0</v>
      </c>
      <c r="AB92" s="12">
        <f>VLOOKUP(Tableau4[[#This Row],[essence]],Tableau6[],10,FALSE)</f>
        <v>0.58989999999999998</v>
      </c>
      <c r="AC92" s="12">
        <f>IF(Tableau4[[#This Row],[sdom]]="3EST",1,0)</f>
        <v>1</v>
      </c>
      <c r="AD92" s="12">
        <f>VLOOKUP(Tableau4[[#This Row],[essence]],Tableau6[],11,FALSE)</f>
        <v>0.52759999999999996</v>
      </c>
      <c r="AE92" s="12">
        <f>IF(Tableau4[[#This Row],[sdom]]="3OUEST",1,0)</f>
        <v>0</v>
      </c>
      <c r="AF92" s="12">
        <f>VLOOKUP(Tableau4[[#This Row],[essence]],Tableau6[],12,FALSE)</f>
        <v>0</v>
      </c>
      <c r="AG92" s="12">
        <f>IF(Tableau4[[#This Row],[sdom]]="4EST",1,0)</f>
        <v>0</v>
      </c>
      <c r="AH92" s="12">
        <f>VLOOKUP(Tableau4[[#This Row],[essence]],Tableau6[],13,FALSE)</f>
        <v>0</v>
      </c>
      <c r="AI92" s="12">
        <f>IF(Tableau4[[#This Row],[sdom]]="4OUEST",1,0)</f>
        <v>0</v>
      </c>
      <c r="AJ92" s="12">
        <f>VLOOKUP(Tableau4[[#This Row],[essence]],Tableau6[],14,FALSE)</f>
        <v>0</v>
      </c>
      <c r="AK92" s="12">
        <f>IF(Tableau4[[#This Row],[sdom]]="5EST",1,0)</f>
        <v>0</v>
      </c>
      <c r="AL92" s="12">
        <f>VLOOKUP(Tableau4[[#This Row],[essence]],Tableau6[],17,FALSE)</f>
        <v>0</v>
      </c>
      <c r="AM92" s="12">
        <f>IF(Tableau4[[#This Row],[priorecol]]="C",1,0)</f>
        <v>1</v>
      </c>
      <c r="AN92" s="12">
        <f>VLOOKUP(Tableau4[[#This Row],[essence]],Tableau6[],18,FALSE)</f>
        <v>0</v>
      </c>
      <c r="AO92" s="12">
        <f>IF(Tableau4[[#This Row],[priorecol]]="R",1,0)</f>
        <v>0</v>
      </c>
      <c r="AP92" s="12">
        <f>VLOOKUP(Tableau4[[#This Row],[essence]],Tableau6[],19,FALSE)</f>
        <v>0</v>
      </c>
      <c r="AQ92" s="12">
        <f>IF(Tableau4[[#This Row],[priorecol]]="S",1,0)</f>
        <v>0</v>
      </c>
      <c r="AR92" s="12">
        <f>VLOOKUP(Tableau4[[#This Row],[essence]],Tableau6[],21,FALSE)</f>
        <v>0</v>
      </c>
      <c r="AS92" s="12">
        <f>IF(Tableau4[[#This Row],[priorecol]]="C",1,0)</f>
        <v>1</v>
      </c>
      <c r="AT92" s="12">
        <f>VLOOKUP(Tableau4[[#This Row],[essence]],Tableau6[],22,FALSE)</f>
        <v>0</v>
      </c>
      <c r="AU92" s="12">
        <f>IF(Tableau4[[#This Row],[priorecol]]="R",1,0)</f>
        <v>0</v>
      </c>
      <c r="AV92" s="12">
        <f>VLOOKUP(Tableau4[[#This Row],[essence]],Tableau6[],23,FALSE)</f>
        <v>0</v>
      </c>
      <c r="AW92" s="12">
        <f>IF(Tableau4[[#This Row],[priorecol]]="S",1,0)</f>
        <v>0</v>
      </c>
      <c r="AX92" s="12">
        <f>VLOOKUP(Tableau4[[#This Row],[essence]],Tableau6[],24,FALSE)</f>
        <v>0</v>
      </c>
      <c r="AY92" s="12">
        <f>VLOOKUP(Tableau4[[#This Row],[essence]],Tableau6[],25,FALSE)</f>
        <v>0</v>
      </c>
      <c r="AZ92" s="12">
        <f>VLOOKUP(Tableau4[[#This Row],[essence]],Tableau6[],26,FALSE)</f>
        <v>0</v>
      </c>
      <c r="BA92" s="12">
        <f>VLOOKUP(Tableau4[[#This Row],[essence]],Tableau6[],27,FALSE)</f>
        <v>0</v>
      </c>
      <c r="BB92" s="12">
        <f>VLOOKUP(Tableau4[[#This Row],[essence]],Tableau6[],16,FALSE)</f>
        <v>0</v>
      </c>
      <c r="BC9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2.3614000000000002</v>
      </c>
      <c r="BD92" s="12">
        <f>Tableau4[[#This Row],[xb_]]+Tableau4[[#This Row],[b_intercept_C]]+Tableau4[[#This Row],[b_dhpcm_x_intercept_C]]*Tableau4[[#This Row],[dhpcm]]</f>
        <v>1.1355000000000002</v>
      </c>
      <c r="BE92" s="12">
        <f>Tableau4[[#This Row],[xb_]]+Tableau4[[#This Row],[b_intercept_B]]+Tableau4[[#This Row],[b_dhpcm_x_intercept_B]]*Tableau4[[#This Row],[dhpcm]]</f>
        <v>-0.67979999999999974</v>
      </c>
      <c r="BF92" s="12">
        <f>Tableau4[[#This Row],[xb_]]+Tableau4[[#This Row],[b_intercept_A]]+Tableau4[[#This Row],[b_dhpcm_x_intercept_A]]*Tableau4[[#This Row],[dhpcm]]</f>
        <v>-2.0261</v>
      </c>
      <c r="BG92" s="12">
        <f>1/(1+EXP(-Tableau4[[#This Row],[xb_c]]))</f>
        <v>0.75685247583917381</v>
      </c>
      <c r="BH92" s="12">
        <f>1/(1+EXP(-Tableau4[[#This Row],[xb_b]]))</f>
        <v>0.33630594198513214</v>
      </c>
      <c r="BI92" s="12">
        <f>1/(1+EXP(-Tableau4[[#This Row],[xb_a]]))</f>
        <v>0.11648970954987992</v>
      </c>
      <c r="BJ92" s="12">
        <f>Tableau4[[#This Row],[prob_a]]</f>
        <v>0.11648970954987992</v>
      </c>
      <c r="BK92" s="12">
        <f>Tableau4[[#This Row],[prob_b]]-Tableau4[[#This Row],[prob_a]]</f>
        <v>0.21981623243525222</v>
      </c>
      <c r="BL92" s="12">
        <f>Tableau4[[#This Row],[prob_c]]-Tableau4[[#This Row],[prob_b]]</f>
        <v>0.42054653385404167</v>
      </c>
      <c r="BM92" s="12">
        <f>1-Tableau4[[#This Row],[prob_c]]</f>
        <v>0.24314752416082619</v>
      </c>
    </row>
    <row r="93" spans="1:65" x14ac:dyDescent="0.25">
      <c r="A93" s="12">
        <v>4</v>
      </c>
      <c r="B93" s="12" t="s">
        <v>12</v>
      </c>
      <c r="C93" s="12">
        <v>2.1</v>
      </c>
      <c r="D93" s="12">
        <v>700</v>
      </c>
      <c r="E93" s="12">
        <v>20</v>
      </c>
      <c r="F93" s="12">
        <v>1</v>
      </c>
      <c r="G93" s="12">
        <v>68</v>
      </c>
      <c r="H93" s="12">
        <v>131</v>
      </c>
      <c r="I93" s="12" t="s">
        <v>25</v>
      </c>
      <c r="J93" s="12" t="s">
        <v>28</v>
      </c>
      <c r="K93" s="12">
        <f>VLOOKUP(Tableau4[[#This Row],[essence]],Tableau6[],2,FALSE)</f>
        <v>-4.3875000000000002</v>
      </c>
      <c r="L93" s="12">
        <f>VLOOKUP(Tableau4[[#This Row],[essence]],Tableau6[],3,FALSE)</f>
        <v>-3.0411999999999999</v>
      </c>
      <c r="M93" s="12">
        <f>VLOOKUP(Tableau4[[#This Row],[essence]],Tableau6[],4,FALSE)</f>
        <v>-1.2259</v>
      </c>
      <c r="N93" s="12">
        <f>VLOOKUP(Tableau4[[#This Row],[essence]],Tableau6[],5,FALSE)</f>
        <v>1.7715000000000001</v>
      </c>
      <c r="O93" s="12">
        <f>IF(Tableau4[[#This Row],[priorecol]]="C",1,0)</f>
        <v>0</v>
      </c>
      <c r="P93" s="12">
        <f>VLOOKUP(Tableau4[[#This Row],[essence]],Tableau6[],6,FALSE)</f>
        <v>2.6688000000000001</v>
      </c>
      <c r="Q93" s="12">
        <f>IF(Tableau4[[#This Row],[priorecol]]="R",1,0)</f>
        <v>1</v>
      </c>
      <c r="R93" s="12">
        <f>VLOOKUP(Tableau4[[#This Row],[essence]],Tableau6[],7,FALSE)</f>
        <v>1.5728</v>
      </c>
      <c r="S93" s="12">
        <f>IF(Tableau4[[#This Row],[priorecol]]="S",1,0)</f>
        <v>0</v>
      </c>
      <c r="T93" s="12">
        <f>VLOOKUP(Tableau4[[#This Row],[essence]],Tableau6[],20,FALSE)</f>
        <v>0</v>
      </c>
      <c r="U93" s="12">
        <f>VLOOKUP(Tableau4[[#This Row],[essence]],Tableau6[],15,FALSE)</f>
        <v>0</v>
      </c>
      <c r="V93" s="12">
        <f>VLOOKUP(Tableau4[[#This Row],[essence]],Tableau6[],28,FALSE)</f>
        <v>0</v>
      </c>
      <c r="W93" s="12">
        <f>IF(Tableau4[[#This Row],[sdom]]=1,1,0)</f>
        <v>0</v>
      </c>
      <c r="X93" s="12">
        <f>VLOOKUP(Tableau4[[#This Row],[essence]],Tableau6[],8,FALSE)</f>
        <v>0.86129999999999995</v>
      </c>
      <c r="Y93" s="12">
        <f>IF(Tableau4[[#This Row],[sdom]]="2EST",1,0)</f>
        <v>0</v>
      </c>
      <c r="Z93" s="12">
        <f>VLOOKUP(Tableau4[[#This Row],[essence]],Tableau6[],9,FALSE)</f>
        <v>0.39550000000000002</v>
      </c>
      <c r="AA93" s="12">
        <f>IF(Tableau4[[#This Row],[sdom]]="2OUEST",1,0)</f>
        <v>0</v>
      </c>
      <c r="AB93" s="12">
        <f>VLOOKUP(Tableau4[[#This Row],[essence]],Tableau6[],10,FALSE)</f>
        <v>0.58989999999999998</v>
      </c>
      <c r="AC93" s="12">
        <f>IF(Tableau4[[#This Row],[sdom]]="3EST",1,0)</f>
        <v>1</v>
      </c>
      <c r="AD93" s="12">
        <f>VLOOKUP(Tableau4[[#This Row],[essence]],Tableau6[],11,FALSE)</f>
        <v>0.52759999999999996</v>
      </c>
      <c r="AE93" s="12">
        <f>IF(Tableau4[[#This Row],[sdom]]="3OUEST",1,0)</f>
        <v>0</v>
      </c>
      <c r="AF93" s="12">
        <f>VLOOKUP(Tableau4[[#This Row],[essence]],Tableau6[],12,FALSE)</f>
        <v>0</v>
      </c>
      <c r="AG93" s="12">
        <f>IF(Tableau4[[#This Row],[sdom]]="4EST",1,0)</f>
        <v>0</v>
      </c>
      <c r="AH93" s="12">
        <f>VLOOKUP(Tableau4[[#This Row],[essence]],Tableau6[],13,FALSE)</f>
        <v>0</v>
      </c>
      <c r="AI93" s="12">
        <f>IF(Tableau4[[#This Row],[sdom]]="4OUEST",1,0)</f>
        <v>0</v>
      </c>
      <c r="AJ93" s="12">
        <f>VLOOKUP(Tableau4[[#This Row],[essence]],Tableau6[],14,FALSE)</f>
        <v>0</v>
      </c>
      <c r="AK93" s="12">
        <f>IF(Tableau4[[#This Row],[sdom]]="5EST",1,0)</f>
        <v>0</v>
      </c>
      <c r="AL93" s="12">
        <f>VLOOKUP(Tableau4[[#This Row],[essence]],Tableau6[],17,FALSE)</f>
        <v>0</v>
      </c>
      <c r="AM93" s="12">
        <f>IF(Tableau4[[#This Row],[priorecol]]="C",1,0)</f>
        <v>0</v>
      </c>
      <c r="AN93" s="12">
        <f>VLOOKUP(Tableau4[[#This Row],[essence]],Tableau6[],18,FALSE)</f>
        <v>0</v>
      </c>
      <c r="AO93" s="12">
        <f>IF(Tableau4[[#This Row],[priorecol]]="R",1,0)</f>
        <v>1</v>
      </c>
      <c r="AP93" s="12">
        <f>VLOOKUP(Tableau4[[#This Row],[essence]],Tableau6[],19,FALSE)</f>
        <v>0</v>
      </c>
      <c r="AQ93" s="12">
        <f>IF(Tableau4[[#This Row],[priorecol]]="S",1,0)</f>
        <v>0</v>
      </c>
      <c r="AR93" s="12">
        <f>VLOOKUP(Tableau4[[#This Row],[essence]],Tableau6[],21,FALSE)</f>
        <v>0</v>
      </c>
      <c r="AS93" s="12">
        <f>IF(Tableau4[[#This Row],[priorecol]]="C",1,0)</f>
        <v>0</v>
      </c>
      <c r="AT93" s="12">
        <f>VLOOKUP(Tableau4[[#This Row],[essence]],Tableau6[],22,FALSE)</f>
        <v>0</v>
      </c>
      <c r="AU93" s="12">
        <f>IF(Tableau4[[#This Row],[priorecol]]="R",1,0)</f>
        <v>1</v>
      </c>
      <c r="AV93" s="12">
        <f>VLOOKUP(Tableau4[[#This Row],[essence]],Tableau6[],23,FALSE)</f>
        <v>0</v>
      </c>
      <c r="AW93" s="12">
        <f>IF(Tableau4[[#This Row],[priorecol]]="S",1,0)</f>
        <v>0</v>
      </c>
      <c r="AX93" s="12">
        <f>VLOOKUP(Tableau4[[#This Row],[essence]],Tableau6[],24,FALSE)</f>
        <v>0</v>
      </c>
      <c r="AY93" s="12">
        <f>VLOOKUP(Tableau4[[#This Row],[essence]],Tableau6[],25,FALSE)</f>
        <v>0</v>
      </c>
      <c r="AZ93" s="12">
        <f>VLOOKUP(Tableau4[[#This Row],[essence]],Tableau6[],26,FALSE)</f>
        <v>0</v>
      </c>
      <c r="BA93" s="12">
        <f>VLOOKUP(Tableau4[[#This Row],[essence]],Tableau6[],27,FALSE)</f>
        <v>0</v>
      </c>
      <c r="BB93" s="12">
        <f>VLOOKUP(Tableau4[[#This Row],[essence]],Tableau6[],16,FALSE)</f>
        <v>0</v>
      </c>
      <c r="BC9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3.2587000000000002</v>
      </c>
      <c r="BD93" s="12">
        <f>Tableau4[[#This Row],[xb_]]+Tableau4[[#This Row],[b_intercept_C]]+Tableau4[[#This Row],[b_dhpcm_x_intercept_C]]*Tableau4[[#This Row],[dhpcm]]</f>
        <v>2.0327999999999999</v>
      </c>
      <c r="BE93" s="12">
        <f>Tableau4[[#This Row],[xb_]]+Tableau4[[#This Row],[b_intercept_B]]+Tableau4[[#This Row],[b_dhpcm_x_intercept_B]]*Tableau4[[#This Row],[dhpcm]]</f>
        <v>0.21750000000000025</v>
      </c>
      <c r="BF93" s="12">
        <f>Tableau4[[#This Row],[xb_]]+Tableau4[[#This Row],[b_intercept_A]]+Tableau4[[#This Row],[b_dhpcm_x_intercept_A]]*Tableau4[[#This Row],[dhpcm]]</f>
        <v>-1.1288</v>
      </c>
      <c r="BG93" s="12">
        <f>1/(1+EXP(-Tableau4[[#This Row],[xb_c]]))</f>
        <v>0.88419808362231189</v>
      </c>
      <c r="BH93" s="12">
        <f>1/(1+EXP(-Tableau4[[#This Row],[xb_b]]))</f>
        <v>0.55416165276364859</v>
      </c>
      <c r="BI93" s="12">
        <f>1/(1+EXP(-Tableau4[[#This Row],[xb_a]]))</f>
        <v>0.24438262463713731</v>
      </c>
      <c r="BJ93" s="12">
        <f>Tableau4[[#This Row],[prob_a]]</f>
        <v>0.24438262463713731</v>
      </c>
      <c r="BK93" s="12">
        <f>Tableau4[[#This Row],[prob_b]]-Tableau4[[#This Row],[prob_a]]</f>
        <v>0.30977902812651126</v>
      </c>
      <c r="BL93" s="12">
        <f>Tableau4[[#This Row],[prob_c]]-Tableau4[[#This Row],[prob_b]]</f>
        <v>0.3300364308586633</v>
      </c>
      <c r="BM93" s="12">
        <f>1-Tableau4[[#This Row],[prob_c]]</f>
        <v>0.11580191637768811</v>
      </c>
    </row>
    <row r="94" spans="1:65" x14ac:dyDescent="0.25">
      <c r="A94" s="12">
        <v>4</v>
      </c>
      <c r="B94" s="12" t="s">
        <v>12</v>
      </c>
      <c r="C94" s="12">
        <v>2.1</v>
      </c>
      <c r="D94" s="12">
        <v>700</v>
      </c>
      <c r="E94" s="12">
        <v>20</v>
      </c>
      <c r="F94" s="12">
        <v>1</v>
      </c>
      <c r="G94" s="12">
        <v>69</v>
      </c>
      <c r="H94" s="12">
        <v>132</v>
      </c>
      <c r="I94" s="12" t="s">
        <v>25</v>
      </c>
      <c r="J94" s="12" t="s">
        <v>29</v>
      </c>
      <c r="K94" s="12">
        <f>VLOOKUP(Tableau4[[#This Row],[essence]],Tableau6[],2,FALSE)</f>
        <v>-4.3875000000000002</v>
      </c>
      <c r="L94" s="12">
        <f>VLOOKUP(Tableau4[[#This Row],[essence]],Tableau6[],3,FALSE)</f>
        <v>-3.0411999999999999</v>
      </c>
      <c r="M94" s="12">
        <f>VLOOKUP(Tableau4[[#This Row],[essence]],Tableau6[],4,FALSE)</f>
        <v>-1.2259</v>
      </c>
      <c r="N94" s="12">
        <f>VLOOKUP(Tableau4[[#This Row],[essence]],Tableau6[],5,FALSE)</f>
        <v>1.7715000000000001</v>
      </c>
      <c r="O94" s="12">
        <f>IF(Tableau4[[#This Row],[priorecol]]="C",1,0)</f>
        <v>0</v>
      </c>
      <c r="P94" s="12">
        <f>VLOOKUP(Tableau4[[#This Row],[essence]],Tableau6[],6,FALSE)</f>
        <v>2.6688000000000001</v>
      </c>
      <c r="Q94" s="12">
        <f>IF(Tableau4[[#This Row],[priorecol]]="R",1,0)</f>
        <v>0</v>
      </c>
      <c r="R94" s="12">
        <f>VLOOKUP(Tableau4[[#This Row],[essence]],Tableau6[],7,FALSE)</f>
        <v>1.5728</v>
      </c>
      <c r="S94" s="12">
        <f>IF(Tableau4[[#This Row],[priorecol]]="S",1,0)</f>
        <v>1</v>
      </c>
      <c r="T94" s="12">
        <f>VLOOKUP(Tableau4[[#This Row],[essence]],Tableau6[],20,FALSE)</f>
        <v>0</v>
      </c>
      <c r="U94" s="12">
        <f>VLOOKUP(Tableau4[[#This Row],[essence]],Tableau6[],15,FALSE)</f>
        <v>0</v>
      </c>
      <c r="V94" s="12">
        <f>VLOOKUP(Tableau4[[#This Row],[essence]],Tableau6[],28,FALSE)</f>
        <v>0</v>
      </c>
      <c r="W94" s="12">
        <f>IF(Tableau4[[#This Row],[sdom]]=1,1,0)</f>
        <v>0</v>
      </c>
      <c r="X94" s="12">
        <f>VLOOKUP(Tableau4[[#This Row],[essence]],Tableau6[],8,FALSE)</f>
        <v>0.86129999999999995</v>
      </c>
      <c r="Y94" s="12">
        <f>IF(Tableau4[[#This Row],[sdom]]="2EST",1,0)</f>
        <v>0</v>
      </c>
      <c r="Z94" s="12">
        <f>VLOOKUP(Tableau4[[#This Row],[essence]],Tableau6[],9,FALSE)</f>
        <v>0.39550000000000002</v>
      </c>
      <c r="AA94" s="12">
        <f>IF(Tableau4[[#This Row],[sdom]]="2OUEST",1,0)</f>
        <v>0</v>
      </c>
      <c r="AB94" s="12">
        <f>VLOOKUP(Tableau4[[#This Row],[essence]],Tableau6[],10,FALSE)</f>
        <v>0.58989999999999998</v>
      </c>
      <c r="AC94" s="12">
        <f>IF(Tableau4[[#This Row],[sdom]]="3EST",1,0)</f>
        <v>1</v>
      </c>
      <c r="AD94" s="12">
        <f>VLOOKUP(Tableau4[[#This Row],[essence]],Tableau6[],11,FALSE)</f>
        <v>0.52759999999999996</v>
      </c>
      <c r="AE94" s="12">
        <f>IF(Tableau4[[#This Row],[sdom]]="3OUEST",1,0)</f>
        <v>0</v>
      </c>
      <c r="AF94" s="12">
        <f>VLOOKUP(Tableau4[[#This Row],[essence]],Tableau6[],12,FALSE)</f>
        <v>0</v>
      </c>
      <c r="AG94" s="12">
        <f>IF(Tableau4[[#This Row],[sdom]]="4EST",1,0)</f>
        <v>0</v>
      </c>
      <c r="AH94" s="12">
        <f>VLOOKUP(Tableau4[[#This Row],[essence]],Tableau6[],13,FALSE)</f>
        <v>0</v>
      </c>
      <c r="AI94" s="12">
        <f>IF(Tableau4[[#This Row],[sdom]]="4OUEST",1,0)</f>
        <v>0</v>
      </c>
      <c r="AJ94" s="12">
        <f>VLOOKUP(Tableau4[[#This Row],[essence]],Tableau6[],14,FALSE)</f>
        <v>0</v>
      </c>
      <c r="AK94" s="12">
        <f>IF(Tableau4[[#This Row],[sdom]]="5EST",1,0)</f>
        <v>0</v>
      </c>
      <c r="AL94" s="12">
        <f>VLOOKUP(Tableau4[[#This Row],[essence]],Tableau6[],17,FALSE)</f>
        <v>0</v>
      </c>
      <c r="AM94" s="12">
        <f>IF(Tableau4[[#This Row],[priorecol]]="C",1,0)</f>
        <v>0</v>
      </c>
      <c r="AN94" s="12">
        <f>VLOOKUP(Tableau4[[#This Row],[essence]],Tableau6[],18,FALSE)</f>
        <v>0</v>
      </c>
      <c r="AO94" s="12">
        <f>IF(Tableau4[[#This Row],[priorecol]]="R",1,0)</f>
        <v>0</v>
      </c>
      <c r="AP94" s="12">
        <f>VLOOKUP(Tableau4[[#This Row],[essence]],Tableau6[],19,FALSE)</f>
        <v>0</v>
      </c>
      <c r="AQ94" s="12">
        <f>IF(Tableau4[[#This Row],[priorecol]]="S",1,0)</f>
        <v>1</v>
      </c>
      <c r="AR94" s="12">
        <f>VLOOKUP(Tableau4[[#This Row],[essence]],Tableau6[],21,FALSE)</f>
        <v>0</v>
      </c>
      <c r="AS94" s="12">
        <f>IF(Tableau4[[#This Row],[priorecol]]="C",1,0)</f>
        <v>0</v>
      </c>
      <c r="AT94" s="12">
        <f>VLOOKUP(Tableau4[[#This Row],[essence]],Tableau6[],22,FALSE)</f>
        <v>0</v>
      </c>
      <c r="AU94" s="12">
        <f>IF(Tableau4[[#This Row],[priorecol]]="R",1,0)</f>
        <v>0</v>
      </c>
      <c r="AV94" s="12">
        <f>VLOOKUP(Tableau4[[#This Row],[essence]],Tableau6[],23,FALSE)</f>
        <v>0</v>
      </c>
      <c r="AW94" s="12">
        <f>IF(Tableau4[[#This Row],[priorecol]]="S",1,0)</f>
        <v>1</v>
      </c>
      <c r="AX94" s="12">
        <f>VLOOKUP(Tableau4[[#This Row],[essence]],Tableau6[],24,FALSE)</f>
        <v>0</v>
      </c>
      <c r="AY94" s="12">
        <f>VLOOKUP(Tableau4[[#This Row],[essence]],Tableau6[],25,FALSE)</f>
        <v>0</v>
      </c>
      <c r="AZ94" s="12">
        <f>VLOOKUP(Tableau4[[#This Row],[essence]],Tableau6[],26,FALSE)</f>
        <v>0</v>
      </c>
      <c r="BA94" s="12">
        <f>VLOOKUP(Tableau4[[#This Row],[essence]],Tableau6[],27,FALSE)</f>
        <v>0</v>
      </c>
      <c r="BB94" s="12">
        <f>VLOOKUP(Tableau4[[#This Row],[essence]],Tableau6[],16,FALSE)</f>
        <v>0</v>
      </c>
      <c r="BC9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2.1627000000000001</v>
      </c>
      <c r="BD94" s="12">
        <f>Tableau4[[#This Row],[xb_]]+Tableau4[[#This Row],[b_intercept_C]]+Tableau4[[#This Row],[b_dhpcm_x_intercept_C]]*Tableau4[[#This Row],[dhpcm]]</f>
        <v>0.93680000000000008</v>
      </c>
      <c r="BE94" s="12">
        <f>Tableau4[[#This Row],[xb_]]+Tableau4[[#This Row],[b_intercept_B]]+Tableau4[[#This Row],[b_dhpcm_x_intercept_B]]*Tableau4[[#This Row],[dhpcm]]</f>
        <v>-0.87849999999999984</v>
      </c>
      <c r="BF94" s="12">
        <f>Tableau4[[#This Row],[xb_]]+Tableau4[[#This Row],[b_intercept_A]]+Tableau4[[#This Row],[b_dhpcm_x_intercept_A]]*Tableau4[[#This Row],[dhpcm]]</f>
        <v>-2.2248000000000001</v>
      </c>
      <c r="BG94" s="12">
        <f>1/(1+EXP(-Tableau4[[#This Row],[xb_c]]))</f>
        <v>0.71845281936958594</v>
      </c>
      <c r="BH94" s="12">
        <f>1/(1+EXP(-Tableau4[[#This Row],[xb_b]]))</f>
        <v>0.29348871216328554</v>
      </c>
      <c r="BI94" s="12">
        <f>1/(1+EXP(-Tableau4[[#This Row],[xb_a]]))</f>
        <v>9.754544168941863E-2</v>
      </c>
      <c r="BJ94" s="12">
        <f>Tableau4[[#This Row],[prob_a]]</f>
        <v>9.754544168941863E-2</v>
      </c>
      <c r="BK94" s="12">
        <f>Tableau4[[#This Row],[prob_b]]-Tableau4[[#This Row],[prob_a]]</f>
        <v>0.19594327047386689</v>
      </c>
      <c r="BL94" s="12">
        <f>Tableau4[[#This Row],[prob_c]]-Tableau4[[#This Row],[prob_b]]</f>
        <v>0.4249641072063004</v>
      </c>
      <c r="BM94" s="12">
        <f>1-Tableau4[[#This Row],[prob_c]]</f>
        <v>0.28154718063041406</v>
      </c>
    </row>
    <row r="95" spans="1:65" x14ac:dyDescent="0.25">
      <c r="A95" s="12">
        <v>4</v>
      </c>
      <c r="B95" s="12" t="s">
        <v>12</v>
      </c>
      <c r="C95" s="12">
        <v>2.1</v>
      </c>
      <c r="D95" s="12">
        <v>700</v>
      </c>
      <c r="E95" s="12">
        <v>20</v>
      </c>
      <c r="F95" s="12">
        <v>1</v>
      </c>
      <c r="G95" s="12">
        <v>70</v>
      </c>
      <c r="H95" s="12">
        <v>133</v>
      </c>
      <c r="I95" s="12" t="s">
        <v>26</v>
      </c>
      <c r="J95" s="12" t="s">
        <v>27</v>
      </c>
      <c r="K95" s="12">
        <f>VLOOKUP(Tableau4[[#This Row],[essence]],Tableau6[],2,FALSE)</f>
        <v>0.71340000000000003</v>
      </c>
      <c r="L95" s="12">
        <f>VLOOKUP(Tableau4[[#This Row],[essence]],Tableau6[],3,FALSE)</f>
        <v>1.7461</v>
      </c>
      <c r="M95" s="12">
        <f>VLOOKUP(Tableau4[[#This Row],[essence]],Tableau6[],4,FALSE)</f>
        <v>2.9828999999999999</v>
      </c>
      <c r="N95" s="12">
        <f>VLOOKUP(Tableau4[[#This Row],[essence]],Tableau6[],5,FALSE)</f>
        <v>1.5659000000000001</v>
      </c>
      <c r="O95" s="12">
        <f>IF(Tableau4[[#This Row],[priorecol]]="C",1,0)</f>
        <v>1</v>
      </c>
      <c r="P95" s="12">
        <f>VLOOKUP(Tableau4[[#This Row],[essence]],Tableau6[],6,FALSE)</f>
        <v>1.9651000000000001</v>
      </c>
      <c r="Q95" s="12">
        <f>IF(Tableau4[[#This Row],[priorecol]]="R",1,0)</f>
        <v>0</v>
      </c>
      <c r="R95" s="12">
        <f>VLOOKUP(Tableau4[[#This Row],[essence]],Tableau6[],7,FALSE)</f>
        <v>1.1892</v>
      </c>
      <c r="S95" s="12">
        <f>IF(Tableau4[[#This Row],[priorecol]]="S",1,0)</f>
        <v>0</v>
      </c>
      <c r="T95" s="12">
        <f>VLOOKUP(Tableau4[[#This Row],[essence]],Tableau6[],20,FALSE)</f>
        <v>0</v>
      </c>
      <c r="U95" s="12">
        <f>VLOOKUP(Tableau4[[#This Row],[essence]],Tableau6[],15,FALSE)</f>
        <v>0</v>
      </c>
      <c r="V95" s="12">
        <f>VLOOKUP(Tableau4[[#This Row],[essence]],Tableau6[],28,FALSE)</f>
        <v>0</v>
      </c>
      <c r="W95" s="12">
        <f>IF(Tableau4[[#This Row],[sdom]]=1,1,0)</f>
        <v>0</v>
      </c>
      <c r="X95" s="12">
        <f>VLOOKUP(Tableau4[[#This Row],[essence]],Tableau6[],8,FALSE)</f>
        <v>0</v>
      </c>
      <c r="Y95" s="12">
        <f>IF(Tableau4[[#This Row],[sdom]]="2EST",1,0)</f>
        <v>0</v>
      </c>
      <c r="Z95" s="12">
        <f>VLOOKUP(Tableau4[[#This Row],[essence]],Tableau6[],9,FALSE)</f>
        <v>0</v>
      </c>
      <c r="AA95" s="12">
        <f>IF(Tableau4[[#This Row],[sdom]]="2OUEST",1,0)</f>
        <v>0</v>
      </c>
      <c r="AB95" s="12">
        <f>VLOOKUP(Tableau4[[#This Row],[essence]],Tableau6[],10,FALSE)</f>
        <v>0</v>
      </c>
      <c r="AC95" s="12">
        <f>IF(Tableau4[[#This Row],[sdom]]="3EST",1,0)</f>
        <v>1</v>
      </c>
      <c r="AD95" s="12">
        <f>VLOOKUP(Tableau4[[#This Row],[essence]],Tableau6[],11,FALSE)</f>
        <v>0.71960000000000002</v>
      </c>
      <c r="AE95" s="12">
        <f>IF(Tableau4[[#This Row],[sdom]]="3OUEST",1,0)</f>
        <v>0</v>
      </c>
      <c r="AF95" s="12">
        <f>VLOOKUP(Tableau4[[#This Row],[essence]],Tableau6[],12,FALSE)</f>
        <v>-2.81E-2</v>
      </c>
      <c r="AG95" s="12">
        <f>IF(Tableau4[[#This Row],[sdom]]="4EST",1,0)</f>
        <v>0</v>
      </c>
      <c r="AH95" s="12">
        <f>VLOOKUP(Tableau4[[#This Row],[essence]],Tableau6[],13,FALSE)</f>
        <v>0.23519999999999999</v>
      </c>
      <c r="AI95" s="12">
        <f>IF(Tableau4[[#This Row],[sdom]]="4OUEST",1,0)</f>
        <v>0</v>
      </c>
      <c r="AJ95" s="12">
        <f>VLOOKUP(Tableau4[[#This Row],[essence]],Tableau6[],14,FALSE)</f>
        <v>0.24660000000000001</v>
      </c>
      <c r="AK95" s="12">
        <f>IF(Tableau4[[#This Row],[sdom]]="5EST",1,0)</f>
        <v>0</v>
      </c>
      <c r="AL95" s="12">
        <f>VLOOKUP(Tableau4[[#This Row],[essence]],Tableau6[],17,FALSE)</f>
        <v>0</v>
      </c>
      <c r="AM95" s="12">
        <f>IF(Tableau4[[#This Row],[priorecol]]="C",1,0)</f>
        <v>1</v>
      </c>
      <c r="AN95" s="12">
        <f>VLOOKUP(Tableau4[[#This Row],[essence]],Tableau6[],18,FALSE)</f>
        <v>0</v>
      </c>
      <c r="AO95" s="12">
        <f>IF(Tableau4[[#This Row],[priorecol]]="R",1,0)</f>
        <v>0</v>
      </c>
      <c r="AP95" s="12">
        <f>VLOOKUP(Tableau4[[#This Row],[essence]],Tableau6[],19,FALSE)</f>
        <v>0</v>
      </c>
      <c r="AQ95" s="12">
        <f>IF(Tableau4[[#This Row],[priorecol]]="S",1,0)</f>
        <v>0</v>
      </c>
      <c r="AR95" s="12">
        <f>VLOOKUP(Tableau4[[#This Row],[essence]],Tableau6[],21,FALSE)</f>
        <v>0</v>
      </c>
      <c r="AS95" s="12">
        <f>IF(Tableau4[[#This Row],[priorecol]]="C",1,0)</f>
        <v>1</v>
      </c>
      <c r="AT95" s="12">
        <f>VLOOKUP(Tableau4[[#This Row],[essence]],Tableau6[],22,FALSE)</f>
        <v>0</v>
      </c>
      <c r="AU95" s="12">
        <f>IF(Tableau4[[#This Row],[priorecol]]="R",1,0)</f>
        <v>0</v>
      </c>
      <c r="AV95" s="12">
        <f>VLOOKUP(Tableau4[[#This Row],[essence]],Tableau6[],23,FALSE)</f>
        <v>0</v>
      </c>
      <c r="AW95" s="12">
        <f>IF(Tableau4[[#This Row],[priorecol]]="S",1,0)</f>
        <v>0</v>
      </c>
      <c r="AX95" s="12">
        <f>VLOOKUP(Tableau4[[#This Row],[essence]],Tableau6[],24,FALSE)</f>
        <v>0</v>
      </c>
      <c r="AY95" s="12">
        <f>VLOOKUP(Tableau4[[#This Row],[essence]],Tableau6[],25,FALSE)</f>
        <v>0</v>
      </c>
      <c r="AZ95" s="12">
        <f>VLOOKUP(Tableau4[[#This Row],[essence]],Tableau6[],26,FALSE)</f>
        <v>0</v>
      </c>
      <c r="BA95" s="12">
        <f>VLOOKUP(Tableau4[[#This Row],[essence]],Tableau6[],27,FALSE)</f>
        <v>0</v>
      </c>
      <c r="BB95" s="12">
        <f>VLOOKUP(Tableau4[[#This Row],[essence]],Tableau6[],16,FALSE)</f>
        <v>-2.6700000000000001E-3</v>
      </c>
      <c r="BC9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-0.30309999999999993</v>
      </c>
      <c r="BD95" s="12">
        <f>Tableau4[[#This Row],[xb_]]+Tableau4[[#This Row],[b_intercept_C]]+Tableau4[[#This Row],[b_dhpcm_x_intercept_C]]*Tableau4[[#This Row],[dhpcm]]</f>
        <v>2.6798000000000002</v>
      </c>
      <c r="BE95" s="12">
        <f>Tableau4[[#This Row],[xb_]]+Tableau4[[#This Row],[b_intercept_B]]+Tableau4[[#This Row],[b_dhpcm_x_intercept_B]]*Tableau4[[#This Row],[dhpcm]]</f>
        <v>1.4430000000000001</v>
      </c>
      <c r="BF95" s="12">
        <f>Tableau4[[#This Row],[xb_]]+Tableau4[[#This Row],[b_intercept_A]]+Tableau4[[#This Row],[b_dhpcm_x_intercept_A]]*Tableau4[[#This Row],[dhpcm]]</f>
        <v>0.41030000000000011</v>
      </c>
      <c r="BG95" s="12">
        <f>1/(1+EXP(-Tableau4[[#This Row],[xb_c]]))</f>
        <v>0.93582411317327696</v>
      </c>
      <c r="BH95" s="12">
        <f>1/(1+EXP(-Tableau4[[#This Row],[xb_b]]))</f>
        <v>0.80891878877848322</v>
      </c>
      <c r="BI95" s="12">
        <f>1/(1+EXP(-Tableau4[[#This Row],[xb_a]]))</f>
        <v>0.60115981103861349</v>
      </c>
      <c r="BJ95" s="12">
        <f>Tableau4[[#This Row],[prob_a]]</f>
        <v>0.60115981103861349</v>
      </c>
      <c r="BK95" s="12">
        <f>Tableau4[[#This Row],[prob_b]]-Tableau4[[#This Row],[prob_a]]</f>
        <v>0.20775897773986973</v>
      </c>
      <c r="BL95" s="12">
        <f>Tableau4[[#This Row],[prob_c]]-Tableau4[[#This Row],[prob_b]]</f>
        <v>0.12690532439479374</v>
      </c>
      <c r="BM95" s="12">
        <f>1-Tableau4[[#This Row],[prob_c]]</f>
        <v>6.4175886826723039E-2</v>
      </c>
    </row>
    <row r="96" spans="1:65" x14ac:dyDescent="0.25">
      <c r="A96" s="12">
        <v>4</v>
      </c>
      <c r="B96" s="12" t="s">
        <v>12</v>
      </c>
      <c r="C96" s="12">
        <v>2.1</v>
      </c>
      <c r="D96" s="12">
        <v>700</v>
      </c>
      <c r="E96" s="12">
        <v>20</v>
      </c>
      <c r="F96" s="12">
        <v>1</v>
      </c>
      <c r="G96" s="12">
        <v>71</v>
      </c>
      <c r="H96" s="12">
        <v>134</v>
      </c>
      <c r="I96" s="12" t="s">
        <v>26</v>
      </c>
      <c r="J96" s="12" t="s">
        <v>28</v>
      </c>
      <c r="K96" s="12">
        <f>VLOOKUP(Tableau4[[#This Row],[essence]],Tableau6[],2,FALSE)</f>
        <v>0.71340000000000003</v>
      </c>
      <c r="L96" s="12">
        <f>VLOOKUP(Tableau4[[#This Row],[essence]],Tableau6[],3,FALSE)</f>
        <v>1.7461</v>
      </c>
      <c r="M96" s="12">
        <f>VLOOKUP(Tableau4[[#This Row],[essence]],Tableau6[],4,FALSE)</f>
        <v>2.9828999999999999</v>
      </c>
      <c r="N96" s="12">
        <f>VLOOKUP(Tableau4[[#This Row],[essence]],Tableau6[],5,FALSE)</f>
        <v>1.5659000000000001</v>
      </c>
      <c r="O96" s="12">
        <f>IF(Tableau4[[#This Row],[priorecol]]="C",1,0)</f>
        <v>0</v>
      </c>
      <c r="P96" s="12">
        <f>VLOOKUP(Tableau4[[#This Row],[essence]],Tableau6[],6,FALSE)</f>
        <v>1.9651000000000001</v>
      </c>
      <c r="Q96" s="12">
        <f>IF(Tableau4[[#This Row],[priorecol]]="R",1,0)</f>
        <v>1</v>
      </c>
      <c r="R96" s="12">
        <f>VLOOKUP(Tableau4[[#This Row],[essence]],Tableau6[],7,FALSE)</f>
        <v>1.1892</v>
      </c>
      <c r="S96" s="12">
        <f>IF(Tableau4[[#This Row],[priorecol]]="S",1,0)</f>
        <v>0</v>
      </c>
      <c r="T96" s="12">
        <f>VLOOKUP(Tableau4[[#This Row],[essence]],Tableau6[],20,FALSE)</f>
        <v>0</v>
      </c>
      <c r="U96" s="12">
        <f>VLOOKUP(Tableau4[[#This Row],[essence]],Tableau6[],15,FALSE)</f>
        <v>0</v>
      </c>
      <c r="V96" s="12">
        <f>VLOOKUP(Tableau4[[#This Row],[essence]],Tableau6[],28,FALSE)</f>
        <v>0</v>
      </c>
      <c r="W96" s="12">
        <f>IF(Tableau4[[#This Row],[sdom]]=1,1,0)</f>
        <v>0</v>
      </c>
      <c r="X96" s="12">
        <f>VLOOKUP(Tableau4[[#This Row],[essence]],Tableau6[],8,FALSE)</f>
        <v>0</v>
      </c>
      <c r="Y96" s="12">
        <f>IF(Tableau4[[#This Row],[sdom]]="2EST",1,0)</f>
        <v>0</v>
      </c>
      <c r="Z96" s="12">
        <f>VLOOKUP(Tableau4[[#This Row],[essence]],Tableau6[],9,FALSE)</f>
        <v>0</v>
      </c>
      <c r="AA96" s="12">
        <f>IF(Tableau4[[#This Row],[sdom]]="2OUEST",1,0)</f>
        <v>0</v>
      </c>
      <c r="AB96" s="12">
        <f>VLOOKUP(Tableau4[[#This Row],[essence]],Tableau6[],10,FALSE)</f>
        <v>0</v>
      </c>
      <c r="AC96" s="12">
        <f>IF(Tableau4[[#This Row],[sdom]]="3EST",1,0)</f>
        <v>1</v>
      </c>
      <c r="AD96" s="12">
        <f>VLOOKUP(Tableau4[[#This Row],[essence]],Tableau6[],11,FALSE)</f>
        <v>0.71960000000000002</v>
      </c>
      <c r="AE96" s="12">
        <f>IF(Tableau4[[#This Row],[sdom]]="3OUEST",1,0)</f>
        <v>0</v>
      </c>
      <c r="AF96" s="12">
        <f>VLOOKUP(Tableau4[[#This Row],[essence]],Tableau6[],12,FALSE)</f>
        <v>-2.81E-2</v>
      </c>
      <c r="AG96" s="12">
        <f>IF(Tableau4[[#This Row],[sdom]]="4EST",1,0)</f>
        <v>0</v>
      </c>
      <c r="AH96" s="12">
        <f>VLOOKUP(Tableau4[[#This Row],[essence]],Tableau6[],13,FALSE)</f>
        <v>0.23519999999999999</v>
      </c>
      <c r="AI96" s="12">
        <f>IF(Tableau4[[#This Row],[sdom]]="4OUEST",1,0)</f>
        <v>0</v>
      </c>
      <c r="AJ96" s="12">
        <f>VLOOKUP(Tableau4[[#This Row],[essence]],Tableau6[],14,FALSE)</f>
        <v>0.24660000000000001</v>
      </c>
      <c r="AK96" s="12">
        <f>IF(Tableau4[[#This Row],[sdom]]="5EST",1,0)</f>
        <v>0</v>
      </c>
      <c r="AL96" s="12">
        <f>VLOOKUP(Tableau4[[#This Row],[essence]],Tableau6[],17,FALSE)</f>
        <v>0</v>
      </c>
      <c r="AM96" s="12">
        <f>IF(Tableau4[[#This Row],[priorecol]]="C",1,0)</f>
        <v>0</v>
      </c>
      <c r="AN96" s="12">
        <f>VLOOKUP(Tableau4[[#This Row],[essence]],Tableau6[],18,FALSE)</f>
        <v>0</v>
      </c>
      <c r="AO96" s="12">
        <f>IF(Tableau4[[#This Row],[priorecol]]="R",1,0)</f>
        <v>1</v>
      </c>
      <c r="AP96" s="12">
        <f>VLOOKUP(Tableau4[[#This Row],[essence]],Tableau6[],19,FALSE)</f>
        <v>0</v>
      </c>
      <c r="AQ96" s="12">
        <f>IF(Tableau4[[#This Row],[priorecol]]="S",1,0)</f>
        <v>0</v>
      </c>
      <c r="AR96" s="12">
        <f>VLOOKUP(Tableau4[[#This Row],[essence]],Tableau6[],21,FALSE)</f>
        <v>0</v>
      </c>
      <c r="AS96" s="12">
        <f>IF(Tableau4[[#This Row],[priorecol]]="C",1,0)</f>
        <v>0</v>
      </c>
      <c r="AT96" s="12">
        <f>VLOOKUP(Tableau4[[#This Row],[essence]],Tableau6[],22,FALSE)</f>
        <v>0</v>
      </c>
      <c r="AU96" s="12">
        <f>IF(Tableau4[[#This Row],[priorecol]]="R",1,0)</f>
        <v>1</v>
      </c>
      <c r="AV96" s="12">
        <f>VLOOKUP(Tableau4[[#This Row],[essence]],Tableau6[],23,FALSE)</f>
        <v>0</v>
      </c>
      <c r="AW96" s="12">
        <f>IF(Tableau4[[#This Row],[priorecol]]="S",1,0)</f>
        <v>0</v>
      </c>
      <c r="AX96" s="12">
        <f>VLOOKUP(Tableau4[[#This Row],[essence]],Tableau6[],24,FALSE)</f>
        <v>0</v>
      </c>
      <c r="AY96" s="12">
        <f>VLOOKUP(Tableau4[[#This Row],[essence]],Tableau6[],25,FALSE)</f>
        <v>0</v>
      </c>
      <c r="AZ96" s="12">
        <f>VLOOKUP(Tableau4[[#This Row],[essence]],Tableau6[],26,FALSE)</f>
        <v>0</v>
      </c>
      <c r="BA96" s="12">
        <f>VLOOKUP(Tableau4[[#This Row],[essence]],Tableau6[],27,FALSE)</f>
        <v>0</v>
      </c>
      <c r="BB96" s="12">
        <f>VLOOKUP(Tableau4[[#This Row],[essence]],Tableau6[],16,FALSE)</f>
        <v>-2.6700000000000001E-3</v>
      </c>
      <c r="BC9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9.6100000000000074E-2</v>
      </c>
      <c r="BD96" s="12">
        <f>Tableau4[[#This Row],[xb_]]+Tableau4[[#This Row],[b_intercept_C]]+Tableau4[[#This Row],[b_dhpcm_x_intercept_C]]*Tableau4[[#This Row],[dhpcm]]</f>
        <v>3.0789999999999997</v>
      </c>
      <c r="BE96" s="12">
        <f>Tableau4[[#This Row],[xb_]]+Tableau4[[#This Row],[b_intercept_B]]+Tableau4[[#This Row],[b_dhpcm_x_intercept_B]]*Tableau4[[#This Row],[dhpcm]]</f>
        <v>1.8422000000000001</v>
      </c>
      <c r="BF96" s="12">
        <f>Tableau4[[#This Row],[xb_]]+Tableau4[[#This Row],[b_intercept_A]]+Tableau4[[#This Row],[b_dhpcm_x_intercept_A]]*Tableau4[[#This Row],[dhpcm]]</f>
        <v>0.80950000000000011</v>
      </c>
      <c r="BG96" s="12">
        <f>1/(1+EXP(-Tableau4[[#This Row],[xb_c]]))</f>
        <v>0.95601815633192033</v>
      </c>
      <c r="BH96" s="12">
        <f>1/(1+EXP(-Tableau4[[#This Row],[xb_b]]))</f>
        <v>0.86320868984577004</v>
      </c>
      <c r="BI96" s="12">
        <f>1/(1+EXP(-Tableau4[[#This Row],[xb_a]]))</f>
        <v>0.69200294709950394</v>
      </c>
      <c r="BJ96" s="12">
        <f>Tableau4[[#This Row],[prob_a]]</f>
        <v>0.69200294709950394</v>
      </c>
      <c r="BK96" s="12">
        <f>Tableau4[[#This Row],[prob_b]]-Tableau4[[#This Row],[prob_a]]</f>
        <v>0.1712057427462661</v>
      </c>
      <c r="BL96" s="12">
        <f>Tableau4[[#This Row],[prob_c]]-Tableau4[[#This Row],[prob_b]]</f>
        <v>9.2809466486150294E-2</v>
      </c>
      <c r="BM96" s="12">
        <f>1-Tableau4[[#This Row],[prob_c]]</f>
        <v>4.3981843668079668E-2</v>
      </c>
    </row>
    <row r="97" spans="1:65" x14ac:dyDescent="0.25">
      <c r="A97" s="12">
        <v>4</v>
      </c>
      <c r="B97" s="12" t="s">
        <v>12</v>
      </c>
      <c r="C97" s="12">
        <v>2.1</v>
      </c>
      <c r="D97" s="12">
        <v>700</v>
      </c>
      <c r="E97" s="12">
        <v>20</v>
      </c>
      <c r="F97" s="12">
        <v>1</v>
      </c>
      <c r="G97" s="12">
        <v>72</v>
      </c>
      <c r="H97" s="12">
        <v>135</v>
      </c>
      <c r="I97" s="12" t="s">
        <v>26</v>
      </c>
      <c r="J97" s="12" t="s">
        <v>29</v>
      </c>
      <c r="K97" s="12">
        <f>VLOOKUP(Tableau4[[#This Row],[essence]],Tableau6[],2,FALSE)</f>
        <v>0.71340000000000003</v>
      </c>
      <c r="L97" s="12">
        <f>VLOOKUP(Tableau4[[#This Row],[essence]],Tableau6[],3,FALSE)</f>
        <v>1.7461</v>
      </c>
      <c r="M97" s="12">
        <f>VLOOKUP(Tableau4[[#This Row],[essence]],Tableau6[],4,FALSE)</f>
        <v>2.9828999999999999</v>
      </c>
      <c r="N97" s="12">
        <f>VLOOKUP(Tableau4[[#This Row],[essence]],Tableau6[],5,FALSE)</f>
        <v>1.5659000000000001</v>
      </c>
      <c r="O97" s="12">
        <f>IF(Tableau4[[#This Row],[priorecol]]="C",1,0)</f>
        <v>0</v>
      </c>
      <c r="P97" s="12">
        <f>VLOOKUP(Tableau4[[#This Row],[essence]],Tableau6[],6,FALSE)</f>
        <v>1.9651000000000001</v>
      </c>
      <c r="Q97" s="12">
        <f>IF(Tableau4[[#This Row],[priorecol]]="R",1,0)</f>
        <v>0</v>
      </c>
      <c r="R97" s="12">
        <f>VLOOKUP(Tableau4[[#This Row],[essence]],Tableau6[],7,FALSE)</f>
        <v>1.1892</v>
      </c>
      <c r="S97" s="12">
        <f>IF(Tableau4[[#This Row],[priorecol]]="S",1,0)</f>
        <v>1</v>
      </c>
      <c r="T97" s="12">
        <f>VLOOKUP(Tableau4[[#This Row],[essence]],Tableau6[],20,FALSE)</f>
        <v>0</v>
      </c>
      <c r="U97" s="12">
        <f>VLOOKUP(Tableau4[[#This Row],[essence]],Tableau6[],15,FALSE)</f>
        <v>0</v>
      </c>
      <c r="V97" s="12">
        <f>VLOOKUP(Tableau4[[#This Row],[essence]],Tableau6[],28,FALSE)</f>
        <v>0</v>
      </c>
      <c r="W97" s="12">
        <f>IF(Tableau4[[#This Row],[sdom]]=1,1,0)</f>
        <v>0</v>
      </c>
      <c r="X97" s="12">
        <f>VLOOKUP(Tableau4[[#This Row],[essence]],Tableau6[],8,FALSE)</f>
        <v>0</v>
      </c>
      <c r="Y97" s="12">
        <f>IF(Tableau4[[#This Row],[sdom]]="2EST",1,0)</f>
        <v>0</v>
      </c>
      <c r="Z97" s="12">
        <f>VLOOKUP(Tableau4[[#This Row],[essence]],Tableau6[],9,FALSE)</f>
        <v>0</v>
      </c>
      <c r="AA97" s="12">
        <f>IF(Tableau4[[#This Row],[sdom]]="2OUEST",1,0)</f>
        <v>0</v>
      </c>
      <c r="AB97" s="12">
        <f>VLOOKUP(Tableau4[[#This Row],[essence]],Tableau6[],10,FALSE)</f>
        <v>0</v>
      </c>
      <c r="AC97" s="12">
        <f>IF(Tableau4[[#This Row],[sdom]]="3EST",1,0)</f>
        <v>1</v>
      </c>
      <c r="AD97" s="12">
        <f>VLOOKUP(Tableau4[[#This Row],[essence]],Tableau6[],11,FALSE)</f>
        <v>0.71960000000000002</v>
      </c>
      <c r="AE97" s="12">
        <f>IF(Tableau4[[#This Row],[sdom]]="3OUEST",1,0)</f>
        <v>0</v>
      </c>
      <c r="AF97" s="12">
        <f>VLOOKUP(Tableau4[[#This Row],[essence]],Tableau6[],12,FALSE)</f>
        <v>-2.81E-2</v>
      </c>
      <c r="AG97" s="12">
        <f>IF(Tableau4[[#This Row],[sdom]]="4EST",1,0)</f>
        <v>0</v>
      </c>
      <c r="AH97" s="12">
        <f>VLOOKUP(Tableau4[[#This Row],[essence]],Tableau6[],13,FALSE)</f>
        <v>0.23519999999999999</v>
      </c>
      <c r="AI97" s="12">
        <f>IF(Tableau4[[#This Row],[sdom]]="4OUEST",1,0)</f>
        <v>0</v>
      </c>
      <c r="AJ97" s="12">
        <f>VLOOKUP(Tableau4[[#This Row],[essence]],Tableau6[],14,FALSE)</f>
        <v>0.24660000000000001</v>
      </c>
      <c r="AK97" s="12">
        <f>IF(Tableau4[[#This Row],[sdom]]="5EST",1,0)</f>
        <v>0</v>
      </c>
      <c r="AL97" s="12">
        <f>VLOOKUP(Tableau4[[#This Row],[essence]],Tableau6[],17,FALSE)</f>
        <v>0</v>
      </c>
      <c r="AM97" s="12">
        <f>IF(Tableau4[[#This Row],[priorecol]]="C",1,0)</f>
        <v>0</v>
      </c>
      <c r="AN97" s="12">
        <f>VLOOKUP(Tableau4[[#This Row],[essence]],Tableau6[],18,FALSE)</f>
        <v>0</v>
      </c>
      <c r="AO97" s="12">
        <f>IF(Tableau4[[#This Row],[priorecol]]="R",1,0)</f>
        <v>0</v>
      </c>
      <c r="AP97" s="12">
        <f>VLOOKUP(Tableau4[[#This Row],[essence]],Tableau6[],19,FALSE)</f>
        <v>0</v>
      </c>
      <c r="AQ97" s="12">
        <f>IF(Tableau4[[#This Row],[priorecol]]="S",1,0)</f>
        <v>1</v>
      </c>
      <c r="AR97" s="12">
        <f>VLOOKUP(Tableau4[[#This Row],[essence]],Tableau6[],21,FALSE)</f>
        <v>0</v>
      </c>
      <c r="AS97" s="12">
        <f>IF(Tableau4[[#This Row],[priorecol]]="C",1,0)</f>
        <v>0</v>
      </c>
      <c r="AT97" s="12">
        <f>VLOOKUP(Tableau4[[#This Row],[essence]],Tableau6[],22,FALSE)</f>
        <v>0</v>
      </c>
      <c r="AU97" s="12">
        <f>IF(Tableau4[[#This Row],[priorecol]]="R",1,0)</f>
        <v>0</v>
      </c>
      <c r="AV97" s="12">
        <f>VLOOKUP(Tableau4[[#This Row],[essence]],Tableau6[],23,FALSE)</f>
        <v>0</v>
      </c>
      <c r="AW97" s="12">
        <f>IF(Tableau4[[#This Row],[priorecol]]="S",1,0)</f>
        <v>1</v>
      </c>
      <c r="AX97" s="12">
        <f>VLOOKUP(Tableau4[[#This Row],[essence]],Tableau6[],24,FALSE)</f>
        <v>0</v>
      </c>
      <c r="AY97" s="12">
        <f>VLOOKUP(Tableau4[[#This Row],[essence]],Tableau6[],25,FALSE)</f>
        <v>0</v>
      </c>
      <c r="AZ97" s="12">
        <f>VLOOKUP(Tableau4[[#This Row],[essence]],Tableau6[],26,FALSE)</f>
        <v>0</v>
      </c>
      <c r="BA97" s="12">
        <f>VLOOKUP(Tableau4[[#This Row],[essence]],Tableau6[],27,FALSE)</f>
        <v>0</v>
      </c>
      <c r="BB97" s="12">
        <f>VLOOKUP(Tableau4[[#This Row],[essence]],Tableau6[],16,FALSE)</f>
        <v>-2.6700000000000001E-3</v>
      </c>
      <c r="BC9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-0.67979999999999996</v>
      </c>
      <c r="BD97" s="12">
        <f>Tableau4[[#This Row],[xb_]]+Tableau4[[#This Row],[b_intercept_C]]+Tableau4[[#This Row],[b_dhpcm_x_intercept_C]]*Tableau4[[#This Row],[dhpcm]]</f>
        <v>2.3030999999999997</v>
      </c>
      <c r="BE97" s="12">
        <f>Tableau4[[#This Row],[xb_]]+Tableau4[[#This Row],[b_intercept_B]]+Tableau4[[#This Row],[b_dhpcm_x_intercept_B]]*Tableau4[[#This Row],[dhpcm]]</f>
        <v>1.0663</v>
      </c>
      <c r="BF97" s="12">
        <f>Tableau4[[#This Row],[xb_]]+Tableau4[[#This Row],[b_intercept_A]]+Tableau4[[#This Row],[b_dhpcm_x_intercept_A]]*Tableau4[[#This Row],[dhpcm]]</f>
        <v>3.3600000000000074E-2</v>
      </c>
      <c r="BG97" s="12">
        <f>1/(1+EXP(-Tableau4[[#This Row],[xb_c]]))</f>
        <v>0.90913345442607185</v>
      </c>
      <c r="BH97" s="12">
        <f>1/(1+EXP(-Tableau4[[#This Row],[xb_b]]))</f>
        <v>0.74389264156623969</v>
      </c>
      <c r="BI97" s="12">
        <f>1/(1+EXP(-Tableau4[[#This Row],[xb_a]]))</f>
        <v>0.50839920981720832</v>
      </c>
      <c r="BJ97" s="12">
        <f>Tableau4[[#This Row],[prob_a]]</f>
        <v>0.50839920981720832</v>
      </c>
      <c r="BK97" s="12">
        <f>Tableau4[[#This Row],[prob_b]]-Tableau4[[#This Row],[prob_a]]</f>
        <v>0.23549343174903137</v>
      </c>
      <c r="BL97" s="12">
        <f>Tableau4[[#This Row],[prob_c]]-Tableau4[[#This Row],[prob_b]]</f>
        <v>0.16524081285983216</v>
      </c>
      <c r="BM97" s="12">
        <f>1-Tableau4[[#This Row],[prob_c]]</f>
        <v>9.0866545573928148E-2</v>
      </c>
    </row>
    <row r="98" spans="1:65" x14ac:dyDescent="0.25">
      <c r="A98" s="12">
        <v>5</v>
      </c>
      <c r="B98" s="12" t="s">
        <v>13</v>
      </c>
      <c r="C98" s="12">
        <v>2.1</v>
      </c>
      <c r="D98" s="12">
        <v>700</v>
      </c>
      <c r="E98" s="12">
        <v>20</v>
      </c>
      <c r="F98" s="12">
        <v>1</v>
      </c>
      <c r="G98" s="12">
        <v>49</v>
      </c>
      <c r="H98" s="12">
        <v>136</v>
      </c>
      <c r="I98" s="12" t="s">
        <v>19</v>
      </c>
      <c r="J98" s="12" t="s">
        <v>27</v>
      </c>
      <c r="K98" s="12">
        <f>VLOOKUP(Tableau4[[#This Row],[essence]],Tableau6[],2,FALSE)</f>
        <v>-1.7937000000000001</v>
      </c>
      <c r="L98" s="12">
        <f>VLOOKUP(Tableau4[[#This Row],[essence]],Tableau6[],3,FALSE)</f>
        <v>-0.68110000000000004</v>
      </c>
      <c r="M98" s="12">
        <f>VLOOKUP(Tableau4[[#This Row],[essence]],Tableau6[],4,FALSE)</f>
        <v>0.82179999999999997</v>
      </c>
      <c r="N98" s="12">
        <f>VLOOKUP(Tableau4[[#This Row],[essence]],Tableau6[],5,FALSE)</f>
        <v>1.5014000000000001</v>
      </c>
      <c r="O98" s="12">
        <f>IF(Tableau4[[#This Row],[priorecol]]="C",1,0)</f>
        <v>1</v>
      </c>
      <c r="P98" s="12">
        <f>VLOOKUP(Tableau4[[#This Row],[essence]],Tableau6[],6,FALSE)</f>
        <v>2.3875000000000002</v>
      </c>
      <c r="Q98" s="12">
        <f>IF(Tableau4[[#This Row],[priorecol]]="R",1,0)</f>
        <v>0</v>
      </c>
      <c r="R98" s="12">
        <f>VLOOKUP(Tableau4[[#This Row],[essence]],Tableau6[],7,FALSE)</f>
        <v>0.94669999999999999</v>
      </c>
      <c r="S98" s="12">
        <f>IF(Tableau4[[#This Row],[priorecol]]="S",1,0)</f>
        <v>0</v>
      </c>
      <c r="T98" s="12">
        <f>VLOOKUP(Tableau4[[#This Row],[essence]],Tableau6[],20,FALSE)</f>
        <v>0</v>
      </c>
      <c r="U98" s="12">
        <f>VLOOKUP(Tableau4[[#This Row],[essence]],Tableau6[],15,FALSE)</f>
        <v>6.4000000000000003E-3</v>
      </c>
      <c r="V98" s="12">
        <f>VLOOKUP(Tableau4[[#This Row],[essence]],Tableau6[],28,FALSE)</f>
        <v>0</v>
      </c>
      <c r="W98" s="12">
        <f>IF(Tableau4[[#This Row],[sdom]]=1,1,0)</f>
        <v>0</v>
      </c>
      <c r="X98" s="12">
        <f>VLOOKUP(Tableau4[[#This Row],[essence]],Tableau6[],8,FALSE)</f>
        <v>9.4399999999999998E-2</v>
      </c>
      <c r="Y98" s="12">
        <f>IF(Tableau4[[#This Row],[sdom]]="2EST",1,0)</f>
        <v>0</v>
      </c>
      <c r="Z98" s="12">
        <f>VLOOKUP(Tableau4[[#This Row],[essence]],Tableau6[],9,FALSE)</f>
        <v>-0.40260000000000001</v>
      </c>
      <c r="AA98" s="12">
        <f>IF(Tableau4[[#This Row],[sdom]]="2OUEST",1,0)</f>
        <v>0</v>
      </c>
      <c r="AB98" s="12">
        <f>VLOOKUP(Tableau4[[#This Row],[essence]],Tableau6[],10,FALSE)</f>
        <v>-3.5699999999999998E-3</v>
      </c>
      <c r="AC98" s="12">
        <f>IF(Tableau4[[#This Row],[sdom]]="3EST",1,0)</f>
        <v>0</v>
      </c>
      <c r="AD98" s="12">
        <f>VLOOKUP(Tableau4[[#This Row],[essence]],Tableau6[],11,FALSE)</f>
        <v>0.14949999999999999</v>
      </c>
      <c r="AE98" s="12">
        <f>IF(Tableau4[[#This Row],[sdom]]="3OUEST",1,0)</f>
        <v>1</v>
      </c>
      <c r="AF98" s="12">
        <f>VLOOKUP(Tableau4[[#This Row],[essence]],Tableau6[],12,FALSE)</f>
        <v>-0.1822</v>
      </c>
      <c r="AG98" s="12">
        <f>IF(Tableau4[[#This Row],[sdom]]="4EST",1,0)</f>
        <v>0</v>
      </c>
      <c r="AH98" s="12">
        <f>VLOOKUP(Tableau4[[#This Row],[essence]],Tableau6[],13,FALSE)</f>
        <v>-0.1013</v>
      </c>
      <c r="AI98" s="12">
        <f>IF(Tableau4[[#This Row],[sdom]]="4OUEST",1,0)</f>
        <v>0</v>
      </c>
      <c r="AJ98" s="12">
        <f>VLOOKUP(Tableau4[[#This Row],[essence]],Tableau6[],14,FALSE)</f>
        <v>-0.33779999999999999</v>
      </c>
      <c r="AK98" s="12">
        <f>IF(Tableau4[[#This Row],[sdom]]="5EST",1,0)</f>
        <v>0</v>
      </c>
      <c r="AL98" s="12">
        <f>VLOOKUP(Tableau4[[#This Row],[essence]],Tableau6[],17,FALSE)</f>
        <v>1.03E-2</v>
      </c>
      <c r="AM98" s="12">
        <f>IF(Tableau4[[#This Row],[priorecol]]="C",1,0)</f>
        <v>1</v>
      </c>
      <c r="AN98" s="12">
        <f>VLOOKUP(Tableau4[[#This Row],[essence]],Tableau6[],18,FALSE)</f>
        <v>1.23E-2</v>
      </c>
      <c r="AO98" s="12">
        <f>IF(Tableau4[[#This Row],[priorecol]]="R",1,0)</f>
        <v>0</v>
      </c>
      <c r="AP98" s="12">
        <f>VLOOKUP(Tableau4[[#This Row],[essence]],Tableau6[],19,FALSE)</f>
        <v>1.2800000000000001E-2</v>
      </c>
      <c r="AQ98" s="12">
        <f>IF(Tableau4[[#This Row],[priorecol]]="S",1,0)</f>
        <v>0</v>
      </c>
      <c r="AR98" s="12">
        <f>VLOOKUP(Tableau4[[#This Row],[essence]],Tableau6[],21,FALSE)</f>
        <v>0</v>
      </c>
      <c r="AS98" s="12">
        <f>IF(Tableau4[[#This Row],[priorecol]]="C",1,0)</f>
        <v>1</v>
      </c>
      <c r="AT98" s="12">
        <f>VLOOKUP(Tableau4[[#This Row],[essence]],Tableau6[],22,FALSE)</f>
        <v>0</v>
      </c>
      <c r="AU98" s="12">
        <f>IF(Tableau4[[#This Row],[priorecol]]="R",1,0)</f>
        <v>0</v>
      </c>
      <c r="AV98" s="12">
        <f>VLOOKUP(Tableau4[[#This Row],[essence]],Tableau6[],23,FALSE)</f>
        <v>0</v>
      </c>
      <c r="AW98" s="12">
        <f>IF(Tableau4[[#This Row],[priorecol]]="S",1,0)</f>
        <v>0</v>
      </c>
      <c r="AX98" s="12">
        <f>VLOOKUP(Tableau4[[#This Row],[essence]],Tableau6[],24,FALSE)</f>
        <v>0</v>
      </c>
      <c r="AY98" s="12">
        <f>VLOOKUP(Tableau4[[#This Row],[essence]],Tableau6[],25,FALSE)</f>
        <v>0</v>
      </c>
      <c r="AZ98" s="12">
        <f>VLOOKUP(Tableau4[[#This Row],[essence]],Tableau6[],26,FALSE)</f>
        <v>0</v>
      </c>
      <c r="BA98" s="12">
        <f>VLOOKUP(Tableau4[[#This Row],[essence]],Tableau6[],27,FALSE)</f>
        <v>0</v>
      </c>
      <c r="BB98" s="12">
        <f>VLOOKUP(Tableau4[[#This Row],[essence]],Tableau6[],16,FALSE)</f>
        <v>-4.8999999999999998E-4</v>
      </c>
      <c r="BC9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1.6418999999999999</v>
      </c>
      <c r="BD98" s="12">
        <f>Tableau4[[#This Row],[xb_]]+Tableau4[[#This Row],[b_intercept_C]]+Tableau4[[#This Row],[b_dhpcm_x_intercept_C]]*Tableau4[[#This Row],[dhpcm]]</f>
        <v>2.4636999999999998</v>
      </c>
      <c r="BE98" s="12">
        <f>Tableau4[[#This Row],[xb_]]+Tableau4[[#This Row],[b_intercept_B]]+Tableau4[[#This Row],[b_dhpcm_x_intercept_B]]*Tableau4[[#This Row],[dhpcm]]</f>
        <v>0.96079999999999988</v>
      </c>
      <c r="BF98" s="12">
        <f>Tableau4[[#This Row],[xb_]]+Tableau4[[#This Row],[b_intercept_A]]+Tableau4[[#This Row],[b_dhpcm_x_intercept_A]]*Tableau4[[#This Row],[dhpcm]]</f>
        <v>-0.15180000000000016</v>
      </c>
      <c r="BG98" s="12">
        <f>1/(1+EXP(-Tableau4[[#This Row],[xb_c]]))</f>
        <v>0.9215575505220559</v>
      </c>
      <c r="BH98" s="12">
        <f>1/(1+EXP(-Tableau4[[#This Row],[xb_b]]))</f>
        <v>0.72328194985848548</v>
      </c>
      <c r="BI98" s="12">
        <f>1/(1+EXP(-Tableau4[[#This Row],[xb_a]]))</f>
        <v>0.46212270671127514</v>
      </c>
      <c r="BJ98" s="12">
        <f>Tableau4[[#This Row],[prob_a]]</f>
        <v>0.46212270671127514</v>
      </c>
      <c r="BK98" s="12">
        <f>Tableau4[[#This Row],[prob_b]]-Tableau4[[#This Row],[prob_a]]</f>
        <v>0.26115924314721034</v>
      </c>
      <c r="BL98" s="12">
        <f>Tableau4[[#This Row],[prob_c]]-Tableau4[[#This Row],[prob_b]]</f>
        <v>0.19827560066357042</v>
      </c>
      <c r="BM98" s="12">
        <f>1-Tableau4[[#This Row],[prob_c]]</f>
        <v>7.8442449477944098E-2</v>
      </c>
    </row>
    <row r="99" spans="1:65" x14ac:dyDescent="0.25">
      <c r="A99" s="12">
        <v>5</v>
      </c>
      <c r="B99" s="12" t="s">
        <v>13</v>
      </c>
      <c r="C99" s="12">
        <v>2.1</v>
      </c>
      <c r="D99" s="12">
        <v>700</v>
      </c>
      <c r="E99" s="12">
        <v>20</v>
      </c>
      <c r="F99" s="12">
        <v>1</v>
      </c>
      <c r="G99" s="12">
        <v>50</v>
      </c>
      <c r="H99" s="12">
        <v>137</v>
      </c>
      <c r="I99" s="12" t="s">
        <v>19</v>
      </c>
      <c r="J99" s="12" t="s">
        <v>28</v>
      </c>
      <c r="K99" s="12">
        <f>VLOOKUP(Tableau4[[#This Row],[essence]],Tableau6[],2,FALSE)</f>
        <v>-1.7937000000000001</v>
      </c>
      <c r="L99" s="12">
        <f>VLOOKUP(Tableau4[[#This Row],[essence]],Tableau6[],3,FALSE)</f>
        <v>-0.68110000000000004</v>
      </c>
      <c r="M99" s="12">
        <f>VLOOKUP(Tableau4[[#This Row],[essence]],Tableau6[],4,FALSE)</f>
        <v>0.82179999999999997</v>
      </c>
      <c r="N99" s="12">
        <f>VLOOKUP(Tableau4[[#This Row],[essence]],Tableau6[],5,FALSE)</f>
        <v>1.5014000000000001</v>
      </c>
      <c r="O99" s="12">
        <f>IF(Tableau4[[#This Row],[priorecol]]="C",1,0)</f>
        <v>0</v>
      </c>
      <c r="P99" s="12">
        <f>VLOOKUP(Tableau4[[#This Row],[essence]],Tableau6[],6,FALSE)</f>
        <v>2.3875000000000002</v>
      </c>
      <c r="Q99" s="12">
        <f>IF(Tableau4[[#This Row],[priorecol]]="R",1,0)</f>
        <v>1</v>
      </c>
      <c r="R99" s="12">
        <f>VLOOKUP(Tableau4[[#This Row],[essence]],Tableau6[],7,FALSE)</f>
        <v>0.94669999999999999</v>
      </c>
      <c r="S99" s="12">
        <f>IF(Tableau4[[#This Row],[priorecol]]="S",1,0)</f>
        <v>0</v>
      </c>
      <c r="T99" s="12">
        <f>VLOOKUP(Tableau4[[#This Row],[essence]],Tableau6[],20,FALSE)</f>
        <v>0</v>
      </c>
      <c r="U99" s="12">
        <f>VLOOKUP(Tableau4[[#This Row],[essence]],Tableau6[],15,FALSE)</f>
        <v>6.4000000000000003E-3</v>
      </c>
      <c r="V99" s="12">
        <f>VLOOKUP(Tableau4[[#This Row],[essence]],Tableau6[],28,FALSE)</f>
        <v>0</v>
      </c>
      <c r="W99" s="12">
        <f>IF(Tableau4[[#This Row],[sdom]]=1,1,0)</f>
        <v>0</v>
      </c>
      <c r="X99" s="12">
        <f>VLOOKUP(Tableau4[[#This Row],[essence]],Tableau6[],8,FALSE)</f>
        <v>9.4399999999999998E-2</v>
      </c>
      <c r="Y99" s="12">
        <f>IF(Tableau4[[#This Row],[sdom]]="2EST",1,0)</f>
        <v>0</v>
      </c>
      <c r="Z99" s="12">
        <f>VLOOKUP(Tableau4[[#This Row],[essence]],Tableau6[],9,FALSE)</f>
        <v>-0.40260000000000001</v>
      </c>
      <c r="AA99" s="12">
        <f>IF(Tableau4[[#This Row],[sdom]]="2OUEST",1,0)</f>
        <v>0</v>
      </c>
      <c r="AB99" s="12">
        <f>VLOOKUP(Tableau4[[#This Row],[essence]],Tableau6[],10,FALSE)</f>
        <v>-3.5699999999999998E-3</v>
      </c>
      <c r="AC99" s="12">
        <f>IF(Tableau4[[#This Row],[sdom]]="3EST",1,0)</f>
        <v>0</v>
      </c>
      <c r="AD99" s="12">
        <f>VLOOKUP(Tableau4[[#This Row],[essence]],Tableau6[],11,FALSE)</f>
        <v>0.14949999999999999</v>
      </c>
      <c r="AE99" s="12">
        <f>IF(Tableau4[[#This Row],[sdom]]="3OUEST",1,0)</f>
        <v>1</v>
      </c>
      <c r="AF99" s="12">
        <f>VLOOKUP(Tableau4[[#This Row],[essence]],Tableau6[],12,FALSE)</f>
        <v>-0.1822</v>
      </c>
      <c r="AG99" s="12">
        <f>IF(Tableau4[[#This Row],[sdom]]="4EST",1,0)</f>
        <v>0</v>
      </c>
      <c r="AH99" s="12">
        <f>VLOOKUP(Tableau4[[#This Row],[essence]],Tableau6[],13,FALSE)</f>
        <v>-0.1013</v>
      </c>
      <c r="AI99" s="12">
        <f>IF(Tableau4[[#This Row],[sdom]]="4OUEST",1,0)</f>
        <v>0</v>
      </c>
      <c r="AJ99" s="12">
        <f>VLOOKUP(Tableau4[[#This Row],[essence]],Tableau6[],14,FALSE)</f>
        <v>-0.33779999999999999</v>
      </c>
      <c r="AK99" s="12">
        <f>IF(Tableau4[[#This Row],[sdom]]="5EST",1,0)</f>
        <v>0</v>
      </c>
      <c r="AL99" s="12">
        <f>VLOOKUP(Tableau4[[#This Row],[essence]],Tableau6[],17,FALSE)</f>
        <v>1.03E-2</v>
      </c>
      <c r="AM99" s="12">
        <f>IF(Tableau4[[#This Row],[priorecol]]="C",1,0)</f>
        <v>0</v>
      </c>
      <c r="AN99" s="12">
        <f>VLOOKUP(Tableau4[[#This Row],[essence]],Tableau6[],18,FALSE)</f>
        <v>1.23E-2</v>
      </c>
      <c r="AO99" s="12">
        <f>IF(Tableau4[[#This Row],[priorecol]]="R",1,0)</f>
        <v>1</v>
      </c>
      <c r="AP99" s="12">
        <f>VLOOKUP(Tableau4[[#This Row],[essence]],Tableau6[],19,FALSE)</f>
        <v>1.2800000000000001E-2</v>
      </c>
      <c r="AQ99" s="12">
        <f>IF(Tableau4[[#This Row],[priorecol]]="S",1,0)</f>
        <v>0</v>
      </c>
      <c r="AR99" s="12">
        <f>VLOOKUP(Tableau4[[#This Row],[essence]],Tableau6[],21,FALSE)</f>
        <v>0</v>
      </c>
      <c r="AS99" s="12">
        <f>IF(Tableau4[[#This Row],[priorecol]]="C",1,0)</f>
        <v>0</v>
      </c>
      <c r="AT99" s="12">
        <f>VLOOKUP(Tableau4[[#This Row],[essence]],Tableau6[],22,FALSE)</f>
        <v>0</v>
      </c>
      <c r="AU99" s="12">
        <f>IF(Tableau4[[#This Row],[priorecol]]="R",1,0)</f>
        <v>1</v>
      </c>
      <c r="AV99" s="12">
        <f>VLOOKUP(Tableau4[[#This Row],[essence]],Tableau6[],23,FALSE)</f>
        <v>0</v>
      </c>
      <c r="AW99" s="12">
        <f>IF(Tableau4[[#This Row],[priorecol]]="S",1,0)</f>
        <v>0</v>
      </c>
      <c r="AX99" s="12">
        <f>VLOOKUP(Tableau4[[#This Row],[essence]],Tableau6[],24,FALSE)</f>
        <v>0</v>
      </c>
      <c r="AY99" s="12">
        <f>VLOOKUP(Tableau4[[#This Row],[essence]],Tableau6[],25,FALSE)</f>
        <v>0</v>
      </c>
      <c r="AZ99" s="12">
        <f>VLOOKUP(Tableau4[[#This Row],[essence]],Tableau6[],26,FALSE)</f>
        <v>0</v>
      </c>
      <c r="BA99" s="12">
        <f>VLOOKUP(Tableau4[[#This Row],[essence]],Tableau6[],27,FALSE)</f>
        <v>0</v>
      </c>
      <c r="BB99" s="12">
        <f>VLOOKUP(Tableau4[[#This Row],[essence]],Tableau6[],16,FALSE)</f>
        <v>-4.8999999999999998E-4</v>
      </c>
      <c r="BC9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2.5680000000000005</v>
      </c>
      <c r="BD99" s="12">
        <f>Tableau4[[#This Row],[xb_]]+Tableau4[[#This Row],[b_intercept_C]]+Tableau4[[#This Row],[b_dhpcm_x_intercept_C]]*Tableau4[[#This Row],[dhpcm]]</f>
        <v>3.3898000000000006</v>
      </c>
      <c r="BE99" s="12">
        <f>Tableau4[[#This Row],[xb_]]+Tableau4[[#This Row],[b_intercept_B]]+Tableau4[[#This Row],[b_dhpcm_x_intercept_B]]*Tableau4[[#This Row],[dhpcm]]</f>
        <v>1.8869000000000005</v>
      </c>
      <c r="BF99" s="12">
        <f>Tableau4[[#This Row],[xb_]]+Tableau4[[#This Row],[b_intercept_A]]+Tableau4[[#This Row],[b_dhpcm_x_intercept_A]]*Tableau4[[#This Row],[dhpcm]]</f>
        <v>0.77430000000000043</v>
      </c>
      <c r="BG99" s="12">
        <f>1/(1+EXP(-Tableau4[[#This Row],[xb_c]]))</f>
        <v>0.96738423488768044</v>
      </c>
      <c r="BH99" s="12">
        <f>1/(1+EXP(-Tableau4[[#This Row],[xb_b]]))</f>
        <v>0.86840166631582127</v>
      </c>
      <c r="BI99" s="12">
        <f>1/(1+EXP(-Tableau4[[#This Row],[xb_a]]))</f>
        <v>0.68445033519563192</v>
      </c>
      <c r="BJ99" s="12">
        <f>Tableau4[[#This Row],[prob_a]]</f>
        <v>0.68445033519563192</v>
      </c>
      <c r="BK99" s="12">
        <f>Tableau4[[#This Row],[prob_b]]-Tableau4[[#This Row],[prob_a]]</f>
        <v>0.18395133112018935</v>
      </c>
      <c r="BL99" s="12">
        <f>Tableau4[[#This Row],[prob_c]]-Tableau4[[#This Row],[prob_b]]</f>
        <v>9.8982568571859164E-2</v>
      </c>
      <c r="BM99" s="12">
        <f>1-Tableau4[[#This Row],[prob_c]]</f>
        <v>3.2615765112319561E-2</v>
      </c>
    </row>
    <row r="100" spans="1:65" x14ac:dyDescent="0.25">
      <c r="A100" s="12">
        <v>5</v>
      </c>
      <c r="B100" s="12" t="s">
        <v>13</v>
      </c>
      <c r="C100" s="12">
        <v>2.1</v>
      </c>
      <c r="D100" s="12">
        <v>700</v>
      </c>
      <c r="E100" s="12">
        <v>20</v>
      </c>
      <c r="F100" s="12">
        <v>1</v>
      </c>
      <c r="G100" s="12">
        <v>51</v>
      </c>
      <c r="H100" s="12">
        <v>138</v>
      </c>
      <c r="I100" s="12" t="s">
        <v>19</v>
      </c>
      <c r="J100" s="12" t="s">
        <v>29</v>
      </c>
      <c r="K100" s="12">
        <f>VLOOKUP(Tableau4[[#This Row],[essence]],Tableau6[],2,FALSE)</f>
        <v>-1.7937000000000001</v>
      </c>
      <c r="L100" s="12">
        <f>VLOOKUP(Tableau4[[#This Row],[essence]],Tableau6[],3,FALSE)</f>
        <v>-0.68110000000000004</v>
      </c>
      <c r="M100" s="12">
        <f>VLOOKUP(Tableau4[[#This Row],[essence]],Tableau6[],4,FALSE)</f>
        <v>0.82179999999999997</v>
      </c>
      <c r="N100" s="12">
        <f>VLOOKUP(Tableau4[[#This Row],[essence]],Tableau6[],5,FALSE)</f>
        <v>1.5014000000000001</v>
      </c>
      <c r="O100" s="12">
        <f>IF(Tableau4[[#This Row],[priorecol]]="C",1,0)</f>
        <v>0</v>
      </c>
      <c r="P100" s="12">
        <f>VLOOKUP(Tableau4[[#This Row],[essence]],Tableau6[],6,FALSE)</f>
        <v>2.3875000000000002</v>
      </c>
      <c r="Q100" s="12">
        <f>IF(Tableau4[[#This Row],[priorecol]]="R",1,0)</f>
        <v>0</v>
      </c>
      <c r="R100" s="12">
        <f>VLOOKUP(Tableau4[[#This Row],[essence]],Tableau6[],7,FALSE)</f>
        <v>0.94669999999999999</v>
      </c>
      <c r="S100" s="12">
        <f>IF(Tableau4[[#This Row],[priorecol]]="S",1,0)</f>
        <v>1</v>
      </c>
      <c r="T100" s="12">
        <f>VLOOKUP(Tableau4[[#This Row],[essence]],Tableau6[],20,FALSE)</f>
        <v>0</v>
      </c>
      <c r="U100" s="12">
        <f>VLOOKUP(Tableau4[[#This Row],[essence]],Tableau6[],15,FALSE)</f>
        <v>6.4000000000000003E-3</v>
      </c>
      <c r="V100" s="12">
        <f>VLOOKUP(Tableau4[[#This Row],[essence]],Tableau6[],28,FALSE)</f>
        <v>0</v>
      </c>
      <c r="W100" s="12">
        <f>IF(Tableau4[[#This Row],[sdom]]=1,1,0)</f>
        <v>0</v>
      </c>
      <c r="X100" s="12">
        <f>VLOOKUP(Tableau4[[#This Row],[essence]],Tableau6[],8,FALSE)</f>
        <v>9.4399999999999998E-2</v>
      </c>
      <c r="Y100" s="12">
        <f>IF(Tableau4[[#This Row],[sdom]]="2EST",1,0)</f>
        <v>0</v>
      </c>
      <c r="Z100" s="12">
        <f>VLOOKUP(Tableau4[[#This Row],[essence]],Tableau6[],9,FALSE)</f>
        <v>-0.40260000000000001</v>
      </c>
      <c r="AA100" s="12">
        <f>IF(Tableau4[[#This Row],[sdom]]="2OUEST",1,0)</f>
        <v>0</v>
      </c>
      <c r="AB100" s="12">
        <f>VLOOKUP(Tableau4[[#This Row],[essence]],Tableau6[],10,FALSE)</f>
        <v>-3.5699999999999998E-3</v>
      </c>
      <c r="AC100" s="12">
        <f>IF(Tableau4[[#This Row],[sdom]]="3EST",1,0)</f>
        <v>0</v>
      </c>
      <c r="AD100" s="12">
        <f>VLOOKUP(Tableau4[[#This Row],[essence]],Tableau6[],11,FALSE)</f>
        <v>0.14949999999999999</v>
      </c>
      <c r="AE100" s="12">
        <f>IF(Tableau4[[#This Row],[sdom]]="3OUEST",1,0)</f>
        <v>1</v>
      </c>
      <c r="AF100" s="12">
        <f>VLOOKUP(Tableau4[[#This Row],[essence]],Tableau6[],12,FALSE)</f>
        <v>-0.1822</v>
      </c>
      <c r="AG100" s="12">
        <f>IF(Tableau4[[#This Row],[sdom]]="4EST",1,0)</f>
        <v>0</v>
      </c>
      <c r="AH100" s="12">
        <f>VLOOKUP(Tableau4[[#This Row],[essence]],Tableau6[],13,FALSE)</f>
        <v>-0.1013</v>
      </c>
      <c r="AI100" s="12">
        <f>IF(Tableau4[[#This Row],[sdom]]="4OUEST",1,0)</f>
        <v>0</v>
      </c>
      <c r="AJ100" s="12">
        <f>VLOOKUP(Tableau4[[#This Row],[essence]],Tableau6[],14,FALSE)</f>
        <v>-0.33779999999999999</v>
      </c>
      <c r="AK100" s="12">
        <f>IF(Tableau4[[#This Row],[sdom]]="5EST",1,0)</f>
        <v>0</v>
      </c>
      <c r="AL100" s="12">
        <f>VLOOKUP(Tableau4[[#This Row],[essence]],Tableau6[],17,FALSE)</f>
        <v>1.03E-2</v>
      </c>
      <c r="AM100" s="12">
        <f>IF(Tableau4[[#This Row],[priorecol]]="C",1,0)</f>
        <v>0</v>
      </c>
      <c r="AN100" s="12">
        <f>VLOOKUP(Tableau4[[#This Row],[essence]],Tableau6[],18,FALSE)</f>
        <v>1.23E-2</v>
      </c>
      <c r="AO100" s="12">
        <f>IF(Tableau4[[#This Row],[priorecol]]="R",1,0)</f>
        <v>0</v>
      </c>
      <c r="AP100" s="12">
        <f>VLOOKUP(Tableau4[[#This Row],[essence]],Tableau6[],19,FALSE)</f>
        <v>1.2800000000000001E-2</v>
      </c>
      <c r="AQ100" s="12">
        <f>IF(Tableau4[[#This Row],[priorecol]]="S",1,0)</f>
        <v>1</v>
      </c>
      <c r="AR100" s="12">
        <f>VLOOKUP(Tableau4[[#This Row],[essence]],Tableau6[],21,FALSE)</f>
        <v>0</v>
      </c>
      <c r="AS100" s="12">
        <f>IF(Tableau4[[#This Row],[priorecol]]="C",1,0)</f>
        <v>0</v>
      </c>
      <c r="AT100" s="12">
        <f>VLOOKUP(Tableau4[[#This Row],[essence]],Tableau6[],22,FALSE)</f>
        <v>0</v>
      </c>
      <c r="AU100" s="12">
        <f>IF(Tableau4[[#This Row],[priorecol]]="R",1,0)</f>
        <v>0</v>
      </c>
      <c r="AV100" s="12">
        <f>VLOOKUP(Tableau4[[#This Row],[essence]],Tableau6[],23,FALSE)</f>
        <v>0</v>
      </c>
      <c r="AW100" s="12">
        <f>IF(Tableau4[[#This Row],[priorecol]]="S",1,0)</f>
        <v>1</v>
      </c>
      <c r="AX100" s="12">
        <f>VLOOKUP(Tableau4[[#This Row],[essence]],Tableau6[],24,FALSE)</f>
        <v>0</v>
      </c>
      <c r="AY100" s="12">
        <f>VLOOKUP(Tableau4[[#This Row],[essence]],Tableau6[],25,FALSE)</f>
        <v>0</v>
      </c>
      <c r="AZ100" s="12">
        <f>VLOOKUP(Tableau4[[#This Row],[essence]],Tableau6[],26,FALSE)</f>
        <v>0</v>
      </c>
      <c r="BA100" s="12">
        <f>VLOOKUP(Tableau4[[#This Row],[essence]],Tableau6[],27,FALSE)</f>
        <v>0</v>
      </c>
      <c r="BB100" s="12">
        <f>VLOOKUP(Tableau4[[#This Row],[essence]],Tableau6[],16,FALSE)</f>
        <v>-4.8999999999999998E-4</v>
      </c>
      <c r="BC10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1.1372</v>
      </c>
      <c r="BD100" s="12">
        <f>Tableau4[[#This Row],[xb_]]+Tableau4[[#This Row],[b_intercept_C]]+Tableau4[[#This Row],[b_dhpcm_x_intercept_C]]*Tableau4[[#This Row],[dhpcm]]</f>
        <v>1.9590000000000001</v>
      </c>
      <c r="BE100" s="12">
        <f>Tableau4[[#This Row],[xb_]]+Tableau4[[#This Row],[b_intercept_B]]+Tableau4[[#This Row],[b_dhpcm_x_intercept_B]]*Tableau4[[#This Row],[dhpcm]]</f>
        <v>0.45609999999999995</v>
      </c>
      <c r="BF100" s="12">
        <f>Tableau4[[#This Row],[xb_]]+Tableau4[[#This Row],[b_intercept_A]]+Tableau4[[#This Row],[b_dhpcm_x_intercept_A]]*Tableau4[[#This Row],[dhpcm]]</f>
        <v>-0.65650000000000008</v>
      </c>
      <c r="BG100" s="12">
        <f>1/(1+EXP(-Tableau4[[#This Row],[xb_c]]))</f>
        <v>0.87642468874321988</v>
      </c>
      <c r="BH100" s="12">
        <f>1/(1+EXP(-Tableau4[[#This Row],[xb_b]]))</f>
        <v>0.61208858094718555</v>
      </c>
      <c r="BI100" s="12">
        <f>1/(1+EXP(-Tableau4[[#This Row],[xb_a]]))</f>
        <v>0.34152627569143723</v>
      </c>
      <c r="BJ100" s="12">
        <f>Tableau4[[#This Row],[prob_a]]</f>
        <v>0.34152627569143723</v>
      </c>
      <c r="BK100" s="12">
        <f>Tableau4[[#This Row],[prob_b]]-Tableau4[[#This Row],[prob_a]]</f>
        <v>0.27056230525574831</v>
      </c>
      <c r="BL100" s="12">
        <f>Tableau4[[#This Row],[prob_c]]-Tableau4[[#This Row],[prob_b]]</f>
        <v>0.26433610779603434</v>
      </c>
      <c r="BM100" s="12">
        <f>1-Tableau4[[#This Row],[prob_c]]</f>
        <v>0.12357531125678012</v>
      </c>
    </row>
    <row r="101" spans="1:65" x14ac:dyDescent="0.25">
      <c r="A101" s="12">
        <v>5</v>
      </c>
      <c r="B101" s="12" t="s">
        <v>13</v>
      </c>
      <c r="C101" s="12">
        <v>2.1</v>
      </c>
      <c r="D101" s="12">
        <v>700</v>
      </c>
      <c r="E101" s="12">
        <v>20</v>
      </c>
      <c r="F101" s="12">
        <v>1</v>
      </c>
      <c r="G101" s="12">
        <v>52</v>
      </c>
      <c r="H101" s="12">
        <v>139</v>
      </c>
      <c r="I101" s="12" t="s">
        <v>20</v>
      </c>
      <c r="J101" s="12" t="s">
        <v>27</v>
      </c>
      <c r="K101" s="12">
        <f>VLOOKUP(Tableau4[[#This Row],[essence]],Tableau6[],2,FALSE)</f>
        <v>1.0688</v>
      </c>
      <c r="L101" s="12">
        <f>VLOOKUP(Tableau4[[#This Row],[essence]],Tableau6[],3,FALSE)</f>
        <v>2.0478000000000001</v>
      </c>
      <c r="M101" s="12">
        <f>VLOOKUP(Tableau4[[#This Row],[essence]],Tableau6[],4,FALSE)</f>
        <v>3.3382999999999998</v>
      </c>
      <c r="N101" s="12">
        <f>VLOOKUP(Tableau4[[#This Row],[essence]],Tableau6[],5,FALSE)</f>
        <v>-1.2143999999999999</v>
      </c>
      <c r="O101" s="12">
        <f>IF(Tableau4[[#This Row],[priorecol]]="C",1,0)</f>
        <v>1</v>
      </c>
      <c r="P101" s="12">
        <f>VLOOKUP(Tableau4[[#This Row],[essence]],Tableau6[],6,FALSE)</f>
        <v>-1.2690999999999999</v>
      </c>
      <c r="Q101" s="12">
        <f>IF(Tableau4[[#This Row],[priorecol]]="R",1,0)</f>
        <v>0</v>
      </c>
      <c r="R101" s="12">
        <f>VLOOKUP(Tableau4[[#This Row],[essence]],Tableau6[],7,FALSE)</f>
        <v>-7.1900000000000006E-2</v>
      </c>
      <c r="S101" s="12">
        <f>IF(Tableau4[[#This Row],[priorecol]]="S",1,0)</f>
        <v>0</v>
      </c>
      <c r="T101" s="12">
        <f>VLOOKUP(Tableau4[[#This Row],[essence]],Tableau6[],20,FALSE)</f>
        <v>-3.04E-2</v>
      </c>
      <c r="U101" s="12">
        <f>VLOOKUP(Tableau4[[#This Row],[essence]],Tableau6[],15,FALSE)</f>
        <v>1.4200000000000001E-2</v>
      </c>
      <c r="V101" s="12">
        <f>VLOOKUP(Tableau4[[#This Row],[essence]],Tableau6[],28,FALSE)</f>
        <v>0</v>
      </c>
      <c r="W101" s="12">
        <f>IF(Tableau4[[#This Row],[sdom]]=1,1,0)</f>
        <v>0</v>
      </c>
      <c r="X101" s="12">
        <f>VLOOKUP(Tableau4[[#This Row],[essence]],Tableau6[],8,FALSE)</f>
        <v>0</v>
      </c>
      <c r="Y101" s="12">
        <f>IF(Tableau4[[#This Row],[sdom]]="2EST",1,0)</f>
        <v>0</v>
      </c>
      <c r="Z101" s="12">
        <f>VLOOKUP(Tableau4[[#This Row],[essence]],Tableau6[],9,FALSE)</f>
        <v>0</v>
      </c>
      <c r="AA101" s="12">
        <f>IF(Tableau4[[#This Row],[sdom]]="2OUEST",1,0)</f>
        <v>0</v>
      </c>
      <c r="AB101" s="12">
        <f>VLOOKUP(Tableau4[[#This Row],[essence]],Tableau6[],10,FALSE)</f>
        <v>0</v>
      </c>
      <c r="AC101" s="12">
        <f>IF(Tableau4[[#This Row],[sdom]]="3EST",1,0)</f>
        <v>0</v>
      </c>
      <c r="AD101" s="12">
        <f>VLOOKUP(Tableau4[[#This Row],[essence]],Tableau6[],11,FALSE)</f>
        <v>0</v>
      </c>
      <c r="AE101" s="12">
        <f>IF(Tableau4[[#This Row],[sdom]]="3OUEST",1,0)</f>
        <v>1</v>
      </c>
      <c r="AF101" s="12">
        <f>VLOOKUP(Tableau4[[#This Row],[essence]],Tableau6[],12,FALSE)</f>
        <v>0</v>
      </c>
      <c r="AG101" s="12">
        <f>IF(Tableau4[[#This Row],[sdom]]="4EST",1,0)</f>
        <v>0</v>
      </c>
      <c r="AH101" s="12">
        <f>VLOOKUP(Tableau4[[#This Row],[essence]],Tableau6[],13,FALSE)</f>
        <v>0</v>
      </c>
      <c r="AI101" s="12">
        <f>IF(Tableau4[[#This Row],[sdom]]="4OUEST",1,0)</f>
        <v>0</v>
      </c>
      <c r="AJ101" s="12">
        <f>VLOOKUP(Tableau4[[#This Row],[essence]],Tableau6[],14,FALSE)</f>
        <v>0</v>
      </c>
      <c r="AK101" s="12">
        <f>IF(Tableau4[[#This Row],[sdom]]="5EST",1,0)</f>
        <v>0</v>
      </c>
      <c r="AL101" s="12">
        <f>VLOOKUP(Tableau4[[#This Row],[essence]],Tableau6[],17,FALSE)</f>
        <v>0</v>
      </c>
      <c r="AM101" s="12">
        <f>IF(Tableau4[[#This Row],[priorecol]]="C",1,0)</f>
        <v>1</v>
      </c>
      <c r="AN101" s="12">
        <f>VLOOKUP(Tableau4[[#This Row],[essence]],Tableau6[],18,FALSE)</f>
        <v>0</v>
      </c>
      <c r="AO101" s="12">
        <f>IF(Tableau4[[#This Row],[priorecol]]="R",1,0)</f>
        <v>0</v>
      </c>
      <c r="AP101" s="12">
        <f>VLOOKUP(Tableau4[[#This Row],[essence]],Tableau6[],19,FALSE)</f>
        <v>0</v>
      </c>
      <c r="AQ101" s="12">
        <f>IF(Tableau4[[#This Row],[priorecol]]="S",1,0)</f>
        <v>0</v>
      </c>
      <c r="AR101" s="12">
        <f>VLOOKUP(Tableau4[[#This Row],[essence]],Tableau6[],21,FALSE)</f>
        <v>5.4600000000000003E-2</v>
      </c>
      <c r="AS101" s="12">
        <f>IF(Tableau4[[#This Row],[priorecol]]="C",1,0)</f>
        <v>1</v>
      </c>
      <c r="AT101" s="12">
        <f>VLOOKUP(Tableau4[[#This Row],[essence]],Tableau6[],22,FALSE)</f>
        <v>6.7900000000000002E-2</v>
      </c>
      <c r="AU101" s="12">
        <f>IF(Tableau4[[#This Row],[priorecol]]="R",1,0)</f>
        <v>0</v>
      </c>
      <c r="AV101" s="12">
        <f>VLOOKUP(Tableau4[[#This Row],[essence]],Tableau6[],23,FALSE)</f>
        <v>1.8700000000000001E-2</v>
      </c>
      <c r="AW101" s="12">
        <f>IF(Tableau4[[#This Row],[priorecol]]="S",1,0)</f>
        <v>0</v>
      </c>
      <c r="AX101" s="12">
        <f>VLOOKUP(Tableau4[[#This Row],[essence]],Tableau6[],24,FALSE)</f>
        <v>0</v>
      </c>
      <c r="AY101" s="12">
        <f>VLOOKUP(Tableau4[[#This Row],[essence]],Tableau6[],25,FALSE)</f>
        <v>0</v>
      </c>
      <c r="AZ101" s="12">
        <f>VLOOKUP(Tableau4[[#This Row],[essence]],Tableau6[],26,FALSE)</f>
        <v>0</v>
      </c>
      <c r="BA101" s="12">
        <f>VLOOKUP(Tableau4[[#This Row],[essence]],Tableau6[],27,FALSE)</f>
        <v>0</v>
      </c>
      <c r="BB101" s="12">
        <f>VLOOKUP(Tableau4[[#This Row],[essence]],Tableau6[],16,FALSE)</f>
        <v>-1.33E-3</v>
      </c>
      <c r="BC10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1.5024000000000006</v>
      </c>
      <c r="BD101" s="12">
        <f>Tableau4[[#This Row],[xb_]]+Tableau4[[#This Row],[b_intercept_C]]+Tableau4[[#This Row],[b_dhpcm_x_intercept_C]]*Tableau4[[#This Row],[dhpcm]]</f>
        <v>4.8407</v>
      </c>
      <c r="BE101" s="12">
        <f>Tableau4[[#This Row],[xb_]]+Tableau4[[#This Row],[b_intercept_B]]+Tableau4[[#This Row],[b_dhpcm_x_intercept_B]]*Tableau4[[#This Row],[dhpcm]]</f>
        <v>3.5502000000000007</v>
      </c>
      <c r="BF101" s="12">
        <f>Tableau4[[#This Row],[xb_]]+Tableau4[[#This Row],[b_intercept_A]]+Tableau4[[#This Row],[b_dhpcm_x_intercept_A]]*Tableau4[[#This Row],[dhpcm]]</f>
        <v>2.5712000000000006</v>
      </c>
      <c r="BG101" s="12">
        <f>1/(1+EXP(-Tableau4[[#This Row],[xb_c]]))</f>
        <v>0.99216042352798728</v>
      </c>
      <c r="BH101" s="12">
        <f>1/(1+EXP(-Tableau4[[#This Row],[xb_b]]))</f>
        <v>0.97208285428414665</v>
      </c>
      <c r="BI101" s="12">
        <f>1/(1+EXP(-Tableau4[[#This Row],[xb_a]]))</f>
        <v>0.92898490302416536</v>
      </c>
      <c r="BJ101" s="12">
        <f>Tableau4[[#This Row],[prob_a]]</f>
        <v>0.92898490302416536</v>
      </c>
      <c r="BK101" s="12">
        <f>Tableau4[[#This Row],[prob_b]]-Tableau4[[#This Row],[prob_a]]</f>
        <v>4.3097951259981282E-2</v>
      </c>
      <c r="BL101" s="12">
        <f>Tableau4[[#This Row],[prob_c]]-Tableau4[[#This Row],[prob_b]]</f>
        <v>2.0077569243840632E-2</v>
      </c>
      <c r="BM101" s="12">
        <f>1-Tableau4[[#This Row],[prob_c]]</f>
        <v>7.8395764720127215E-3</v>
      </c>
    </row>
    <row r="102" spans="1:65" x14ac:dyDescent="0.25">
      <c r="A102" s="12">
        <v>5</v>
      </c>
      <c r="B102" s="12" t="s">
        <v>13</v>
      </c>
      <c r="C102" s="12">
        <v>2.1</v>
      </c>
      <c r="D102" s="12">
        <v>700</v>
      </c>
      <c r="E102" s="12">
        <v>20</v>
      </c>
      <c r="F102" s="12">
        <v>1</v>
      </c>
      <c r="G102" s="12">
        <v>53</v>
      </c>
      <c r="H102" s="12">
        <v>140</v>
      </c>
      <c r="I102" s="12" t="s">
        <v>20</v>
      </c>
      <c r="J102" s="12" t="s">
        <v>28</v>
      </c>
      <c r="K102" s="12">
        <f>VLOOKUP(Tableau4[[#This Row],[essence]],Tableau6[],2,FALSE)</f>
        <v>1.0688</v>
      </c>
      <c r="L102" s="12">
        <f>VLOOKUP(Tableau4[[#This Row],[essence]],Tableau6[],3,FALSE)</f>
        <v>2.0478000000000001</v>
      </c>
      <c r="M102" s="12">
        <f>VLOOKUP(Tableau4[[#This Row],[essence]],Tableau6[],4,FALSE)</f>
        <v>3.3382999999999998</v>
      </c>
      <c r="N102" s="12">
        <f>VLOOKUP(Tableau4[[#This Row],[essence]],Tableau6[],5,FALSE)</f>
        <v>-1.2143999999999999</v>
      </c>
      <c r="O102" s="12">
        <f>IF(Tableau4[[#This Row],[priorecol]]="C",1,0)</f>
        <v>0</v>
      </c>
      <c r="P102" s="12">
        <f>VLOOKUP(Tableau4[[#This Row],[essence]],Tableau6[],6,FALSE)</f>
        <v>-1.2690999999999999</v>
      </c>
      <c r="Q102" s="12">
        <f>IF(Tableau4[[#This Row],[priorecol]]="R",1,0)</f>
        <v>1</v>
      </c>
      <c r="R102" s="12">
        <f>VLOOKUP(Tableau4[[#This Row],[essence]],Tableau6[],7,FALSE)</f>
        <v>-7.1900000000000006E-2</v>
      </c>
      <c r="S102" s="12">
        <f>IF(Tableau4[[#This Row],[priorecol]]="S",1,0)</f>
        <v>0</v>
      </c>
      <c r="T102" s="12">
        <f>VLOOKUP(Tableau4[[#This Row],[essence]],Tableau6[],20,FALSE)</f>
        <v>-3.04E-2</v>
      </c>
      <c r="U102" s="12">
        <f>VLOOKUP(Tableau4[[#This Row],[essence]],Tableau6[],15,FALSE)</f>
        <v>1.4200000000000001E-2</v>
      </c>
      <c r="V102" s="12">
        <f>VLOOKUP(Tableau4[[#This Row],[essence]],Tableau6[],28,FALSE)</f>
        <v>0</v>
      </c>
      <c r="W102" s="12">
        <f>IF(Tableau4[[#This Row],[sdom]]=1,1,0)</f>
        <v>0</v>
      </c>
      <c r="X102" s="12">
        <f>VLOOKUP(Tableau4[[#This Row],[essence]],Tableau6[],8,FALSE)</f>
        <v>0</v>
      </c>
      <c r="Y102" s="12">
        <f>IF(Tableau4[[#This Row],[sdom]]="2EST",1,0)</f>
        <v>0</v>
      </c>
      <c r="Z102" s="12">
        <f>VLOOKUP(Tableau4[[#This Row],[essence]],Tableau6[],9,FALSE)</f>
        <v>0</v>
      </c>
      <c r="AA102" s="12">
        <f>IF(Tableau4[[#This Row],[sdom]]="2OUEST",1,0)</f>
        <v>0</v>
      </c>
      <c r="AB102" s="12">
        <f>VLOOKUP(Tableau4[[#This Row],[essence]],Tableau6[],10,FALSE)</f>
        <v>0</v>
      </c>
      <c r="AC102" s="12">
        <f>IF(Tableau4[[#This Row],[sdom]]="3EST",1,0)</f>
        <v>0</v>
      </c>
      <c r="AD102" s="12">
        <f>VLOOKUP(Tableau4[[#This Row],[essence]],Tableau6[],11,FALSE)</f>
        <v>0</v>
      </c>
      <c r="AE102" s="12">
        <f>IF(Tableau4[[#This Row],[sdom]]="3OUEST",1,0)</f>
        <v>1</v>
      </c>
      <c r="AF102" s="12">
        <f>VLOOKUP(Tableau4[[#This Row],[essence]],Tableau6[],12,FALSE)</f>
        <v>0</v>
      </c>
      <c r="AG102" s="12">
        <f>IF(Tableau4[[#This Row],[sdom]]="4EST",1,0)</f>
        <v>0</v>
      </c>
      <c r="AH102" s="12">
        <f>VLOOKUP(Tableau4[[#This Row],[essence]],Tableau6[],13,FALSE)</f>
        <v>0</v>
      </c>
      <c r="AI102" s="12">
        <f>IF(Tableau4[[#This Row],[sdom]]="4OUEST",1,0)</f>
        <v>0</v>
      </c>
      <c r="AJ102" s="12">
        <f>VLOOKUP(Tableau4[[#This Row],[essence]],Tableau6[],14,FALSE)</f>
        <v>0</v>
      </c>
      <c r="AK102" s="12">
        <f>IF(Tableau4[[#This Row],[sdom]]="5EST",1,0)</f>
        <v>0</v>
      </c>
      <c r="AL102" s="12">
        <f>VLOOKUP(Tableau4[[#This Row],[essence]],Tableau6[],17,FALSE)</f>
        <v>0</v>
      </c>
      <c r="AM102" s="12">
        <f>IF(Tableau4[[#This Row],[priorecol]]="C",1,0)</f>
        <v>0</v>
      </c>
      <c r="AN102" s="12">
        <f>VLOOKUP(Tableau4[[#This Row],[essence]],Tableau6[],18,FALSE)</f>
        <v>0</v>
      </c>
      <c r="AO102" s="12">
        <f>IF(Tableau4[[#This Row],[priorecol]]="R",1,0)</f>
        <v>1</v>
      </c>
      <c r="AP102" s="12">
        <f>VLOOKUP(Tableau4[[#This Row],[essence]],Tableau6[],19,FALSE)</f>
        <v>0</v>
      </c>
      <c r="AQ102" s="12">
        <f>IF(Tableau4[[#This Row],[priorecol]]="S",1,0)</f>
        <v>0</v>
      </c>
      <c r="AR102" s="12">
        <f>VLOOKUP(Tableau4[[#This Row],[essence]],Tableau6[],21,FALSE)</f>
        <v>5.4600000000000003E-2</v>
      </c>
      <c r="AS102" s="12">
        <f>IF(Tableau4[[#This Row],[priorecol]]="C",1,0)</f>
        <v>0</v>
      </c>
      <c r="AT102" s="12">
        <f>VLOOKUP(Tableau4[[#This Row],[essence]],Tableau6[],22,FALSE)</f>
        <v>6.7900000000000002E-2</v>
      </c>
      <c r="AU102" s="12">
        <f>IF(Tableau4[[#This Row],[priorecol]]="R",1,0)</f>
        <v>1</v>
      </c>
      <c r="AV102" s="12">
        <f>VLOOKUP(Tableau4[[#This Row],[essence]],Tableau6[],23,FALSE)</f>
        <v>1.8700000000000001E-2</v>
      </c>
      <c r="AW102" s="12">
        <f>IF(Tableau4[[#This Row],[priorecol]]="S",1,0)</f>
        <v>0</v>
      </c>
      <c r="AX102" s="12">
        <f>VLOOKUP(Tableau4[[#This Row],[essence]],Tableau6[],24,FALSE)</f>
        <v>0</v>
      </c>
      <c r="AY102" s="12">
        <f>VLOOKUP(Tableau4[[#This Row],[essence]],Tableau6[],25,FALSE)</f>
        <v>0</v>
      </c>
      <c r="AZ102" s="12">
        <f>VLOOKUP(Tableau4[[#This Row],[essence]],Tableau6[],26,FALSE)</f>
        <v>0</v>
      </c>
      <c r="BA102" s="12">
        <f>VLOOKUP(Tableau4[[#This Row],[essence]],Tableau6[],27,FALSE)</f>
        <v>0</v>
      </c>
      <c r="BB102" s="12">
        <f>VLOOKUP(Tableau4[[#This Row],[essence]],Tableau6[],16,FALSE)</f>
        <v>-1.33E-3</v>
      </c>
      <c r="BC10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3.3338999999999999</v>
      </c>
      <c r="BD102" s="12">
        <f>Tableau4[[#This Row],[xb_]]+Tableau4[[#This Row],[b_intercept_C]]+Tableau4[[#This Row],[b_dhpcm_x_intercept_C]]*Tableau4[[#This Row],[dhpcm]]</f>
        <v>6.6722000000000001</v>
      </c>
      <c r="BE102" s="12">
        <f>Tableau4[[#This Row],[xb_]]+Tableau4[[#This Row],[b_intercept_B]]+Tableau4[[#This Row],[b_dhpcm_x_intercept_B]]*Tableau4[[#This Row],[dhpcm]]</f>
        <v>5.3817000000000004</v>
      </c>
      <c r="BF102" s="12">
        <f>Tableau4[[#This Row],[xb_]]+Tableau4[[#This Row],[b_intercept_A]]+Tableau4[[#This Row],[b_dhpcm_x_intercept_A]]*Tableau4[[#This Row],[dhpcm]]</f>
        <v>4.4026999999999994</v>
      </c>
      <c r="BG102" s="12">
        <f>1/(1+EXP(-Tableau4[[#This Row],[xb_c]]))</f>
        <v>0.99873598840637778</v>
      </c>
      <c r="BH102" s="12">
        <f>1/(1+EXP(-Tableau4[[#This Row],[xb_b]]))</f>
        <v>0.99542106777939232</v>
      </c>
      <c r="BI102" s="12">
        <f>1/(1+EXP(-Tableau4[[#This Row],[xb_a]]))</f>
        <v>0.98790387204689079</v>
      </c>
      <c r="BJ102" s="12">
        <f>Tableau4[[#This Row],[prob_a]]</f>
        <v>0.98790387204689079</v>
      </c>
      <c r="BK102" s="12">
        <f>Tableau4[[#This Row],[prob_b]]-Tableau4[[#This Row],[prob_a]]</f>
        <v>7.5171957325015359E-3</v>
      </c>
      <c r="BL102" s="12">
        <f>Tableau4[[#This Row],[prob_c]]-Tableau4[[#This Row],[prob_b]]</f>
        <v>3.3149206269854625E-3</v>
      </c>
      <c r="BM102" s="12">
        <f>1-Tableau4[[#This Row],[prob_c]]</f>
        <v>1.2640115936222163E-3</v>
      </c>
    </row>
    <row r="103" spans="1:65" x14ac:dyDescent="0.25">
      <c r="A103" s="12">
        <v>5</v>
      </c>
      <c r="B103" s="12" t="s">
        <v>13</v>
      </c>
      <c r="C103" s="12">
        <v>2.1</v>
      </c>
      <c r="D103" s="12">
        <v>700</v>
      </c>
      <c r="E103" s="12">
        <v>20</v>
      </c>
      <c r="F103" s="12">
        <v>1</v>
      </c>
      <c r="G103" s="12">
        <v>54</v>
      </c>
      <c r="H103" s="12">
        <v>141</v>
      </c>
      <c r="I103" s="12" t="s">
        <v>20</v>
      </c>
      <c r="J103" s="12" t="s">
        <v>29</v>
      </c>
      <c r="K103" s="12">
        <f>VLOOKUP(Tableau4[[#This Row],[essence]],Tableau6[],2,FALSE)</f>
        <v>1.0688</v>
      </c>
      <c r="L103" s="12">
        <f>VLOOKUP(Tableau4[[#This Row],[essence]],Tableau6[],3,FALSE)</f>
        <v>2.0478000000000001</v>
      </c>
      <c r="M103" s="12">
        <f>VLOOKUP(Tableau4[[#This Row],[essence]],Tableau6[],4,FALSE)</f>
        <v>3.3382999999999998</v>
      </c>
      <c r="N103" s="12">
        <f>VLOOKUP(Tableau4[[#This Row],[essence]],Tableau6[],5,FALSE)</f>
        <v>-1.2143999999999999</v>
      </c>
      <c r="O103" s="12">
        <f>IF(Tableau4[[#This Row],[priorecol]]="C",1,0)</f>
        <v>0</v>
      </c>
      <c r="P103" s="12">
        <f>VLOOKUP(Tableau4[[#This Row],[essence]],Tableau6[],6,FALSE)</f>
        <v>-1.2690999999999999</v>
      </c>
      <c r="Q103" s="12">
        <f>IF(Tableau4[[#This Row],[priorecol]]="R",1,0)</f>
        <v>0</v>
      </c>
      <c r="R103" s="12">
        <f>VLOOKUP(Tableau4[[#This Row],[essence]],Tableau6[],7,FALSE)</f>
        <v>-7.1900000000000006E-2</v>
      </c>
      <c r="S103" s="12">
        <f>IF(Tableau4[[#This Row],[priorecol]]="S",1,0)</f>
        <v>1</v>
      </c>
      <c r="T103" s="12">
        <f>VLOOKUP(Tableau4[[#This Row],[essence]],Tableau6[],20,FALSE)</f>
        <v>-3.04E-2</v>
      </c>
      <c r="U103" s="12">
        <f>VLOOKUP(Tableau4[[#This Row],[essence]],Tableau6[],15,FALSE)</f>
        <v>1.4200000000000001E-2</v>
      </c>
      <c r="V103" s="12">
        <f>VLOOKUP(Tableau4[[#This Row],[essence]],Tableau6[],28,FALSE)</f>
        <v>0</v>
      </c>
      <c r="W103" s="12">
        <f>IF(Tableau4[[#This Row],[sdom]]=1,1,0)</f>
        <v>0</v>
      </c>
      <c r="X103" s="12">
        <f>VLOOKUP(Tableau4[[#This Row],[essence]],Tableau6[],8,FALSE)</f>
        <v>0</v>
      </c>
      <c r="Y103" s="12">
        <f>IF(Tableau4[[#This Row],[sdom]]="2EST",1,0)</f>
        <v>0</v>
      </c>
      <c r="Z103" s="12">
        <f>VLOOKUP(Tableau4[[#This Row],[essence]],Tableau6[],9,FALSE)</f>
        <v>0</v>
      </c>
      <c r="AA103" s="12">
        <f>IF(Tableau4[[#This Row],[sdom]]="2OUEST",1,0)</f>
        <v>0</v>
      </c>
      <c r="AB103" s="12">
        <f>VLOOKUP(Tableau4[[#This Row],[essence]],Tableau6[],10,FALSE)</f>
        <v>0</v>
      </c>
      <c r="AC103" s="12">
        <f>IF(Tableau4[[#This Row],[sdom]]="3EST",1,0)</f>
        <v>0</v>
      </c>
      <c r="AD103" s="12">
        <f>VLOOKUP(Tableau4[[#This Row],[essence]],Tableau6[],11,FALSE)</f>
        <v>0</v>
      </c>
      <c r="AE103" s="12">
        <f>IF(Tableau4[[#This Row],[sdom]]="3OUEST",1,0)</f>
        <v>1</v>
      </c>
      <c r="AF103" s="12">
        <f>VLOOKUP(Tableau4[[#This Row],[essence]],Tableau6[],12,FALSE)</f>
        <v>0</v>
      </c>
      <c r="AG103" s="12">
        <f>IF(Tableau4[[#This Row],[sdom]]="4EST",1,0)</f>
        <v>0</v>
      </c>
      <c r="AH103" s="12">
        <f>VLOOKUP(Tableau4[[#This Row],[essence]],Tableau6[],13,FALSE)</f>
        <v>0</v>
      </c>
      <c r="AI103" s="12">
        <f>IF(Tableau4[[#This Row],[sdom]]="4OUEST",1,0)</f>
        <v>0</v>
      </c>
      <c r="AJ103" s="12">
        <f>VLOOKUP(Tableau4[[#This Row],[essence]],Tableau6[],14,FALSE)</f>
        <v>0</v>
      </c>
      <c r="AK103" s="12">
        <f>IF(Tableau4[[#This Row],[sdom]]="5EST",1,0)</f>
        <v>0</v>
      </c>
      <c r="AL103" s="12">
        <f>VLOOKUP(Tableau4[[#This Row],[essence]],Tableau6[],17,FALSE)</f>
        <v>0</v>
      </c>
      <c r="AM103" s="12">
        <f>IF(Tableau4[[#This Row],[priorecol]]="C",1,0)</f>
        <v>0</v>
      </c>
      <c r="AN103" s="12">
        <f>VLOOKUP(Tableau4[[#This Row],[essence]],Tableau6[],18,FALSE)</f>
        <v>0</v>
      </c>
      <c r="AO103" s="12">
        <f>IF(Tableau4[[#This Row],[priorecol]]="R",1,0)</f>
        <v>0</v>
      </c>
      <c r="AP103" s="12">
        <f>VLOOKUP(Tableau4[[#This Row],[essence]],Tableau6[],19,FALSE)</f>
        <v>0</v>
      </c>
      <c r="AQ103" s="12">
        <f>IF(Tableau4[[#This Row],[priorecol]]="S",1,0)</f>
        <v>1</v>
      </c>
      <c r="AR103" s="12">
        <f>VLOOKUP(Tableau4[[#This Row],[essence]],Tableau6[],21,FALSE)</f>
        <v>5.4600000000000003E-2</v>
      </c>
      <c r="AS103" s="12">
        <f>IF(Tableau4[[#This Row],[priorecol]]="C",1,0)</f>
        <v>0</v>
      </c>
      <c r="AT103" s="12">
        <f>VLOOKUP(Tableau4[[#This Row],[essence]],Tableau6[],22,FALSE)</f>
        <v>6.7900000000000002E-2</v>
      </c>
      <c r="AU103" s="12">
        <f>IF(Tableau4[[#This Row],[priorecol]]="R",1,0)</f>
        <v>0</v>
      </c>
      <c r="AV103" s="12">
        <f>VLOOKUP(Tableau4[[#This Row],[essence]],Tableau6[],23,FALSE)</f>
        <v>1.8700000000000001E-2</v>
      </c>
      <c r="AW103" s="12">
        <f>IF(Tableau4[[#This Row],[priorecol]]="S",1,0)</f>
        <v>1</v>
      </c>
      <c r="AX103" s="12">
        <f>VLOOKUP(Tableau4[[#This Row],[essence]],Tableau6[],24,FALSE)</f>
        <v>0</v>
      </c>
      <c r="AY103" s="12">
        <f>VLOOKUP(Tableau4[[#This Row],[essence]],Tableau6[],25,FALSE)</f>
        <v>0</v>
      </c>
      <c r="AZ103" s="12">
        <f>VLOOKUP(Tableau4[[#This Row],[essence]],Tableau6[],26,FALSE)</f>
        <v>0</v>
      </c>
      <c r="BA103" s="12">
        <f>VLOOKUP(Tableau4[[#This Row],[essence]],Tableau6[],27,FALSE)</f>
        <v>0</v>
      </c>
      <c r="BB103" s="12">
        <f>VLOOKUP(Tableau4[[#This Row],[essence]],Tableau6[],16,FALSE)</f>
        <v>-1.33E-3</v>
      </c>
      <c r="BC10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-2.3686000000000007</v>
      </c>
      <c r="BD103" s="12">
        <f>Tableau4[[#This Row],[xb_]]+Tableau4[[#This Row],[b_intercept_C]]+Tableau4[[#This Row],[b_dhpcm_x_intercept_C]]*Tableau4[[#This Row],[dhpcm]]</f>
        <v>0.96969999999999912</v>
      </c>
      <c r="BE103" s="12">
        <f>Tableau4[[#This Row],[xb_]]+Tableau4[[#This Row],[b_intercept_B]]+Tableau4[[#This Row],[b_dhpcm_x_intercept_B]]*Tableau4[[#This Row],[dhpcm]]</f>
        <v>-0.32080000000000064</v>
      </c>
      <c r="BF103" s="12">
        <f>Tableau4[[#This Row],[xb_]]+Tableau4[[#This Row],[b_intercept_A]]+Tableau4[[#This Row],[b_dhpcm_x_intercept_A]]*Tableau4[[#This Row],[dhpcm]]</f>
        <v>-1.2998000000000007</v>
      </c>
      <c r="BG103" s="12">
        <f>1/(1+EXP(-Tableau4[[#This Row],[xb_c]]))</f>
        <v>0.72505969738808607</v>
      </c>
      <c r="BH103" s="12">
        <f>1/(1+EXP(-Tableau4[[#This Row],[xb_b]]))</f>
        <v>0.42048079410287931</v>
      </c>
      <c r="BI103" s="12">
        <f>1/(1+EXP(-Tableau4[[#This Row],[xb_a]]))</f>
        <v>0.21419867855415525</v>
      </c>
      <c r="BJ103" s="12">
        <f>Tableau4[[#This Row],[prob_a]]</f>
        <v>0.21419867855415525</v>
      </c>
      <c r="BK103" s="12">
        <f>Tableau4[[#This Row],[prob_b]]-Tableau4[[#This Row],[prob_a]]</f>
        <v>0.20628211554872405</v>
      </c>
      <c r="BL103" s="12">
        <f>Tableau4[[#This Row],[prob_c]]-Tableau4[[#This Row],[prob_b]]</f>
        <v>0.30457890328520676</v>
      </c>
      <c r="BM103" s="12">
        <f>1-Tableau4[[#This Row],[prob_c]]</f>
        <v>0.27494030261191393</v>
      </c>
    </row>
    <row r="104" spans="1:65" x14ac:dyDescent="0.25">
      <c r="A104" s="12">
        <v>5</v>
      </c>
      <c r="B104" s="12" t="s">
        <v>13</v>
      </c>
      <c r="C104" s="12">
        <v>2.1</v>
      </c>
      <c r="D104" s="12">
        <v>700</v>
      </c>
      <c r="E104" s="12">
        <v>20</v>
      </c>
      <c r="F104" s="12">
        <v>1</v>
      </c>
      <c r="G104" s="12">
        <v>55</v>
      </c>
      <c r="H104" s="12">
        <v>142</v>
      </c>
      <c r="I104" s="12" t="s">
        <v>21</v>
      </c>
      <c r="J104" s="12" t="s">
        <v>27</v>
      </c>
      <c r="K104" s="12">
        <f>VLOOKUP(Tableau4[[#This Row],[essence]],Tableau6[],2,FALSE)</f>
        <v>-2.4091999999999998</v>
      </c>
      <c r="L104" s="12">
        <f>VLOOKUP(Tableau4[[#This Row],[essence]],Tableau6[],3,FALSE)</f>
        <v>-1.3315999999999999</v>
      </c>
      <c r="M104" s="12">
        <f>VLOOKUP(Tableau4[[#This Row],[essence]],Tableau6[],4,FALSE)</f>
        <v>0.2475</v>
      </c>
      <c r="N104" s="12">
        <f>VLOOKUP(Tableau4[[#This Row],[essence]],Tableau6[],5,FALSE)</f>
        <v>1.9658</v>
      </c>
      <c r="O104" s="12">
        <f>IF(Tableau4[[#This Row],[priorecol]]="C",1,0)</f>
        <v>1</v>
      </c>
      <c r="P104" s="12">
        <f>VLOOKUP(Tableau4[[#This Row],[essence]],Tableau6[],6,FALSE)</f>
        <v>2.8807</v>
      </c>
      <c r="Q104" s="12">
        <f>IF(Tableau4[[#This Row],[priorecol]]="R",1,0)</f>
        <v>0</v>
      </c>
      <c r="R104" s="12">
        <f>VLOOKUP(Tableau4[[#This Row],[essence]],Tableau6[],7,FALSE)</f>
        <v>1.1791</v>
      </c>
      <c r="S104" s="12">
        <f>IF(Tableau4[[#This Row],[priorecol]]="S",1,0)</f>
        <v>0</v>
      </c>
      <c r="T104" s="12">
        <f>VLOOKUP(Tableau4[[#This Row],[essence]],Tableau6[],20,FALSE)</f>
        <v>0</v>
      </c>
      <c r="U104" s="12">
        <f>VLOOKUP(Tableau4[[#This Row],[essence]],Tableau6[],15,FALSE)</f>
        <v>2.4500000000000001E-2</v>
      </c>
      <c r="V104" s="12">
        <f>VLOOKUP(Tableau4[[#This Row],[essence]],Tableau6[],28,FALSE)</f>
        <v>0</v>
      </c>
      <c r="W104" s="12">
        <f>IF(Tableau4[[#This Row],[sdom]]=1,1,0)</f>
        <v>0</v>
      </c>
      <c r="X104" s="12">
        <f>VLOOKUP(Tableau4[[#This Row],[essence]],Tableau6[],8,FALSE)</f>
        <v>0</v>
      </c>
      <c r="Y104" s="12">
        <f>IF(Tableau4[[#This Row],[sdom]]="2EST",1,0)</f>
        <v>0</v>
      </c>
      <c r="Z104" s="12">
        <f>VLOOKUP(Tableau4[[#This Row],[essence]],Tableau6[],9,FALSE)</f>
        <v>0</v>
      </c>
      <c r="AA104" s="12">
        <f>IF(Tableau4[[#This Row],[sdom]]="2OUEST",1,0)</f>
        <v>0</v>
      </c>
      <c r="AB104" s="12">
        <f>VLOOKUP(Tableau4[[#This Row],[essence]],Tableau6[],10,FALSE)</f>
        <v>0</v>
      </c>
      <c r="AC104" s="12">
        <f>IF(Tableau4[[#This Row],[sdom]]="3EST",1,0)</f>
        <v>0</v>
      </c>
      <c r="AD104" s="12">
        <f>VLOOKUP(Tableau4[[#This Row],[essence]],Tableau6[],11,FALSE)</f>
        <v>0</v>
      </c>
      <c r="AE104" s="12">
        <f>IF(Tableau4[[#This Row],[sdom]]="3OUEST",1,0)</f>
        <v>1</v>
      </c>
      <c r="AF104" s="12">
        <f>VLOOKUP(Tableau4[[#This Row],[essence]],Tableau6[],12,FALSE)</f>
        <v>0</v>
      </c>
      <c r="AG104" s="12">
        <f>IF(Tableau4[[#This Row],[sdom]]="4EST",1,0)</f>
        <v>0</v>
      </c>
      <c r="AH104" s="12">
        <f>VLOOKUP(Tableau4[[#This Row],[essence]],Tableau6[],13,FALSE)</f>
        <v>0</v>
      </c>
      <c r="AI104" s="12">
        <f>IF(Tableau4[[#This Row],[sdom]]="4OUEST",1,0)</f>
        <v>0</v>
      </c>
      <c r="AJ104" s="12">
        <f>VLOOKUP(Tableau4[[#This Row],[essence]],Tableau6[],14,FALSE)</f>
        <v>0</v>
      </c>
      <c r="AK104" s="12">
        <f>IF(Tableau4[[#This Row],[sdom]]="5EST",1,0)</f>
        <v>0</v>
      </c>
      <c r="AL104" s="12">
        <f>VLOOKUP(Tableau4[[#This Row],[essence]],Tableau6[],17,FALSE)</f>
        <v>0</v>
      </c>
      <c r="AM104" s="12">
        <f>IF(Tableau4[[#This Row],[priorecol]]="C",1,0)</f>
        <v>1</v>
      </c>
      <c r="AN104" s="12">
        <f>VLOOKUP(Tableau4[[#This Row],[essence]],Tableau6[],18,FALSE)</f>
        <v>0</v>
      </c>
      <c r="AO104" s="12">
        <f>IF(Tableau4[[#This Row],[priorecol]]="R",1,0)</f>
        <v>0</v>
      </c>
      <c r="AP104" s="12">
        <f>VLOOKUP(Tableau4[[#This Row],[essence]],Tableau6[],19,FALSE)</f>
        <v>0</v>
      </c>
      <c r="AQ104" s="12">
        <f>IF(Tableau4[[#This Row],[priorecol]]="S",1,0)</f>
        <v>0</v>
      </c>
      <c r="AR104" s="12">
        <f>VLOOKUP(Tableau4[[#This Row],[essence]],Tableau6[],21,FALSE)</f>
        <v>0</v>
      </c>
      <c r="AS104" s="12">
        <f>IF(Tableau4[[#This Row],[priorecol]]="C",1,0)</f>
        <v>1</v>
      </c>
      <c r="AT104" s="12">
        <f>VLOOKUP(Tableau4[[#This Row],[essence]],Tableau6[],22,FALSE)</f>
        <v>0</v>
      </c>
      <c r="AU104" s="12">
        <f>IF(Tableau4[[#This Row],[priorecol]]="R",1,0)</f>
        <v>0</v>
      </c>
      <c r="AV104" s="12">
        <f>VLOOKUP(Tableau4[[#This Row],[essence]],Tableau6[],23,FALSE)</f>
        <v>0</v>
      </c>
      <c r="AW104" s="12">
        <f>IF(Tableau4[[#This Row],[priorecol]]="S",1,0)</f>
        <v>0</v>
      </c>
      <c r="AX104" s="12">
        <f>VLOOKUP(Tableau4[[#This Row],[essence]],Tableau6[],24,FALSE)</f>
        <v>0</v>
      </c>
      <c r="AY104" s="12">
        <f>VLOOKUP(Tableau4[[#This Row],[essence]],Tableau6[],25,FALSE)</f>
        <v>0</v>
      </c>
      <c r="AZ104" s="12">
        <f>VLOOKUP(Tableau4[[#This Row],[essence]],Tableau6[],26,FALSE)</f>
        <v>0</v>
      </c>
      <c r="BA104" s="12">
        <f>VLOOKUP(Tableau4[[#This Row],[essence]],Tableau6[],27,FALSE)</f>
        <v>0</v>
      </c>
      <c r="BB104" s="12">
        <f>VLOOKUP(Tableau4[[#This Row],[essence]],Tableau6[],16,FALSE)</f>
        <v>0</v>
      </c>
      <c r="BC10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104" s="12">
        <f>Tableau4[[#This Row],[xb_]]+Tableau4[[#This Row],[b_intercept_C]]+Tableau4[[#This Row],[b_dhpcm_x_intercept_C]]*Tableau4[[#This Row],[dhpcm]]</f>
        <v>2.7033</v>
      </c>
      <c r="BE104" s="12">
        <f>Tableau4[[#This Row],[xb_]]+Tableau4[[#This Row],[b_intercept_B]]+Tableau4[[#This Row],[b_dhpcm_x_intercept_B]]*Tableau4[[#This Row],[dhpcm]]</f>
        <v>1.1242000000000001</v>
      </c>
      <c r="BF104" s="12">
        <f>Tableau4[[#This Row],[xb_]]+Tableau4[[#This Row],[b_intercept_A]]+Tableau4[[#This Row],[b_dhpcm_x_intercept_A]]*Tableau4[[#This Row],[dhpcm]]</f>
        <v>4.6600000000000197E-2</v>
      </c>
      <c r="BG104" s="12">
        <f>1/(1+EXP(-Tableau4[[#This Row],[xb_c]]))</f>
        <v>0.93722108879172883</v>
      </c>
      <c r="BH104" s="12">
        <f>1/(1+EXP(-Tableau4[[#This Row],[xb_b]]))</f>
        <v>0.75476694200486438</v>
      </c>
      <c r="BI104" s="12">
        <f>1/(1+EXP(-Tableau4[[#This Row],[xb_a]]))</f>
        <v>0.51164789223487939</v>
      </c>
      <c r="BJ104" s="12">
        <f>Tableau4[[#This Row],[prob_a]]</f>
        <v>0.51164789223487939</v>
      </c>
      <c r="BK104" s="12">
        <f>Tableau4[[#This Row],[prob_b]]-Tableau4[[#This Row],[prob_a]]</f>
        <v>0.243119049769985</v>
      </c>
      <c r="BL104" s="12">
        <f>Tableau4[[#This Row],[prob_c]]-Tableau4[[#This Row],[prob_b]]</f>
        <v>0.18245414678686445</v>
      </c>
      <c r="BM104" s="12">
        <f>1-Tableau4[[#This Row],[prob_c]]</f>
        <v>6.2778911208271171E-2</v>
      </c>
    </row>
    <row r="105" spans="1:65" x14ac:dyDescent="0.25">
      <c r="A105" s="12">
        <v>5</v>
      </c>
      <c r="B105" s="12" t="s">
        <v>13</v>
      </c>
      <c r="C105" s="12">
        <v>2.1</v>
      </c>
      <c r="D105" s="12">
        <v>700</v>
      </c>
      <c r="E105" s="12">
        <v>20</v>
      </c>
      <c r="F105" s="12">
        <v>1</v>
      </c>
      <c r="G105" s="12">
        <v>56</v>
      </c>
      <c r="H105" s="12">
        <v>143</v>
      </c>
      <c r="I105" s="12" t="s">
        <v>21</v>
      </c>
      <c r="J105" s="12" t="s">
        <v>28</v>
      </c>
      <c r="K105" s="12">
        <f>VLOOKUP(Tableau4[[#This Row],[essence]],Tableau6[],2,FALSE)</f>
        <v>-2.4091999999999998</v>
      </c>
      <c r="L105" s="12">
        <f>VLOOKUP(Tableau4[[#This Row],[essence]],Tableau6[],3,FALSE)</f>
        <v>-1.3315999999999999</v>
      </c>
      <c r="M105" s="12">
        <f>VLOOKUP(Tableau4[[#This Row],[essence]],Tableau6[],4,FALSE)</f>
        <v>0.2475</v>
      </c>
      <c r="N105" s="12">
        <f>VLOOKUP(Tableau4[[#This Row],[essence]],Tableau6[],5,FALSE)</f>
        <v>1.9658</v>
      </c>
      <c r="O105" s="12">
        <f>IF(Tableau4[[#This Row],[priorecol]]="C",1,0)</f>
        <v>0</v>
      </c>
      <c r="P105" s="12">
        <f>VLOOKUP(Tableau4[[#This Row],[essence]],Tableau6[],6,FALSE)</f>
        <v>2.8807</v>
      </c>
      <c r="Q105" s="12">
        <f>IF(Tableau4[[#This Row],[priorecol]]="R",1,0)</f>
        <v>1</v>
      </c>
      <c r="R105" s="12">
        <f>VLOOKUP(Tableau4[[#This Row],[essence]],Tableau6[],7,FALSE)</f>
        <v>1.1791</v>
      </c>
      <c r="S105" s="12">
        <f>IF(Tableau4[[#This Row],[priorecol]]="S",1,0)</f>
        <v>0</v>
      </c>
      <c r="T105" s="12">
        <f>VLOOKUP(Tableau4[[#This Row],[essence]],Tableau6[],20,FALSE)</f>
        <v>0</v>
      </c>
      <c r="U105" s="12">
        <f>VLOOKUP(Tableau4[[#This Row],[essence]],Tableau6[],15,FALSE)</f>
        <v>2.4500000000000001E-2</v>
      </c>
      <c r="V105" s="12">
        <f>VLOOKUP(Tableau4[[#This Row],[essence]],Tableau6[],28,FALSE)</f>
        <v>0</v>
      </c>
      <c r="W105" s="12">
        <f>IF(Tableau4[[#This Row],[sdom]]=1,1,0)</f>
        <v>0</v>
      </c>
      <c r="X105" s="12">
        <f>VLOOKUP(Tableau4[[#This Row],[essence]],Tableau6[],8,FALSE)</f>
        <v>0</v>
      </c>
      <c r="Y105" s="12">
        <f>IF(Tableau4[[#This Row],[sdom]]="2EST",1,0)</f>
        <v>0</v>
      </c>
      <c r="Z105" s="12">
        <f>VLOOKUP(Tableau4[[#This Row],[essence]],Tableau6[],9,FALSE)</f>
        <v>0</v>
      </c>
      <c r="AA105" s="12">
        <f>IF(Tableau4[[#This Row],[sdom]]="2OUEST",1,0)</f>
        <v>0</v>
      </c>
      <c r="AB105" s="12">
        <f>VLOOKUP(Tableau4[[#This Row],[essence]],Tableau6[],10,FALSE)</f>
        <v>0</v>
      </c>
      <c r="AC105" s="12">
        <f>IF(Tableau4[[#This Row],[sdom]]="3EST",1,0)</f>
        <v>0</v>
      </c>
      <c r="AD105" s="12">
        <f>VLOOKUP(Tableau4[[#This Row],[essence]],Tableau6[],11,FALSE)</f>
        <v>0</v>
      </c>
      <c r="AE105" s="12">
        <f>IF(Tableau4[[#This Row],[sdom]]="3OUEST",1,0)</f>
        <v>1</v>
      </c>
      <c r="AF105" s="12">
        <f>VLOOKUP(Tableau4[[#This Row],[essence]],Tableau6[],12,FALSE)</f>
        <v>0</v>
      </c>
      <c r="AG105" s="12">
        <f>IF(Tableau4[[#This Row],[sdom]]="4EST",1,0)</f>
        <v>0</v>
      </c>
      <c r="AH105" s="12">
        <f>VLOOKUP(Tableau4[[#This Row],[essence]],Tableau6[],13,FALSE)</f>
        <v>0</v>
      </c>
      <c r="AI105" s="12">
        <f>IF(Tableau4[[#This Row],[sdom]]="4OUEST",1,0)</f>
        <v>0</v>
      </c>
      <c r="AJ105" s="12">
        <f>VLOOKUP(Tableau4[[#This Row],[essence]],Tableau6[],14,FALSE)</f>
        <v>0</v>
      </c>
      <c r="AK105" s="12">
        <f>IF(Tableau4[[#This Row],[sdom]]="5EST",1,0)</f>
        <v>0</v>
      </c>
      <c r="AL105" s="12">
        <f>VLOOKUP(Tableau4[[#This Row],[essence]],Tableau6[],17,FALSE)</f>
        <v>0</v>
      </c>
      <c r="AM105" s="12">
        <f>IF(Tableau4[[#This Row],[priorecol]]="C",1,0)</f>
        <v>0</v>
      </c>
      <c r="AN105" s="12">
        <f>VLOOKUP(Tableau4[[#This Row],[essence]],Tableau6[],18,FALSE)</f>
        <v>0</v>
      </c>
      <c r="AO105" s="12">
        <f>IF(Tableau4[[#This Row],[priorecol]]="R",1,0)</f>
        <v>1</v>
      </c>
      <c r="AP105" s="12">
        <f>VLOOKUP(Tableau4[[#This Row],[essence]],Tableau6[],19,FALSE)</f>
        <v>0</v>
      </c>
      <c r="AQ105" s="12">
        <f>IF(Tableau4[[#This Row],[priorecol]]="S",1,0)</f>
        <v>0</v>
      </c>
      <c r="AR105" s="12">
        <f>VLOOKUP(Tableau4[[#This Row],[essence]],Tableau6[],21,FALSE)</f>
        <v>0</v>
      </c>
      <c r="AS105" s="12">
        <f>IF(Tableau4[[#This Row],[priorecol]]="C",1,0)</f>
        <v>0</v>
      </c>
      <c r="AT105" s="12">
        <f>VLOOKUP(Tableau4[[#This Row],[essence]],Tableau6[],22,FALSE)</f>
        <v>0</v>
      </c>
      <c r="AU105" s="12">
        <f>IF(Tableau4[[#This Row],[priorecol]]="R",1,0)</f>
        <v>1</v>
      </c>
      <c r="AV105" s="12">
        <f>VLOOKUP(Tableau4[[#This Row],[essence]],Tableau6[],23,FALSE)</f>
        <v>0</v>
      </c>
      <c r="AW105" s="12">
        <f>IF(Tableau4[[#This Row],[priorecol]]="S",1,0)</f>
        <v>0</v>
      </c>
      <c r="AX105" s="12">
        <f>VLOOKUP(Tableau4[[#This Row],[essence]],Tableau6[],24,FALSE)</f>
        <v>0</v>
      </c>
      <c r="AY105" s="12">
        <f>VLOOKUP(Tableau4[[#This Row],[essence]],Tableau6[],25,FALSE)</f>
        <v>0</v>
      </c>
      <c r="AZ105" s="12">
        <f>VLOOKUP(Tableau4[[#This Row],[essence]],Tableau6[],26,FALSE)</f>
        <v>0</v>
      </c>
      <c r="BA105" s="12">
        <f>VLOOKUP(Tableau4[[#This Row],[essence]],Tableau6[],27,FALSE)</f>
        <v>0</v>
      </c>
      <c r="BB105" s="12">
        <f>VLOOKUP(Tableau4[[#This Row],[essence]],Tableau6[],16,FALSE)</f>
        <v>0</v>
      </c>
      <c r="BC10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105" s="12">
        <f>Tableau4[[#This Row],[xb_]]+Tableau4[[#This Row],[b_intercept_C]]+Tableau4[[#This Row],[b_dhpcm_x_intercept_C]]*Tableau4[[#This Row],[dhpcm]]</f>
        <v>3.6182000000000003</v>
      </c>
      <c r="BE105" s="12">
        <f>Tableau4[[#This Row],[xb_]]+Tableau4[[#This Row],[b_intercept_B]]+Tableau4[[#This Row],[b_dhpcm_x_intercept_B]]*Tableau4[[#This Row],[dhpcm]]</f>
        <v>2.0391000000000004</v>
      </c>
      <c r="BF105" s="12">
        <f>Tableau4[[#This Row],[xb_]]+Tableau4[[#This Row],[b_intercept_A]]+Tableau4[[#This Row],[b_dhpcm_x_intercept_A]]*Tableau4[[#This Row],[dhpcm]]</f>
        <v>0.96150000000000047</v>
      </c>
      <c r="BG105" s="12">
        <f>1/(1+EXP(-Tableau4[[#This Row],[xb_c]]))</f>
        <v>0.97387015917251429</v>
      </c>
      <c r="BH105" s="12">
        <f>1/(1+EXP(-Tableau4[[#This Row],[xb_b]]))</f>
        <v>0.88484159245928551</v>
      </c>
      <c r="BI105" s="12">
        <f>1/(1+EXP(-Tableau4[[#This Row],[xb_a]]))</f>
        <v>0.72342202957828172</v>
      </c>
      <c r="BJ105" s="12">
        <f>Tableau4[[#This Row],[prob_a]]</f>
        <v>0.72342202957828172</v>
      </c>
      <c r="BK105" s="12">
        <f>Tableau4[[#This Row],[prob_b]]-Tableau4[[#This Row],[prob_a]]</f>
        <v>0.16141956288100379</v>
      </c>
      <c r="BL105" s="12">
        <f>Tableau4[[#This Row],[prob_c]]-Tableau4[[#This Row],[prob_b]]</f>
        <v>8.9028566713228785E-2</v>
      </c>
      <c r="BM105" s="12">
        <f>1-Tableau4[[#This Row],[prob_c]]</f>
        <v>2.6129840827485706E-2</v>
      </c>
    </row>
    <row r="106" spans="1:65" x14ac:dyDescent="0.25">
      <c r="A106" s="12">
        <v>5</v>
      </c>
      <c r="B106" s="12" t="s">
        <v>13</v>
      </c>
      <c r="C106" s="12">
        <v>2.1</v>
      </c>
      <c r="D106" s="12">
        <v>700</v>
      </c>
      <c r="E106" s="12">
        <v>20</v>
      </c>
      <c r="F106" s="12">
        <v>1</v>
      </c>
      <c r="G106" s="12">
        <v>57</v>
      </c>
      <c r="H106" s="12">
        <v>144</v>
      </c>
      <c r="I106" s="12" t="s">
        <v>21</v>
      </c>
      <c r="J106" s="12" t="s">
        <v>29</v>
      </c>
      <c r="K106" s="12">
        <f>VLOOKUP(Tableau4[[#This Row],[essence]],Tableau6[],2,FALSE)</f>
        <v>-2.4091999999999998</v>
      </c>
      <c r="L106" s="12">
        <f>VLOOKUP(Tableau4[[#This Row],[essence]],Tableau6[],3,FALSE)</f>
        <v>-1.3315999999999999</v>
      </c>
      <c r="M106" s="12">
        <f>VLOOKUP(Tableau4[[#This Row],[essence]],Tableau6[],4,FALSE)</f>
        <v>0.2475</v>
      </c>
      <c r="N106" s="12">
        <f>VLOOKUP(Tableau4[[#This Row],[essence]],Tableau6[],5,FALSE)</f>
        <v>1.9658</v>
      </c>
      <c r="O106" s="12">
        <f>IF(Tableau4[[#This Row],[priorecol]]="C",1,0)</f>
        <v>0</v>
      </c>
      <c r="P106" s="12">
        <f>VLOOKUP(Tableau4[[#This Row],[essence]],Tableau6[],6,FALSE)</f>
        <v>2.8807</v>
      </c>
      <c r="Q106" s="12">
        <f>IF(Tableau4[[#This Row],[priorecol]]="R",1,0)</f>
        <v>0</v>
      </c>
      <c r="R106" s="12">
        <f>VLOOKUP(Tableau4[[#This Row],[essence]],Tableau6[],7,FALSE)</f>
        <v>1.1791</v>
      </c>
      <c r="S106" s="12">
        <f>IF(Tableau4[[#This Row],[priorecol]]="S",1,0)</f>
        <v>1</v>
      </c>
      <c r="T106" s="12">
        <f>VLOOKUP(Tableau4[[#This Row],[essence]],Tableau6[],20,FALSE)</f>
        <v>0</v>
      </c>
      <c r="U106" s="12">
        <f>VLOOKUP(Tableau4[[#This Row],[essence]],Tableau6[],15,FALSE)</f>
        <v>2.4500000000000001E-2</v>
      </c>
      <c r="V106" s="12">
        <f>VLOOKUP(Tableau4[[#This Row],[essence]],Tableau6[],28,FALSE)</f>
        <v>0</v>
      </c>
      <c r="W106" s="12">
        <f>IF(Tableau4[[#This Row],[sdom]]=1,1,0)</f>
        <v>0</v>
      </c>
      <c r="X106" s="12">
        <f>VLOOKUP(Tableau4[[#This Row],[essence]],Tableau6[],8,FALSE)</f>
        <v>0</v>
      </c>
      <c r="Y106" s="12">
        <f>IF(Tableau4[[#This Row],[sdom]]="2EST",1,0)</f>
        <v>0</v>
      </c>
      <c r="Z106" s="12">
        <f>VLOOKUP(Tableau4[[#This Row],[essence]],Tableau6[],9,FALSE)</f>
        <v>0</v>
      </c>
      <c r="AA106" s="12">
        <f>IF(Tableau4[[#This Row],[sdom]]="2OUEST",1,0)</f>
        <v>0</v>
      </c>
      <c r="AB106" s="12">
        <f>VLOOKUP(Tableau4[[#This Row],[essence]],Tableau6[],10,FALSE)</f>
        <v>0</v>
      </c>
      <c r="AC106" s="12">
        <f>IF(Tableau4[[#This Row],[sdom]]="3EST",1,0)</f>
        <v>0</v>
      </c>
      <c r="AD106" s="12">
        <f>VLOOKUP(Tableau4[[#This Row],[essence]],Tableau6[],11,FALSE)</f>
        <v>0</v>
      </c>
      <c r="AE106" s="12">
        <f>IF(Tableau4[[#This Row],[sdom]]="3OUEST",1,0)</f>
        <v>1</v>
      </c>
      <c r="AF106" s="12">
        <f>VLOOKUP(Tableau4[[#This Row],[essence]],Tableau6[],12,FALSE)</f>
        <v>0</v>
      </c>
      <c r="AG106" s="12">
        <f>IF(Tableau4[[#This Row],[sdom]]="4EST",1,0)</f>
        <v>0</v>
      </c>
      <c r="AH106" s="12">
        <f>VLOOKUP(Tableau4[[#This Row],[essence]],Tableau6[],13,FALSE)</f>
        <v>0</v>
      </c>
      <c r="AI106" s="12">
        <f>IF(Tableau4[[#This Row],[sdom]]="4OUEST",1,0)</f>
        <v>0</v>
      </c>
      <c r="AJ106" s="12">
        <f>VLOOKUP(Tableau4[[#This Row],[essence]],Tableau6[],14,FALSE)</f>
        <v>0</v>
      </c>
      <c r="AK106" s="12">
        <f>IF(Tableau4[[#This Row],[sdom]]="5EST",1,0)</f>
        <v>0</v>
      </c>
      <c r="AL106" s="12">
        <f>VLOOKUP(Tableau4[[#This Row],[essence]],Tableau6[],17,FALSE)</f>
        <v>0</v>
      </c>
      <c r="AM106" s="12">
        <f>IF(Tableau4[[#This Row],[priorecol]]="C",1,0)</f>
        <v>0</v>
      </c>
      <c r="AN106" s="12">
        <f>VLOOKUP(Tableau4[[#This Row],[essence]],Tableau6[],18,FALSE)</f>
        <v>0</v>
      </c>
      <c r="AO106" s="12">
        <f>IF(Tableau4[[#This Row],[priorecol]]="R",1,0)</f>
        <v>0</v>
      </c>
      <c r="AP106" s="12">
        <f>VLOOKUP(Tableau4[[#This Row],[essence]],Tableau6[],19,FALSE)</f>
        <v>0</v>
      </c>
      <c r="AQ106" s="12">
        <f>IF(Tableau4[[#This Row],[priorecol]]="S",1,0)</f>
        <v>1</v>
      </c>
      <c r="AR106" s="12">
        <f>VLOOKUP(Tableau4[[#This Row],[essence]],Tableau6[],21,FALSE)</f>
        <v>0</v>
      </c>
      <c r="AS106" s="12">
        <f>IF(Tableau4[[#This Row],[priorecol]]="C",1,0)</f>
        <v>0</v>
      </c>
      <c r="AT106" s="12">
        <f>VLOOKUP(Tableau4[[#This Row],[essence]],Tableau6[],22,FALSE)</f>
        <v>0</v>
      </c>
      <c r="AU106" s="12">
        <f>IF(Tableau4[[#This Row],[priorecol]]="R",1,0)</f>
        <v>0</v>
      </c>
      <c r="AV106" s="12">
        <f>VLOOKUP(Tableau4[[#This Row],[essence]],Tableau6[],23,FALSE)</f>
        <v>0</v>
      </c>
      <c r="AW106" s="12">
        <f>IF(Tableau4[[#This Row],[priorecol]]="S",1,0)</f>
        <v>1</v>
      </c>
      <c r="AX106" s="12">
        <f>VLOOKUP(Tableau4[[#This Row],[essence]],Tableau6[],24,FALSE)</f>
        <v>0</v>
      </c>
      <c r="AY106" s="12">
        <f>VLOOKUP(Tableau4[[#This Row],[essence]],Tableau6[],25,FALSE)</f>
        <v>0</v>
      </c>
      <c r="AZ106" s="12">
        <f>VLOOKUP(Tableau4[[#This Row],[essence]],Tableau6[],26,FALSE)</f>
        <v>0</v>
      </c>
      <c r="BA106" s="12">
        <f>VLOOKUP(Tableau4[[#This Row],[essence]],Tableau6[],27,FALSE)</f>
        <v>0</v>
      </c>
      <c r="BB106" s="12">
        <f>VLOOKUP(Tableau4[[#This Row],[essence]],Tableau6[],16,FALSE)</f>
        <v>0</v>
      </c>
      <c r="BC10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06" s="12">
        <f>Tableau4[[#This Row],[xb_]]+Tableau4[[#This Row],[b_intercept_C]]+Tableau4[[#This Row],[b_dhpcm_x_intercept_C]]*Tableau4[[#This Row],[dhpcm]]</f>
        <v>1.9166000000000001</v>
      </c>
      <c r="BE106" s="12">
        <f>Tableau4[[#This Row],[xb_]]+Tableau4[[#This Row],[b_intercept_B]]+Tableau4[[#This Row],[b_dhpcm_x_intercept_B]]*Tableau4[[#This Row],[dhpcm]]</f>
        <v>0.33750000000000013</v>
      </c>
      <c r="BF106" s="12">
        <f>Tableau4[[#This Row],[xb_]]+Tableau4[[#This Row],[b_intercept_A]]+Tableau4[[#This Row],[b_dhpcm_x_intercept_A]]*Tableau4[[#This Row],[dhpcm]]</f>
        <v>-0.74009999999999976</v>
      </c>
      <c r="BG106" s="12">
        <f>1/(1+EXP(-Tableau4[[#This Row],[xb_c]]))</f>
        <v>0.87175880956636009</v>
      </c>
      <c r="BH106" s="12">
        <f>1/(1+EXP(-Tableau4[[#This Row],[xb_b]]))</f>
        <v>0.58358311551727526</v>
      </c>
      <c r="BI106" s="12">
        <f>1/(1+EXP(-Tableau4[[#This Row],[xb_a]]))</f>
        <v>0.32298227690184222</v>
      </c>
      <c r="BJ106" s="12">
        <f>Tableau4[[#This Row],[prob_a]]</f>
        <v>0.32298227690184222</v>
      </c>
      <c r="BK106" s="12">
        <f>Tableau4[[#This Row],[prob_b]]-Tableau4[[#This Row],[prob_a]]</f>
        <v>0.26060083861543304</v>
      </c>
      <c r="BL106" s="12">
        <f>Tableau4[[#This Row],[prob_c]]-Tableau4[[#This Row],[prob_b]]</f>
        <v>0.28817569404908483</v>
      </c>
      <c r="BM106" s="12">
        <f>1-Tableau4[[#This Row],[prob_c]]</f>
        <v>0.12824119043363991</v>
      </c>
    </row>
    <row r="107" spans="1:65" x14ac:dyDescent="0.25">
      <c r="A107" s="12">
        <v>5</v>
      </c>
      <c r="B107" s="12" t="s">
        <v>13</v>
      </c>
      <c r="C107" s="12">
        <v>2.1</v>
      </c>
      <c r="D107" s="12">
        <v>700</v>
      </c>
      <c r="E107" s="12">
        <v>20</v>
      </c>
      <c r="F107" s="12">
        <v>1</v>
      </c>
      <c r="G107" s="12">
        <v>58</v>
      </c>
      <c r="H107" s="12">
        <v>145</v>
      </c>
      <c r="I107" s="12" t="s">
        <v>22</v>
      </c>
      <c r="J107" s="12" t="s">
        <v>27</v>
      </c>
      <c r="K107" s="12">
        <f>VLOOKUP(Tableau4[[#This Row],[essence]],Tableau6[],2,FALSE)</f>
        <v>-3.5731999999999999</v>
      </c>
      <c r="L107" s="12">
        <f>VLOOKUP(Tableau4[[#This Row],[essence]],Tableau6[],3,FALSE)</f>
        <v>-1.9289000000000001</v>
      </c>
      <c r="M107" s="12">
        <f>VLOOKUP(Tableau4[[#This Row],[essence]],Tableau6[],4,FALSE)</f>
        <v>0.40949999999999998</v>
      </c>
      <c r="N107" s="12">
        <f>VLOOKUP(Tableau4[[#This Row],[essence]],Tableau6[],5,FALSE)</f>
        <v>2.0705</v>
      </c>
      <c r="O107" s="12">
        <f>IF(Tableau4[[#This Row],[priorecol]]="C",1,0)</f>
        <v>1</v>
      </c>
      <c r="P107" s="12">
        <f>VLOOKUP(Tableau4[[#This Row],[essence]],Tableau6[],6,FALSE)</f>
        <v>2.9992999999999999</v>
      </c>
      <c r="Q107" s="12">
        <f>IF(Tableau4[[#This Row],[priorecol]]="R",1,0)</f>
        <v>0</v>
      </c>
      <c r="R107" s="12">
        <f>VLOOKUP(Tableau4[[#This Row],[essence]],Tableau6[],7,FALSE)</f>
        <v>1.3050999999999999</v>
      </c>
      <c r="S107" s="12">
        <f>IF(Tableau4[[#This Row],[priorecol]]="S",1,0)</f>
        <v>0</v>
      </c>
      <c r="T107" s="12">
        <f>VLOOKUP(Tableau4[[#This Row],[essence]],Tableau6[],20,FALSE)</f>
        <v>0</v>
      </c>
      <c r="U107" s="12">
        <f>VLOOKUP(Tableau4[[#This Row],[essence]],Tableau6[],15,FALSE)</f>
        <v>0</v>
      </c>
      <c r="V107" s="12">
        <f>VLOOKUP(Tableau4[[#This Row],[essence]],Tableau6[],28,FALSE)</f>
        <v>0</v>
      </c>
      <c r="W107" s="12">
        <f>IF(Tableau4[[#This Row],[sdom]]=1,1,0)</f>
        <v>0</v>
      </c>
      <c r="X107" s="12">
        <f>VLOOKUP(Tableau4[[#This Row],[essence]],Tableau6[],8,FALSE)</f>
        <v>0</v>
      </c>
      <c r="Y107" s="12">
        <f>IF(Tableau4[[#This Row],[sdom]]="2EST",1,0)</f>
        <v>0</v>
      </c>
      <c r="Z107" s="12">
        <f>VLOOKUP(Tableau4[[#This Row],[essence]],Tableau6[],9,FALSE)</f>
        <v>0</v>
      </c>
      <c r="AA107" s="12">
        <f>IF(Tableau4[[#This Row],[sdom]]="2OUEST",1,0)</f>
        <v>0</v>
      </c>
      <c r="AB107" s="12">
        <f>VLOOKUP(Tableau4[[#This Row],[essence]],Tableau6[],10,FALSE)</f>
        <v>0</v>
      </c>
      <c r="AC107" s="12">
        <f>IF(Tableau4[[#This Row],[sdom]]="3EST",1,0)</f>
        <v>0</v>
      </c>
      <c r="AD107" s="12">
        <f>VLOOKUP(Tableau4[[#This Row],[essence]],Tableau6[],11,FALSE)</f>
        <v>0</v>
      </c>
      <c r="AE107" s="12">
        <f>IF(Tableau4[[#This Row],[sdom]]="3OUEST",1,0)</f>
        <v>1</v>
      </c>
      <c r="AF107" s="12">
        <f>VLOOKUP(Tableau4[[#This Row],[essence]],Tableau6[],12,FALSE)</f>
        <v>0</v>
      </c>
      <c r="AG107" s="12">
        <f>IF(Tableau4[[#This Row],[sdom]]="4EST",1,0)</f>
        <v>0</v>
      </c>
      <c r="AH107" s="12">
        <f>VLOOKUP(Tableau4[[#This Row],[essence]],Tableau6[],13,FALSE)</f>
        <v>0</v>
      </c>
      <c r="AI107" s="12">
        <f>IF(Tableau4[[#This Row],[sdom]]="4OUEST",1,0)</f>
        <v>0</v>
      </c>
      <c r="AJ107" s="12">
        <f>VLOOKUP(Tableau4[[#This Row],[essence]],Tableau6[],14,FALSE)</f>
        <v>0</v>
      </c>
      <c r="AK107" s="12">
        <f>IF(Tableau4[[#This Row],[sdom]]="5EST",1,0)</f>
        <v>0</v>
      </c>
      <c r="AL107" s="12">
        <f>VLOOKUP(Tableau4[[#This Row],[essence]],Tableau6[],17,FALSE)</f>
        <v>0</v>
      </c>
      <c r="AM107" s="12">
        <f>IF(Tableau4[[#This Row],[priorecol]]="C",1,0)</f>
        <v>1</v>
      </c>
      <c r="AN107" s="12">
        <f>VLOOKUP(Tableau4[[#This Row],[essence]],Tableau6[],18,FALSE)</f>
        <v>0</v>
      </c>
      <c r="AO107" s="12">
        <f>IF(Tableau4[[#This Row],[priorecol]]="R",1,0)</f>
        <v>0</v>
      </c>
      <c r="AP107" s="12">
        <f>VLOOKUP(Tableau4[[#This Row],[essence]],Tableau6[],19,FALSE)</f>
        <v>0</v>
      </c>
      <c r="AQ107" s="12">
        <f>IF(Tableau4[[#This Row],[priorecol]]="S",1,0)</f>
        <v>0</v>
      </c>
      <c r="AR107" s="12">
        <f>VLOOKUP(Tableau4[[#This Row],[essence]],Tableau6[],21,FALSE)</f>
        <v>0</v>
      </c>
      <c r="AS107" s="12">
        <f>IF(Tableau4[[#This Row],[priorecol]]="C",1,0)</f>
        <v>1</v>
      </c>
      <c r="AT107" s="12">
        <f>VLOOKUP(Tableau4[[#This Row],[essence]],Tableau6[],22,FALSE)</f>
        <v>0</v>
      </c>
      <c r="AU107" s="12">
        <f>IF(Tableau4[[#This Row],[priorecol]]="R",1,0)</f>
        <v>0</v>
      </c>
      <c r="AV107" s="12">
        <f>VLOOKUP(Tableau4[[#This Row],[essence]],Tableau6[],23,FALSE)</f>
        <v>0</v>
      </c>
      <c r="AW107" s="12">
        <f>IF(Tableau4[[#This Row],[priorecol]]="S",1,0)</f>
        <v>0</v>
      </c>
      <c r="AX107" s="12">
        <f>VLOOKUP(Tableau4[[#This Row],[essence]],Tableau6[],24,FALSE)</f>
        <v>-2.1000000000000001E-4</v>
      </c>
      <c r="AY107" s="12">
        <f>VLOOKUP(Tableau4[[#This Row],[essence]],Tableau6[],25,FALSE)</f>
        <v>-1.34E-2</v>
      </c>
      <c r="AZ107" s="12">
        <f>VLOOKUP(Tableau4[[#This Row],[essence]],Tableau6[],26,FALSE)</f>
        <v>-2.8899999999999999E-2</v>
      </c>
      <c r="BA107" s="12">
        <f>VLOOKUP(Tableau4[[#This Row],[essence]],Tableau6[],27,FALSE)</f>
        <v>0.2873</v>
      </c>
      <c r="BB107" s="12">
        <f>VLOOKUP(Tableau4[[#This Row],[essence]],Tableau6[],16,FALSE)</f>
        <v>0</v>
      </c>
      <c r="BC10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07" s="12">
        <f>Tableau4[[#This Row],[xb_]]+Tableau4[[#This Row],[b_intercept_C]]+Tableau4[[#This Row],[b_dhpcm_x_intercept_C]]*Tableau4[[#This Row],[dhpcm]]</f>
        <v>-1.10717</v>
      </c>
      <c r="BE107" s="12">
        <f>Tableau4[[#This Row],[xb_]]+Tableau4[[#This Row],[b_intercept_B]]+Tableau4[[#This Row],[b_dhpcm_x_intercept_B]]*Tableau4[[#This Row],[dhpcm]]</f>
        <v>-1.19807</v>
      </c>
      <c r="BF107" s="12">
        <f>Tableau4[[#This Row],[xb_]]+Tableau4[[#This Row],[b_intercept_A]]+Tableau4[[#This Row],[b_dhpcm_x_intercept_A]]*Tableau4[[#This Row],[dhpcm]]</f>
        <v>-0.92981999999999976</v>
      </c>
      <c r="BG107" s="12">
        <f>1/(1+EXP(-Tableau4[[#This Row],[xb_c]]))</f>
        <v>0.2483988644108226</v>
      </c>
      <c r="BH107" s="12">
        <f>1/(1+EXP(-Tableau4[[#This Row],[xb_b]]))</f>
        <v>0.23181873069200343</v>
      </c>
      <c r="BI107" s="12">
        <f>1/(1+EXP(-Tableau4[[#This Row],[xb_a]]))</f>
        <v>0.28296123403155349</v>
      </c>
      <c r="BJ107" s="12">
        <f>Tableau4[[#This Row],[prob_a]]</f>
        <v>0.28296123403155349</v>
      </c>
      <c r="BK107" s="12">
        <f>Tableau4[[#This Row],[prob_b]]-Tableau4[[#This Row],[prob_a]]</f>
        <v>-5.1142503339550061E-2</v>
      </c>
      <c r="BL107" s="12">
        <f>Tableau4[[#This Row],[prob_c]]-Tableau4[[#This Row],[prob_b]]</f>
        <v>1.6580133718819168E-2</v>
      </c>
      <c r="BM107" s="12">
        <f>1-Tableau4[[#This Row],[prob_c]]</f>
        <v>0.7516011355891774</v>
      </c>
    </row>
    <row r="108" spans="1:65" x14ac:dyDescent="0.25">
      <c r="A108" s="12">
        <v>5</v>
      </c>
      <c r="B108" s="12" t="s">
        <v>13</v>
      </c>
      <c r="C108" s="12">
        <v>2.1</v>
      </c>
      <c r="D108" s="12">
        <v>700</v>
      </c>
      <c r="E108" s="12">
        <v>20</v>
      </c>
      <c r="F108" s="12">
        <v>1</v>
      </c>
      <c r="G108" s="12">
        <v>59</v>
      </c>
      <c r="H108" s="12">
        <v>146</v>
      </c>
      <c r="I108" s="12" t="s">
        <v>22</v>
      </c>
      <c r="J108" s="12" t="s">
        <v>28</v>
      </c>
      <c r="K108" s="12">
        <f>VLOOKUP(Tableau4[[#This Row],[essence]],Tableau6[],2,FALSE)</f>
        <v>-3.5731999999999999</v>
      </c>
      <c r="L108" s="12">
        <f>VLOOKUP(Tableau4[[#This Row],[essence]],Tableau6[],3,FALSE)</f>
        <v>-1.9289000000000001</v>
      </c>
      <c r="M108" s="12">
        <f>VLOOKUP(Tableau4[[#This Row],[essence]],Tableau6[],4,FALSE)</f>
        <v>0.40949999999999998</v>
      </c>
      <c r="N108" s="12">
        <f>VLOOKUP(Tableau4[[#This Row],[essence]],Tableau6[],5,FALSE)</f>
        <v>2.0705</v>
      </c>
      <c r="O108" s="12">
        <f>IF(Tableau4[[#This Row],[priorecol]]="C",1,0)</f>
        <v>0</v>
      </c>
      <c r="P108" s="12">
        <f>VLOOKUP(Tableau4[[#This Row],[essence]],Tableau6[],6,FALSE)</f>
        <v>2.9992999999999999</v>
      </c>
      <c r="Q108" s="12">
        <f>IF(Tableau4[[#This Row],[priorecol]]="R",1,0)</f>
        <v>1</v>
      </c>
      <c r="R108" s="12">
        <f>VLOOKUP(Tableau4[[#This Row],[essence]],Tableau6[],7,FALSE)</f>
        <v>1.3050999999999999</v>
      </c>
      <c r="S108" s="12">
        <f>IF(Tableau4[[#This Row],[priorecol]]="S",1,0)</f>
        <v>0</v>
      </c>
      <c r="T108" s="12">
        <f>VLOOKUP(Tableau4[[#This Row],[essence]],Tableau6[],20,FALSE)</f>
        <v>0</v>
      </c>
      <c r="U108" s="12">
        <f>VLOOKUP(Tableau4[[#This Row],[essence]],Tableau6[],15,FALSE)</f>
        <v>0</v>
      </c>
      <c r="V108" s="12">
        <f>VLOOKUP(Tableau4[[#This Row],[essence]],Tableau6[],28,FALSE)</f>
        <v>0</v>
      </c>
      <c r="W108" s="12">
        <f>IF(Tableau4[[#This Row],[sdom]]=1,1,0)</f>
        <v>0</v>
      </c>
      <c r="X108" s="12">
        <f>VLOOKUP(Tableau4[[#This Row],[essence]],Tableau6[],8,FALSE)</f>
        <v>0</v>
      </c>
      <c r="Y108" s="12">
        <f>IF(Tableau4[[#This Row],[sdom]]="2EST",1,0)</f>
        <v>0</v>
      </c>
      <c r="Z108" s="12">
        <f>VLOOKUP(Tableau4[[#This Row],[essence]],Tableau6[],9,FALSE)</f>
        <v>0</v>
      </c>
      <c r="AA108" s="12">
        <f>IF(Tableau4[[#This Row],[sdom]]="2OUEST",1,0)</f>
        <v>0</v>
      </c>
      <c r="AB108" s="12">
        <f>VLOOKUP(Tableau4[[#This Row],[essence]],Tableau6[],10,FALSE)</f>
        <v>0</v>
      </c>
      <c r="AC108" s="12">
        <f>IF(Tableau4[[#This Row],[sdom]]="3EST",1,0)</f>
        <v>0</v>
      </c>
      <c r="AD108" s="12">
        <f>VLOOKUP(Tableau4[[#This Row],[essence]],Tableau6[],11,FALSE)</f>
        <v>0</v>
      </c>
      <c r="AE108" s="12">
        <f>IF(Tableau4[[#This Row],[sdom]]="3OUEST",1,0)</f>
        <v>1</v>
      </c>
      <c r="AF108" s="12">
        <f>VLOOKUP(Tableau4[[#This Row],[essence]],Tableau6[],12,FALSE)</f>
        <v>0</v>
      </c>
      <c r="AG108" s="12">
        <f>IF(Tableau4[[#This Row],[sdom]]="4EST",1,0)</f>
        <v>0</v>
      </c>
      <c r="AH108" s="12">
        <f>VLOOKUP(Tableau4[[#This Row],[essence]],Tableau6[],13,FALSE)</f>
        <v>0</v>
      </c>
      <c r="AI108" s="12">
        <f>IF(Tableau4[[#This Row],[sdom]]="4OUEST",1,0)</f>
        <v>0</v>
      </c>
      <c r="AJ108" s="12">
        <f>VLOOKUP(Tableau4[[#This Row],[essence]],Tableau6[],14,FALSE)</f>
        <v>0</v>
      </c>
      <c r="AK108" s="12">
        <f>IF(Tableau4[[#This Row],[sdom]]="5EST",1,0)</f>
        <v>0</v>
      </c>
      <c r="AL108" s="12">
        <f>VLOOKUP(Tableau4[[#This Row],[essence]],Tableau6[],17,FALSE)</f>
        <v>0</v>
      </c>
      <c r="AM108" s="12">
        <f>IF(Tableau4[[#This Row],[priorecol]]="C",1,0)</f>
        <v>0</v>
      </c>
      <c r="AN108" s="12">
        <f>VLOOKUP(Tableau4[[#This Row],[essence]],Tableau6[],18,FALSE)</f>
        <v>0</v>
      </c>
      <c r="AO108" s="12">
        <f>IF(Tableau4[[#This Row],[priorecol]]="R",1,0)</f>
        <v>1</v>
      </c>
      <c r="AP108" s="12">
        <f>VLOOKUP(Tableau4[[#This Row],[essence]],Tableau6[],19,FALSE)</f>
        <v>0</v>
      </c>
      <c r="AQ108" s="12">
        <f>IF(Tableau4[[#This Row],[priorecol]]="S",1,0)</f>
        <v>0</v>
      </c>
      <c r="AR108" s="12">
        <f>VLOOKUP(Tableau4[[#This Row],[essence]],Tableau6[],21,FALSE)</f>
        <v>0</v>
      </c>
      <c r="AS108" s="12">
        <f>IF(Tableau4[[#This Row],[priorecol]]="C",1,0)</f>
        <v>0</v>
      </c>
      <c r="AT108" s="12">
        <f>VLOOKUP(Tableau4[[#This Row],[essence]],Tableau6[],22,FALSE)</f>
        <v>0</v>
      </c>
      <c r="AU108" s="12">
        <f>IF(Tableau4[[#This Row],[priorecol]]="R",1,0)</f>
        <v>1</v>
      </c>
      <c r="AV108" s="12">
        <f>VLOOKUP(Tableau4[[#This Row],[essence]],Tableau6[],23,FALSE)</f>
        <v>0</v>
      </c>
      <c r="AW108" s="12">
        <f>IF(Tableau4[[#This Row],[priorecol]]="S",1,0)</f>
        <v>0</v>
      </c>
      <c r="AX108" s="12">
        <f>VLOOKUP(Tableau4[[#This Row],[essence]],Tableau6[],24,FALSE)</f>
        <v>-2.1000000000000001E-4</v>
      </c>
      <c r="AY108" s="12">
        <f>VLOOKUP(Tableau4[[#This Row],[essence]],Tableau6[],25,FALSE)</f>
        <v>-1.34E-2</v>
      </c>
      <c r="AZ108" s="12">
        <f>VLOOKUP(Tableau4[[#This Row],[essence]],Tableau6[],26,FALSE)</f>
        <v>-2.8899999999999999E-2</v>
      </c>
      <c r="BA108" s="12">
        <f>VLOOKUP(Tableau4[[#This Row],[essence]],Tableau6[],27,FALSE)</f>
        <v>0.2873</v>
      </c>
      <c r="BB108" s="12">
        <f>VLOOKUP(Tableau4[[#This Row],[essence]],Tableau6[],16,FALSE)</f>
        <v>0</v>
      </c>
      <c r="BC10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08" s="12">
        <f>Tableau4[[#This Row],[xb_]]+Tableau4[[#This Row],[b_intercept_C]]+Tableau4[[#This Row],[b_dhpcm_x_intercept_C]]*Tableau4[[#This Row],[dhpcm]]</f>
        <v>-0.2072699999999994</v>
      </c>
      <c r="BE108" s="12">
        <f>Tableau4[[#This Row],[xb_]]+Tableau4[[#This Row],[b_intercept_B]]+Tableau4[[#This Row],[b_dhpcm_x_intercept_B]]*Tableau4[[#This Row],[dhpcm]]</f>
        <v>-0.2826700000000002</v>
      </c>
      <c r="BF108" s="12">
        <f>Tableau4[[#This Row],[xb_]]+Tableau4[[#This Row],[b_intercept_A]]+Tableau4[[#This Row],[b_dhpcm_x_intercept_A]]*Tableau4[[#This Row],[dhpcm]]</f>
        <v>-1.2299999999999325E-3</v>
      </c>
      <c r="BG108" s="12">
        <f>1/(1+EXP(-Tableau4[[#This Row],[xb_c]]))</f>
        <v>0.44836721681430652</v>
      </c>
      <c r="BH108" s="12">
        <f>1/(1+EXP(-Tableau4[[#This Row],[xb_b]]))</f>
        <v>0.42979931190428095</v>
      </c>
      <c r="BI108" s="12">
        <f>1/(1+EXP(-Tableau4[[#This Row],[xb_a]]))</f>
        <v>0.49969250003876808</v>
      </c>
      <c r="BJ108" s="12">
        <f>Tableau4[[#This Row],[prob_a]]</f>
        <v>0.49969250003876808</v>
      </c>
      <c r="BK108" s="12">
        <f>Tableau4[[#This Row],[prob_b]]-Tableau4[[#This Row],[prob_a]]</f>
        <v>-6.9893188134487139E-2</v>
      </c>
      <c r="BL108" s="12">
        <f>Tableau4[[#This Row],[prob_c]]-Tableau4[[#This Row],[prob_b]]</f>
        <v>1.8567904910025579E-2</v>
      </c>
      <c r="BM108" s="12">
        <f>1-Tableau4[[#This Row],[prob_c]]</f>
        <v>0.55163278318569353</v>
      </c>
    </row>
    <row r="109" spans="1:65" x14ac:dyDescent="0.25">
      <c r="A109" s="12">
        <v>5</v>
      </c>
      <c r="B109" s="12" t="s">
        <v>13</v>
      </c>
      <c r="C109" s="12">
        <v>2.1</v>
      </c>
      <c r="D109" s="12">
        <v>700</v>
      </c>
      <c r="E109" s="12">
        <v>20</v>
      </c>
      <c r="F109" s="12">
        <v>1</v>
      </c>
      <c r="G109" s="12">
        <v>60</v>
      </c>
      <c r="H109" s="12">
        <v>147</v>
      </c>
      <c r="I109" s="12" t="s">
        <v>22</v>
      </c>
      <c r="J109" s="12" t="s">
        <v>29</v>
      </c>
      <c r="K109" s="12">
        <f>VLOOKUP(Tableau4[[#This Row],[essence]],Tableau6[],2,FALSE)</f>
        <v>-3.5731999999999999</v>
      </c>
      <c r="L109" s="12">
        <f>VLOOKUP(Tableau4[[#This Row],[essence]],Tableau6[],3,FALSE)</f>
        <v>-1.9289000000000001</v>
      </c>
      <c r="M109" s="12">
        <f>VLOOKUP(Tableau4[[#This Row],[essence]],Tableau6[],4,FALSE)</f>
        <v>0.40949999999999998</v>
      </c>
      <c r="N109" s="12">
        <f>VLOOKUP(Tableau4[[#This Row],[essence]],Tableau6[],5,FALSE)</f>
        <v>2.0705</v>
      </c>
      <c r="O109" s="12">
        <f>IF(Tableau4[[#This Row],[priorecol]]="C",1,0)</f>
        <v>0</v>
      </c>
      <c r="P109" s="12">
        <f>VLOOKUP(Tableau4[[#This Row],[essence]],Tableau6[],6,FALSE)</f>
        <v>2.9992999999999999</v>
      </c>
      <c r="Q109" s="12">
        <f>IF(Tableau4[[#This Row],[priorecol]]="R",1,0)</f>
        <v>0</v>
      </c>
      <c r="R109" s="12">
        <f>VLOOKUP(Tableau4[[#This Row],[essence]],Tableau6[],7,FALSE)</f>
        <v>1.3050999999999999</v>
      </c>
      <c r="S109" s="12">
        <f>IF(Tableau4[[#This Row],[priorecol]]="S",1,0)</f>
        <v>1</v>
      </c>
      <c r="T109" s="12">
        <f>VLOOKUP(Tableau4[[#This Row],[essence]],Tableau6[],20,FALSE)</f>
        <v>0</v>
      </c>
      <c r="U109" s="12">
        <f>VLOOKUP(Tableau4[[#This Row],[essence]],Tableau6[],15,FALSE)</f>
        <v>0</v>
      </c>
      <c r="V109" s="12">
        <f>VLOOKUP(Tableau4[[#This Row],[essence]],Tableau6[],28,FALSE)</f>
        <v>0</v>
      </c>
      <c r="W109" s="12">
        <f>IF(Tableau4[[#This Row],[sdom]]=1,1,0)</f>
        <v>0</v>
      </c>
      <c r="X109" s="12">
        <f>VLOOKUP(Tableau4[[#This Row],[essence]],Tableau6[],8,FALSE)</f>
        <v>0</v>
      </c>
      <c r="Y109" s="12">
        <f>IF(Tableau4[[#This Row],[sdom]]="2EST",1,0)</f>
        <v>0</v>
      </c>
      <c r="Z109" s="12">
        <f>VLOOKUP(Tableau4[[#This Row],[essence]],Tableau6[],9,FALSE)</f>
        <v>0</v>
      </c>
      <c r="AA109" s="12">
        <f>IF(Tableau4[[#This Row],[sdom]]="2OUEST",1,0)</f>
        <v>0</v>
      </c>
      <c r="AB109" s="12">
        <f>VLOOKUP(Tableau4[[#This Row],[essence]],Tableau6[],10,FALSE)</f>
        <v>0</v>
      </c>
      <c r="AC109" s="12">
        <f>IF(Tableau4[[#This Row],[sdom]]="3EST",1,0)</f>
        <v>0</v>
      </c>
      <c r="AD109" s="12">
        <f>VLOOKUP(Tableau4[[#This Row],[essence]],Tableau6[],11,FALSE)</f>
        <v>0</v>
      </c>
      <c r="AE109" s="12">
        <f>IF(Tableau4[[#This Row],[sdom]]="3OUEST",1,0)</f>
        <v>1</v>
      </c>
      <c r="AF109" s="12">
        <f>VLOOKUP(Tableau4[[#This Row],[essence]],Tableau6[],12,FALSE)</f>
        <v>0</v>
      </c>
      <c r="AG109" s="12">
        <f>IF(Tableau4[[#This Row],[sdom]]="4EST",1,0)</f>
        <v>0</v>
      </c>
      <c r="AH109" s="12">
        <f>VLOOKUP(Tableau4[[#This Row],[essence]],Tableau6[],13,FALSE)</f>
        <v>0</v>
      </c>
      <c r="AI109" s="12">
        <f>IF(Tableau4[[#This Row],[sdom]]="4OUEST",1,0)</f>
        <v>0</v>
      </c>
      <c r="AJ109" s="12">
        <f>VLOOKUP(Tableau4[[#This Row],[essence]],Tableau6[],14,FALSE)</f>
        <v>0</v>
      </c>
      <c r="AK109" s="12">
        <f>IF(Tableau4[[#This Row],[sdom]]="5EST",1,0)</f>
        <v>0</v>
      </c>
      <c r="AL109" s="12">
        <f>VLOOKUP(Tableau4[[#This Row],[essence]],Tableau6[],17,FALSE)</f>
        <v>0</v>
      </c>
      <c r="AM109" s="12">
        <f>IF(Tableau4[[#This Row],[priorecol]]="C",1,0)</f>
        <v>0</v>
      </c>
      <c r="AN109" s="12">
        <f>VLOOKUP(Tableau4[[#This Row],[essence]],Tableau6[],18,FALSE)</f>
        <v>0</v>
      </c>
      <c r="AO109" s="12">
        <f>IF(Tableau4[[#This Row],[priorecol]]="R",1,0)</f>
        <v>0</v>
      </c>
      <c r="AP109" s="12">
        <f>VLOOKUP(Tableau4[[#This Row],[essence]],Tableau6[],19,FALSE)</f>
        <v>0</v>
      </c>
      <c r="AQ109" s="12">
        <f>IF(Tableau4[[#This Row],[priorecol]]="S",1,0)</f>
        <v>1</v>
      </c>
      <c r="AR109" s="12">
        <f>VLOOKUP(Tableau4[[#This Row],[essence]],Tableau6[],21,FALSE)</f>
        <v>0</v>
      </c>
      <c r="AS109" s="12">
        <f>IF(Tableau4[[#This Row],[priorecol]]="C",1,0)</f>
        <v>0</v>
      </c>
      <c r="AT109" s="12">
        <f>VLOOKUP(Tableau4[[#This Row],[essence]],Tableau6[],22,FALSE)</f>
        <v>0</v>
      </c>
      <c r="AU109" s="12">
        <f>IF(Tableau4[[#This Row],[priorecol]]="R",1,0)</f>
        <v>0</v>
      </c>
      <c r="AV109" s="12">
        <f>VLOOKUP(Tableau4[[#This Row],[essence]],Tableau6[],23,FALSE)</f>
        <v>0</v>
      </c>
      <c r="AW109" s="12">
        <f>IF(Tableau4[[#This Row],[priorecol]]="S",1,0)</f>
        <v>1</v>
      </c>
      <c r="AX109" s="12">
        <f>VLOOKUP(Tableau4[[#This Row],[essence]],Tableau6[],24,FALSE)</f>
        <v>-2.1000000000000001E-4</v>
      </c>
      <c r="AY109" s="12">
        <f>VLOOKUP(Tableau4[[#This Row],[essence]],Tableau6[],25,FALSE)</f>
        <v>-1.34E-2</v>
      </c>
      <c r="AZ109" s="12">
        <f>VLOOKUP(Tableau4[[#This Row],[essence]],Tableau6[],26,FALSE)</f>
        <v>-2.8899999999999999E-2</v>
      </c>
      <c r="BA109" s="12">
        <f>VLOOKUP(Tableau4[[#This Row],[essence]],Tableau6[],27,FALSE)</f>
        <v>0.2873</v>
      </c>
      <c r="BB109" s="12">
        <f>VLOOKUP(Tableau4[[#This Row],[essence]],Tableau6[],16,FALSE)</f>
        <v>0</v>
      </c>
      <c r="BC10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09" s="12">
        <f>Tableau4[[#This Row],[xb_]]+Tableau4[[#This Row],[b_intercept_C]]+Tableau4[[#This Row],[b_dhpcm_x_intercept_C]]*Tableau4[[#This Row],[dhpcm]]</f>
        <v>-1.9303699999999995</v>
      </c>
      <c r="BE109" s="12">
        <f>Tableau4[[#This Row],[xb_]]+Tableau4[[#This Row],[b_intercept_B]]+Tableau4[[#This Row],[b_dhpcm_x_intercept_B]]*Tableau4[[#This Row],[dhpcm]]</f>
        <v>-1.99027</v>
      </c>
      <c r="BF109" s="12">
        <f>Tableau4[[#This Row],[xb_]]+Tableau4[[#This Row],[b_intercept_A]]+Tableau4[[#This Row],[b_dhpcm_x_intercept_A]]*Tableau4[[#This Row],[dhpcm]]</f>
        <v>-1.6956399999999998</v>
      </c>
      <c r="BG109" s="12">
        <f>1/(1+EXP(-Tableau4[[#This Row],[xb_c]]))</f>
        <v>0.12670963237547786</v>
      </c>
      <c r="BH109" s="12">
        <f>1/(1+EXP(-Tableau4[[#This Row],[xb_b]]))</f>
        <v>0.12022830070601599</v>
      </c>
      <c r="BI109" s="12">
        <f>1/(1+EXP(-Tableau4[[#This Row],[xb_a]]))</f>
        <v>0.15503556441074659</v>
      </c>
      <c r="BJ109" s="12">
        <f>Tableau4[[#This Row],[prob_a]]</f>
        <v>0.15503556441074659</v>
      </c>
      <c r="BK109" s="12">
        <f>Tableau4[[#This Row],[prob_b]]-Tableau4[[#This Row],[prob_a]]</f>
        <v>-3.4807263704730598E-2</v>
      </c>
      <c r="BL109" s="12">
        <f>Tableau4[[#This Row],[prob_c]]-Tableau4[[#This Row],[prob_b]]</f>
        <v>6.4813316694618678E-3</v>
      </c>
      <c r="BM109" s="12">
        <f>1-Tableau4[[#This Row],[prob_c]]</f>
        <v>0.87329036762452217</v>
      </c>
    </row>
    <row r="110" spans="1:65" x14ac:dyDescent="0.25">
      <c r="A110" s="12">
        <v>5</v>
      </c>
      <c r="B110" s="12" t="s">
        <v>13</v>
      </c>
      <c r="C110" s="12">
        <v>2.1</v>
      </c>
      <c r="D110" s="12">
        <v>700</v>
      </c>
      <c r="E110" s="12">
        <v>20</v>
      </c>
      <c r="F110" s="12">
        <v>1</v>
      </c>
      <c r="G110" s="12">
        <v>61</v>
      </c>
      <c r="H110" s="12">
        <v>148</v>
      </c>
      <c r="I110" s="12" t="s">
        <v>23</v>
      </c>
      <c r="J110" s="12" t="s">
        <v>27</v>
      </c>
      <c r="K110" s="12">
        <f>VLOOKUP(Tableau4[[#This Row],[essence]],Tableau6[],2,FALSE)</f>
        <v>-1.6034999999999999</v>
      </c>
      <c r="L110" s="12">
        <f>VLOOKUP(Tableau4[[#This Row],[essence]],Tableau6[],3,FALSE)</f>
        <v>-0.41120000000000001</v>
      </c>
      <c r="M110" s="12">
        <f>VLOOKUP(Tableau4[[#This Row],[essence]],Tableau6[],4,FALSE)</f>
        <v>1.1791</v>
      </c>
      <c r="N110" s="12">
        <f>VLOOKUP(Tableau4[[#This Row],[essence]],Tableau6[],5,FALSE)</f>
        <v>-0.48980000000000001</v>
      </c>
      <c r="O110" s="12">
        <f>IF(Tableau4[[#This Row],[priorecol]]="C",1,0)</f>
        <v>1</v>
      </c>
      <c r="P110" s="12">
        <f>VLOOKUP(Tableau4[[#This Row],[essence]],Tableau6[],6,FALSE)</f>
        <v>-3.5700000000000003E-2</v>
      </c>
      <c r="Q110" s="12">
        <f>IF(Tableau4[[#This Row],[priorecol]]="R",1,0)</f>
        <v>0</v>
      </c>
      <c r="R110" s="12">
        <f>VLOOKUP(Tableau4[[#This Row],[essence]],Tableau6[],7,FALSE)</f>
        <v>0.1021</v>
      </c>
      <c r="S110" s="12">
        <f>IF(Tableau4[[#This Row],[priorecol]]="S",1,0)</f>
        <v>0</v>
      </c>
      <c r="T110" s="12">
        <f>VLOOKUP(Tableau4[[#This Row],[essence]],Tableau6[],20,FALSE)</f>
        <v>-3.3500000000000002E-2</v>
      </c>
      <c r="U110" s="12">
        <f>VLOOKUP(Tableau4[[#This Row],[essence]],Tableau6[],15,FALSE)</f>
        <v>7.4200000000000004E-3</v>
      </c>
      <c r="V110" s="12">
        <f>VLOOKUP(Tableau4[[#This Row],[essence]],Tableau6[],28,FALSE)</f>
        <v>1.071</v>
      </c>
      <c r="W110" s="12">
        <f>IF(Tableau4[[#This Row],[sdom]]=1,1,0)</f>
        <v>0</v>
      </c>
      <c r="X110" s="12">
        <f>VLOOKUP(Tableau4[[#This Row],[essence]],Tableau6[],8,FALSE)</f>
        <v>0.83450000000000002</v>
      </c>
      <c r="Y110" s="12">
        <f>IF(Tableau4[[#This Row],[sdom]]="2EST",1,0)</f>
        <v>0</v>
      </c>
      <c r="Z110" s="12">
        <f>VLOOKUP(Tableau4[[#This Row],[essence]],Tableau6[],9,FALSE)</f>
        <v>0.94689999999999996</v>
      </c>
      <c r="AA110" s="12">
        <f>IF(Tableau4[[#This Row],[sdom]]="2OUEST",1,0)</f>
        <v>0</v>
      </c>
      <c r="AB110" s="12">
        <f>VLOOKUP(Tableau4[[#This Row],[essence]],Tableau6[],10,FALSE)</f>
        <v>0.62780000000000002</v>
      </c>
      <c r="AC110" s="12">
        <f>IF(Tableau4[[#This Row],[sdom]]="3EST",1,0)</f>
        <v>0</v>
      </c>
      <c r="AD110" s="12">
        <f>VLOOKUP(Tableau4[[#This Row],[essence]],Tableau6[],11,FALSE)</f>
        <v>0.95940000000000003</v>
      </c>
      <c r="AE110" s="12">
        <f>IF(Tableau4[[#This Row],[sdom]]="3OUEST",1,0)</f>
        <v>1</v>
      </c>
      <c r="AF110" s="12">
        <f>VLOOKUP(Tableau4[[#This Row],[essence]],Tableau6[],12,FALSE)</f>
        <v>0.49719999999999998</v>
      </c>
      <c r="AG110" s="12">
        <f>IF(Tableau4[[#This Row],[sdom]]="4EST",1,0)</f>
        <v>0</v>
      </c>
      <c r="AH110" s="12">
        <f>VLOOKUP(Tableau4[[#This Row],[essence]],Tableau6[],13,FALSE)</f>
        <v>0.37669999999999998</v>
      </c>
      <c r="AI110" s="12">
        <f>IF(Tableau4[[#This Row],[sdom]]="4OUEST",1,0)</f>
        <v>0</v>
      </c>
      <c r="AJ110" s="12">
        <f>VLOOKUP(Tableau4[[#This Row],[essence]],Tableau6[],14,FALSE)</f>
        <v>0</v>
      </c>
      <c r="AK110" s="12">
        <f>IF(Tableau4[[#This Row],[sdom]]="5EST",1,0)</f>
        <v>0</v>
      </c>
      <c r="AL110" s="12">
        <f>VLOOKUP(Tableau4[[#This Row],[essence]],Tableau6[],17,FALSE)</f>
        <v>2.8E-3</v>
      </c>
      <c r="AM110" s="12">
        <f>IF(Tableau4[[#This Row],[priorecol]]="C",1,0)</f>
        <v>1</v>
      </c>
      <c r="AN110" s="12">
        <f>VLOOKUP(Tableau4[[#This Row],[essence]],Tableau6[],18,FALSE)</f>
        <v>-2.2499999999999999E-2</v>
      </c>
      <c r="AO110" s="12">
        <f>IF(Tableau4[[#This Row],[priorecol]]="R",1,0)</f>
        <v>0</v>
      </c>
      <c r="AP110" s="12">
        <f>VLOOKUP(Tableau4[[#This Row],[essence]],Tableau6[],19,FALSE)</f>
        <v>3.0699999999999998E-3</v>
      </c>
      <c r="AQ110" s="12">
        <f>IF(Tableau4[[#This Row],[priorecol]]="S",1,0)</f>
        <v>0</v>
      </c>
      <c r="AR110" s="12">
        <f>VLOOKUP(Tableau4[[#This Row],[essence]],Tableau6[],21,FALSE)</f>
        <v>5.2400000000000002E-2</v>
      </c>
      <c r="AS110" s="12">
        <f>IF(Tableau4[[#This Row],[priorecol]]="C",1,0)</f>
        <v>1</v>
      </c>
      <c r="AT110" s="12">
        <f>VLOOKUP(Tableau4[[#This Row],[essence]],Tableau6[],22,FALSE)</f>
        <v>7.7799999999999994E-2</v>
      </c>
      <c r="AU110" s="12">
        <f>IF(Tableau4[[#This Row],[priorecol]]="R",1,0)</f>
        <v>0</v>
      </c>
      <c r="AV110" s="12">
        <f>VLOOKUP(Tableau4[[#This Row],[essence]],Tableau6[],23,FALSE)</f>
        <v>1.9E-2</v>
      </c>
      <c r="AW110" s="12">
        <f>IF(Tableau4[[#This Row],[priorecol]]="S",1,0)</f>
        <v>0</v>
      </c>
      <c r="AX110" s="12">
        <f>VLOOKUP(Tableau4[[#This Row],[essence]],Tableau6[],24,FALSE)</f>
        <v>0</v>
      </c>
      <c r="AY110" s="12">
        <f>VLOOKUP(Tableau4[[#This Row],[essence]],Tableau6[],25,FALSE)</f>
        <v>0</v>
      </c>
      <c r="AZ110" s="12">
        <f>VLOOKUP(Tableau4[[#This Row],[essence]],Tableau6[],26,FALSE)</f>
        <v>0</v>
      </c>
      <c r="BA110" s="12">
        <f>VLOOKUP(Tableau4[[#This Row],[essence]],Tableau6[],27,FALSE)</f>
        <v>0</v>
      </c>
      <c r="BB110" s="12">
        <f>VLOOKUP(Tableau4[[#This Row],[essence]],Tableau6[],16,FALSE)</f>
        <v>0</v>
      </c>
      <c r="BC11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3.4712000000000005</v>
      </c>
      <c r="BD110" s="12">
        <f>Tableau4[[#This Row],[xb_]]+Tableau4[[#This Row],[b_intercept_C]]+Tableau4[[#This Row],[b_dhpcm_x_intercept_C]]*Tableau4[[#This Row],[dhpcm]]</f>
        <v>4.6503000000000005</v>
      </c>
      <c r="BE110" s="12">
        <f>Tableau4[[#This Row],[xb_]]+Tableau4[[#This Row],[b_intercept_B]]+Tableau4[[#This Row],[b_dhpcm_x_intercept_B]]*Tableau4[[#This Row],[dhpcm]]</f>
        <v>3.0600000000000005</v>
      </c>
      <c r="BF110" s="12">
        <f>Tableau4[[#This Row],[xb_]]+Tableau4[[#This Row],[b_intercept_A]]+Tableau4[[#This Row],[b_dhpcm_x_intercept_A]]*Tableau4[[#This Row],[dhpcm]]</f>
        <v>1.8677000000000006</v>
      </c>
      <c r="BG110" s="12">
        <f>1/(1+EXP(-Tableau4[[#This Row],[xb_c]]))</f>
        <v>0.99053177040680451</v>
      </c>
      <c r="BH110" s="12">
        <f>1/(1+EXP(-Tableau4[[#This Row],[xb_b]]))</f>
        <v>0.95521229695021337</v>
      </c>
      <c r="BI110" s="12">
        <f>1/(1+EXP(-Tableau4[[#This Row],[xb_a]]))</f>
        <v>0.86619192392603273</v>
      </c>
      <c r="BJ110" s="12">
        <f>Tableau4[[#This Row],[prob_a]]</f>
        <v>0.86619192392603273</v>
      </c>
      <c r="BK110" s="12">
        <f>Tableau4[[#This Row],[prob_b]]-Tableau4[[#This Row],[prob_a]]</f>
        <v>8.9020373024180643E-2</v>
      </c>
      <c r="BL110" s="12">
        <f>Tableau4[[#This Row],[prob_c]]-Tableau4[[#This Row],[prob_b]]</f>
        <v>3.5319473456591144E-2</v>
      </c>
      <c r="BM110" s="12">
        <f>1-Tableau4[[#This Row],[prob_c]]</f>
        <v>9.4682295931954874E-3</v>
      </c>
    </row>
    <row r="111" spans="1:65" x14ac:dyDescent="0.25">
      <c r="A111" s="12">
        <v>5</v>
      </c>
      <c r="B111" s="12" t="s">
        <v>13</v>
      </c>
      <c r="C111" s="12">
        <v>2.1</v>
      </c>
      <c r="D111" s="12">
        <v>700</v>
      </c>
      <c r="E111" s="12">
        <v>20</v>
      </c>
      <c r="F111" s="12">
        <v>1</v>
      </c>
      <c r="G111" s="12">
        <v>62</v>
      </c>
      <c r="H111" s="12">
        <v>149</v>
      </c>
      <c r="I111" s="12" t="s">
        <v>23</v>
      </c>
      <c r="J111" s="12" t="s">
        <v>28</v>
      </c>
      <c r="K111" s="12">
        <f>VLOOKUP(Tableau4[[#This Row],[essence]],Tableau6[],2,FALSE)</f>
        <v>-1.6034999999999999</v>
      </c>
      <c r="L111" s="12">
        <f>VLOOKUP(Tableau4[[#This Row],[essence]],Tableau6[],3,FALSE)</f>
        <v>-0.41120000000000001</v>
      </c>
      <c r="M111" s="12">
        <f>VLOOKUP(Tableau4[[#This Row],[essence]],Tableau6[],4,FALSE)</f>
        <v>1.1791</v>
      </c>
      <c r="N111" s="12">
        <f>VLOOKUP(Tableau4[[#This Row],[essence]],Tableau6[],5,FALSE)</f>
        <v>-0.48980000000000001</v>
      </c>
      <c r="O111" s="12">
        <f>IF(Tableau4[[#This Row],[priorecol]]="C",1,0)</f>
        <v>0</v>
      </c>
      <c r="P111" s="12">
        <f>VLOOKUP(Tableau4[[#This Row],[essence]],Tableau6[],6,FALSE)</f>
        <v>-3.5700000000000003E-2</v>
      </c>
      <c r="Q111" s="12">
        <f>IF(Tableau4[[#This Row],[priorecol]]="R",1,0)</f>
        <v>1</v>
      </c>
      <c r="R111" s="12">
        <f>VLOOKUP(Tableau4[[#This Row],[essence]],Tableau6[],7,FALSE)</f>
        <v>0.1021</v>
      </c>
      <c r="S111" s="12">
        <f>IF(Tableau4[[#This Row],[priorecol]]="S",1,0)</f>
        <v>0</v>
      </c>
      <c r="T111" s="12">
        <f>VLOOKUP(Tableau4[[#This Row],[essence]],Tableau6[],20,FALSE)</f>
        <v>-3.3500000000000002E-2</v>
      </c>
      <c r="U111" s="12">
        <f>VLOOKUP(Tableau4[[#This Row],[essence]],Tableau6[],15,FALSE)</f>
        <v>7.4200000000000004E-3</v>
      </c>
      <c r="V111" s="12">
        <f>VLOOKUP(Tableau4[[#This Row],[essence]],Tableau6[],28,FALSE)</f>
        <v>1.071</v>
      </c>
      <c r="W111" s="12">
        <f>IF(Tableau4[[#This Row],[sdom]]=1,1,0)</f>
        <v>0</v>
      </c>
      <c r="X111" s="12">
        <f>VLOOKUP(Tableau4[[#This Row],[essence]],Tableau6[],8,FALSE)</f>
        <v>0.83450000000000002</v>
      </c>
      <c r="Y111" s="12">
        <f>IF(Tableau4[[#This Row],[sdom]]="2EST",1,0)</f>
        <v>0</v>
      </c>
      <c r="Z111" s="12">
        <f>VLOOKUP(Tableau4[[#This Row],[essence]],Tableau6[],9,FALSE)</f>
        <v>0.94689999999999996</v>
      </c>
      <c r="AA111" s="12">
        <f>IF(Tableau4[[#This Row],[sdom]]="2OUEST",1,0)</f>
        <v>0</v>
      </c>
      <c r="AB111" s="12">
        <f>VLOOKUP(Tableau4[[#This Row],[essence]],Tableau6[],10,FALSE)</f>
        <v>0.62780000000000002</v>
      </c>
      <c r="AC111" s="12">
        <f>IF(Tableau4[[#This Row],[sdom]]="3EST",1,0)</f>
        <v>0</v>
      </c>
      <c r="AD111" s="12">
        <f>VLOOKUP(Tableau4[[#This Row],[essence]],Tableau6[],11,FALSE)</f>
        <v>0.95940000000000003</v>
      </c>
      <c r="AE111" s="12">
        <f>IF(Tableau4[[#This Row],[sdom]]="3OUEST",1,0)</f>
        <v>1</v>
      </c>
      <c r="AF111" s="12">
        <f>VLOOKUP(Tableau4[[#This Row],[essence]],Tableau6[],12,FALSE)</f>
        <v>0.49719999999999998</v>
      </c>
      <c r="AG111" s="12">
        <f>IF(Tableau4[[#This Row],[sdom]]="4EST",1,0)</f>
        <v>0</v>
      </c>
      <c r="AH111" s="12">
        <f>VLOOKUP(Tableau4[[#This Row],[essence]],Tableau6[],13,FALSE)</f>
        <v>0.37669999999999998</v>
      </c>
      <c r="AI111" s="12">
        <f>IF(Tableau4[[#This Row],[sdom]]="4OUEST",1,0)</f>
        <v>0</v>
      </c>
      <c r="AJ111" s="12">
        <f>VLOOKUP(Tableau4[[#This Row],[essence]],Tableau6[],14,FALSE)</f>
        <v>0</v>
      </c>
      <c r="AK111" s="12">
        <f>IF(Tableau4[[#This Row],[sdom]]="5EST",1,0)</f>
        <v>0</v>
      </c>
      <c r="AL111" s="12">
        <f>VLOOKUP(Tableau4[[#This Row],[essence]],Tableau6[],17,FALSE)</f>
        <v>2.8E-3</v>
      </c>
      <c r="AM111" s="12">
        <f>IF(Tableau4[[#This Row],[priorecol]]="C",1,0)</f>
        <v>0</v>
      </c>
      <c r="AN111" s="12">
        <f>VLOOKUP(Tableau4[[#This Row],[essence]],Tableau6[],18,FALSE)</f>
        <v>-2.2499999999999999E-2</v>
      </c>
      <c r="AO111" s="12">
        <f>IF(Tableau4[[#This Row],[priorecol]]="R",1,0)</f>
        <v>1</v>
      </c>
      <c r="AP111" s="12">
        <f>VLOOKUP(Tableau4[[#This Row],[essence]],Tableau6[],19,FALSE)</f>
        <v>3.0699999999999998E-3</v>
      </c>
      <c r="AQ111" s="12">
        <f>IF(Tableau4[[#This Row],[priorecol]]="S",1,0)</f>
        <v>0</v>
      </c>
      <c r="AR111" s="12">
        <f>VLOOKUP(Tableau4[[#This Row],[essence]],Tableau6[],21,FALSE)</f>
        <v>5.2400000000000002E-2</v>
      </c>
      <c r="AS111" s="12">
        <f>IF(Tableau4[[#This Row],[priorecol]]="C",1,0)</f>
        <v>0</v>
      </c>
      <c r="AT111" s="12">
        <f>VLOOKUP(Tableau4[[#This Row],[essence]],Tableau6[],22,FALSE)</f>
        <v>7.7799999999999994E-2</v>
      </c>
      <c r="AU111" s="12">
        <f>IF(Tableau4[[#This Row],[priorecol]]="R",1,0)</f>
        <v>1</v>
      </c>
      <c r="AV111" s="12">
        <f>VLOOKUP(Tableau4[[#This Row],[essence]],Tableau6[],23,FALSE)</f>
        <v>1.9E-2</v>
      </c>
      <c r="AW111" s="12">
        <f>IF(Tableau4[[#This Row],[priorecol]]="S",1,0)</f>
        <v>0</v>
      </c>
      <c r="AX111" s="12">
        <f>VLOOKUP(Tableau4[[#This Row],[essence]],Tableau6[],24,FALSE)</f>
        <v>0</v>
      </c>
      <c r="AY111" s="12">
        <f>VLOOKUP(Tableau4[[#This Row],[essence]],Tableau6[],25,FALSE)</f>
        <v>0</v>
      </c>
      <c r="AZ111" s="12">
        <f>VLOOKUP(Tableau4[[#This Row],[essence]],Tableau6[],26,FALSE)</f>
        <v>0</v>
      </c>
      <c r="BA111" s="12">
        <f>VLOOKUP(Tableau4[[#This Row],[essence]],Tableau6[],27,FALSE)</f>
        <v>0</v>
      </c>
      <c r="BB111" s="12">
        <f>VLOOKUP(Tableau4[[#This Row],[essence]],Tableau6[],16,FALSE)</f>
        <v>0</v>
      </c>
      <c r="BC11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7.2227999999999977</v>
      </c>
      <c r="BD111" s="12">
        <f>Tableau4[[#This Row],[xb_]]+Tableau4[[#This Row],[b_intercept_C]]+Tableau4[[#This Row],[b_dhpcm_x_intercept_C]]*Tableau4[[#This Row],[dhpcm]]</f>
        <v>8.4018999999999977</v>
      </c>
      <c r="BE111" s="12">
        <f>Tableau4[[#This Row],[xb_]]+Tableau4[[#This Row],[b_intercept_B]]+Tableau4[[#This Row],[b_dhpcm_x_intercept_B]]*Tableau4[[#This Row],[dhpcm]]</f>
        <v>6.8115999999999977</v>
      </c>
      <c r="BF111" s="12">
        <f>Tableau4[[#This Row],[xb_]]+Tableau4[[#This Row],[b_intercept_A]]+Tableau4[[#This Row],[b_dhpcm_x_intercept_A]]*Tableau4[[#This Row],[dhpcm]]</f>
        <v>5.6192999999999973</v>
      </c>
      <c r="BG111" s="12">
        <f>1/(1+EXP(-Tableau4[[#This Row],[xb_c]]))</f>
        <v>0.9997756098803352</v>
      </c>
      <c r="BH111" s="12">
        <f>1/(1+EXP(-Tableau4[[#This Row],[xb_b]]))</f>
        <v>0.99890028071194581</v>
      </c>
      <c r="BI111" s="12">
        <f>1/(1+EXP(-Tableau4[[#This Row],[xb_a]]))</f>
        <v>0.99638592963503503</v>
      </c>
      <c r="BJ111" s="12">
        <f>Tableau4[[#This Row],[prob_a]]</f>
        <v>0.99638592963503503</v>
      </c>
      <c r="BK111" s="12">
        <f>Tableau4[[#This Row],[prob_b]]-Tableau4[[#This Row],[prob_a]]</f>
        <v>2.5143510769107813E-3</v>
      </c>
      <c r="BL111" s="12">
        <f>Tableau4[[#This Row],[prob_c]]-Tableau4[[#This Row],[prob_b]]</f>
        <v>8.7532916838939379E-4</v>
      </c>
      <c r="BM111" s="12">
        <f>1-Tableau4[[#This Row],[prob_c]]</f>
        <v>2.2439011966479683E-4</v>
      </c>
    </row>
    <row r="112" spans="1:65" x14ac:dyDescent="0.25">
      <c r="A112" s="12">
        <v>5</v>
      </c>
      <c r="B112" s="12" t="s">
        <v>13</v>
      </c>
      <c r="C112" s="12">
        <v>2.1</v>
      </c>
      <c r="D112" s="12">
        <v>700</v>
      </c>
      <c r="E112" s="12">
        <v>20</v>
      </c>
      <c r="F112" s="12">
        <v>1</v>
      </c>
      <c r="G112" s="12">
        <v>63</v>
      </c>
      <c r="H112" s="12">
        <v>150</v>
      </c>
      <c r="I112" s="12" t="s">
        <v>23</v>
      </c>
      <c r="J112" s="12" t="s">
        <v>29</v>
      </c>
      <c r="K112" s="12">
        <f>VLOOKUP(Tableau4[[#This Row],[essence]],Tableau6[],2,FALSE)</f>
        <v>-1.6034999999999999</v>
      </c>
      <c r="L112" s="12">
        <f>VLOOKUP(Tableau4[[#This Row],[essence]],Tableau6[],3,FALSE)</f>
        <v>-0.41120000000000001</v>
      </c>
      <c r="M112" s="12">
        <f>VLOOKUP(Tableau4[[#This Row],[essence]],Tableau6[],4,FALSE)</f>
        <v>1.1791</v>
      </c>
      <c r="N112" s="12">
        <f>VLOOKUP(Tableau4[[#This Row],[essence]],Tableau6[],5,FALSE)</f>
        <v>-0.48980000000000001</v>
      </c>
      <c r="O112" s="12">
        <f>IF(Tableau4[[#This Row],[priorecol]]="C",1,0)</f>
        <v>0</v>
      </c>
      <c r="P112" s="12">
        <f>VLOOKUP(Tableau4[[#This Row],[essence]],Tableau6[],6,FALSE)</f>
        <v>-3.5700000000000003E-2</v>
      </c>
      <c r="Q112" s="12">
        <f>IF(Tableau4[[#This Row],[priorecol]]="R",1,0)</f>
        <v>0</v>
      </c>
      <c r="R112" s="12">
        <f>VLOOKUP(Tableau4[[#This Row],[essence]],Tableau6[],7,FALSE)</f>
        <v>0.1021</v>
      </c>
      <c r="S112" s="12">
        <f>IF(Tableau4[[#This Row],[priorecol]]="S",1,0)</f>
        <v>1</v>
      </c>
      <c r="T112" s="12">
        <f>VLOOKUP(Tableau4[[#This Row],[essence]],Tableau6[],20,FALSE)</f>
        <v>-3.3500000000000002E-2</v>
      </c>
      <c r="U112" s="12">
        <f>VLOOKUP(Tableau4[[#This Row],[essence]],Tableau6[],15,FALSE)</f>
        <v>7.4200000000000004E-3</v>
      </c>
      <c r="V112" s="12">
        <f>VLOOKUP(Tableau4[[#This Row],[essence]],Tableau6[],28,FALSE)</f>
        <v>1.071</v>
      </c>
      <c r="W112" s="12">
        <f>IF(Tableau4[[#This Row],[sdom]]=1,1,0)</f>
        <v>0</v>
      </c>
      <c r="X112" s="12">
        <f>VLOOKUP(Tableau4[[#This Row],[essence]],Tableau6[],8,FALSE)</f>
        <v>0.83450000000000002</v>
      </c>
      <c r="Y112" s="12">
        <f>IF(Tableau4[[#This Row],[sdom]]="2EST",1,0)</f>
        <v>0</v>
      </c>
      <c r="Z112" s="12">
        <f>VLOOKUP(Tableau4[[#This Row],[essence]],Tableau6[],9,FALSE)</f>
        <v>0.94689999999999996</v>
      </c>
      <c r="AA112" s="12">
        <f>IF(Tableau4[[#This Row],[sdom]]="2OUEST",1,0)</f>
        <v>0</v>
      </c>
      <c r="AB112" s="12">
        <f>VLOOKUP(Tableau4[[#This Row],[essence]],Tableau6[],10,FALSE)</f>
        <v>0.62780000000000002</v>
      </c>
      <c r="AC112" s="12">
        <f>IF(Tableau4[[#This Row],[sdom]]="3EST",1,0)</f>
        <v>0</v>
      </c>
      <c r="AD112" s="12">
        <f>VLOOKUP(Tableau4[[#This Row],[essence]],Tableau6[],11,FALSE)</f>
        <v>0.95940000000000003</v>
      </c>
      <c r="AE112" s="12">
        <f>IF(Tableau4[[#This Row],[sdom]]="3OUEST",1,0)</f>
        <v>1</v>
      </c>
      <c r="AF112" s="12">
        <f>VLOOKUP(Tableau4[[#This Row],[essence]],Tableau6[],12,FALSE)</f>
        <v>0.49719999999999998</v>
      </c>
      <c r="AG112" s="12">
        <f>IF(Tableau4[[#This Row],[sdom]]="4EST",1,0)</f>
        <v>0</v>
      </c>
      <c r="AH112" s="12">
        <f>VLOOKUP(Tableau4[[#This Row],[essence]],Tableau6[],13,FALSE)</f>
        <v>0.37669999999999998</v>
      </c>
      <c r="AI112" s="12">
        <f>IF(Tableau4[[#This Row],[sdom]]="4OUEST",1,0)</f>
        <v>0</v>
      </c>
      <c r="AJ112" s="12">
        <f>VLOOKUP(Tableau4[[#This Row],[essence]],Tableau6[],14,FALSE)</f>
        <v>0</v>
      </c>
      <c r="AK112" s="12">
        <f>IF(Tableau4[[#This Row],[sdom]]="5EST",1,0)</f>
        <v>0</v>
      </c>
      <c r="AL112" s="12">
        <f>VLOOKUP(Tableau4[[#This Row],[essence]],Tableau6[],17,FALSE)</f>
        <v>2.8E-3</v>
      </c>
      <c r="AM112" s="12">
        <f>IF(Tableau4[[#This Row],[priorecol]]="C",1,0)</f>
        <v>0</v>
      </c>
      <c r="AN112" s="12">
        <f>VLOOKUP(Tableau4[[#This Row],[essence]],Tableau6[],18,FALSE)</f>
        <v>-2.2499999999999999E-2</v>
      </c>
      <c r="AO112" s="12">
        <f>IF(Tableau4[[#This Row],[priorecol]]="R",1,0)</f>
        <v>0</v>
      </c>
      <c r="AP112" s="12">
        <f>VLOOKUP(Tableau4[[#This Row],[essence]],Tableau6[],19,FALSE)</f>
        <v>3.0699999999999998E-3</v>
      </c>
      <c r="AQ112" s="12">
        <f>IF(Tableau4[[#This Row],[priorecol]]="S",1,0)</f>
        <v>1</v>
      </c>
      <c r="AR112" s="12">
        <f>VLOOKUP(Tableau4[[#This Row],[essence]],Tableau6[],21,FALSE)</f>
        <v>5.2400000000000002E-2</v>
      </c>
      <c r="AS112" s="12">
        <f>IF(Tableau4[[#This Row],[priorecol]]="C",1,0)</f>
        <v>0</v>
      </c>
      <c r="AT112" s="12">
        <f>VLOOKUP(Tableau4[[#This Row],[essence]],Tableau6[],22,FALSE)</f>
        <v>7.7799999999999994E-2</v>
      </c>
      <c r="AU112" s="12">
        <f>IF(Tableau4[[#This Row],[priorecol]]="R",1,0)</f>
        <v>0</v>
      </c>
      <c r="AV112" s="12">
        <f>VLOOKUP(Tableau4[[#This Row],[essence]],Tableau6[],23,FALSE)</f>
        <v>1.9E-2</v>
      </c>
      <c r="AW112" s="12">
        <f>IF(Tableau4[[#This Row],[priorecol]]="S",1,0)</f>
        <v>1</v>
      </c>
      <c r="AX112" s="12">
        <f>VLOOKUP(Tableau4[[#This Row],[essence]],Tableau6[],24,FALSE)</f>
        <v>0</v>
      </c>
      <c r="AY112" s="12">
        <f>VLOOKUP(Tableau4[[#This Row],[essence]],Tableau6[],25,FALSE)</f>
        <v>0</v>
      </c>
      <c r="AZ112" s="12">
        <f>VLOOKUP(Tableau4[[#This Row],[essence]],Tableau6[],26,FALSE)</f>
        <v>0</v>
      </c>
      <c r="BA112" s="12">
        <f>VLOOKUP(Tableau4[[#This Row],[essence]],Tableau6[],27,FALSE)</f>
        <v>0</v>
      </c>
      <c r="BB112" s="12">
        <f>VLOOKUP(Tableau4[[#This Row],[essence]],Tableau6[],16,FALSE)</f>
        <v>0</v>
      </c>
      <c r="BC11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-0.90370000000000061</v>
      </c>
      <c r="BD112" s="12">
        <f>Tableau4[[#This Row],[xb_]]+Tableau4[[#This Row],[b_intercept_C]]+Tableau4[[#This Row],[b_dhpcm_x_intercept_C]]*Tableau4[[#This Row],[dhpcm]]</f>
        <v>0.27539999999999942</v>
      </c>
      <c r="BE112" s="12">
        <f>Tableau4[[#This Row],[xb_]]+Tableau4[[#This Row],[b_intercept_B]]+Tableau4[[#This Row],[b_dhpcm_x_intercept_B]]*Tableau4[[#This Row],[dhpcm]]</f>
        <v>-1.3149000000000006</v>
      </c>
      <c r="BF112" s="12">
        <f>Tableau4[[#This Row],[xb_]]+Tableau4[[#This Row],[b_intercept_A]]+Tableau4[[#This Row],[b_dhpcm_x_intercept_A]]*Tableau4[[#This Row],[dhpcm]]</f>
        <v>-2.5072000000000005</v>
      </c>
      <c r="BG112" s="12">
        <f>1/(1+EXP(-Tableau4[[#This Row],[xb_c]]))</f>
        <v>0.56841811374717921</v>
      </c>
      <c r="BH112" s="12">
        <f>1/(1+EXP(-Tableau4[[#This Row],[xb_b]]))</f>
        <v>0.21166805197955171</v>
      </c>
      <c r="BI112" s="12">
        <f>1/(1+EXP(-Tableau4[[#This Row],[xb_a]]))</f>
        <v>7.5354972142813656E-2</v>
      </c>
      <c r="BJ112" s="12">
        <f>Tableau4[[#This Row],[prob_a]]</f>
        <v>7.5354972142813656E-2</v>
      </c>
      <c r="BK112" s="12">
        <f>Tableau4[[#This Row],[prob_b]]-Tableau4[[#This Row],[prob_a]]</f>
        <v>0.13631307983673807</v>
      </c>
      <c r="BL112" s="12">
        <f>Tableau4[[#This Row],[prob_c]]-Tableau4[[#This Row],[prob_b]]</f>
        <v>0.35675006176762747</v>
      </c>
      <c r="BM112" s="12">
        <f>1-Tableau4[[#This Row],[prob_c]]</f>
        <v>0.43158188625282079</v>
      </c>
    </row>
    <row r="113" spans="1:65" x14ac:dyDescent="0.25">
      <c r="A113" s="12">
        <v>5</v>
      </c>
      <c r="B113" s="12" t="s">
        <v>13</v>
      </c>
      <c r="C113" s="12">
        <v>2.1</v>
      </c>
      <c r="D113" s="12">
        <v>700</v>
      </c>
      <c r="E113" s="12">
        <v>20</v>
      </c>
      <c r="F113" s="12">
        <v>1</v>
      </c>
      <c r="G113" s="12">
        <v>64</v>
      </c>
      <c r="H113" s="12">
        <v>151</v>
      </c>
      <c r="I113" s="12" t="s">
        <v>24</v>
      </c>
      <c r="J113" s="12" t="s">
        <v>27</v>
      </c>
      <c r="K113" s="12">
        <f>VLOOKUP(Tableau4[[#This Row],[essence]],Tableau6[],2,FALSE)</f>
        <v>0.5262</v>
      </c>
      <c r="L113" s="12">
        <f>VLOOKUP(Tableau4[[#This Row],[essence]],Tableau6[],3,FALSE)</f>
        <v>1.3954</v>
      </c>
      <c r="M113" s="12">
        <f>VLOOKUP(Tableau4[[#This Row],[essence]],Tableau6[],4,FALSE)</f>
        <v>2.8633000000000002</v>
      </c>
      <c r="N113" s="12">
        <f>VLOOKUP(Tableau4[[#This Row],[essence]],Tableau6[],5,FALSE)</f>
        <v>1.4995000000000001</v>
      </c>
      <c r="O113" s="12">
        <f>IF(Tableau4[[#This Row],[priorecol]]="C",1,0)</f>
        <v>1</v>
      </c>
      <c r="P113" s="12">
        <f>VLOOKUP(Tableau4[[#This Row],[essence]],Tableau6[],6,FALSE)</f>
        <v>2.5129000000000001</v>
      </c>
      <c r="Q113" s="12">
        <f>IF(Tableau4[[#This Row],[priorecol]]="R",1,0)</f>
        <v>0</v>
      </c>
      <c r="R113" s="12">
        <f>VLOOKUP(Tableau4[[#This Row],[essence]],Tableau6[],7,FALSE)</f>
        <v>0.88009999999999999</v>
      </c>
      <c r="S113" s="12">
        <f>IF(Tableau4[[#This Row],[priorecol]]="S",1,0)</f>
        <v>0</v>
      </c>
      <c r="T113" s="12">
        <f>VLOOKUP(Tableau4[[#This Row],[essence]],Tableau6[],20,FALSE)</f>
        <v>0</v>
      </c>
      <c r="U113" s="12">
        <f>VLOOKUP(Tableau4[[#This Row],[essence]],Tableau6[],15,FALSE)</f>
        <v>2.9000000000000001E-2</v>
      </c>
      <c r="V113" s="12">
        <f>VLOOKUP(Tableau4[[#This Row],[essence]],Tableau6[],28,FALSE)</f>
        <v>-0.43919999999999998</v>
      </c>
      <c r="W113" s="12">
        <f>IF(Tableau4[[#This Row],[sdom]]=1,1,0)</f>
        <v>0</v>
      </c>
      <c r="X113" s="12">
        <f>VLOOKUP(Tableau4[[#This Row],[essence]],Tableau6[],8,FALSE)</f>
        <v>-0.32929999999999998</v>
      </c>
      <c r="Y113" s="12">
        <f>IF(Tableau4[[#This Row],[sdom]]="2EST",1,0)</f>
        <v>0</v>
      </c>
      <c r="Z113" s="12">
        <f>VLOOKUP(Tableau4[[#This Row],[essence]],Tableau6[],9,FALSE)</f>
        <v>0</v>
      </c>
      <c r="AA113" s="12">
        <f>IF(Tableau4[[#This Row],[sdom]]="2OUEST",1,0)</f>
        <v>0</v>
      </c>
      <c r="AB113" s="12">
        <f>VLOOKUP(Tableau4[[#This Row],[essence]],Tableau6[],10,FALSE)</f>
        <v>0</v>
      </c>
      <c r="AC113" s="12">
        <f>IF(Tableau4[[#This Row],[sdom]]="3EST",1,0)</f>
        <v>0</v>
      </c>
      <c r="AD113" s="12">
        <f>VLOOKUP(Tableau4[[#This Row],[essence]],Tableau6[],11,FALSE)</f>
        <v>0</v>
      </c>
      <c r="AE113" s="12">
        <f>IF(Tableau4[[#This Row],[sdom]]="3OUEST",1,0)</f>
        <v>1</v>
      </c>
      <c r="AF113" s="12">
        <f>VLOOKUP(Tableau4[[#This Row],[essence]],Tableau6[],12,FALSE)</f>
        <v>0</v>
      </c>
      <c r="AG113" s="12">
        <f>IF(Tableau4[[#This Row],[sdom]]="4EST",1,0)</f>
        <v>0</v>
      </c>
      <c r="AH113" s="12">
        <f>VLOOKUP(Tableau4[[#This Row],[essence]],Tableau6[],13,FALSE)</f>
        <v>0</v>
      </c>
      <c r="AI113" s="12">
        <f>IF(Tableau4[[#This Row],[sdom]]="4OUEST",1,0)</f>
        <v>0</v>
      </c>
      <c r="AJ113" s="12">
        <f>VLOOKUP(Tableau4[[#This Row],[essence]],Tableau6[],14,FALSE)</f>
        <v>0</v>
      </c>
      <c r="AK113" s="12">
        <f>IF(Tableau4[[#This Row],[sdom]]="5EST",1,0)</f>
        <v>0</v>
      </c>
      <c r="AL113" s="12">
        <f>VLOOKUP(Tableau4[[#This Row],[essence]],Tableau6[],17,FALSE)</f>
        <v>0</v>
      </c>
      <c r="AM113" s="12">
        <f>IF(Tableau4[[#This Row],[priorecol]]="C",1,0)</f>
        <v>1</v>
      </c>
      <c r="AN113" s="12">
        <f>VLOOKUP(Tableau4[[#This Row],[essence]],Tableau6[],18,FALSE)</f>
        <v>0</v>
      </c>
      <c r="AO113" s="12">
        <f>IF(Tableau4[[#This Row],[priorecol]]="R",1,0)</f>
        <v>0</v>
      </c>
      <c r="AP113" s="12">
        <f>VLOOKUP(Tableau4[[#This Row],[essence]],Tableau6[],19,FALSE)</f>
        <v>0</v>
      </c>
      <c r="AQ113" s="12">
        <f>IF(Tableau4[[#This Row],[priorecol]]="S",1,0)</f>
        <v>0</v>
      </c>
      <c r="AR113" s="12">
        <f>VLOOKUP(Tableau4[[#This Row],[essence]],Tableau6[],21,FALSE)</f>
        <v>0</v>
      </c>
      <c r="AS113" s="12">
        <f>IF(Tableau4[[#This Row],[priorecol]]="C",1,0)</f>
        <v>1</v>
      </c>
      <c r="AT113" s="12">
        <f>VLOOKUP(Tableau4[[#This Row],[essence]],Tableau6[],22,FALSE)</f>
        <v>0</v>
      </c>
      <c r="AU113" s="12">
        <f>IF(Tableau4[[#This Row],[priorecol]]="R",1,0)</f>
        <v>0</v>
      </c>
      <c r="AV113" s="12">
        <f>VLOOKUP(Tableau4[[#This Row],[essence]],Tableau6[],23,FALSE)</f>
        <v>0</v>
      </c>
      <c r="AW113" s="12">
        <f>IF(Tableau4[[#This Row],[priorecol]]="S",1,0)</f>
        <v>0</v>
      </c>
      <c r="AX113" s="12">
        <f>VLOOKUP(Tableau4[[#This Row],[essence]],Tableau6[],24,FALSE)</f>
        <v>0</v>
      </c>
      <c r="AY113" s="12">
        <f>VLOOKUP(Tableau4[[#This Row],[essence]],Tableau6[],25,FALSE)</f>
        <v>0</v>
      </c>
      <c r="AZ113" s="12">
        <f>VLOOKUP(Tableau4[[#This Row],[essence]],Tableau6[],26,FALSE)</f>
        <v>0</v>
      </c>
      <c r="BA113" s="12">
        <f>VLOOKUP(Tableau4[[#This Row],[essence]],Tableau6[],27,FALSE)</f>
        <v>0</v>
      </c>
      <c r="BB113" s="12">
        <f>VLOOKUP(Tableau4[[#This Row],[essence]],Tableau6[],16,FALSE)</f>
        <v>-2.0699999999999998E-3</v>
      </c>
      <c r="BC11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113" s="12">
        <f>Tableau4[[#This Row],[xb_]]+Tableau4[[#This Row],[b_intercept_C]]+Tableau4[[#This Row],[b_dhpcm_x_intercept_C]]*Tableau4[[#This Row],[dhpcm]]</f>
        <v>3.4938000000000007</v>
      </c>
      <c r="BE113" s="12">
        <f>Tableau4[[#This Row],[xb_]]+Tableau4[[#This Row],[b_intercept_B]]+Tableau4[[#This Row],[b_dhpcm_x_intercept_B]]*Tableau4[[#This Row],[dhpcm]]</f>
        <v>2.0259000000000005</v>
      </c>
      <c r="BF113" s="12">
        <f>Tableau4[[#This Row],[xb_]]+Tableau4[[#This Row],[b_intercept_A]]+Tableau4[[#This Row],[b_dhpcm_x_intercept_A]]*Tableau4[[#This Row],[dhpcm]]</f>
        <v>1.1567000000000005</v>
      </c>
      <c r="BG113" s="12">
        <f>1/(1+EXP(-Tableau4[[#This Row],[xb_c]]))</f>
        <v>0.97051084475492644</v>
      </c>
      <c r="BH113" s="12">
        <f>1/(1+EXP(-Tableau4[[#This Row],[xb_b]]))</f>
        <v>0.88348970489981093</v>
      </c>
      <c r="BI113" s="12">
        <f>1/(1+EXP(-Tableau4[[#This Row],[xb_a]]))</f>
        <v>0.76073257062428778</v>
      </c>
      <c r="BJ113" s="12">
        <f>Tableau4[[#This Row],[prob_a]]</f>
        <v>0.76073257062428778</v>
      </c>
      <c r="BK113" s="12">
        <f>Tableau4[[#This Row],[prob_b]]-Tableau4[[#This Row],[prob_a]]</f>
        <v>0.12275713427552315</v>
      </c>
      <c r="BL113" s="12">
        <f>Tableau4[[#This Row],[prob_c]]-Tableau4[[#This Row],[prob_b]]</f>
        <v>8.7021139855115504E-2</v>
      </c>
      <c r="BM113" s="12">
        <f>1-Tableau4[[#This Row],[prob_c]]</f>
        <v>2.9489155245073562E-2</v>
      </c>
    </row>
    <row r="114" spans="1:65" x14ac:dyDescent="0.25">
      <c r="A114" s="12">
        <v>5</v>
      </c>
      <c r="B114" s="12" t="s">
        <v>13</v>
      </c>
      <c r="C114" s="12">
        <v>2.1</v>
      </c>
      <c r="D114" s="12">
        <v>700</v>
      </c>
      <c r="E114" s="12">
        <v>20</v>
      </c>
      <c r="F114" s="12">
        <v>1</v>
      </c>
      <c r="G114" s="12">
        <v>65</v>
      </c>
      <c r="H114" s="12">
        <v>152</v>
      </c>
      <c r="I114" s="12" t="s">
        <v>24</v>
      </c>
      <c r="J114" s="12" t="s">
        <v>28</v>
      </c>
      <c r="K114" s="12">
        <f>VLOOKUP(Tableau4[[#This Row],[essence]],Tableau6[],2,FALSE)</f>
        <v>0.5262</v>
      </c>
      <c r="L114" s="12">
        <f>VLOOKUP(Tableau4[[#This Row],[essence]],Tableau6[],3,FALSE)</f>
        <v>1.3954</v>
      </c>
      <c r="M114" s="12">
        <f>VLOOKUP(Tableau4[[#This Row],[essence]],Tableau6[],4,FALSE)</f>
        <v>2.8633000000000002</v>
      </c>
      <c r="N114" s="12">
        <f>VLOOKUP(Tableau4[[#This Row],[essence]],Tableau6[],5,FALSE)</f>
        <v>1.4995000000000001</v>
      </c>
      <c r="O114" s="12">
        <f>IF(Tableau4[[#This Row],[priorecol]]="C",1,0)</f>
        <v>0</v>
      </c>
      <c r="P114" s="12">
        <f>VLOOKUP(Tableau4[[#This Row],[essence]],Tableau6[],6,FALSE)</f>
        <v>2.5129000000000001</v>
      </c>
      <c r="Q114" s="12">
        <f>IF(Tableau4[[#This Row],[priorecol]]="R",1,0)</f>
        <v>1</v>
      </c>
      <c r="R114" s="12">
        <f>VLOOKUP(Tableau4[[#This Row],[essence]],Tableau6[],7,FALSE)</f>
        <v>0.88009999999999999</v>
      </c>
      <c r="S114" s="12">
        <f>IF(Tableau4[[#This Row],[priorecol]]="S",1,0)</f>
        <v>0</v>
      </c>
      <c r="T114" s="12">
        <f>VLOOKUP(Tableau4[[#This Row],[essence]],Tableau6[],20,FALSE)</f>
        <v>0</v>
      </c>
      <c r="U114" s="12">
        <f>VLOOKUP(Tableau4[[#This Row],[essence]],Tableau6[],15,FALSE)</f>
        <v>2.9000000000000001E-2</v>
      </c>
      <c r="V114" s="12">
        <f>VLOOKUP(Tableau4[[#This Row],[essence]],Tableau6[],28,FALSE)</f>
        <v>-0.43919999999999998</v>
      </c>
      <c r="W114" s="12">
        <f>IF(Tableau4[[#This Row],[sdom]]=1,1,0)</f>
        <v>0</v>
      </c>
      <c r="X114" s="12">
        <f>VLOOKUP(Tableau4[[#This Row],[essence]],Tableau6[],8,FALSE)</f>
        <v>-0.32929999999999998</v>
      </c>
      <c r="Y114" s="12">
        <f>IF(Tableau4[[#This Row],[sdom]]="2EST",1,0)</f>
        <v>0</v>
      </c>
      <c r="Z114" s="12">
        <f>VLOOKUP(Tableau4[[#This Row],[essence]],Tableau6[],9,FALSE)</f>
        <v>0</v>
      </c>
      <c r="AA114" s="12">
        <f>IF(Tableau4[[#This Row],[sdom]]="2OUEST",1,0)</f>
        <v>0</v>
      </c>
      <c r="AB114" s="12">
        <f>VLOOKUP(Tableau4[[#This Row],[essence]],Tableau6[],10,FALSE)</f>
        <v>0</v>
      </c>
      <c r="AC114" s="12">
        <f>IF(Tableau4[[#This Row],[sdom]]="3EST",1,0)</f>
        <v>0</v>
      </c>
      <c r="AD114" s="12">
        <f>VLOOKUP(Tableau4[[#This Row],[essence]],Tableau6[],11,FALSE)</f>
        <v>0</v>
      </c>
      <c r="AE114" s="12">
        <f>IF(Tableau4[[#This Row],[sdom]]="3OUEST",1,0)</f>
        <v>1</v>
      </c>
      <c r="AF114" s="12">
        <f>VLOOKUP(Tableau4[[#This Row],[essence]],Tableau6[],12,FALSE)</f>
        <v>0</v>
      </c>
      <c r="AG114" s="12">
        <f>IF(Tableau4[[#This Row],[sdom]]="4EST",1,0)</f>
        <v>0</v>
      </c>
      <c r="AH114" s="12">
        <f>VLOOKUP(Tableau4[[#This Row],[essence]],Tableau6[],13,FALSE)</f>
        <v>0</v>
      </c>
      <c r="AI114" s="12">
        <f>IF(Tableau4[[#This Row],[sdom]]="4OUEST",1,0)</f>
        <v>0</v>
      </c>
      <c r="AJ114" s="12">
        <f>VLOOKUP(Tableau4[[#This Row],[essence]],Tableau6[],14,FALSE)</f>
        <v>0</v>
      </c>
      <c r="AK114" s="12">
        <f>IF(Tableau4[[#This Row],[sdom]]="5EST",1,0)</f>
        <v>0</v>
      </c>
      <c r="AL114" s="12">
        <f>VLOOKUP(Tableau4[[#This Row],[essence]],Tableau6[],17,FALSE)</f>
        <v>0</v>
      </c>
      <c r="AM114" s="12">
        <f>IF(Tableau4[[#This Row],[priorecol]]="C",1,0)</f>
        <v>0</v>
      </c>
      <c r="AN114" s="12">
        <f>VLOOKUP(Tableau4[[#This Row],[essence]],Tableau6[],18,FALSE)</f>
        <v>0</v>
      </c>
      <c r="AO114" s="12">
        <f>IF(Tableau4[[#This Row],[priorecol]]="R",1,0)</f>
        <v>1</v>
      </c>
      <c r="AP114" s="12">
        <f>VLOOKUP(Tableau4[[#This Row],[essence]],Tableau6[],19,FALSE)</f>
        <v>0</v>
      </c>
      <c r="AQ114" s="12">
        <f>IF(Tableau4[[#This Row],[priorecol]]="S",1,0)</f>
        <v>0</v>
      </c>
      <c r="AR114" s="12">
        <f>VLOOKUP(Tableau4[[#This Row],[essence]],Tableau6[],21,FALSE)</f>
        <v>0</v>
      </c>
      <c r="AS114" s="12">
        <f>IF(Tableau4[[#This Row],[priorecol]]="C",1,0)</f>
        <v>0</v>
      </c>
      <c r="AT114" s="12">
        <f>VLOOKUP(Tableau4[[#This Row],[essence]],Tableau6[],22,FALSE)</f>
        <v>0</v>
      </c>
      <c r="AU114" s="12">
        <f>IF(Tableau4[[#This Row],[priorecol]]="R",1,0)</f>
        <v>1</v>
      </c>
      <c r="AV114" s="12">
        <f>VLOOKUP(Tableau4[[#This Row],[essence]],Tableau6[],23,FALSE)</f>
        <v>0</v>
      </c>
      <c r="AW114" s="12">
        <f>IF(Tableau4[[#This Row],[priorecol]]="S",1,0)</f>
        <v>0</v>
      </c>
      <c r="AX114" s="12">
        <f>VLOOKUP(Tableau4[[#This Row],[essence]],Tableau6[],24,FALSE)</f>
        <v>0</v>
      </c>
      <c r="AY114" s="12">
        <f>VLOOKUP(Tableau4[[#This Row],[essence]],Tableau6[],25,FALSE)</f>
        <v>0</v>
      </c>
      <c r="AZ114" s="12">
        <f>VLOOKUP(Tableau4[[#This Row],[essence]],Tableau6[],26,FALSE)</f>
        <v>0</v>
      </c>
      <c r="BA114" s="12">
        <f>VLOOKUP(Tableau4[[#This Row],[essence]],Tableau6[],27,FALSE)</f>
        <v>0</v>
      </c>
      <c r="BB114" s="12">
        <f>VLOOKUP(Tableau4[[#This Row],[essence]],Tableau6[],16,FALSE)</f>
        <v>-2.0699999999999998E-3</v>
      </c>
      <c r="BC11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114" s="12">
        <f>Tableau4[[#This Row],[xb_]]+Tableau4[[#This Row],[b_intercept_C]]+Tableau4[[#This Row],[b_dhpcm_x_intercept_C]]*Tableau4[[#This Row],[dhpcm]]</f>
        <v>4.507200000000001</v>
      </c>
      <c r="BE114" s="12">
        <f>Tableau4[[#This Row],[xb_]]+Tableau4[[#This Row],[b_intercept_B]]+Tableau4[[#This Row],[b_dhpcm_x_intercept_B]]*Tableau4[[#This Row],[dhpcm]]</f>
        <v>3.0393000000000003</v>
      </c>
      <c r="BF114" s="12">
        <f>Tableau4[[#This Row],[xb_]]+Tableau4[[#This Row],[b_intercept_A]]+Tableau4[[#This Row],[b_dhpcm_x_intercept_A]]*Tableau4[[#This Row],[dhpcm]]</f>
        <v>2.1701000000000006</v>
      </c>
      <c r="BG114" s="12">
        <f>1/(1+EXP(-Tableau4[[#This Row],[xb_c]]))</f>
        <v>0.9890910193905974</v>
      </c>
      <c r="BH114" s="12">
        <f>1/(1+EXP(-Tableau4[[#This Row],[xb_b]]))</f>
        <v>0.95431832251535009</v>
      </c>
      <c r="BI114" s="12">
        <f>1/(1+EXP(-Tableau4[[#This Row],[xb_a]]))</f>
        <v>0.89753216373939204</v>
      </c>
      <c r="BJ114" s="12">
        <f>Tableau4[[#This Row],[prob_a]]</f>
        <v>0.89753216373939204</v>
      </c>
      <c r="BK114" s="12">
        <f>Tableau4[[#This Row],[prob_b]]-Tableau4[[#This Row],[prob_a]]</f>
        <v>5.6786158775958051E-2</v>
      </c>
      <c r="BL114" s="12">
        <f>Tableau4[[#This Row],[prob_c]]-Tableau4[[#This Row],[prob_b]]</f>
        <v>3.4772696875247311E-2</v>
      </c>
      <c r="BM114" s="12">
        <f>1-Tableau4[[#This Row],[prob_c]]</f>
        <v>1.0908980609402597E-2</v>
      </c>
    </row>
    <row r="115" spans="1:65" x14ac:dyDescent="0.25">
      <c r="A115" s="12">
        <v>5</v>
      </c>
      <c r="B115" s="12" t="s">
        <v>13</v>
      </c>
      <c r="C115" s="12">
        <v>2.1</v>
      </c>
      <c r="D115" s="12">
        <v>700</v>
      </c>
      <c r="E115" s="12">
        <v>20</v>
      </c>
      <c r="F115" s="12">
        <v>1</v>
      </c>
      <c r="G115" s="12">
        <v>66</v>
      </c>
      <c r="H115" s="12">
        <v>153</v>
      </c>
      <c r="I115" s="12" t="s">
        <v>24</v>
      </c>
      <c r="J115" s="12" t="s">
        <v>29</v>
      </c>
      <c r="K115" s="12">
        <f>VLOOKUP(Tableau4[[#This Row],[essence]],Tableau6[],2,FALSE)</f>
        <v>0.5262</v>
      </c>
      <c r="L115" s="12">
        <f>VLOOKUP(Tableau4[[#This Row],[essence]],Tableau6[],3,FALSE)</f>
        <v>1.3954</v>
      </c>
      <c r="M115" s="12">
        <f>VLOOKUP(Tableau4[[#This Row],[essence]],Tableau6[],4,FALSE)</f>
        <v>2.8633000000000002</v>
      </c>
      <c r="N115" s="12">
        <f>VLOOKUP(Tableau4[[#This Row],[essence]],Tableau6[],5,FALSE)</f>
        <v>1.4995000000000001</v>
      </c>
      <c r="O115" s="12">
        <f>IF(Tableau4[[#This Row],[priorecol]]="C",1,0)</f>
        <v>0</v>
      </c>
      <c r="P115" s="12">
        <f>VLOOKUP(Tableau4[[#This Row],[essence]],Tableau6[],6,FALSE)</f>
        <v>2.5129000000000001</v>
      </c>
      <c r="Q115" s="12">
        <f>IF(Tableau4[[#This Row],[priorecol]]="R",1,0)</f>
        <v>0</v>
      </c>
      <c r="R115" s="12">
        <f>VLOOKUP(Tableau4[[#This Row],[essence]],Tableau6[],7,FALSE)</f>
        <v>0.88009999999999999</v>
      </c>
      <c r="S115" s="12">
        <f>IF(Tableau4[[#This Row],[priorecol]]="S",1,0)</f>
        <v>1</v>
      </c>
      <c r="T115" s="12">
        <f>VLOOKUP(Tableau4[[#This Row],[essence]],Tableau6[],20,FALSE)</f>
        <v>0</v>
      </c>
      <c r="U115" s="12">
        <f>VLOOKUP(Tableau4[[#This Row],[essence]],Tableau6[],15,FALSE)</f>
        <v>2.9000000000000001E-2</v>
      </c>
      <c r="V115" s="12">
        <f>VLOOKUP(Tableau4[[#This Row],[essence]],Tableau6[],28,FALSE)</f>
        <v>-0.43919999999999998</v>
      </c>
      <c r="W115" s="12">
        <f>IF(Tableau4[[#This Row],[sdom]]=1,1,0)</f>
        <v>0</v>
      </c>
      <c r="X115" s="12">
        <f>VLOOKUP(Tableau4[[#This Row],[essence]],Tableau6[],8,FALSE)</f>
        <v>-0.32929999999999998</v>
      </c>
      <c r="Y115" s="12">
        <f>IF(Tableau4[[#This Row],[sdom]]="2EST",1,0)</f>
        <v>0</v>
      </c>
      <c r="Z115" s="12">
        <f>VLOOKUP(Tableau4[[#This Row],[essence]],Tableau6[],9,FALSE)</f>
        <v>0</v>
      </c>
      <c r="AA115" s="12">
        <f>IF(Tableau4[[#This Row],[sdom]]="2OUEST",1,0)</f>
        <v>0</v>
      </c>
      <c r="AB115" s="12">
        <f>VLOOKUP(Tableau4[[#This Row],[essence]],Tableau6[],10,FALSE)</f>
        <v>0</v>
      </c>
      <c r="AC115" s="12">
        <f>IF(Tableau4[[#This Row],[sdom]]="3EST",1,0)</f>
        <v>0</v>
      </c>
      <c r="AD115" s="12">
        <f>VLOOKUP(Tableau4[[#This Row],[essence]],Tableau6[],11,FALSE)</f>
        <v>0</v>
      </c>
      <c r="AE115" s="12">
        <f>IF(Tableau4[[#This Row],[sdom]]="3OUEST",1,0)</f>
        <v>1</v>
      </c>
      <c r="AF115" s="12">
        <f>VLOOKUP(Tableau4[[#This Row],[essence]],Tableau6[],12,FALSE)</f>
        <v>0</v>
      </c>
      <c r="AG115" s="12">
        <f>IF(Tableau4[[#This Row],[sdom]]="4EST",1,0)</f>
        <v>0</v>
      </c>
      <c r="AH115" s="12">
        <f>VLOOKUP(Tableau4[[#This Row],[essence]],Tableau6[],13,FALSE)</f>
        <v>0</v>
      </c>
      <c r="AI115" s="12">
        <f>IF(Tableau4[[#This Row],[sdom]]="4OUEST",1,0)</f>
        <v>0</v>
      </c>
      <c r="AJ115" s="12">
        <f>VLOOKUP(Tableau4[[#This Row],[essence]],Tableau6[],14,FALSE)</f>
        <v>0</v>
      </c>
      <c r="AK115" s="12">
        <f>IF(Tableau4[[#This Row],[sdom]]="5EST",1,0)</f>
        <v>0</v>
      </c>
      <c r="AL115" s="12">
        <f>VLOOKUP(Tableau4[[#This Row],[essence]],Tableau6[],17,FALSE)</f>
        <v>0</v>
      </c>
      <c r="AM115" s="12">
        <f>IF(Tableau4[[#This Row],[priorecol]]="C",1,0)</f>
        <v>0</v>
      </c>
      <c r="AN115" s="12">
        <f>VLOOKUP(Tableau4[[#This Row],[essence]],Tableau6[],18,FALSE)</f>
        <v>0</v>
      </c>
      <c r="AO115" s="12">
        <f>IF(Tableau4[[#This Row],[priorecol]]="R",1,0)</f>
        <v>0</v>
      </c>
      <c r="AP115" s="12">
        <f>VLOOKUP(Tableau4[[#This Row],[essence]],Tableau6[],19,FALSE)</f>
        <v>0</v>
      </c>
      <c r="AQ115" s="12">
        <f>IF(Tableau4[[#This Row],[priorecol]]="S",1,0)</f>
        <v>1</v>
      </c>
      <c r="AR115" s="12">
        <f>VLOOKUP(Tableau4[[#This Row],[essence]],Tableau6[],21,FALSE)</f>
        <v>0</v>
      </c>
      <c r="AS115" s="12">
        <f>IF(Tableau4[[#This Row],[priorecol]]="C",1,0)</f>
        <v>0</v>
      </c>
      <c r="AT115" s="12">
        <f>VLOOKUP(Tableau4[[#This Row],[essence]],Tableau6[],22,FALSE)</f>
        <v>0</v>
      </c>
      <c r="AU115" s="12">
        <f>IF(Tableau4[[#This Row],[priorecol]]="R",1,0)</f>
        <v>0</v>
      </c>
      <c r="AV115" s="12">
        <f>VLOOKUP(Tableau4[[#This Row],[essence]],Tableau6[],23,FALSE)</f>
        <v>0</v>
      </c>
      <c r="AW115" s="12">
        <f>IF(Tableau4[[#This Row],[priorecol]]="S",1,0)</f>
        <v>1</v>
      </c>
      <c r="AX115" s="12">
        <f>VLOOKUP(Tableau4[[#This Row],[essence]],Tableau6[],24,FALSE)</f>
        <v>0</v>
      </c>
      <c r="AY115" s="12">
        <f>VLOOKUP(Tableau4[[#This Row],[essence]],Tableau6[],25,FALSE)</f>
        <v>0</v>
      </c>
      <c r="AZ115" s="12">
        <f>VLOOKUP(Tableau4[[#This Row],[essence]],Tableau6[],26,FALSE)</f>
        <v>0</v>
      </c>
      <c r="BA115" s="12">
        <f>VLOOKUP(Tableau4[[#This Row],[essence]],Tableau6[],27,FALSE)</f>
        <v>0</v>
      </c>
      <c r="BB115" s="12">
        <f>VLOOKUP(Tableau4[[#This Row],[essence]],Tableau6[],16,FALSE)</f>
        <v>-2.0699999999999998E-3</v>
      </c>
      <c r="BC11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115" s="12">
        <f>Tableau4[[#This Row],[xb_]]+Tableau4[[#This Row],[b_intercept_C]]+Tableau4[[#This Row],[b_dhpcm_x_intercept_C]]*Tableau4[[#This Row],[dhpcm]]</f>
        <v>2.8744000000000005</v>
      </c>
      <c r="BE115" s="12">
        <f>Tableau4[[#This Row],[xb_]]+Tableau4[[#This Row],[b_intercept_B]]+Tableau4[[#This Row],[b_dhpcm_x_intercept_B]]*Tableau4[[#This Row],[dhpcm]]</f>
        <v>1.4065000000000003</v>
      </c>
      <c r="BF115" s="12">
        <f>Tableau4[[#This Row],[xb_]]+Tableau4[[#This Row],[b_intercept_A]]+Tableau4[[#This Row],[b_dhpcm_x_intercept_A]]*Tableau4[[#This Row],[dhpcm]]</f>
        <v>0.53730000000000033</v>
      </c>
      <c r="BG115" s="12">
        <f>1/(1+EXP(-Tableau4[[#This Row],[xb_c]]))</f>
        <v>0.94656633122301448</v>
      </c>
      <c r="BH115" s="12">
        <f>1/(1+EXP(-Tableau4[[#This Row],[xb_b]]))</f>
        <v>0.80321331477375935</v>
      </c>
      <c r="BI115" s="12">
        <f>1/(1+EXP(-Tableau4[[#This Row],[xb_a]]))</f>
        <v>0.63118410569197869</v>
      </c>
      <c r="BJ115" s="12">
        <f>Tableau4[[#This Row],[prob_a]]</f>
        <v>0.63118410569197869</v>
      </c>
      <c r="BK115" s="12">
        <f>Tableau4[[#This Row],[prob_b]]-Tableau4[[#This Row],[prob_a]]</f>
        <v>0.17202920908178065</v>
      </c>
      <c r="BL115" s="12">
        <f>Tableau4[[#This Row],[prob_c]]-Tableau4[[#This Row],[prob_b]]</f>
        <v>0.14335301644925513</v>
      </c>
      <c r="BM115" s="12">
        <f>1-Tableau4[[#This Row],[prob_c]]</f>
        <v>5.3433668776985521E-2</v>
      </c>
    </row>
    <row r="116" spans="1:65" x14ac:dyDescent="0.25">
      <c r="A116" s="12">
        <v>5</v>
      </c>
      <c r="B116" s="12" t="s">
        <v>13</v>
      </c>
      <c r="C116" s="12">
        <v>2.1</v>
      </c>
      <c r="D116" s="12">
        <v>700</v>
      </c>
      <c r="E116" s="12">
        <v>20</v>
      </c>
      <c r="F116" s="12">
        <v>1</v>
      </c>
      <c r="G116" s="12">
        <v>67</v>
      </c>
      <c r="H116" s="12">
        <v>154</v>
      </c>
      <c r="I116" s="12" t="s">
        <v>25</v>
      </c>
      <c r="J116" s="12" t="s">
        <v>27</v>
      </c>
      <c r="K116" s="12">
        <f>VLOOKUP(Tableau4[[#This Row],[essence]],Tableau6[],2,FALSE)</f>
        <v>-4.3875000000000002</v>
      </c>
      <c r="L116" s="12">
        <f>VLOOKUP(Tableau4[[#This Row],[essence]],Tableau6[],3,FALSE)</f>
        <v>-3.0411999999999999</v>
      </c>
      <c r="M116" s="12">
        <f>VLOOKUP(Tableau4[[#This Row],[essence]],Tableau6[],4,FALSE)</f>
        <v>-1.2259</v>
      </c>
      <c r="N116" s="12">
        <f>VLOOKUP(Tableau4[[#This Row],[essence]],Tableau6[],5,FALSE)</f>
        <v>1.7715000000000001</v>
      </c>
      <c r="O116" s="12">
        <f>IF(Tableau4[[#This Row],[priorecol]]="C",1,0)</f>
        <v>1</v>
      </c>
      <c r="P116" s="12">
        <f>VLOOKUP(Tableau4[[#This Row],[essence]],Tableau6[],6,FALSE)</f>
        <v>2.6688000000000001</v>
      </c>
      <c r="Q116" s="12">
        <f>IF(Tableau4[[#This Row],[priorecol]]="R",1,0)</f>
        <v>0</v>
      </c>
      <c r="R116" s="12">
        <f>VLOOKUP(Tableau4[[#This Row],[essence]],Tableau6[],7,FALSE)</f>
        <v>1.5728</v>
      </c>
      <c r="S116" s="12">
        <f>IF(Tableau4[[#This Row],[priorecol]]="S",1,0)</f>
        <v>0</v>
      </c>
      <c r="T116" s="12">
        <f>VLOOKUP(Tableau4[[#This Row],[essence]],Tableau6[],20,FALSE)</f>
        <v>0</v>
      </c>
      <c r="U116" s="12">
        <f>VLOOKUP(Tableau4[[#This Row],[essence]],Tableau6[],15,FALSE)</f>
        <v>0</v>
      </c>
      <c r="V116" s="12">
        <f>VLOOKUP(Tableau4[[#This Row],[essence]],Tableau6[],28,FALSE)</f>
        <v>0</v>
      </c>
      <c r="W116" s="12">
        <f>IF(Tableau4[[#This Row],[sdom]]=1,1,0)</f>
        <v>0</v>
      </c>
      <c r="X116" s="12">
        <f>VLOOKUP(Tableau4[[#This Row],[essence]],Tableau6[],8,FALSE)</f>
        <v>0.86129999999999995</v>
      </c>
      <c r="Y116" s="12">
        <f>IF(Tableau4[[#This Row],[sdom]]="2EST",1,0)</f>
        <v>0</v>
      </c>
      <c r="Z116" s="12">
        <f>VLOOKUP(Tableau4[[#This Row],[essence]],Tableau6[],9,FALSE)</f>
        <v>0.39550000000000002</v>
      </c>
      <c r="AA116" s="12">
        <f>IF(Tableau4[[#This Row],[sdom]]="2OUEST",1,0)</f>
        <v>0</v>
      </c>
      <c r="AB116" s="12">
        <f>VLOOKUP(Tableau4[[#This Row],[essence]],Tableau6[],10,FALSE)</f>
        <v>0.58989999999999998</v>
      </c>
      <c r="AC116" s="12">
        <f>IF(Tableau4[[#This Row],[sdom]]="3EST",1,0)</f>
        <v>0</v>
      </c>
      <c r="AD116" s="12">
        <f>VLOOKUP(Tableau4[[#This Row],[essence]],Tableau6[],11,FALSE)</f>
        <v>0.52759999999999996</v>
      </c>
      <c r="AE116" s="12">
        <f>IF(Tableau4[[#This Row],[sdom]]="3OUEST",1,0)</f>
        <v>1</v>
      </c>
      <c r="AF116" s="12">
        <f>VLOOKUP(Tableau4[[#This Row],[essence]],Tableau6[],12,FALSE)</f>
        <v>0</v>
      </c>
      <c r="AG116" s="12">
        <f>IF(Tableau4[[#This Row],[sdom]]="4EST",1,0)</f>
        <v>0</v>
      </c>
      <c r="AH116" s="12">
        <f>VLOOKUP(Tableau4[[#This Row],[essence]],Tableau6[],13,FALSE)</f>
        <v>0</v>
      </c>
      <c r="AI116" s="12">
        <f>IF(Tableau4[[#This Row],[sdom]]="4OUEST",1,0)</f>
        <v>0</v>
      </c>
      <c r="AJ116" s="12">
        <f>VLOOKUP(Tableau4[[#This Row],[essence]],Tableau6[],14,FALSE)</f>
        <v>0</v>
      </c>
      <c r="AK116" s="12">
        <f>IF(Tableau4[[#This Row],[sdom]]="5EST",1,0)</f>
        <v>0</v>
      </c>
      <c r="AL116" s="12">
        <f>VLOOKUP(Tableau4[[#This Row],[essence]],Tableau6[],17,FALSE)</f>
        <v>0</v>
      </c>
      <c r="AM116" s="12">
        <f>IF(Tableau4[[#This Row],[priorecol]]="C",1,0)</f>
        <v>1</v>
      </c>
      <c r="AN116" s="12">
        <f>VLOOKUP(Tableau4[[#This Row],[essence]],Tableau6[],18,FALSE)</f>
        <v>0</v>
      </c>
      <c r="AO116" s="12">
        <f>IF(Tableau4[[#This Row],[priorecol]]="R",1,0)</f>
        <v>0</v>
      </c>
      <c r="AP116" s="12">
        <f>VLOOKUP(Tableau4[[#This Row],[essence]],Tableau6[],19,FALSE)</f>
        <v>0</v>
      </c>
      <c r="AQ116" s="12">
        <f>IF(Tableau4[[#This Row],[priorecol]]="S",1,0)</f>
        <v>0</v>
      </c>
      <c r="AR116" s="12">
        <f>VLOOKUP(Tableau4[[#This Row],[essence]],Tableau6[],21,FALSE)</f>
        <v>0</v>
      </c>
      <c r="AS116" s="12">
        <f>IF(Tableau4[[#This Row],[priorecol]]="C",1,0)</f>
        <v>1</v>
      </c>
      <c r="AT116" s="12">
        <f>VLOOKUP(Tableau4[[#This Row],[essence]],Tableau6[],22,FALSE)</f>
        <v>0</v>
      </c>
      <c r="AU116" s="12">
        <f>IF(Tableau4[[#This Row],[priorecol]]="R",1,0)</f>
        <v>0</v>
      </c>
      <c r="AV116" s="12">
        <f>VLOOKUP(Tableau4[[#This Row],[essence]],Tableau6[],23,FALSE)</f>
        <v>0</v>
      </c>
      <c r="AW116" s="12">
        <f>IF(Tableau4[[#This Row],[priorecol]]="S",1,0)</f>
        <v>0</v>
      </c>
      <c r="AX116" s="12">
        <f>VLOOKUP(Tableau4[[#This Row],[essence]],Tableau6[],24,FALSE)</f>
        <v>0</v>
      </c>
      <c r="AY116" s="12">
        <f>VLOOKUP(Tableau4[[#This Row],[essence]],Tableau6[],25,FALSE)</f>
        <v>0</v>
      </c>
      <c r="AZ116" s="12">
        <f>VLOOKUP(Tableau4[[#This Row],[essence]],Tableau6[],26,FALSE)</f>
        <v>0</v>
      </c>
      <c r="BA116" s="12">
        <f>VLOOKUP(Tableau4[[#This Row],[essence]],Tableau6[],27,FALSE)</f>
        <v>0</v>
      </c>
      <c r="BB116" s="12">
        <f>VLOOKUP(Tableau4[[#This Row],[essence]],Tableau6[],16,FALSE)</f>
        <v>0</v>
      </c>
      <c r="BC11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2.2991000000000001</v>
      </c>
      <c r="BD116" s="12">
        <f>Tableau4[[#This Row],[xb_]]+Tableau4[[#This Row],[b_intercept_C]]+Tableau4[[#This Row],[b_dhpcm_x_intercept_C]]*Tableau4[[#This Row],[dhpcm]]</f>
        <v>1.0732000000000002</v>
      </c>
      <c r="BE116" s="12">
        <f>Tableau4[[#This Row],[xb_]]+Tableau4[[#This Row],[b_intercept_B]]+Tableau4[[#This Row],[b_dhpcm_x_intercept_B]]*Tableau4[[#This Row],[dhpcm]]</f>
        <v>-0.74209999999999976</v>
      </c>
      <c r="BF116" s="12">
        <f>Tableau4[[#This Row],[xb_]]+Tableau4[[#This Row],[b_intercept_A]]+Tableau4[[#This Row],[b_dhpcm_x_intercept_A]]*Tableau4[[#This Row],[dhpcm]]</f>
        <v>-2.0884</v>
      </c>
      <c r="BG116" s="12">
        <f>1/(1+EXP(-Tableau4[[#This Row],[xb_c]]))</f>
        <v>0.74520499087813963</v>
      </c>
      <c r="BH116" s="12">
        <f>1/(1+EXP(-Tableau4[[#This Row],[xb_b]]))</f>
        <v>0.32254510237142869</v>
      </c>
      <c r="BI116" s="12">
        <f>1/(1+EXP(-Tableau4[[#This Row],[xb_a]]))</f>
        <v>0.11022940273611781</v>
      </c>
      <c r="BJ116" s="12">
        <f>Tableau4[[#This Row],[prob_a]]</f>
        <v>0.11022940273611781</v>
      </c>
      <c r="BK116" s="12">
        <f>Tableau4[[#This Row],[prob_b]]-Tableau4[[#This Row],[prob_a]]</f>
        <v>0.21231569963531088</v>
      </c>
      <c r="BL116" s="12">
        <f>Tableau4[[#This Row],[prob_c]]-Tableau4[[#This Row],[prob_b]]</f>
        <v>0.42265988850671093</v>
      </c>
      <c r="BM116" s="12">
        <f>1-Tableau4[[#This Row],[prob_c]]</f>
        <v>0.25479500912186037</v>
      </c>
    </row>
    <row r="117" spans="1:65" x14ac:dyDescent="0.25">
      <c r="A117" s="12">
        <v>5</v>
      </c>
      <c r="B117" s="12" t="s">
        <v>13</v>
      </c>
      <c r="C117" s="12">
        <v>2.1</v>
      </c>
      <c r="D117" s="12">
        <v>700</v>
      </c>
      <c r="E117" s="12">
        <v>20</v>
      </c>
      <c r="F117" s="12">
        <v>1</v>
      </c>
      <c r="G117" s="12">
        <v>68</v>
      </c>
      <c r="H117" s="12">
        <v>155</v>
      </c>
      <c r="I117" s="12" t="s">
        <v>25</v>
      </c>
      <c r="J117" s="12" t="s">
        <v>28</v>
      </c>
      <c r="K117" s="12">
        <f>VLOOKUP(Tableau4[[#This Row],[essence]],Tableau6[],2,FALSE)</f>
        <v>-4.3875000000000002</v>
      </c>
      <c r="L117" s="12">
        <f>VLOOKUP(Tableau4[[#This Row],[essence]],Tableau6[],3,FALSE)</f>
        <v>-3.0411999999999999</v>
      </c>
      <c r="M117" s="12">
        <f>VLOOKUP(Tableau4[[#This Row],[essence]],Tableau6[],4,FALSE)</f>
        <v>-1.2259</v>
      </c>
      <c r="N117" s="12">
        <f>VLOOKUP(Tableau4[[#This Row],[essence]],Tableau6[],5,FALSE)</f>
        <v>1.7715000000000001</v>
      </c>
      <c r="O117" s="12">
        <f>IF(Tableau4[[#This Row],[priorecol]]="C",1,0)</f>
        <v>0</v>
      </c>
      <c r="P117" s="12">
        <f>VLOOKUP(Tableau4[[#This Row],[essence]],Tableau6[],6,FALSE)</f>
        <v>2.6688000000000001</v>
      </c>
      <c r="Q117" s="12">
        <f>IF(Tableau4[[#This Row],[priorecol]]="R",1,0)</f>
        <v>1</v>
      </c>
      <c r="R117" s="12">
        <f>VLOOKUP(Tableau4[[#This Row],[essence]],Tableau6[],7,FALSE)</f>
        <v>1.5728</v>
      </c>
      <c r="S117" s="12">
        <f>IF(Tableau4[[#This Row],[priorecol]]="S",1,0)</f>
        <v>0</v>
      </c>
      <c r="T117" s="12">
        <f>VLOOKUP(Tableau4[[#This Row],[essence]],Tableau6[],20,FALSE)</f>
        <v>0</v>
      </c>
      <c r="U117" s="12">
        <f>VLOOKUP(Tableau4[[#This Row],[essence]],Tableau6[],15,FALSE)</f>
        <v>0</v>
      </c>
      <c r="V117" s="12">
        <f>VLOOKUP(Tableau4[[#This Row],[essence]],Tableau6[],28,FALSE)</f>
        <v>0</v>
      </c>
      <c r="W117" s="12">
        <f>IF(Tableau4[[#This Row],[sdom]]=1,1,0)</f>
        <v>0</v>
      </c>
      <c r="X117" s="12">
        <f>VLOOKUP(Tableau4[[#This Row],[essence]],Tableau6[],8,FALSE)</f>
        <v>0.86129999999999995</v>
      </c>
      <c r="Y117" s="12">
        <f>IF(Tableau4[[#This Row],[sdom]]="2EST",1,0)</f>
        <v>0</v>
      </c>
      <c r="Z117" s="12">
        <f>VLOOKUP(Tableau4[[#This Row],[essence]],Tableau6[],9,FALSE)</f>
        <v>0.39550000000000002</v>
      </c>
      <c r="AA117" s="12">
        <f>IF(Tableau4[[#This Row],[sdom]]="2OUEST",1,0)</f>
        <v>0</v>
      </c>
      <c r="AB117" s="12">
        <f>VLOOKUP(Tableau4[[#This Row],[essence]],Tableau6[],10,FALSE)</f>
        <v>0.58989999999999998</v>
      </c>
      <c r="AC117" s="12">
        <f>IF(Tableau4[[#This Row],[sdom]]="3EST",1,0)</f>
        <v>0</v>
      </c>
      <c r="AD117" s="12">
        <f>VLOOKUP(Tableau4[[#This Row],[essence]],Tableau6[],11,FALSE)</f>
        <v>0.52759999999999996</v>
      </c>
      <c r="AE117" s="12">
        <f>IF(Tableau4[[#This Row],[sdom]]="3OUEST",1,0)</f>
        <v>1</v>
      </c>
      <c r="AF117" s="12">
        <f>VLOOKUP(Tableau4[[#This Row],[essence]],Tableau6[],12,FALSE)</f>
        <v>0</v>
      </c>
      <c r="AG117" s="12">
        <f>IF(Tableau4[[#This Row],[sdom]]="4EST",1,0)</f>
        <v>0</v>
      </c>
      <c r="AH117" s="12">
        <f>VLOOKUP(Tableau4[[#This Row],[essence]],Tableau6[],13,FALSE)</f>
        <v>0</v>
      </c>
      <c r="AI117" s="12">
        <f>IF(Tableau4[[#This Row],[sdom]]="4OUEST",1,0)</f>
        <v>0</v>
      </c>
      <c r="AJ117" s="12">
        <f>VLOOKUP(Tableau4[[#This Row],[essence]],Tableau6[],14,FALSE)</f>
        <v>0</v>
      </c>
      <c r="AK117" s="12">
        <f>IF(Tableau4[[#This Row],[sdom]]="5EST",1,0)</f>
        <v>0</v>
      </c>
      <c r="AL117" s="12">
        <f>VLOOKUP(Tableau4[[#This Row],[essence]],Tableau6[],17,FALSE)</f>
        <v>0</v>
      </c>
      <c r="AM117" s="12">
        <f>IF(Tableau4[[#This Row],[priorecol]]="C",1,0)</f>
        <v>0</v>
      </c>
      <c r="AN117" s="12">
        <f>VLOOKUP(Tableau4[[#This Row],[essence]],Tableau6[],18,FALSE)</f>
        <v>0</v>
      </c>
      <c r="AO117" s="12">
        <f>IF(Tableau4[[#This Row],[priorecol]]="R",1,0)</f>
        <v>1</v>
      </c>
      <c r="AP117" s="12">
        <f>VLOOKUP(Tableau4[[#This Row],[essence]],Tableau6[],19,FALSE)</f>
        <v>0</v>
      </c>
      <c r="AQ117" s="12">
        <f>IF(Tableau4[[#This Row],[priorecol]]="S",1,0)</f>
        <v>0</v>
      </c>
      <c r="AR117" s="12">
        <f>VLOOKUP(Tableau4[[#This Row],[essence]],Tableau6[],21,FALSE)</f>
        <v>0</v>
      </c>
      <c r="AS117" s="12">
        <f>IF(Tableau4[[#This Row],[priorecol]]="C",1,0)</f>
        <v>0</v>
      </c>
      <c r="AT117" s="12">
        <f>VLOOKUP(Tableau4[[#This Row],[essence]],Tableau6[],22,FALSE)</f>
        <v>0</v>
      </c>
      <c r="AU117" s="12">
        <f>IF(Tableau4[[#This Row],[priorecol]]="R",1,0)</f>
        <v>1</v>
      </c>
      <c r="AV117" s="12">
        <f>VLOOKUP(Tableau4[[#This Row],[essence]],Tableau6[],23,FALSE)</f>
        <v>0</v>
      </c>
      <c r="AW117" s="12">
        <f>IF(Tableau4[[#This Row],[priorecol]]="S",1,0)</f>
        <v>0</v>
      </c>
      <c r="AX117" s="12">
        <f>VLOOKUP(Tableau4[[#This Row],[essence]],Tableau6[],24,FALSE)</f>
        <v>0</v>
      </c>
      <c r="AY117" s="12">
        <f>VLOOKUP(Tableau4[[#This Row],[essence]],Tableau6[],25,FALSE)</f>
        <v>0</v>
      </c>
      <c r="AZ117" s="12">
        <f>VLOOKUP(Tableau4[[#This Row],[essence]],Tableau6[],26,FALSE)</f>
        <v>0</v>
      </c>
      <c r="BA117" s="12">
        <f>VLOOKUP(Tableau4[[#This Row],[essence]],Tableau6[],27,FALSE)</f>
        <v>0</v>
      </c>
      <c r="BB117" s="12">
        <f>VLOOKUP(Tableau4[[#This Row],[essence]],Tableau6[],16,FALSE)</f>
        <v>0</v>
      </c>
      <c r="BC11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3.1964000000000001</v>
      </c>
      <c r="BD117" s="12">
        <f>Tableau4[[#This Row],[xb_]]+Tableau4[[#This Row],[b_intercept_C]]+Tableau4[[#This Row],[b_dhpcm_x_intercept_C]]*Tableau4[[#This Row],[dhpcm]]</f>
        <v>1.9705000000000001</v>
      </c>
      <c r="BE117" s="12">
        <f>Tableau4[[#This Row],[xb_]]+Tableau4[[#This Row],[b_intercept_B]]+Tableau4[[#This Row],[b_dhpcm_x_intercept_B]]*Tableau4[[#This Row],[dhpcm]]</f>
        <v>0.15520000000000023</v>
      </c>
      <c r="BF117" s="12">
        <f>Tableau4[[#This Row],[xb_]]+Tableau4[[#This Row],[b_intercept_A]]+Tableau4[[#This Row],[b_dhpcm_x_intercept_A]]*Tableau4[[#This Row],[dhpcm]]</f>
        <v>-1.1911</v>
      </c>
      <c r="BG117" s="12">
        <f>1/(1+EXP(-Tableau4[[#This Row],[xb_c]]))</f>
        <v>0.87766480796156143</v>
      </c>
      <c r="BH117" s="12">
        <f>1/(1+EXP(-Tableau4[[#This Row],[xb_b]]))</f>
        <v>0.53872230570785407</v>
      </c>
      <c r="BI117" s="12">
        <f>1/(1+EXP(-Tableau4[[#This Row],[xb_a]]))</f>
        <v>0.23306225937400782</v>
      </c>
      <c r="BJ117" s="12">
        <f>Tableau4[[#This Row],[prob_a]]</f>
        <v>0.23306225937400782</v>
      </c>
      <c r="BK117" s="12">
        <f>Tableau4[[#This Row],[prob_b]]-Tableau4[[#This Row],[prob_a]]</f>
        <v>0.30566004633384625</v>
      </c>
      <c r="BL117" s="12">
        <f>Tableau4[[#This Row],[prob_c]]-Tableau4[[#This Row],[prob_b]]</f>
        <v>0.33894250225370737</v>
      </c>
      <c r="BM117" s="12">
        <f>1-Tableau4[[#This Row],[prob_c]]</f>
        <v>0.12233519203843857</v>
      </c>
    </row>
    <row r="118" spans="1:65" x14ac:dyDescent="0.25">
      <c r="A118" s="12">
        <v>5</v>
      </c>
      <c r="B118" s="12" t="s">
        <v>13</v>
      </c>
      <c r="C118" s="12">
        <v>2.1</v>
      </c>
      <c r="D118" s="12">
        <v>700</v>
      </c>
      <c r="E118" s="12">
        <v>20</v>
      </c>
      <c r="F118" s="12">
        <v>1</v>
      </c>
      <c r="G118" s="12">
        <v>69</v>
      </c>
      <c r="H118" s="12">
        <v>156</v>
      </c>
      <c r="I118" s="12" t="s">
        <v>25</v>
      </c>
      <c r="J118" s="12" t="s">
        <v>29</v>
      </c>
      <c r="K118" s="12">
        <f>VLOOKUP(Tableau4[[#This Row],[essence]],Tableau6[],2,FALSE)</f>
        <v>-4.3875000000000002</v>
      </c>
      <c r="L118" s="12">
        <f>VLOOKUP(Tableau4[[#This Row],[essence]],Tableau6[],3,FALSE)</f>
        <v>-3.0411999999999999</v>
      </c>
      <c r="M118" s="12">
        <f>VLOOKUP(Tableau4[[#This Row],[essence]],Tableau6[],4,FALSE)</f>
        <v>-1.2259</v>
      </c>
      <c r="N118" s="12">
        <f>VLOOKUP(Tableau4[[#This Row],[essence]],Tableau6[],5,FALSE)</f>
        <v>1.7715000000000001</v>
      </c>
      <c r="O118" s="12">
        <f>IF(Tableau4[[#This Row],[priorecol]]="C",1,0)</f>
        <v>0</v>
      </c>
      <c r="P118" s="12">
        <f>VLOOKUP(Tableau4[[#This Row],[essence]],Tableau6[],6,FALSE)</f>
        <v>2.6688000000000001</v>
      </c>
      <c r="Q118" s="12">
        <f>IF(Tableau4[[#This Row],[priorecol]]="R",1,0)</f>
        <v>0</v>
      </c>
      <c r="R118" s="12">
        <f>VLOOKUP(Tableau4[[#This Row],[essence]],Tableau6[],7,FALSE)</f>
        <v>1.5728</v>
      </c>
      <c r="S118" s="12">
        <f>IF(Tableau4[[#This Row],[priorecol]]="S",1,0)</f>
        <v>1</v>
      </c>
      <c r="T118" s="12">
        <f>VLOOKUP(Tableau4[[#This Row],[essence]],Tableau6[],20,FALSE)</f>
        <v>0</v>
      </c>
      <c r="U118" s="12">
        <f>VLOOKUP(Tableau4[[#This Row],[essence]],Tableau6[],15,FALSE)</f>
        <v>0</v>
      </c>
      <c r="V118" s="12">
        <f>VLOOKUP(Tableau4[[#This Row],[essence]],Tableau6[],28,FALSE)</f>
        <v>0</v>
      </c>
      <c r="W118" s="12">
        <f>IF(Tableau4[[#This Row],[sdom]]=1,1,0)</f>
        <v>0</v>
      </c>
      <c r="X118" s="12">
        <f>VLOOKUP(Tableau4[[#This Row],[essence]],Tableau6[],8,FALSE)</f>
        <v>0.86129999999999995</v>
      </c>
      <c r="Y118" s="12">
        <f>IF(Tableau4[[#This Row],[sdom]]="2EST",1,0)</f>
        <v>0</v>
      </c>
      <c r="Z118" s="12">
        <f>VLOOKUP(Tableau4[[#This Row],[essence]],Tableau6[],9,FALSE)</f>
        <v>0.39550000000000002</v>
      </c>
      <c r="AA118" s="12">
        <f>IF(Tableau4[[#This Row],[sdom]]="2OUEST",1,0)</f>
        <v>0</v>
      </c>
      <c r="AB118" s="12">
        <f>VLOOKUP(Tableau4[[#This Row],[essence]],Tableau6[],10,FALSE)</f>
        <v>0.58989999999999998</v>
      </c>
      <c r="AC118" s="12">
        <f>IF(Tableau4[[#This Row],[sdom]]="3EST",1,0)</f>
        <v>0</v>
      </c>
      <c r="AD118" s="12">
        <f>VLOOKUP(Tableau4[[#This Row],[essence]],Tableau6[],11,FALSE)</f>
        <v>0.52759999999999996</v>
      </c>
      <c r="AE118" s="12">
        <f>IF(Tableau4[[#This Row],[sdom]]="3OUEST",1,0)</f>
        <v>1</v>
      </c>
      <c r="AF118" s="12">
        <f>VLOOKUP(Tableau4[[#This Row],[essence]],Tableau6[],12,FALSE)</f>
        <v>0</v>
      </c>
      <c r="AG118" s="12">
        <f>IF(Tableau4[[#This Row],[sdom]]="4EST",1,0)</f>
        <v>0</v>
      </c>
      <c r="AH118" s="12">
        <f>VLOOKUP(Tableau4[[#This Row],[essence]],Tableau6[],13,FALSE)</f>
        <v>0</v>
      </c>
      <c r="AI118" s="12">
        <f>IF(Tableau4[[#This Row],[sdom]]="4OUEST",1,0)</f>
        <v>0</v>
      </c>
      <c r="AJ118" s="12">
        <f>VLOOKUP(Tableau4[[#This Row],[essence]],Tableau6[],14,FALSE)</f>
        <v>0</v>
      </c>
      <c r="AK118" s="12">
        <f>IF(Tableau4[[#This Row],[sdom]]="5EST",1,0)</f>
        <v>0</v>
      </c>
      <c r="AL118" s="12">
        <f>VLOOKUP(Tableau4[[#This Row],[essence]],Tableau6[],17,FALSE)</f>
        <v>0</v>
      </c>
      <c r="AM118" s="12">
        <f>IF(Tableau4[[#This Row],[priorecol]]="C",1,0)</f>
        <v>0</v>
      </c>
      <c r="AN118" s="12">
        <f>VLOOKUP(Tableau4[[#This Row],[essence]],Tableau6[],18,FALSE)</f>
        <v>0</v>
      </c>
      <c r="AO118" s="12">
        <f>IF(Tableau4[[#This Row],[priorecol]]="R",1,0)</f>
        <v>0</v>
      </c>
      <c r="AP118" s="12">
        <f>VLOOKUP(Tableau4[[#This Row],[essence]],Tableau6[],19,FALSE)</f>
        <v>0</v>
      </c>
      <c r="AQ118" s="12">
        <f>IF(Tableau4[[#This Row],[priorecol]]="S",1,0)</f>
        <v>1</v>
      </c>
      <c r="AR118" s="12">
        <f>VLOOKUP(Tableau4[[#This Row],[essence]],Tableau6[],21,FALSE)</f>
        <v>0</v>
      </c>
      <c r="AS118" s="12">
        <f>IF(Tableau4[[#This Row],[priorecol]]="C",1,0)</f>
        <v>0</v>
      </c>
      <c r="AT118" s="12">
        <f>VLOOKUP(Tableau4[[#This Row],[essence]],Tableau6[],22,FALSE)</f>
        <v>0</v>
      </c>
      <c r="AU118" s="12">
        <f>IF(Tableau4[[#This Row],[priorecol]]="R",1,0)</f>
        <v>0</v>
      </c>
      <c r="AV118" s="12">
        <f>VLOOKUP(Tableau4[[#This Row],[essence]],Tableau6[],23,FALSE)</f>
        <v>0</v>
      </c>
      <c r="AW118" s="12">
        <f>IF(Tableau4[[#This Row],[priorecol]]="S",1,0)</f>
        <v>1</v>
      </c>
      <c r="AX118" s="12">
        <f>VLOOKUP(Tableau4[[#This Row],[essence]],Tableau6[],24,FALSE)</f>
        <v>0</v>
      </c>
      <c r="AY118" s="12">
        <f>VLOOKUP(Tableau4[[#This Row],[essence]],Tableau6[],25,FALSE)</f>
        <v>0</v>
      </c>
      <c r="AZ118" s="12">
        <f>VLOOKUP(Tableau4[[#This Row],[essence]],Tableau6[],26,FALSE)</f>
        <v>0</v>
      </c>
      <c r="BA118" s="12">
        <f>VLOOKUP(Tableau4[[#This Row],[essence]],Tableau6[],27,FALSE)</f>
        <v>0</v>
      </c>
      <c r="BB118" s="12">
        <f>VLOOKUP(Tableau4[[#This Row],[essence]],Tableau6[],16,FALSE)</f>
        <v>0</v>
      </c>
      <c r="BC11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2.1004</v>
      </c>
      <c r="BD118" s="12">
        <f>Tableau4[[#This Row],[xb_]]+Tableau4[[#This Row],[b_intercept_C]]+Tableau4[[#This Row],[b_dhpcm_x_intercept_C]]*Tableau4[[#This Row],[dhpcm]]</f>
        <v>0.87450000000000006</v>
      </c>
      <c r="BE118" s="12">
        <f>Tableau4[[#This Row],[xb_]]+Tableau4[[#This Row],[b_intercept_B]]+Tableau4[[#This Row],[b_dhpcm_x_intercept_B]]*Tableau4[[#This Row],[dhpcm]]</f>
        <v>-0.94079999999999986</v>
      </c>
      <c r="BF118" s="12">
        <f>Tableau4[[#This Row],[xb_]]+Tableau4[[#This Row],[b_intercept_A]]+Tableau4[[#This Row],[b_dhpcm_x_intercept_A]]*Tableau4[[#This Row],[dhpcm]]</f>
        <v>-2.2871000000000001</v>
      </c>
      <c r="BG118" s="12">
        <f>1/(1+EXP(-Tableau4[[#This Row],[xb_c]]))</f>
        <v>0.7056811908939713</v>
      </c>
      <c r="BH118" s="12">
        <f>1/(1+EXP(-Tableau4[[#This Row],[xb_b]]))</f>
        <v>0.28073877463972202</v>
      </c>
      <c r="BI118" s="12">
        <f>1/(1+EXP(-Tableau4[[#This Row],[xb_a]]))</f>
        <v>9.2196983481395836E-2</v>
      </c>
      <c r="BJ118" s="12">
        <f>Tableau4[[#This Row],[prob_a]]</f>
        <v>9.2196983481395836E-2</v>
      </c>
      <c r="BK118" s="12">
        <f>Tableau4[[#This Row],[prob_b]]-Tableau4[[#This Row],[prob_a]]</f>
        <v>0.1885417911583262</v>
      </c>
      <c r="BL118" s="12">
        <f>Tableau4[[#This Row],[prob_c]]-Tableau4[[#This Row],[prob_b]]</f>
        <v>0.42494241625424928</v>
      </c>
      <c r="BM118" s="12">
        <f>1-Tableau4[[#This Row],[prob_c]]</f>
        <v>0.2943188091060287</v>
      </c>
    </row>
    <row r="119" spans="1:65" x14ac:dyDescent="0.25">
      <c r="A119" s="12">
        <v>5</v>
      </c>
      <c r="B119" s="12" t="s">
        <v>13</v>
      </c>
      <c r="C119" s="12">
        <v>2.1</v>
      </c>
      <c r="D119" s="12">
        <v>700</v>
      </c>
      <c r="E119" s="12">
        <v>20</v>
      </c>
      <c r="F119" s="12">
        <v>1</v>
      </c>
      <c r="G119" s="12">
        <v>70</v>
      </c>
      <c r="H119" s="12">
        <v>157</v>
      </c>
      <c r="I119" s="12" t="s">
        <v>26</v>
      </c>
      <c r="J119" s="12" t="s">
        <v>27</v>
      </c>
      <c r="K119" s="12">
        <f>VLOOKUP(Tableau4[[#This Row],[essence]],Tableau6[],2,FALSE)</f>
        <v>0.71340000000000003</v>
      </c>
      <c r="L119" s="12">
        <f>VLOOKUP(Tableau4[[#This Row],[essence]],Tableau6[],3,FALSE)</f>
        <v>1.7461</v>
      </c>
      <c r="M119" s="12">
        <f>VLOOKUP(Tableau4[[#This Row],[essence]],Tableau6[],4,FALSE)</f>
        <v>2.9828999999999999</v>
      </c>
      <c r="N119" s="12">
        <f>VLOOKUP(Tableau4[[#This Row],[essence]],Tableau6[],5,FALSE)</f>
        <v>1.5659000000000001</v>
      </c>
      <c r="O119" s="12">
        <f>IF(Tableau4[[#This Row],[priorecol]]="C",1,0)</f>
        <v>1</v>
      </c>
      <c r="P119" s="12">
        <f>VLOOKUP(Tableau4[[#This Row],[essence]],Tableau6[],6,FALSE)</f>
        <v>1.9651000000000001</v>
      </c>
      <c r="Q119" s="12">
        <f>IF(Tableau4[[#This Row],[priorecol]]="R",1,0)</f>
        <v>0</v>
      </c>
      <c r="R119" s="12">
        <f>VLOOKUP(Tableau4[[#This Row],[essence]],Tableau6[],7,FALSE)</f>
        <v>1.1892</v>
      </c>
      <c r="S119" s="12">
        <f>IF(Tableau4[[#This Row],[priorecol]]="S",1,0)</f>
        <v>0</v>
      </c>
      <c r="T119" s="12">
        <f>VLOOKUP(Tableau4[[#This Row],[essence]],Tableau6[],20,FALSE)</f>
        <v>0</v>
      </c>
      <c r="U119" s="12">
        <f>VLOOKUP(Tableau4[[#This Row],[essence]],Tableau6[],15,FALSE)</f>
        <v>0</v>
      </c>
      <c r="V119" s="12">
        <f>VLOOKUP(Tableau4[[#This Row],[essence]],Tableau6[],28,FALSE)</f>
        <v>0</v>
      </c>
      <c r="W119" s="12">
        <f>IF(Tableau4[[#This Row],[sdom]]=1,1,0)</f>
        <v>0</v>
      </c>
      <c r="X119" s="12">
        <f>VLOOKUP(Tableau4[[#This Row],[essence]],Tableau6[],8,FALSE)</f>
        <v>0</v>
      </c>
      <c r="Y119" s="12">
        <f>IF(Tableau4[[#This Row],[sdom]]="2EST",1,0)</f>
        <v>0</v>
      </c>
      <c r="Z119" s="12">
        <f>VLOOKUP(Tableau4[[#This Row],[essence]],Tableau6[],9,FALSE)</f>
        <v>0</v>
      </c>
      <c r="AA119" s="12">
        <f>IF(Tableau4[[#This Row],[sdom]]="2OUEST",1,0)</f>
        <v>0</v>
      </c>
      <c r="AB119" s="12">
        <f>VLOOKUP(Tableau4[[#This Row],[essence]],Tableau6[],10,FALSE)</f>
        <v>0</v>
      </c>
      <c r="AC119" s="12">
        <f>IF(Tableau4[[#This Row],[sdom]]="3EST",1,0)</f>
        <v>0</v>
      </c>
      <c r="AD119" s="12">
        <f>VLOOKUP(Tableau4[[#This Row],[essence]],Tableau6[],11,FALSE)</f>
        <v>0.71960000000000002</v>
      </c>
      <c r="AE119" s="12">
        <f>IF(Tableau4[[#This Row],[sdom]]="3OUEST",1,0)</f>
        <v>1</v>
      </c>
      <c r="AF119" s="12">
        <f>VLOOKUP(Tableau4[[#This Row],[essence]],Tableau6[],12,FALSE)</f>
        <v>-2.81E-2</v>
      </c>
      <c r="AG119" s="12">
        <f>IF(Tableau4[[#This Row],[sdom]]="4EST",1,0)</f>
        <v>0</v>
      </c>
      <c r="AH119" s="12">
        <f>VLOOKUP(Tableau4[[#This Row],[essence]],Tableau6[],13,FALSE)</f>
        <v>0.23519999999999999</v>
      </c>
      <c r="AI119" s="12">
        <f>IF(Tableau4[[#This Row],[sdom]]="4OUEST",1,0)</f>
        <v>0</v>
      </c>
      <c r="AJ119" s="12">
        <f>VLOOKUP(Tableau4[[#This Row],[essence]],Tableau6[],14,FALSE)</f>
        <v>0.24660000000000001</v>
      </c>
      <c r="AK119" s="12">
        <f>IF(Tableau4[[#This Row],[sdom]]="5EST",1,0)</f>
        <v>0</v>
      </c>
      <c r="AL119" s="12">
        <f>VLOOKUP(Tableau4[[#This Row],[essence]],Tableau6[],17,FALSE)</f>
        <v>0</v>
      </c>
      <c r="AM119" s="12">
        <f>IF(Tableau4[[#This Row],[priorecol]]="C",1,0)</f>
        <v>1</v>
      </c>
      <c r="AN119" s="12">
        <f>VLOOKUP(Tableau4[[#This Row],[essence]],Tableau6[],18,FALSE)</f>
        <v>0</v>
      </c>
      <c r="AO119" s="12">
        <f>IF(Tableau4[[#This Row],[priorecol]]="R",1,0)</f>
        <v>0</v>
      </c>
      <c r="AP119" s="12">
        <f>VLOOKUP(Tableau4[[#This Row],[essence]],Tableau6[],19,FALSE)</f>
        <v>0</v>
      </c>
      <c r="AQ119" s="12">
        <f>IF(Tableau4[[#This Row],[priorecol]]="S",1,0)</f>
        <v>0</v>
      </c>
      <c r="AR119" s="12">
        <f>VLOOKUP(Tableau4[[#This Row],[essence]],Tableau6[],21,FALSE)</f>
        <v>0</v>
      </c>
      <c r="AS119" s="12">
        <f>IF(Tableau4[[#This Row],[priorecol]]="C",1,0)</f>
        <v>1</v>
      </c>
      <c r="AT119" s="12">
        <f>VLOOKUP(Tableau4[[#This Row],[essence]],Tableau6[],22,FALSE)</f>
        <v>0</v>
      </c>
      <c r="AU119" s="12">
        <f>IF(Tableau4[[#This Row],[priorecol]]="R",1,0)</f>
        <v>0</v>
      </c>
      <c r="AV119" s="12">
        <f>VLOOKUP(Tableau4[[#This Row],[essence]],Tableau6[],23,FALSE)</f>
        <v>0</v>
      </c>
      <c r="AW119" s="12">
        <f>IF(Tableau4[[#This Row],[priorecol]]="S",1,0)</f>
        <v>0</v>
      </c>
      <c r="AX119" s="12">
        <f>VLOOKUP(Tableau4[[#This Row],[essence]],Tableau6[],24,FALSE)</f>
        <v>0</v>
      </c>
      <c r="AY119" s="12">
        <f>VLOOKUP(Tableau4[[#This Row],[essence]],Tableau6[],25,FALSE)</f>
        <v>0</v>
      </c>
      <c r="AZ119" s="12">
        <f>VLOOKUP(Tableau4[[#This Row],[essence]],Tableau6[],26,FALSE)</f>
        <v>0</v>
      </c>
      <c r="BA119" s="12">
        <f>VLOOKUP(Tableau4[[#This Row],[essence]],Tableau6[],27,FALSE)</f>
        <v>0</v>
      </c>
      <c r="BB119" s="12">
        <f>VLOOKUP(Tableau4[[#This Row],[essence]],Tableau6[],16,FALSE)</f>
        <v>-2.6700000000000001E-3</v>
      </c>
      <c r="BC11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0.41649999999999987</v>
      </c>
      <c r="BD119" s="12">
        <f>Tableau4[[#This Row],[xb_]]+Tableau4[[#This Row],[b_intercept_C]]+Tableau4[[#This Row],[b_dhpcm_x_intercept_C]]*Tableau4[[#This Row],[dhpcm]]</f>
        <v>3.3994</v>
      </c>
      <c r="BE119" s="12">
        <f>Tableau4[[#This Row],[xb_]]+Tableau4[[#This Row],[b_intercept_B]]+Tableau4[[#This Row],[b_dhpcm_x_intercept_B]]*Tableau4[[#This Row],[dhpcm]]</f>
        <v>2.1625999999999999</v>
      </c>
      <c r="BF119" s="12">
        <f>Tableau4[[#This Row],[xb_]]+Tableau4[[#This Row],[b_intercept_A]]+Tableau4[[#This Row],[b_dhpcm_x_intercept_A]]*Tableau4[[#This Row],[dhpcm]]</f>
        <v>1.1298999999999999</v>
      </c>
      <c r="BG119" s="12">
        <f>1/(1+EXP(-Tableau4[[#This Row],[xb_c]]))</f>
        <v>0.96768577855794868</v>
      </c>
      <c r="BH119" s="12">
        <f>1/(1+EXP(-Tableau4[[#This Row],[xb_b]]))</f>
        <v>0.89684034298383952</v>
      </c>
      <c r="BI119" s="12">
        <f>1/(1+EXP(-Tableau4[[#This Row],[xb_a]]))</f>
        <v>0.75582044397688775</v>
      </c>
      <c r="BJ119" s="12">
        <f>Tableau4[[#This Row],[prob_a]]</f>
        <v>0.75582044397688775</v>
      </c>
      <c r="BK119" s="12">
        <f>Tableau4[[#This Row],[prob_b]]-Tableau4[[#This Row],[prob_a]]</f>
        <v>0.14101989900695178</v>
      </c>
      <c r="BL119" s="12">
        <f>Tableau4[[#This Row],[prob_c]]-Tableau4[[#This Row],[prob_b]]</f>
        <v>7.0845435574109161E-2</v>
      </c>
      <c r="BM119" s="12">
        <f>1-Tableau4[[#This Row],[prob_c]]</f>
        <v>3.2314221442051316E-2</v>
      </c>
    </row>
    <row r="120" spans="1:65" x14ac:dyDescent="0.25">
      <c r="A120" s="12">
        <v>5</v>
      </c>
      <c r="B120" s="12" t="s">
        <v>13</v>
      </c>
      <c r="C120" s="12">
        <v>2.1</v>
      </c>
      <c r="D120" s="12">
        <v>700</v>
      </c>
      <c r="E120" s="12">
        <v>20</v>
      </c>
      <c r="F120" s="12">
        <v>1</v>
      </c>
      <c r="G120" s="12">
        <v>71</v>
      </c>
      <c r="H120" s="12">
        <v>158</v>
      </c>
      <c r="I120" s="12" t="s">
        <v>26</v>
      </c>
      <c r="J120" s="12" t="s">
        <v>28</v>
      </c>
      <c r="K120" s="12">
        <f>VLOOKUP(Tableau4[[#This Row],[essence]],Tableau6[],2,FALSE)</f>
        <v>0.71340000000000003</v>
      </c>
      <c r="L120" s="12">
        <f>VLOOKUP(Tableau4[[#This Row],[essence]],Tableau6[],3,FALSE)</f>
        <v>1.7461</v>
      </c>
      <c r="M120" s="12">
        <f>VLOOKUP(Tableau4[[#This Row],[essence]],Tableau6[],4,FALSE)</f>
        <v>2.9828999999999999</v>
      </c>
      <c r="N120" s="12">
        <f>VLOOKUP(Tableau4[[#This Row],[essence]],Tableau6[],5,FALSE)</f>
        <v>1.5659000000000001</v>
      </c>
      <c r="O120" s="12">
        <f>IF(Tableau4[[#This Row],[priorecol]]="C",1,0)</f>
        <v>0</v>
      </c>
      <c r="P120" s="12">
        <f>VLOOKUP(Tableau4[[#This Row],[essence]],Tableau6[],6,FALSE)</f>
        <v>1.9651000000000001</v>
      </c>
      <c r="Q120" s="12">
        <f>IF(Tableau4[[#This Row],[priorecol]]="R",1,0)</f>
        <v>1</v>
      </c>
      <c r="R120" s="12">
        <f>VLOOKUP(Tableau4[[#This Row],[essence]],Tableau6[],7,FALSE)</f>
        <v>1.1892</v>
      </c>
      <c r="S120" s="12">
        <f>IF(Tableau4[[#This Row],[priorecol]]="S",1,0)</f>
        <v>0</v>
      </c>
      <c r="T120" s="12">
        <f>VLOOKUP(Tableau4[[#This Row],[essence]],Tableau6[],20,FALSE)</f>
        <v>0</v>
      </c>
      <c r="U120" s="12">
        <f>VLOOKUP(Tableau4[[#This Row],[essence]],Tableau6[],15,FALSE)</f>
        <v>0</v>
      </c>
      <c r="V120" s="12">
        <f>VLOOKUP(Tableau4[[#This Row],[essence]],Tableau6[],28,FALSE)</f>
        <v>0</v>
      </c>
      <c r="W120" s="12">
        <f>IF(Tableau4[[#This Row],[sdom]]=1,1,0)</f>
        <v>0</v>
      </c>
      <c r="X120" s="12">
        <f>VLOOKUP(Tableau4[[#This Row],[essence]],Tableau6[],8,FALSE)</f>
        <v>0</v>
      </c>
      <c r="Y120" s="12">
        <f>IF(Tableau4[[#This Row],[sdom]]="2EST",1,0)</f>
        <v>0</v>
      </c>
      <c r="Z120" s="12">
        <f>VLOOKUP(Tableau4[[#This Row],[essence]],Tableau6[],9,FALSE)</f>
        <v>0</v>
      </c>
      <c r="AA120" s="12">
        <f>IF(Tableau4[[#This Row],[sdom]]="2OUEST",1,0)</f>
        <v>0</v>
      </c>
      <c r="AB120" s="12">
        <f>VLOOKUP(Tableau4[[#This Row],[essence]],Tableau6[],10,FALSE)</f>
        <v>0</v>
      </c>
      <c r="AC120" s="12">
        <f>IF(Tableau4[[#This Row],[sdom]]="3EST",1,0)</f>
        <v>0</v>
      </c>
      <c r="AD120" s="12">
        <f>VLOOKUP(Tableau4[[#This Row],[essence]],Tableau6[],11,FALSE)</f>
        <v>0.71960000000000002</v>
      </c>
      <c r="AE120" s="12">
        <f>IF(Tableau4[[#This Row],[sdom]]="3OUEST",1,0)</f>
        <v>1</v>
      </c>
      <c r="AF120" s="12">
        <f>VLOOKUP(Tableau4[[#This Row],[essence]],Tableau6[],12,FALSE)</f>
        <v>-2.81E-2</v>
      </c>
      <c r="AG120" s="12">
        <f>IF(Tableau4[[#This Row],[sdom]]="4EST",1,0)</f>
        <v>0</v>
      </c>
      <c r="AH120" s="12">
        <f>VLOOKUP(Tableau4[[#This Row],[essence]],Tableau6[],13,FALSE)</f>
        <v>0.23519999999999999</v>
      </c>
      <c r="AI120" s="12">
        <f>IF(Tableau4[[#This Row],[sdom]]="4OUEST",1,0)</f>
        <v>0</v>
      </c>
      <c r="AJ120" s="12">
        <f>VLOOKUP(Tableau4[[#This Row],[essence]],Tableau6[],14,FALSE)</f>
        <v>0.24660000000000001</v>
      </c>
      <c r="AK120" s="12">
        <f>IF(Tableau4[[#This Row],[sdom]]="5EST",1,0)</f>
        <v>0</v>
      </c>
      <c r="AL120" s="12">
        <f>VLOOKUP(Tableau4[[#This Row],[essence]],Tableau6[],17,FALSE)</f>
        <v>0</v>
      </c>
      <c r="AM120" s="12">
        <f>IF(Tableau4[[#This Row],[priorecol]]="C",1,0)</f>
        <v>0</v>
      </c>
      <c r="AN120" s="12">
        <f>VLOOKUP(Tableau4[[#This Row],[essence]],Tableau6[],18,FALSE)</f>
        <v>0</v>
      </c>
      <c r="AO120" s="12">
        <f>IF(Tableau4[[#This Row],[priorecol]]="R",1,0)</f>
        <v>1</v>
      </c>
      <c r="AP120" s="12">
        <f>VLOOKUP(Tableau4[[#This Row],[essence]],Tableau6[],19,FALSE)</f>
        <v>0</v>
      </c>
      <c r="AQ120" s="12">
        <f>IF(Tableau4[[#This Row],[priorecol]]="S",1,0)</f>
        <v>0</v>
      </c>
      <c r="AR120" s="12">
        <f>VLOOKUP(Tableau4[[#This Row],[essence]],Tableau6[],21,FALSE)</f>
        <v>0</v>
      </c>
      <c r="AS120" s="12">
        <f>IF(Tableau4[[#This Row],[priorecol]]="C",1,0)</f>
        <v>0</v>
      </c>
      <c r="AT120" s="12">
        <f>VLOOKUP(Tableau4[[#This Row],[essence]],Tableau6[],22,FALSE)</f>
        <v>0</v>
      </c>
      <c r="AU120" s="12">
        <f>IF(Tableau4[[#This Row],[priorecol]]="R",1,0)</f>
        <v>1</v>
      </c>
      <c r="AV120" s="12">
        <f>VLOOKUP(Tableau4[[#This Row],[essence]],Tableau6[],23,FALSE)</f>
        <v>0</v>
      </c>
      <c r="AW120" s="12">
        <f>IF(Tableau4[[#This Row],[priorecol]]="S",1,0)</f>
        <v>0</v>
      </c>
      <c r="AX120" s="12">
        <f>VLOOKUP(Tableau4[[#This Row],[essence]],Tableau6[],24,FALSE)</f>
        <v>0</v>
      </c>
      <c r="AY120" s="12">
        <f>VLOOKUP(Tableau4[[#This Row],[essence]],Tableau6[],25,FALSE)</f>
        <v>0</v>
      </c>
      <c r="AZ120" s="12">
        <f>VLOOKUP(Tableau4[[#This Row],[essence]],Tableau6[],26,FALSE)</f>
        <v>0</v>
      </c>
      <c r="BA120" s="12">
        <f>VLOOKUP(Tableau4[[#This Row],[essence]],Tableau6[],27,FALSE)</f>
        <v>0</v>
      </c>
      <c r="BB120" s="12">
        <f>VLOOKUP(Tableau4[[#This Row],[essence]],Tableau6[],16,FALSE)</f>
        <v>-2.6700000000000001E-3</v>
      </c>
      <c r="BC12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0.81570000000000031</v>
      </c>
      <c r="BD120" s="12">
        <f>Tableau4[[#This Row],[xb_]]+Tableau4[[#This Row],[b_intercept_C]]+Tableau4[[#This Row],[b_dhpcm_x_intercept_C]]*Tableau4[[#This Row],[dhpcm]]</f>
        <v>3.7986000000000004</v>
      </c>
      <c r="BE120" s="12">
        <f>Tableau4[[#This Row],[xb_]]+Tableau4[[#This Row],[b_intercept_B]]+Tableau4[[#This Row],[b_dhpcm_x_intercept_B]]*Tableau4[[#This Row],[dhpcm]]</f>
        <v>2.5618000000000003</v>
      </c>
      <c r="BF120" s="12">
        <f>Tableau4[[#This Row],[xb_]]+Tableau4[[#This Row],[b_intercept_A]]+Tableau4[[#This Row],[b_dhpcm_x_intercept_A]]*Tableau4[[#This Row],[dhpcm]]</f>
        <v>1.5291000000000003</v>
      </c>
      <c r="BG120" s="12">
        <f>1/(1+EXP(-Tableau4[[#This Row],[xb_c]]))</f>
        <v>0.97808874552551339</v>
      </c>
      <c r="BH120" s="12">
        <f>1/(1+EXP(-Tableau4[[#This Row],[xb_b]]))</f>
        <v>0.92836226047089598</v>
      </c>
      <c r="BI120" s="12">
        <f>1/(1+EXP(-Tableau4[[#This Row],[xb_a]]))</f>
        <v>0.82187459530951179</v>
      </c>
      <c r="BJ120" s="12">
        <f>Tableau4[[#This Row],[prob_a]]</f>
        <v>0.82187459530951179</v>
      </c>
      <c r="BK120" s="12">
        <f>Tableau4[[#This Row],[prob_b]]-Tableau4[[#This Row],[prob_a]]</f>
        <v>0.10648766516138419</v>
      </c>
      <c r="BL120" s="12">
        <f>Tableau4[[#This Row],[prob_c]]-Tableau4[[#This Row],[prob_b]]</f>
        <v>4.9726485054617409E-2</v>
      </c>
      <c r="BM120" s="12">
        <f>1-Tableau4[[#This Row],[prob_c]]</f>
        <v>2.1911254474486608E-2</v>
      </c>
    </row>
    <row r="121" spans="1:65" x14ac:dyDescent="0.25">
      <c r="A121" s="12">
        <v>5</v>
      </c>
      <c r="B121" s="12" t="s">
        <v>13</v>
      </c>
      <c r="C121" s="12">
        <v>2.1</v>
      </c>
      <c r="D121" s="12">
        <v>700</v>
      </c>
      <c r="E121" s="12">
        <v>20</v>
      </c>
      <c r="F121" s="12">
        <v>1</v>
      </c>
      <c r="G121" s="12">
        <v>72</v>
      </c>
      <c r="H121" s="12">
        <v>159</v>
      </c>
      <c r="I121" s="12" t="s">
        <v>26</v>
      </c>
      <c r="J121" s="12" t="s">
        <v>29</v>
      </c>
      <c r="K121" s="12">
        <f>VLOOKUP(Tableau4[[#This Row],[essence]],Tableau6[],2,FALSE)</f>
        <v>0.71340000000000003</v>
      </c>
      <c r="L121" s="12">
        <f>VLOOKUP(Tableau4[[#This Row],[essence]],Tableau6[],3,FALSE)</f>
        <v>1.7461</v>
      </c>
      <c r="M121" s="12">
        <f>VLOOKUP(Tableau4[[#This Row],[essence]],Tableau6[],4,FALSE)</f>
        <v>2.9828999999999999</v>
      </c>
      <c r="N121" s="12">
        <f>VLOOKUP(Tableau4[[#This Row],[essence]],Tableau6[],5,FALSE)</f>
        <v>1.5659000000000001</v>
      </c>
      <c r="O121" s="12">
        <f>IF(Tableau4[[#This Row],[priorecol]]="C",1,0)</f>
        <v>0</v>
      </c>
      <c r="P121" s="12">
        <f>VLOOKUP(Tableau4[[#This Row],[essence]],Tableau6[],6,FALSE)</f>
        <v>1.9651000000000001</v>
      </c>
      <c r="Q121" s="12">
        <f>IF(Tableau4[[#This Row],[priorecol]]="R",1,0)</f>
        <v>0</v>
      </c>
      <c r="R121" s="12">
        <f>VLOOKUP(Tableau4[[#This Row],[essence]],Tableau6[],7,FALSE)</f>
        <v>1.1892</v>
      </c>
      <c r="S121" s="12">
        <f>IF(Tableau4[[#This Row],[priorecol]]="S",1,0)</f>
        <v>1</v>
      </c>
      <c r="T121" s="12">
        <f>VLOOKUP(Tableau4[[#This Row],[essence]],Tableau6[],20,FALSE)</f>
        <v>0</v>
      </c>
      <c r="U121" s="12">
        <f>VLOOKUP(Tableau4[[#This Row],[essence]],Tableau6[],15,FALSE)</f>
        <v>0</v>
      </c>
      <c r="V121" s="12">
        <f>VLOOKUP(Tableau4[[#This Row],[essence]],Tableau6[],28,FALSE)</f>
        <v>0</v>
      </c>
      <c r="W121" s="12">
        <f>IF(Tableau4[[#This Row],[sdom]]=1,1,0)</f>
        <v>0</v>
      </c>
      <c r="X121" s="12">
        <f>VLOOKUP(Tableau4[[#This Row],[essence]],Tableau6[],8,FALSE)</f>
        <v>0</v>
      </c>
      <c r="Y121" s="12">
        <f>IF(Tableau4[[#This Row],[sdom]]="2EST",1,0)</f>
        <v>0</v>
      </c>
      <c r="Z121" s="12">
        <f>VLOOKUP(Tableau4[[#This Row],[essence]],Tableau6[],9,FALSE)</f>
        <v>0</v>
      </c>
      <c r="AA121" s="12">
        <f>IF(Tableau4[[#This Row],[sdom]]="2OUEST",1,0)</f>
        <v>0</v>
      </c>
      <c r="AB121" s="12">
        <f>VLOOKUP(Tableau4[[#This Row],[essence]],Tableau6[],10,FALSE)</f>
        <v>0</v>
      </c>
      <c r="AC121" s="12">
        <f>IF(Tableau4[[#This Row],[sdom]]="3EST",1,0)</f>
        <v>0</v>
      </c>
      <c r="AD121" s="12">
        <f>VLOOKUP(Tableau4[[#This Row],[essence]],Tableau6[],11,FALSE)</f>
        <v>0.71960000000000002</v>
      </c>
      <c r="AE121" s="12">
        <f>IF(Tableau4[[#This Row],[sdom]]="3OUEST",1,0)</f>
        <v>1</v>
      </c>
      <c r="AF121" s="12">
        <f>VLOOKUP(Tableau4[[#This Row],[essence]],Tableau6[],12,FALSE)</f>
        <v>-2.81E-2</v>
      </c>
      <c r="AG121" s="12">
        <f>IF(Tableau4[[#This Row],[sdom]]="4EST",1,0)</f>
        <v>0</v>
      </c>
      <c r="AH121" s="12">
        <f>VLOOKUP(Tableau4[[#This Row],[essence]],Tableau6[],13,FALSE)</f>
        <v>0.23519999999999999</v>
      </c>
      <c r="AI121" s="12">
        <f>IF(Tableau4[[#This Row],[sdom]]="4OUEST",1,0)</f>
        <v>0</v>
      </c>
      <c r="AJ121" s="12">
        <f>VLOOKUP(Tableau4[[#This Row],[essence]],Tableau6[],14,FALSE)</f>
        <v>0.24660000000000001</v>
      </c>
      <c r="AK121" s="12">
        <f>IF(Tableau4[[#This Row],[sdom]]="5EST",1,0)</f>
        <v>0</v>
      </c>
      <c r="AL121" s="12">
        <f>VLOOKUP(Tableau4[[#This Row],[essence]],Tableau6[],17,FALSE)</f>
        <v>0</v>
      </c>
      <c r="AM121" s="12">
        <f>IF(Tableau4[[#This Row],[priorecol]]="C",1,0)</f>
        <v>0</v>
      </c>
      <c r="AN121" s="12">
        <f>VLOOKUP(Tableau4[[#This Row],[essence]],Tableau6[],18,FALSE)</f>
        <v>0</v>
      </c>
      <c r="AO121" s="12">
        <f>IF(Tableau4[[#This Row],[priorecol]]="R",1,0)</f>
        <v>0</v>
      </c>
      <c r="AP121" s="12">
        <f>VLOOKUP(Tableau4[[#This Row],[essence]],Tableau6[],19,FALSE)</f>
        <v>0</v>
      </c>
      <c r="AQ121" s="12">
        <f>IF(Tableau4[[#This Row],[priorecol]]="S",1,0)</f>
        <v>1</v>
      </c>
      <c r="AR121" s="12">
        <f>VLOOKUP(Tableau4[[#This Row],[essence]],Tableau6[],21,FALSE)</f>
        <v>0</v>
      </c>
      <c r="AS121" s="12">
        <f>IF(Tableau4[[#This Row],[priorecol]]="C",1,0)</f>
        <v>0</v>
      </c>
      <c r="AT121" s="12">
        <f>VLOOKUP(Tableau4[[#This Row],[essence]],Tableau6[],22,FALSE)</f>
        <v>0</v>
      </c>
      <c r="AU121" s="12">
        <f>IF(Tableau4[[#This Row],[priorecol]]="R",1,0)</f>
        <v>0</v>
      </c>
      <c r="AV121" s="12">
        <f>VLOOKUP(Tableau4[[#This Row],[essence]],Tableau6[],23,FALSE)</f>
        <v>0</v>
      </c>
      <c r="AW121" s="12">
        <f>IF(Tableau4[[#This Row],[priorecol]]="S",1,0)</f>
        <v>1</v>
      </c>
      <c r="AX121" s="12">
        <f>VLOOKUP(Tableau4[[#This Row],[essence]],Tableau6[],24,FALSE)</f>
        <v>0</v>
      </c>
      <c r="AY121" s="12">
        <f>VLOOKUP(Tableau4[[#This Row],[essence]],Tableau6[],25,FALSE)</f>
        <v>0</v>
      </c>
      <c r="AZ121" s="12">
        <f>VLOOKUP(Tableau4[[#This Row],[essence]],Tableau6[],26,FALSE)</f>
        <v>0</v>
      </c>
      <c r="BA121" s="12">
        <f>VLOOKUP(Tableau4[[#This Row],[essence]],Tableau6[],27,FALSE)</f>
        <v>0</v>
      </c>
      <c r="BB121" s="12">
        <f>VLOOKUP(Tableau4[[#This Row],[essence]],Tableau6[],16,FALSE)</f>
        <v>-2.6700000000000001E-3</v>
      </c>
      <c r="BC12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3.9800000000000058E-2</v>
      </c>
      <c r="BD121" s="12">
        <f>Tableau4[[#This Row],[xb_]]+Tableau4[[#This Row],[b_intercept_C]]+Tableau4[[#This Row],[b_dhpcm_x_intercept_C]]*Tableau4[[#This Row],[dhpcm]]</f>
        <v>3.0226999999999999</v>
      </c>
      <c r="BE121" s="12">
        <f>Tableau4[[#This Row],[xb_]]+Tableau4[[#This Row],[b_intercept_B]]+Tableau4[[#This Row],[b_dhpcm_x_intercept_B]]*Tableau4[[#This Row],[dhpcm]]</f>
        <v>1.7859</v>
      </c>
      <c r="BF121" s="12">
        <f>Tableau4[[#This Row],[xb_]]+Tableau4[[#This Row],[b_intercept_A]]+Tableau4[[#This Row],[b_dhpcm_x_intercept_A]]*Tableau4[[#This Row],[dhpcm]]</f>
        <v>0.75320000000000009</v>
      </c>
      <c r="BG121" s="12">
        <f>1/(1+EXP(-Tableau4[[#This Row],[xb_c]]))</f>
        <v>0.95358916548077044</v>
      </c>
      <c r="BH121" s="12">
        <f>1/(1+EXP(-Tableau4[[#This Row],[xb_b]]))</f>
        <v>0.85642386856795782</v>
      </c>
      <c r="BI121" s="12">
        <f>1/(1+EXP(-Tableau4[[#This Row],[xb_a]]))</f>
        <v>0.67987556299868301</v>
      </c>
      <c r="BJ121" s="12">
        <f>Tableau4[[#This Row],[prob_a]]</f>
        <v>0.67987556299868301</v>
      </c>
      <c r="BK121" s="12">
        <f>Tableau4[[#This Row],[prob_b]]-Tableau4[[#This Row],[prob_a]]</f>
        <v>0.17654830556927481</v>
      </c>
      <c r="BL121" s="12">
        <f>Tableau4[[#This Row],[prob_c]]-Tableau4[[#This Row],[prob_b]]</f>
        <v>9.7165296912812615E-2</v>
      </c>
      <c r="BM121" s="12">
        <f>1-Tableau4[[#This Row],[prob_c]]</f>
        <v>4.641083451922956E-2</v>
      </c>
    </row>
    <row r="122" spans="1:65" x14ac:dyDescent="0.25">
      <c r="A122" s="12">
        <v>6</v>
      </c>
      <c r="B122" s="12" t="s">
        <v>14</v>
      </c>
      <c r="C122" s="12">
        <v>1.2</v>
      </c>
      <c r="D122" s="12">
        <v>1022</v>
      </c>
      <c r="E122" s="12">
        <v>25</v>
      </c>
      <c r="F122" s="12">
        <v>1</v>
      </c>
      <c r="G122" s="12">
        <v>49</v>
      </c>
      <c r="H122" s="12">
        <v>160</v>
      </c>
      <c r="I122" s="12" t="s">
        <v>19</v>
      </c>
      <c r="J122" s="12" t="s">
        <v>27</v>
      </c>
      <c r="K122" s="12">
        <f>VLOOKUP(Tableau4[[#This Row],[essence]],Tableau6[],2,FALSE)</f>
        <v>-1.7937000000000001</v>
      </c>
      <c r="L122" s="12">
        <f>VLOOKUP(Tableau4[[#This Row],[essence]],Tableau6[],3,FALSE)</f>
        <v>-0.68110000000000004</v>
      </c>
      <c r="M122" s="12">
        <f>VLOOKUP(Tableau4[[#This Row],[essence]],Tableau6[],4,FALSE)</f>
        <v>0.82179999999999997</v>
      </c>
      <c r="N122" s="12">
        <f>VLOOKUP(Tableau4[[#This Row],[essence]],Tableau6[],5,FALSE)</f>
        <v>1.5014000000000001</v>
      </c>
      <c r="O122" s="12">
        <f>IF(Tableau4[[#This Row],[priorecol]]="C",1,0)</f>
        <v>1</v>
      </c>
      <c r="P122" s="12">
        <f>VLOOKUP(Tableau4[[#This Row],[essence]],Tableau6[],6,FALSE)</f>
        <v>2.3875000000000002</v>
      </c>
      <c r="Q122" s="12">
        <f>IF(Tableau4[[#This Row],[priorecol]]="R",1,0)</f>
        <v>0</v>
      </c>
      <c r="R122" s="12">
        <f>VLOOKUP(Tableau4[[#This Row],[essence]],Tableau6[],7,FALSE)</f>
        <v>0.94669999999999999</v>
      </c>
      <c r="S122" s="12">
        <f>IF(Tableau4[[#This Row],[priorecol]]="S",1,0)</f>
        <v>0</v>
      </c>
      <c r="T122" s="12">
        <f>VLOOKUP(Tableau4[[#This Row],[essence]],Tableau6[],20,FALSE)</f>
        <v>0</v>
      </c>
      <c r="U122" s="12">
        <f>VLOOKUP(Tableau4[[#This Row],[essence]],Tableau6[],15,FALSE)</f>
        <v>6.4000000000000003E-3</v>
      </c>
      <c r="V122" s="12">
        <f>VLOOKUP(Tableau4[[#This Row],[essence]],Tableau6[],28,FALSE)</f>
        <v>0</v>
      </c>
      <c r="W122" s="12">
        <f>IF(Tableau4[[#This Row],[sdom]]=1,1,0)</f>
        <v>0</v>
      </c>
      <c r="X122" s="12">
        <f>VLOOKUP(Tableau4[[#This Row],[essence]],Tableau6[],8,FALSE)</f>
        <v>9.4399999999999998E-2</v>
      </c>
      <c r="Y122" s="12">
        <f>IF(Tableau4[[#This Row],[sdom]]="2EST",1,0)</f>
        <v>0</v>
      </c>
      <c r="Z122" s="12">
        <f>VLOOKUP(Tableau4[[#This Row],[essence]],Tableau6[],9,FALSE)</f>
        <v>-0.40260000000000001</v>
      </c>
      <c r="AA122" s="12">
        <f>IF(Tableau4[[#This Row],[sdom]]="2OUEST",1,0)</f>
        <v>0</v>
      </c>
      <c r="AB122" s="12">
        <f>VLOOKUP(Tableau4[[#This Row],[essence]],Tableau6[],10,FALSE)</f>
        <v>-3.5699999999999998E-3</v>
      </c>
      <c r="AC122" s="12">
        <f>IF(Tableau4[[#This Row],[sdom]]="3EST",1,0)</f>
        <v>0</v>
      </c>
      <c r="AD122" s="12">
        <f>VLOOKUP(Tableau4[[#This Row],[essence]],Tableau6[],11,FALSE)</f>
        <v>0.14949999999999999</v>
      </c>
      <c r="AE122" s="12">
        <f>IF(Tableau4[[#This Row],[sdom]]="3OUEST",1,0)</f>
        <v>0</v>
      </c>
      <c r="AF122" s="12">
        <f>VLOOKUP(Tableau4[[#This Row],[essence]],Tableau6[],12,FALSE)</f>
        <v>-0.1822</v>
      </c>
      <c r="AG122" s="12">
        <f>IF(Tableau4[[#This Row],[sdom]]="4EST",1,0)</f>
        <v>1</v>
      </c>
      <c r="AH122" s="12">
        <f>VLOOKUP(Tableau4[[#This Row],[essence]],Tableau6[],13,FALSE)</f>
        <v>-0.1013</v>
      </c>
      <c r="AI122" s="12">
        <f>IF(Tableau4[[#This Row],[sdom]]="4OUEST",1,0)</f>
        <v>0</v>
      </c>
      <c r="AJ122" s="12">
        <f>VLOOKUP(Tableau4[[#This Row],[essence]],Tableau6[],14,FALSE)</f>
        <v>-0.33779999999999999</v>
      </c>
      <c r="AK122" s="12">
        <f>IF(Tableau4[[#This Row],[sdom]]="5EST",1,0)</f>
        <v>0</v>
      </c>
      <c r="AL122" s="12">
        <f>VLOOKUP(Tableau4[[#This Row],[essence]],Tableau6[],17,FALSE)</f>
        <v>1.03E-2</v>
      </c>
      <c r="AM122" s="12">
        <f>IF(Tableau4[[#This Row],[priorecol]]="C",1,0)</f>
        <v>1</v>
      </c>
      <c r="AN122" s="12">
        <f>VLOOKUP(Tableau4[[#This Row],[essence]],Tableau6[],18,FALSE)</f>
        <v>1.23E-2</v>
      </c>
      <c r="AO122" s="12">
        <f>IF(Tableau4[[#This Row],[priorecol]]="R",1,0)</f>
        <v>0</v>
      </c>
      <c r="AP122" s="12">
        <f>VLOOKUP(Tableau4[[#This Row],[essence]],Tableau6[],19,FALSE)</f>
        <v>1.2800000000000001E-2</v>
      </c>
      <c r="AQ122" s="12">
        <f>IF(Tableau4[[#This Row],[priorecol]]="S",1,0)</f>
        <v>0</v>
      </c>
      <c r="AR122" s="12">
        <f>VLOOKUP(Tableau4[[#This Row],[essence]],Tableau6[],21,FALSE)</f>
        <v>0</v>
      </c>
      <c r="AS122" s="12">
        <f>IF(Tableau4[[#This Row],[priorecol]]="C",1,0)</f>
        <v>1</v>
      </c>
      <c r="AT122" s="12">
        <f>VLOOKUP(Tableau4[[#This Row],[essence]],Tableau6[],22,FALSE)</f>
        <v>0</v>
      </c>
      <c r="AU122" s="12">
        <f>IF(Tableau4[[#This Row],[priorecol]]="R",1,0)</f>
        <v>0</v>
      </c>
      <c r="AV122" s="12">
        <f>VLOOKUP(Tableau4[[#This Row],[essence]],Tableau6[],23,FALSE)</f>
        <v>0</v>
      </c>
      <c r="AW122" s="12">
        <f>IF(Tableau4[[#This Row],[priorecol]]="S",1,0)</f>
        <v>0</v>
      </c>
      <c r="AX122" s="12">
        <f>VLOOKUP(Tableau4[[#This Row],[essence]],Tableau6[],24,FALSE)</f>
        <v>0</v>
      </c>
      <c r="AY122" s="12">
        <f>VLOOKUP(Tableau4[[#This Row],[essence]],Tableau6[],25,FALSE)</f>
        <v>0</v>
      </c>
      <c r="AZ122" s="12">
        <f>VLOOKUP(Tableau4[[#This Row],[essence]],Tableau6[],26,FALSE)</f>
        <v>0</v>
      </c>
      <c r="BA122" s="12">
        <f>VLOOKUP(Tableau4[[#This Row],[essence]],Tableau6[],27,FALSE)</f>
        <v>0</v>
      </c>
      <c r="BB122" s="12">
        <f>VLOOKUP(Tableau4[[#This Row],[essence]],Tableau6[],16,FALSE)</f>
        <v>-4.8999999999999998E-4</v>
      </c>
      <c r="BC12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1.2359200000000001</v>
      </c>
      <c r="BD122" s="12">
        <f>Tableau4[[#This Row],[xb_]]+Tableau4[[#This Row],[b_intercept_C]]+Tableau4[[#This Row],[b_dhpcm_x_intercept_C]]*Tableau4[[#This Row],[dhpcm]]</f>
        <v>2.0577200000000002</v>
      </c>
      <c r="BE122" s="12">
        <f>Tableau4[[#This Row],[xb_]]+Tableau4[[#This Row],[b_intercept_B]]+Tableau4[[#This Row],[b_dhpcm_x_intercept_B]]*Tableau4[[#This Row],[dhpcm]]</f>
        <v>0.55482000000000009</v>
      </c>
      <c r="BF122" s="12">
        <f>Tableau4[[#This Row],[xb_]]+Tableau4[[#This Row],[b_intercept_A]]+Tableau4[[#This Row],[b_dhpcm_x_intercept_A]]*Tableau4[[#This Row],[dhpcm]]</f>
        <v>-0.55777999999999994</v>
      </c>
      <c r="BG122" s="12">
        <f>1/(1+EXP(-Tableau4[[#This Row],[xb_c]]))</f>
        <v>0.88672536060630114</v>
      </c>
      <c r="BH122" s="12">
        <f>1/(1+EXP(-Tableau4[[#This Row],[xb_b]]))</f>
        <v>0.63525314315257186</v>
      </c>
      <c r="BI122" s="12">
        <f>1/(1+EXP(-Tableau4[[#This Row],[xb_a]]))</f>
        <v>0.36406128031976454</v>
      </c>
      <c r="BJ122" s="12">
        <f>Tableau4[[#This Row],[prob_a]]</f>
        <v>0.36406128031976454</v>
      </c>
      <c r="BK122" s="12">
        <f>Tableau4[[#This Row],[prob_b]]-Tableau4[[#This Row],[prob_a]]</f>
        <v>0.27119186283280733</v>
      </c>
      <c r="BL122" s="12">
        <f>Tableau4[[#This Row],[prob_c]]-Tableau4[[#This Row],[prob_b]]</f>
        <v>0.25147221745372927</v>
      </c>
      <c r="BM122" s="12">
        <f>1-Tableau4[[#This Row],[prob_c]]</f>
        <v>0.11327463939369886</v>
      </c>
    </row>
    <row r="123" spans="1:65" x14ac:dyDescent="0.25">
      <c r="A123" s="12">
        <v>6</v>
      </c>
      <c r="B123" s="12" t="s">
        <v>14</v>
      </c>
      <c r="C123" s="12">
        <v>1.2</v>
      </c>
      <c r="D123" s="12">
        <v>1022</v>
      </c>
      <c r="E123" s="12">
        <v>25</v>
      </c>
      <c r="F123" s="12">
        <v>1</v>
      </c>
      <c r="G123" s="12">
        <v>50</v>
      </c>
      <c r="H123" s="12">
        <v>161</v>
      </c>
      <c r="I123" s="12" t="s">
        <v>19</v>
      </c>
      <c r="J123" s="12" t="s">
        <v>28</v>
      </c>
      <c r="K123" s="12">
        <f>VLOOKUP(Tableau4[[#This Row],[essence]],Tableau6[],2,FALSE)</f>
        <v>-1.7937000000000001</v>
      </c>
      <c r="L123" s="12">
        <f>VLOOKUP(Tableau4[[#This Row],[essence]],Tableau6[],3,FALSE)</f>
        <v>-0.68110000000000004</v>
      </c>
      <c r="M123" s="12">
        <f>VLOOKUP(Tableau4[[#This Row],[essence]],Tableau6[],4,FALSE)</f>
        <v>0.82179999999999997</v>
      </c>
      <c r="N123" s="12">
        <f>VLOOKUP(Tableau4[[#This Row],[essence]],Tableau6[],5,FALSE)</f>
        <v>1.5014000000000001</v>
      </c>
      <c r="O123" s="12">
        <f>IF(Tableau4[[#This Row],[priorecol]]="C",1,0)</f>
        <v>0</v>
      </c>
      <c r="P123" s="12">
        <f>VLOOKUP(Tableau4[[#This Row],[essence]],Tableau6[],6,FALSE)</f>
        <v>2.3875000000000002</v>
      </c>
      <c r="Q123" s="12">
        <f>IF(Tableau4[[#This Row],[priorecol]]="R",1,0)</f>
        <v>1</v>
      </c>
      <c r="R123" s="12">
        <f>VLOOKUP(Tableau4[[#This Row],[essence]],Tableau6[],7,FALSE)</f>
        <v>0.94669999999999999</v>
      </c>
      <c r="S123" s="12">
        <f>IF(Tableau4[[#This Row],[priorecol]]="S",1,0)</f>
        <v>0</v>
      </c>
      <c r="T123" s="12">
        <f>VLOOKUP(Tableau4[[#This Row],[essence]],Tableau6[],20,FALSE)</f>
        <v>0</v>
      </c>
      <c r="U123" s="12">
        <f>VLOOKUP(Tableau4[[#This Row],[essence]],Tableau6[],15,FALSE)</f>
        <v>6.4000000000000003E-3</v>
      </c>
      <c r="V123" s="12">
        <f>VLOOKUP(Tableau4[[#This Row],[essence]],Tableau6[],28,FALSE)</f>
        <v>0</v>
      </c>
      <c r="W123" s="12">
        <f>IF(Tableau4[[#This Row],[sdom]]=1,1,0)</f>
        <v>0</v>
      </c>
      <c r="X123" s="12">
        <f>VLOOKUP(Tableau4[[#This Row],[essence]],Tableau6[],8,FALSE)</f>
        <v>9.4399999999999998E-2</v>
      </c>
      <c r="Y123" s="12">
        <f>IF(Tableau4[[#This Row],[sdom]]="2EST",1,0)</f>
        <v>0</v>
      </c>
      <c r="Z123" s="12">
        <f>VLOOKUP(Tableau4[[#This Row],[essence]],Tableau6[],9,FALSE)</f>
        <v>-0.40260000000000001</v>
      </c>
      <c r="AA123" s="12">
        <f>IF(Tableau4[[#This Row],[sdom]]="2OUEST",1,0)</f>
        <v>0</v>
      </c>
      <c r="AB123" s="12">
        <f>VLOOKUP(Tableau4[[#This Row],[essence]],Tableau6[],10,FALSE)</f>
        <v>-3.5699999999999998E-3</v>
      </c>
      <c r="AC123" s="12">
        <f>IF(Tableau4[[#This Row],[sdom]]="3EST",1,0)</f>
        <v>0</v>
      </c>
      <c r="AD123" s="12">
        <f>VLOOKUP(Tableau4[[#This Row],[essence]],Tableau6[],11,FALSE)</f>
        <v>0.14949999999999999</v>
      </c>
      <c r="AE123" s="12">
        <f>IF(Tableau4[[#This Row],[sdom]]="3OUEST",1,0)</f>
        <v>0</v>
      </c>
      <c r="AF123" s="12">
        <f>VLOOKUP(Tableau4[[#This Row],[essence]],Tableau6[],12,FALSE)</f>
        <v>-0.1822</v>
      </c>
      <c r="AG123" s="12">
        <f>IF(Tableau4[[#This Row],[sdom]]="4EST",1,0)</f>
        <v>1</v>
      </c>
      <c r="AH123" s="12">
        <f>VLOOKUP(Tableau4[[#This Row],[essence]],Tableau6[],13,FALSE)</f>
        <v>-0.1013</v>
      </c>
      <c r="AI123" s="12">
        <f>IF(Tableau4[[#This Row],[sdom]]="4OUEST",1,0)</f>
        <v>0</v>
      </c>
      <c r="AJ123" s="12">
        <f>VLOOKUP(Tableau4[[#This Row],[essence]],Tableau6[],14,FALSE)</f>
        <v>-0.33779999999999999</v>
      </c>
      <c r="AK123" s="12">
        <f>IF(Tableau4[[#This Row],[sdom]]="5EST",1,0)</f>
        <v>0</v>
      </c>
      <c r="AL123" s="12">
        <f>VLOOKUP(Tableau4[[#This Row],[essence]],Tableau6[],17,FALSE)</f>
        <v>1.03E-2</v>
      </c>
      <c r="AM123" s="12">
        <f>IF(Tableau4[[#This Row],[priorecol]]="C",1,0)</f>
        <v>0</v>
      </c>
      <c r="AN123" s="12">
        <f>VLOOKUP(Tableau4[[#This Row],[essence]],Tableau6[],18,FALSE)</f>
        <v>1.23E-2</v>
      </c>
      <c r="AO123" s="12">
        <f>IF(Tableau4[[#This Row],[priorecol]]="R",1,0)</f>
        <v>1</v>
      </c>
      <c r="AP123" s="12">
        <f>VLOOKUP(Tableau4[[#This Row],[essence]],Tableau6[],19,FALSE)</f>
        <v>1.2800000000000001E-2</v>
      </c>
      <c r="AQ123" s="12">
        <f>IF(Tableau4[[#This Row],[priorecol]]="S",1,0)</f>
        <v>0</v>
      </c>
      <c r="AR123" s="12">
        <f>VLOOKUP(Tableau4[[#This Row],[essence]],Tableau6[],21,FALSE)</f>
        <v>0</v>
      </c>
      <c r="AS123" s="12">
        <f>IF(Tableau4[[#This Row],[priorecol]]="C",1,0)</f>
        <v>0</v>
      </c>
      <c r="AT123" s="12">
        <f>VLOOKUP(Tableau4[[#This Row],[essence]],Tableau6[],22,FALSE)</f>
        <v>0</v>
      </c>
      <c r="AU123" s="12">
        <f>IF(Tableau4[[#This Row],[priorecol]]="R",1,0)</f>
        <v>1</v>
      </c>
      <c r="AV123" s="12">
        <f>VLOOKUP(Tableau4[[#This Row],[essence]],Tableau6[],23,FALSE)</f>
        <v>0</v>
      </c>
      <c r="AW123" s="12">
        <f>IF(Tableau4[[#This Row],[priorecol]]="S",1,0)</f>
        <v>0</v>
      </c>
      <c r="AX123" s="12">
        <f>VLOOKUP(Tableau4[[#This Row],[essence]],Tableau6[],24,FALSE)</f>
        <v>0</v>
      </c>
      <c r="AY123" s="12">
        <f>VLOOKUP(Tableau4[[#This Row],[essence]],Tableau6[],25,FALSE)</f>
        <v>0</v>
      </c>
      <c r="AZ123" s="12">
        <f>VLOOKUP(Tableau4[[#This Row],[essence]],Tableau6[],26,FALSE)</f>
        <v>0</v>
      </c>
      <c r="BA123" s="12">
        <f>VLOOKUP(Tableau4[[#This Row],[essence]],Tableau6[],27,FALSE)</f>
        <v>0</v>
      </c>
      <c r="BB123" s="12">
        <f>VLOOKUP(Tableau4[[#This Row],[essence]],Tableau6[],16,FALSE)</f>
        <v>-4.8999999999999998E-4</v>
      </c>
      <c r="BC12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2.1720200000000007</v>
      </c>
      <c r="BD123" s="12">
        <f>Tableau4[[#This Row],[xb_]]+Tableau4[[#This Row],[b_intercept_C]]+Tableau4[[#This Row],[b_dhpcm_x_intercept_C]]*Tableau4[[#This Row],[dhpcm]]</f>
        <v>2.9938200000000008</v>
      </c>
      <c r="BE123" s="12">
        <f>Tableau4[[#This Row],[xb_]]+Tableau4[[#This Row],[b_intercept_B]]+Tableau4[[#This Row],[b_dhpcm_x_intercept_B]]*Tableau4[[#This Row],[dhpcm]]</f>
        <v>1.4909200000000007</v>
      </c>
      <c r="BF123" s="12">
        <f>Tableau4[[#This Row],[xb_]]+Tableau4[[#This Row],[b_intercept_A]]+Tableau4[[#This Row],[b_dhpcm_x_intercept_A]]*Tableau4[[#This Row],[dhpcm]]</f>
        <v>0.37832000000000066</v>
      </c>
      <c r="BG123" s="12">
        <f>1/(1+EXP(-Tableau4[[#This Row],[xb_c]]))</f>
        <v>0.95229415289502217</v>
      </c>
      <c r="BH123" s="12">
        <f>1/(1+EXP(-Tableau4[[#This Row],[xb_b]]))</f>
        <v>0.81621631939140349</v>
      </c>
      <c r="BI123" s="12">
        <f>1/(1+EXP(-Tableau4[[#This Row],[xb_a]]))</f>
        <v>0.59346784354517679</v>
      </c>
      <c r="BJ123" s="12">
        <f>Tableau4[[#This Row],[prob_a]]</f>
        <v>0.59346784354517679</v>
      </c>
      <c r="BK123" s="12">
        <f>Tableau4[[#This Row],[prob_b]]-Tableau4[[#This Row],[prob_a]]</f>
        <v>0.2227484758462267</v>
      </c>
      <c r="BL123" s="12">
        <f>Tableau4[[#This Row],[prob_c]]-Tableau4[[#This Row],[prob_b]]</f>
        <v>0.13607783350361868</v>
      </c>
      <c r="BM123" s="12">
        <f>1-Tableau4[[#This Row],[prob_c]]</f>
        <v>4.7705847104977828E-2</v>
      </c>
    </row>
    <row r="124" spans="1:65" x14ac:dyDescent="0.25">
      <c r="A124" s="12">
        <v>6</v>
      </c>
      <c r="B124" s="12" t="s">
        <v>14</v>
      </c>
      <c r="C124" s="12">
        <v>1.2</v>
      </c>
      <c r="D124" s="12">
        <v>1022</v>
      </c>
      <c r="E124" s="12">
        <v>25</v>
      </c>
      <c r="F124" s="12">
        <v>1</v>
      </c>
      <c r="G124" s="12">
        <v>51</v>
      </c>
      <c r="H124" s="12">
        <v>162</v>
      </c>
      <c r="I124" s="12" t="s">
        <v>19</v>
      </c>
      <c r="J124" s="12" t="s">
        <v>29</v>
      </c>
      <c r="K124" s="12">
        <f>VLOOKUP(Tableau4[[#This Row],[essence]],Tableau6[],2,FALSE)</f>
        <v>-1.7937000000000001</v>
      </c>
      <c r="L124" s="12">
        <f>VLOOKUP(Tableau4[[#This Row],[essence]],Tableau6[],3,FALSE)</f>
        <v>-0.68110000000000004</v>
      </c>
      <c r="M124" s="12">
        <f>VLOOKUP(Tableau4[[#This Row],[essence]],Tableau6[],4,FALSE)</f>
        <v>0.82179999999999997</v>
      </c>
      <c r="N124" s="12">
        <f>VLOOKUP(Tableau4[[#This Row],[essence]],Tableau6[],5,FALSE)</f>
        <v>1.5014000000000001</v>
      </c>
      <c r="O124" s="12">
        <f>IF(Tableau4[[#This Row],[priorecol]]="C",1,0)</f>
        <v>0</v>
      </c>
      <c r="P124" s="12">
        <f>VLOOKUP(Tableau4[[#This Row],[essence]],Tableau6[],6,FALSE)</f>
        <v>2.3875000000000002</v>
      </c>
      <c r="Q124" s="12">
        <f>IF(Tableau4[[#This Row],[priorecol]]="R",1,0)</f>
        <v>0</v>
      </c>
      <c r="R124" s="12">
        <f>VLOOKUP(Tableau4[[#This Row],[essence]],Tableau6[],7,FALSE)</f>
        <v>0.94669999999999999</v>
      </c>
      <c r="S124" s="12">
        <f>IF(Tableau4[[#This Row],[priorecol]]="S",1,0)</f>
        <v>1</v>
      </c>
      <c r="T124" s="12">
        <f>VLOOKUP(Tableau4[[#This Row],[essence]],Tableau6[],20,FALSE)</f>
        <v>0</v>
      </c>
      <c r="U124" s="12">
        <f>VLOOKUP(Tableau4[[#This Row],[essence]],Tableau6[],15,FALSE)</f>
        <v>6.4000000000000003E-3</v>
      </c>
      <c r="V124" s="12">
        <f>VLOOKUP(Tableau4[[#This Row],[essence]],Tableau6[],28,FALSE)</f>
        <v>0</v>
      </c>
      <c r="W124" s="12">
        <f>IF(Tableau4[[#This Row],[sdom]]=1,1,0)</f>
        <v>0</v>
      </c>
      <c r="X124" s="12">
        <f>VLOOKUP(Tableau4[[#This Row],[essence]],Tableau6[],8,FALSE)</f>
        <v>9.4399999999999998E-2</v>
      </c>
      <c r="Y124" s="12">
        <f>IF(Tableau4[[#This Row],[sdom]]="2EST",1,0)</f>
        <v>0</v>
      </c>
      <c r="Z124" s="12">
        <f>VLOOKUP(Tableau4[[#This Row],[essence]],Tableau6[],9,FALSE)</f>
        <v>-0.40260000000000001</v>
      </c>
      <c r="AA124" s="12">
        <f>IF(Tableau4[[#This Row],[sdom]]="2OUEST",1,0)</f>
        <v>0</v>
      </c>
      <c r="AB124" s="12">
        <f>VLOOKUP(Tableau4[[#This Row],[essence]],Tableau6[],10,FALSE)</f>
        <v>-3.5699999999999998E-3</v>
      </c>
      <c r="AC124" s="12">
        <f>IF(Tableau4[[#This Row],[sdom]]="3EST",1,0)</f>
        <v>0</v>
      </c>
      <c r="AD124" s="12">
        <f>VLOOKUP(Tableau4[[#This Row],[essence]],Tableau6[],11,FALSE)</f>
        <v>0.14949999999999999</v>
      </c>
      <c r="AE124" s="12">
        <f>IF(Tableau4[[#This Row],[sdom]]="3OUEST",1,0)</f>
        <v>0</v>
      </c>
      <c r="AF124" s="12">
        <f>VLOOKUP(Tableau4[[#This Row],[essence]],Tableau6[],12,FALSE)</f>
        <v>-0.1822</v>
      </c>
      <c r="AG124" s="12">
        <f>IF(Tableau4[[#This Row],[sdom]]="4EST",1,0)</f>
        <v>1</v>
      </c>
      <c r="AH124" s="12">
        <f>VLOOKUP(Tableau4[[#This Row],[essence]],Tableau6[],13,FALSE)</f>
        <v>-0.1013</v>
      </c>
      <c r="AI124" s="12">
        <f>IF(Tableau4[[#This Row],[sdom]]="4OUEST",1,0)</f>
        <v>0</v>
      </c>
      <c r="AJ124" s="12">
        <f>VLOOKUP(Tableau4[[#This Row],[essence]],Tableau6[],14,FALSE)</f>
        <v>-0.33779999999999999</v>
      </c>
      <c r="AK124" s="12">
        <f>IF(Tableau4[[#This Row],[sdom]]="5EST",1,0)</f>
        <v>0</v>
      </c>
      <c r="AL124" s="12">
        <f>VLOOKUP(Tableau4[[#This Row],[essence]],Tableau6[],17,FALSE)</f>
        <v>1.03E-2</v>
      </c>
      <c r="AM124" s="12">
        <f>IF(Tableau4[[#This Row],[priorecol]]="C",1,0)</f>
        <v>0</v>
      </c>
      <c r="AN124" s="12">
        <f>VLOOKUP(Tableau4[[#This Row],[essence]],Tableau6[],18,FALSE)</f>
        <v>1.23E-2</v>
      </c>
      <c r="AO124" s="12">
        <f>IF(Tableau4[[#This Row],[priorecol]]="R",1,0)</f>
        <v>0</v>
      </c>
      <c r="AP124" s="12">
        <f>VLOOKUP(Tableau4[[#This Row],[essence]],Tableau6[],19,FALSE)</f>
        <v>1.2800000000000001E-2</v>
      </c>
      <c r="AQ124" s="12">
        <f>IF(Tableau4[[#This Row],[priorecol]]="S",1,0)</f>
        <v>1</v>
      </c>
      <c r="AR124" s="12">
        <f>VLOOKUP(Tableau4[[#This Row],[essence]],Tableau6[],21,FALSE)</f>
        <v>0</v>
      </c>
      <c r="AS124" s="12">
        <f>IF(Tableau4[[#This Row],[priorecol]]="C",1,0)</f>
        <v>0</v>
      </c>
      <c r="AT124" s="12">
        <f>VLOOKUP(Tableau4[[#This Row],[essence]],Tableau6[],22,FALSE)</f>
        <v>0</v>
      </c>
      <c r="AU124" s="12">
        <f>IF(Tableau4[[#This Row],[priorecol]]="R",1,0)</f>
        <v>0</v>
      </c>
      <c r="AV124" s="12">
        <f>VLOOKUP(Tableau4[[#This Row],[essence]],Tableau6[],23,FALSE)</f>
        <v>0</v>
      </c>
      <c r="AW124" s="12">
        <f>IF(Tableau4[[#This Row],[priorecol]]="S",1,0)</f>
        <v>1</v>
      </c>
      <c r="AX124" s="12">
        <f>VLOOKUP(Tableau4[[#This Row],[essence]],Tableau6[],24,FALSE)</f>
        <v>0</v>
      </c>
      <c r="AY124" s="12">
        <f>VLOOKUP(Tableau4[[#This Row],[essence]],Tableau6[],25,FALSE)</f>
        <v>0</v>
      </c>
      <c r="AZ124" s="12">
        <f>VLOOKUP(Tableau4[[#This Row],[essence]],Tableau6[],26,FALSE)</f>
        <v>0</v>
      </c>
      <c r="BA124" s="12">
        <f>VLOOKUP(Tableau4[[#This Row],[essence]],Tableau6[],27,FALSE)</f>
        <v>0</v>
      </c>
      <c r="BB124" s="12">
        <f>VLOOKUP(Tableau4[[#This Row],[essence]],Tableau6[],16,FALSE)</f>
        <v>-4.8999999999999998E-4</v>
      </c>
      <c r="BC12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0.74371999999999994</v>
      </c>
      <c r="BD124" s="12">
        <f>Tableau4[[#This Row],[xb_]]+Tableau4[[#This Row],[b_intercept_C]]+Tableau4[[#This Row],[b_dhpcm_x_intercept_C]]*Tableau4[[#This Row],[dhpcm]]</f>
        <v>1.5655199999999998</v>
      </c>
      <c r="BE124" s="12">
        <f>Tableau4[[#This Row],[xb_]]+Tableau4[[#This Row],[b_intercept_B]]+Tableau4[[#This Row],[b_dhpcm_x_intercept_B]]*Tableau4[[#This Row],[dhpcm]]</f>
        <v>6.2619999999999898E-2</v>
      </c>
      <c r="BF124" s="12">
        <f>Tableau4[[#This Row],[xb_]]+Tableau4[[#This Row],[b_intercept_A]]+Tableau4[[#This Row],[b_dhpcm_x_intercept_A]]*Tableau4[[#This Row],[dhpcm]]</f>
        <v>-1.0499800000000001</v>
      </c>
      <c r="BG124" s="12">
        <f>1/(1+EXP(-Tableau4[[#This Row],[xb_c]]))</f>
        <v>0.82714401068608923</v>
      </c>
      <c r="BH124" s="12">
        <f>1/(1+EXP(-Tableau4[[#This Row],[xb_b]]))</f>
        <v>0.5156498863889909</v>
      </c>
      <c r="BI124" s="12">
        <f>1/(1+EXP(-Tableau4[[#This Row],[xb_a]]))</f>
        <v>0.25922894138529856</v>
      </c>
      <c r="BJ124" s="12">
        <f>Tableau4[[#This Row],[prob_a]]</f>
        <v>0.25922894138529856</v>
      </c>
      <c r="BK124" s="12">
        <f>Tableau4[[#This Row],[prob_b]]-Tableau4[[#This Row],[prob_a]]</f>
        <v>0.25642094500369234</v>
      </c>
      <c r="BL124" s="12">
        <f>Tableau4[[#This Row],[prob_c]]-Tableau4[[#This Row],[prob_b]]</f>
        <v>0.31149412429709833</v>
      </c>
      <c r="BM124" s="12">
        <f>1-Tableau4[[#This Row],[prob_c]]</f>
        <v>0.17285598931391077</v>
      </c>
    </row>
    <row r="125" spans="1:65" x14ac:dyDescent="0.25">
      <c r="A125" s="12">
        <v>6</v>
      </c>
      <c r="B125" s="12" t="s">
        <v>14</v>
      </c>
      <c r="C125" s="12">
        <v>1.2</v>
      </c>
      <c r="D125" s="12">
        <v>1022</v>
      </c>
      <c r="E125" s="12">
        <v>25</v>
      </c>
      <c r="F125" s="12">
        <v>1</v>
      </c>
      <c r="G125" s="12">
        <v>52</v>
      </c>
      <c r="H125" s="12">
        <v>163</v>
      </c>
      <c r="I125" s="12" t="s">
        <v>20</v>
      </c>
      <c r="J125" s="12" t="s">
        <v>27</v>
      </c>
      <c r="K125" s="12">
        <f>VLOOKUP(Tableau4[[#This Row],[essence]],Tableau6[],2,FALSE)</f>
        <v>1.0688</v>
      </c>
      <c r="L125" s="12">
        <f>VLOOKUP(Tableau4[[#This Row],[essence]],Tableau6[],3,FALSE)</f>
        <v>2.0478000000000001</v>
      </c>
      <c r="M125" s="12">
        <f>VLOOKUP(Tableau4[[#This Row],[essence]],Tableau6[],4,FALSE)</f>
        <v>3.3382999999999998</v>
      </c>
      <c r="N125" s="12">
        <f>VLOOKUP(Tableau4[[#This Row],[essence]],Tableau6[],5,FALSE)</f>
        <v>-1.2143999999999999</v>
      </c>
      <c r="O125" s="12">
        <f>IF(Tableau4[[#This Row],[priorecol]]="C",1,0)</f>
        <v>1</v>
      </c>
      <c r="P125" s="12">
        <f>VLOOKUP(Tableau4[[#This Row],[essence]],Tableau6[],6,FALSE)</f>
        <v>-1.2690999999999999</v>
      </c>
      <c r="Q125" s="12">
        <f>IF(Tableau4[[#This Row],[priorecol]]="R",1,0)</f>
        <v>0</v>
      </c>
      <c r="R125" s="12">
        <f>VLOOKUP(Tableau4[[#This Row],[essence]],Tableau6[],7,FALSE)</f>
        <v>-7.1900000000000006E-2</v>
      </c>
      <c r="S125" s="12">
        <f>IF(Tableau4[[#This Row],[priorecol]]="S",1,0)</f>
        <v>0</v>
      </c>
      <c r="T125" s="12">
        <f>VLOOKUP(Tableau4[[#This Row],[essence]],Tableau6[],20,FALSE)</f>
        <v>-3.04E-2</v>
      </c>
      <c r="U125" s="12">
        <f>VLOOKUP(Tableau4[[#This Row],[essence]],Tableau6[],15,FALSE)</f>
        <v>1.4200000000000001E-2</v>
      </c>
      <c r="V125" s="12">
        <f>VLOOKUP(Tableau4[[#This Row],[essence]],Tableau6[],28,FALSE)</f>
        <v>0</v>
      </c>
      <c r="W125" s="12">
        <f>IF(Tableau4[[#This Row],[sdom]]=1,1,0)</f>
        <v>0</v>
      </c>
      <c r="X125" s="12">
        <f>VLOOKUP(Tableau4[[#This Row],[essence]],Tableau6[],8,FALSE)</f>
        <v>0</v>
      </c>
      <c r="Y125" s="12">
        <f>IF(Tableau4[[#This Row],[sdom]]="2EST",1,0)</f>
        <v>0</v>
      </c>
      <c r="Z125" s="12">
        <f>VLOOKUP(Tableau4[[#This Row],[essence]],Tableau6[],9,FALSE)</f>
        <v>0</v>
      </c>
      <c r="AA125" s="12">
        <f>IF(Tableau4[[#This Row],[sdom]]="2OUEST",1,0)</f>
        <v>0</v>
      </c>
      <c r="AB125" s="12">
        <f>VLOOKUP(Tableau4[[#This Row],[essence]],Tableau6[],10,FALSE)</f>
        <v>0</v>
      </c>
      <c r="AC125" s="12">
        <f>IF(Tableau4[[#This Row],[sdom]]="3EST",1,0)</f>
        <v>0</v>
      </c>
      <c r="AD125" s="12">
        <f>VLOOKUP(Tableau4[[#This Row],[essence]],Tableau6[],11,FALSE)</f>
        <v>0</v>
      </c>
      <c r="AE125" s="12">
        <f>IF(Tableau4[[#This Row],[sdom]]="3OUEST",1,0)</f>
        <v>0</v>
      </c>
      <c r="AF125" s="12">
        <f>VLOOKUP(Tableau4[[#This Row],[essence]],Tableau6[],12,FALSE)</f>
        <v>0</v>
      </c>
      <c r="AG125" s="12">
        <f>IF(Tableau4[[#This Row],[sdom]]="4EST",1,0)</f>
        <v>1</v>
      </c>
      <c r="AH125" s="12">
        <f>VLOOKUP(Tableau4[[#This Row],[essence]],Tableau6[],13,FALSE)</f>
        <v>0</v>
      </c>
      <c r="AI125" s="12">
        <f>IF(Tableau4[[#This Row],[sdom]]="4OUEST",1,0)</f>
        <v>0</v>
      </c>
      <c r="AJ125" s="12">
        <f>VLOOKUP(Tableau4[[#This Row],[essence]],Tableau6[],14,FALSE)</f>
        <v>0</v>
      </c>
      <c r="AK125" s="12">
        <f>IF(Tableau4[[#This Row],[sdom]]="5EST",1,0)</f>
        <v>0</v>
      </c>
      <c r="AL125" s="12">
        <f>VLOOKUP(Tableau4[[#This Row],[essence]],Tableau6[],17,FALSE)</f>
        <v>0</v>
      </c>
      <c r="AM125" s="12">
        <f>IF(Tableau4[[#This Row],[priorecol]]="C",1,0)</f>
        <v>1</v>
      </c>
      <c r="AN125" s="12">
        <f>VLOOKUP(Tableau4[[#This Row],[essence]],Tableau6[],18,FALSE)</f>
        <v>0</v>
      </c>
      <c r="AO125" s="12">
        <f>IF(Tableau4[[#This Row],[priorecol]]="R",1,0)</f>
        <v>0</v>
      </c>
      <c r="AP125" s="12">
        <f>VLOOKUP(Tableau4[[#This Row],[essence]],Tableau6[],19,FALSE)</f>
        <v>0</v>
      </c>
      <c r="AQ125" s="12">
        <f>IF(Tableau4[[#This Row],[priorecol]]="S",1,0)</f>
        <v>0</v>
      </c>
      <c r="AR125" s="12">
        <f>VLOOKUP(Tableau4[[#This Row],[essence]],Tableau6[],21,FALSE)</f>
        <v>5.4600000000000003E-2</v>
      </c>
      <c r="AS125" s="12">
        <f>IF(Tableau4[[#This Row],[priorecol]]="C",1,0)</f>
        <v>1</v>
      </c>
      <c r="AT125" s="12">
        <f>VLOOKUP(Tableau4[[#This Row],[essence]],Tableau6[],22,FALSE)</f>
        <v>6.7900000000000002E-2</v>
      </c>
      <c r="AU125" s="12">
        <f>IF(Tableau4[[#This Row],[priorecol]]="R",1,0)</f>
        <v>0</v>
      </c>
      <c r="AV125" s="12">
        <f>VLOOKUP(Tableau4[[#This Row],[essence]],Tableau6[],23,FALSE)</f>
        <v>1.8700000000000001E-2</v>
      </c>
      <c r="AW125" s="12">
        <f>IF(Tableau4[[#This Row],[priorecol]]="S",1,0)</f>
        <v>0</v>
      </c>
      <c r="AX125" s="12">
        <f>VLOOKUP(Tableau4[[#This Row],[essence]],Tableau6[],24,FALSE)</f>
        <v>0</v>
      </c>
      <c r="AY125" s="12">
        <f>VLOOKUP(Tableau4[[#This Row],[essence]],Tableau6[],25,FALSE)</f>
        <v>0</v>
      </c>
      <c r="AZ125" s="12">
        <f>VLOOKUP(Tableau4[[#This Row],[essence]],Tableau6[],26,FALSE)</f>
        <v>0</v>
      </c>
      <c r="BA125" s="12">
        <f>VLOOKUP(Tableau4[[#This Row],[essence]],Tableau6[],27,FALSE)</f>
        <v>0</v>
      </c>
      <c r="BB125" s="12">
        <f>VLOOKUP(Tableau4[[#This Row],[essence]],Tableau6[],16,FALSE)</f>
        <v>-1.33E-3</v>
      </c>
      <c r="BC12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1.7259400000000023</v>
      </c>
      <c r="BD125" s="12">
        <f>Tableau4[[#This Row],[xb_]]+Tableau4[[#This Row],[b_intercept_C]]+Tableau4[[#This Row],[b_dhpcm_x_intercept_C]]*Tableau4[[#This Row],[dhpcm]]</f>
        <v>5.0642400000000016</v>
      </c>
      <c r="BE125" s="12">
        <f>Tableau4[[#This Row],[xb_]]+Tableau4[[#This Row],[b_intercept_B]]+Tableau4[[#This Row],[b_dhpcm_x_intercept_B]]*Tableau4[[#This Row],[dhpcm]]</f>
        <v>3.7737400000000023</v>
      </c>
      <c r="BF125" s="12">
        <f>Tableau4[[#This Row],[xb_]]+Tableau4[[#This Row],[b_intercept_A]]+Tableau4[[#This Row],[b_dhpcm_x_intercept_A]]*Tableau4[[#This Row],[dhpcm]]</f>
        <v>2.7947400000000022</v>
      </c>
      <c r="BG125" s="12">
        <f>1/(1+EXP(-Tableau4[[#This Row],[xb_c]]))</f>
        <v>0.99372096411597732</v>
      </c>
      <c r="BH125" s="12">
        <f>1/(1+EXP(-Tableau4[[#This Row],[xb_b]]))</f>
        <v>0.97754958681332293</v>
      </c>
      <c r="BI125" s="12">
        <f>1/(1+EXP(-Tableau4[[#This Row],[xb_a]]))</f>
        <v>0.94239092088442433</v>
      </c>
      <c r="BJ125" s="12">
        <f>Tableau4[[#This Row],[prob_a]]</f>
        <v>0.94239092088442433</v>
      </c>
      <c r="BK125" s="12">
        <f>Tableau4[[#This Row],[prob_b]]-Tableau4[[#This Row],[prob_a]]</f>
        <v>3.5158665928898603E-2</v>
      </c>
      <c r="BL125" s="12">
        <f>Tableau4[[#This Row],[prob_c]]-Tableau4[[#This Row],[prob_b]]</f>
        <v>1.6171377302654388E-2</v>
      </c>
      <c r="BM125" s="12">
        <f>1-Tableau4[[#This Row],[prob_c]]</f>
        <v>6.2790358840226768E-3</v>
      </c>
    </row>
    <row r="126" spans="1:65" x14ac:dyDescent="0.25">
      <c r="A126" s="12">
        <v>6</v>
      </c>
      <c r="B126" s="12" t="s">
        <v>14</v>
      </c>
      <c r="C126" s="12">
        <v>1.2</v>
      </c>
      <c r="D126" s="12">
        <v>1022</v>
      </c>
      <c r="E126" s="12">
        <v>25</v>
      </c>
      <c r="F126" s="12">
        <v>1</v>
      </c>
      <c r="G126" s="12">
        <v>53</v>
      </c>
      <c r="H126" s="12">
        <v>164</v>
      </c>
      <c r="I126" s="12" t="s">
        <v>20</v>
      </c>
      <c r="J126" s="12" t="s">
        <v>28</v>
      </c>
      <c r="K126" s="12">
        <f>VLOOKUP(Tableau4[[#This Row],[essence]],Tableau6[],2,FALSE)</f>
        <v>1.0688</v>
      </c>
      <c r="L126" s="12">
        <f>VLOOKUP(Tableau4[[#This Row],[essence]],Tableau6[],3,FALSE)</f>
        <v>2.0478000000000001</v>
      </c>
      <c r="M126" s="12">
        <f>VLOOKUP(Tableau4[[#This Row],[essence]],Tableau6[],4,FALSE)</f>
        <v>3.3382999999999998</v>
      </c>
      <c r="N126" s="12">
        <f>VLOOKUP(Tableau4[[#This Row],[essence]],Tableau6[],5,FALSE)</f>
        <v>-1.2143999999999999</v>
      </c>
      <c r="O126" s="12">
        <f>IF(Tableau4[[#This Row],[priorecol]]="C",1,0)</f>
        <v>0</v>
      </c>
      <c r="P126" s="12">
        <f>VLOOKUP(Tableau4[[#This Row],[essence]],Tableau6[],6,FALSE)</f>
        <v>-1.2690999999999999</v>
      </c>
      <c r="Q126" s="12">
        <f>IF(Tableau4[[#This Row],[priorecol]]="R",1,0)</f>
        <v>1</v>
      </c>
      <c r="R126" s="12">
        <f>VLOOKUP(Tableau4[[#This Row],[essence]],Tableau6[],7,FALSE)</f>
        <v>-7.1900000000000006E-2</v>
      </c>
      <c r="S126" s="12">
        <f>IF(Tableau4[[#This Row],[priorecol]]="S",1,0)</f>
        <v>0</v>
      </c>
      <c r="T126" s="12">
        <f>VLOOKUP(Tableau4[[#This Row],[essence]],Tableau6[],20,FALSE)</f>
        <v>-3.04E-2</v>
      </c>
      <c r="U126" s="12">
        <f>VLOOKUP(Tableau4[[#This Row],[essence]],Tableau6[],15,FALSE)</f>
        <v>1.4200000000000001E-2</v>
      </c>
      <c r="V126" s="12">
        <f>VLOOKUP(Tableau4[[#This Row],[essence]],Tableau6[],28,FALSE)</f>
        <v>0</v>
      </c>
      <c r="W126" s="12">
        <f>IF(Tableau4[[#This Row],[sdom]]=1,1,0)</f>
        <v>0</v>
      </c>
      <c r="X126" s="12">
        <f>VLOOKUP(Tableau4[[#This Row],[essence]],Tableau6[],8,FALSE)</f>
        <v>0</v>
      </c>
      <c r="Y126" s="12">
        <f>IF(Tableau4[[#This Row],[sdom]]="2EST",1,0)</f>
        <v>0</v>
      </c>
      <c r="Z126" s="12">
        <f>VLOOKUP(Tableau4[[#This Row],[essence]],Tableau6[],9,FALSE)</f>
        <v>0</v>
      </c>
      <c r="AA126" s="12">
        <f>IF(Tableau4[[#This Row],[sdom]]="2OUEST",1,0)</f>
        <v>0</v>
      </c>
      <c r="AB126" s="12">
        <f>VLOOKUP(Tableau4[[#This Row],[essence]],Tableau6[],10,FALSE)</f>
        <v>0</v>
      </c>
      <c r="AC126" s="12">
        <f>IF(Tableau4[[#This Row],[sdom]]="3EST",1,0)</f>
        <v>0</v>
      </c>
      <c r="AD126" s="12">
        <f>VLOOKUP(Tableau4[[#This Row],[essence]],Tableau6[],11,FALSE)</f>
        <v>0</v>
      </c>
      <c r="AE126" s="12">
        <f>IF(Tableau4[[#This Row],[sdom]]="3OUEST",1,0)</f>
        <v>0</v>
      </c>
      <c r="AF126" s="12">
        <f>VLOOKUP(Tableau4[[#This Row],[essence]],Tableau6[],12,FALSE)</f>
        <v>0</v>
      </c>
      <c r="AG126" s="12">
        <f>IF(Tableau4[[#This Row],[sdom]]="4EST",1,0)</f>
        <v>1</v>
      </c>
      <c r="AH126" s="12">
        <f>VLOOKUP(Tableau4[[#This Row],[essence]],Tableau6[],13,FALSE)</f>
        <v>0</v>
      </c>
      <c r="AI126" s="12">
        <f>IF(Tableau4[[#This Row],[sdom]]="4OUEST",1,0)</f>
        <v>0</v>
      </c>
      <c r="AJ126" s="12">
        <f>VLOOKUP(Tableau4[[#This Row],[essence]],Tableau6[],14,FALSE)</f>
        <v>0</v>
      </c>
      <c r="AK126" s="12">
        <f>IF(Tableau4[[#This Row],[sdom]]="5EST",1,0)</f>
        <v>0</v>
      </c>
      <c r="AL126" s="12">
        <f>VLOOKUP(Tableau4[[#This Row],[essence]],Tableau6[],17,FALSE)</f>
        <v>0</v>
      </c>
      <c r="AM126" s="12">
        <f>IF(Tableau4[[#This Row],[priorecol]]="C",1,0)</f>
        <v>0</v>
      </c>
      <c r="AN126" s="12">
        <f>VLOOKUP(Tableau4[[#This Row],[essence]],Tableau6[],18,FALSE)</f>
        <v>0</v>
      </c>
      <c r="AO126" s="12">
        <f>IF(Tableau4[[#This Row],[priorecol]]="R",1,0)</f>
        <v>1</v>
      </c>
      <c r="AP126" s="12">
        <f>VLOOKUP(Tableau4[[#This Row],[essence]],Tableau6[],19,FALSE)</f>
        <v>0</v>
      </c>
      <c r="AQ126" s="12">
        <f>IF(Tableau4[[#This Row],[priorecol]]="S",1,0)</f>
        <v>0</v>
      </c>
      <c r="AR126" s="12">
        <f>VLOOKUP(Tableau4[[#This Row],[essence]],Tableau6[],21,FALSE)</f>
        <v>5.4600000000000003E-2</v>
      </c>
      <c r="AS126" s="12">
        <f>IF(Tableau4[[#This Row],[priorecol]]="C",1,0)</f>
        <v>0</v>
      </c>
      <c r="AT126" s="12">
        <f>VLOOKUP(Tableau4[[#This Row],[essence]],Tableau6[],22,FALSE)</f>
        <v>6.7900000000000002E-2</v>
      </c>
      <c r="AU126" s="12">
        <f>IF(Tableau4[[#This Row],[priorecol]]="R",1,0)</f>
        <v>1</v>
      </c>
      <c r="AV126" s="12">
        <f>VLOOKUP(Tableau4[[#This Row],[essence]],Tableau6[],23,FALSE)</f>
        <v>1.8700000000000001E-2</v>
      </c>
      <c r="AW126" s="12">
        <f>IF(Tableau4[[#This Row],[priorecol]]="S",1,0)</f>
        <v>0</v>
      </c>
      <c r="AX126" s="12">
        <f>VLOOKUP(Tableau4[[#This Row],[essence]],Tableau6[],24,FALSE)</f>
        <v>0</v>
      </c>
      <c r="AY126" s="12">
        <f>VLOOKUP(Tableau4[[#This Row],[essence]],Tableau6[],25,FALSE)</f>
        <v>0</v>
      </c>
      <c r="AZ126" s="12">
        <f>VLOOKUP(Tableau4[[#This Row],[essence]],Tableau6[],26,FALSE)</f>
        <v>0</v>
      </c>
      <c r="BA126" s="12">
        <f>VLOOKUP(Tableau4[[#This Row],[essence]],Tableau6[],27,FALSE)</f>
        <v>0</v>
      </c>
      <c r="BB126" s="12">
        <f>VLOOKUP(Tableau4[[#This Row],[essence]],Tableau6[],16,FALSE)</f>
        <v>-1.33E-3</v>
      </c>
      <c r="BC12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3.876640000000001</v>
      </c>
      <c r="BD126" s="12">
        <f>Tableau4[[#This Row],[xb_]]+Tableau4[[#This Row],[b_intercept_C]]+Tableau4[[#This Row],[b_dhpcm_x_intercept_C]]*Tableau4[[#This Row],[dhpcm]]</f>
        <v>7.2149400000000004</v>
      </c>
      <c r="BE126" s="12">
        <f>Tableau4[[#This Row],[xb_]]+Tableau4[[#This Row],[b_intercept_B]]+Tableau4[[#This Row],[b_dhpcm_x_intercept_B]]*Tableau4[[#This Row],[dhpcm]]</f>
        <v>5.9244400000000006</v>
      </c>
      <c r="BF126" s="12">
        <f>Tableau4[[#This Row],[xb_]]+Tableau4[[#This Row],[b_intercept_A]]+Tableau4[[#This Row],[b_dhpcm_x_intercept_A]]*Tableau4[[#This Row],[dhpcm]]</f>
        <v>4.9454400000000014</v>
      </c>
      <c r="BG126" s="12">
        <f>1/(1+EXP(-Tableau4[[#This Row],[xb_c]]))</f>
        <v>0.99926502586097088</v>
      </c>
      <c r="BH126" s="12">
        <f>1/(1+EXP(-Tableau4[[#This Row],[xb_b]]))</f>
        <v>0.99733382318546615</v>
      </c>
      <c r="BI126" s="12">
        <f>1/(1+EXP(-Tableau4[[#This Row],[xb_a]]))</f>
        <v>0.99293449358006336</v>
      </c>
      <c r="BJ126" s="12">
        <f>Tableau4[[#This Row],[prob_a]]</f>
        <v>0.99293449358006336</v>
      </c>
      <c r="BK126" s="12">
        <f>Tableau4[[#This Row],[prob_b]]-Tableau4[[#This Row],[prob_a]]</f>
        <v>4.3993296054027908E-3</v>
      </c>
      <c r="BL126" s="12">
        <f>Tableau4[[#This Row],[prob_c]]-Tableau4[[#This Row],[prob_b]]</f>
        <v>1.9312026755047285E-3</v>
      </c>
      <c r="BM126" s="12">
        <f>1-Tableau4[[#This Row],[prob_c]]</f>
        <v>7.349741390291209E-4</v>
      </c>
    </row>
    <row r="127" spans="1:65" x14ac:dyDescent="0.25">
      <c r="A127" s="12">
        <v>6</v>
      </c>
      <c r="B127" s="12" t="s">
        <v>14</v>
      </c>
      <c r="C127" s="12">
        <v>1.2</v>
      </c>
      <c r="D127" s="12">
        <v>1022</v>
      </c>
      <c r="E127" s="12">
        <v>25</v>
      </c>
      <c r="F127" s="12">
        <v>1</v>
      </c>
      <c r="G127" s="12">
        <v>54</v>
      </c>
      <c r="H127" s="12">
        <v>165</v>
      </c>
      <c r="I127" s="12" t="s">
        <v>20</v>
      </c>
      <c r="J127" s="12" t="s">
        <v>29</v>
      </c>
      <c r="K127" s="12">
        <f>VLOOKUP(Tableau4[[#This Row],[essence]],Tableau6[],2,FALSE)</f>
        <v>1.0688</v>
      </c>
      <c r="L127" s="12">
        <f>VLOOKUP(Tableau4[[#This Row],[essence]],Tableau6[],3,FALSE)</f>
        <v>2.0478000000000001</v>
      </c>
      <c r="M127" s="12">
        <f>VLOOKUP(Tableau4[[#This Row],[essence]],Tableau6[],4,FALSE)</f>
        <v>3.3382999999999998</v>
      </c>
      <c r="N127" s="12">
        <f>VLOOKUP(Tableau4[[#This Row],[essence]],Tableau6[],5,FALSE)</f>
        <v>-1.2143999999999999</v>
      </c>
      <c r="O127" s="12">
        <f>IF(Tableau4[[#This Row],[priorecol]]="C",1,0)</f>
        <v>0</v>
      </c>
      <c r="P127" s="12">
        <f>VLOOKUP(Tableau4[[#This Row],[essence]],Tableau6[],6,FALSE)</f>
        <v>-1.2690999999999999</v>
      </c>
      <c r="Q127" s="12">
        <f>IF(Tableau4[[#This Row],[priorecol]]="R",1,0)</f>
        <v>0</v>
      </c>
      <c r="R127" s="12">
        <f>VLOOKUP(Tableau4[[#This Row],[essence]],Tableau6[],7,FALSE)</f>
        <v>-7.1900000000000006E-2</v>
      </c>
      <c r="S127" s="12">
        <f>IF(Tableau4[[#This Row],[priorecol]]="S",1,0)</f>
        <v>1</v>
      </c>
      <c r="T127" s="12">
        <f>VLOOKUP(Tableau4[[#This Row],[essence]],Tableau6[],20,FALSE)</f>
        <v>-3.04E-2</v>
      </c>
      <c r="U127" s="12">
        <f>VLOOKUP(Tableau4[[#This Row],[essence]],Tableau6[],15,FALSE)</f>
        <v>1.4200000000000001E-2</v>
      </c>
      <c r="V127" s="12">
        <f>VLOOKUP(Tableau4[[#This Row],[essence]],Tableau6[],28,FALSE)</f>
        <v>0</v>
      </c>
      <c r="W127" s="12">
        <f>IF(Tableau4[[#This Row],[sdom]]=1,1,0)</f>
        <v>0</v>
      </c>
      <c r="X127" s="12">
        <f>VLOOKUP(Tableau4[[#This Row],[essence]],Tableau6[],8,FALSE)</f>
        <v>0</v>
      </c>
      <c r="Y127" s="12">
        <f>IF(Tableau4[[#This Row],[sdom]]="2EST",1,0)</f>
        <v>0</v>
      </c>
      <c r="Z127" s="12">
        <f>VLOOKUP(Tableau4[[#This Row],[essence]],Tableau6[],9,FALSE)</f>
        <v>0</v>
      </c>
      <c r="AA127" s="12">
        <f>IF(Tableau4[[#This Row],[sdom]]="2OUEST",1,0)</f>
        <v>0</v>
      </c>
      <c r="AB127" s="12">
        <f>VLOOKUP(Tableau4[[#This Row],[essence]],Tableau6[],10,FALSE)</f>
        <v>0</v>
      </c>
      <c r="AC127" s="12">
        <f>IF(Tableau4[[#This Row],[sdom]]="3EST",1,0)</f>
        <v>0</v>
      </c>
      <c r="AD127" s="12">
        <f>VLOOKUP(Tableau4[[#This Row],[essence]],Tableau6[],11,FALSE)</f>
        <v>0</v>
      </c>
      <c r="AE127" s="12">
        <f>IF(Tableau4[[#This Row],[sdom]]="3OUEST",1,0)</f>
        <v>0</v>
      </c>
      <c r="AF127" s="12">
        <f>VLOOKUP(Tableau4[[#This Row],[essence]],Tableau6[],12,FALSE)</f>
        <v>0</v>
      </c>
      <c r="AG127" s="12">
        <f>IF(Tableau4[[#This Row],[sdom]]="4EST",1,0)</f>
        <v>1</v>
      </c>
      <c r="AH127" s="12">
        <f>VLOOKUP(Tableau4[[#This Row],[essence]],Tableau6[],13,FALSE)</f>
        <v>0</v>
      </c>
      <c r="AI127" s="12">
        <f>IF(Tableau4[[#This Row],[sdom]]="4OUEST",1,0)</f>
        <v>0</v>
      </c>
      <c r="AJ127" s="12">
        <f>VLOOKUP(Tableau4[[#This Row],[essence]],Tableau6[],14,FALSE)</f>
        <v>0</v>
      </c>
      <c r="AK127" s="12">
        <f>IF(Tableau4[[#This Row],[sdom]]="5EST",1,0)</f>
        <v>0</v>
      </c>
      <c r="AL127" s="12">
        <f>VLOOKUP(Tableau4[[#This Row],[essence]],Tableau6[],17,FALSE)</f>
        <v>0</v>
      </c>
      <c r="AM127" s="12">
        <f>IF(Tableau4[[#This Row],[priorecol]]="C",1,0)</f>
        <v>0</v>
      </c>
      <c r="AN127" s="12">
        <f>VLOOKUP(Tableau4[[#This Row],[essence]],Tableau6[],18,FALSE)</f>
        <v>0</v>
      </c>
      <c r="AO127" s="12">
        <f>IF(Tableau4[[#This Row],[priorecol]]="R",1,0)</f>
        <v>0</v>
      </c>
      <c r="AP127" s="12">
        <f>VLOOKUP(Tableau4[[#This Row],[essence]],Tableau6[],19,FALSE)</f>
        <v>0</v>
      </c>
      <c r="AQ127" s="12">
        <f>IF(Tableau4[[#This Row],[priorecol]]="S",1,0)</f>
        <v>1</v>
      </c>
      <c r="AR127" s="12">
        <f>VLOOKUP(Tableau4[[#This Row],[essence]],Tableau6[],21,FALSE)</f>
        <v>5.4600000000000003E-2</v>
      </c>
      <c r="AS127" s="12">
        <f>IF(Tableau4[[#This Row],[priorecol]]="C",1,0)</f>
        <v>0</v>
      </c>
      <c r="AT127" s="12">
        <f>VLOOKUP(Tableau4[[#This Row],[essence]],Tableau6[],22,FALSE)</f>
        <v>6.7900000000000002E-2</v>
      </c>
      <c r="AU127" s="12">
        <f>IF(Tableau4[[#This Row],[priorecol]]="R",1,0)</f>
        <v>0</v>
      </c>
      <c r="AV127" s="12">
        <f>VLOOKUP(Tableau4[[#This Row],[essence]],Tableau6[],23,FALSE)</f>
        <v>1.8700000000000001E-2</v>
      </c>
      <c r="AW127" s="12">
        <f>IF(Tableau4[[#This Row],[priorecol]]="S",1,0)</f>
        <v>1</v>
      </c>
      <c r="AX127" s="12">
        <f>VLOOKUP(Tableau4[[#This Row],[essence]],Tableau6[],24,FALSE)</f>
        <v>0</v>
      </c>
      <c r="AY127" s="12">
        <f>VLOOKUP(Tableau4[[#This Row],[essence]],Tableau6[],25,FALSE)</f>
        <v>0</v>
      </c>
      <c r="AZ127" s="12">
        <f>VLOOKUP(Tableau4[[#This Row],[essence]],Tableau6[],26,FALSE)</f>
        <v>0</v>
      </c>
      <c r="BA127" s="12">
        <f>VLOOKUP(Tableau4[[#This Row],[essence]],Tableau6[],27,FALSE)</f>
        <v>0</v>
      </c>
      <c r="BB127" s="12">
        <f>VLOOKUP(Tableau4[[#This Row],[essence]],Tableau6[],16,FALSE)</f>
        <v>-1.33E-3</v>
      </c>
      <c r="BC12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-3.0066599999999997</v>
      </c>
      <c r="BD127" s="12">
        <f>Tableau4[[#This Row],[xb_]]+Tableau4[[#This Row],[b_intercept_C]]+Tableau4[[#This Row],[b_dhpcm_x_intercept_C]]*Tableau4[[#This Row],[dhpcm]]</f>
        <v>0.33164000000000016</v>
      </c>
      <c r="BE127" s="12">
        <f>Tableau4[[#This Row],[xb_]]+Tableau4[[#This Row],[b_intercept_B]]+Tableau4[[#This Row],[b_dhpcm_x_intercept_B]]*Tableau4[[#This Row],[dhpcm]]</f>
        <v>-0.9588599999999996</v>
      </c>
      <c r="BF127" s="12">
        <f>Tableau4[[#This Row],[xb_]]+Tableau4[[#This Row],[b_intercept_A]]+Tableau4[[#This Row],[b_dhpcm_x_intercept_A]]*Tableau4[[#This Row],[dhpcm]]</f>
        <v>-1.9378599999999997</v>
      </c>
      <c r="BG127" s="12">
        <f>1/(1+EXP(-Tableau4[[#This Row],[xb_c]]))</f>
        <v>0.58215836051758318</v>
      </c>
      <c r="BH127" s="12">
        <f>1/(1+EXP(-Tableau4[[#This Row],[xb_b]]))</f>
        <v>0.27710649991478276</v>
      </c>
      <c r="BI127" s="12">
        <f>1/(1+EXP(-Tableau4[[#This Row],[xb_a]]))</f>
        <v>0.1258831463309299</v>
      </c>
      <c r="BJ127" s="12">
        <f>Tableau4[[#This Row],[prob_a]]</f>
        <v>0.1258831463309299</v>
      </c>
      <c r="BK127" s="12">
        <f>Tableau4[[#This Row],[prob_b]]-Tableau4[[#This Row],[prob_a]]</f>
        <v>0.15122335358385286</v>
      </c>
      <c r="BL127" s="12">
        <f>Tableau4[[#This Row],[prob_c]]-Tableau4[[#This Row],[prob_b]]</f>
        <v>0.30505186060280043</v>
      </c>
      <c r="BM127" s="12">
        <f>1-Tableau4[[#This Row],[prob_c]]</f>
        <v>0.41784163948241682</v>
      </c>
    </row>
    <row r="128" spans="1:65" x14ac:dyDescent="0.25">
      <c r="A128" s="12">
        <v>6</v>
      </c>
      <c r="B128" s="12" t="s">
        <v>14</v>
      </c>
      <c r="C128" s="12">
        <v>1.2</v>
      </c>
      <c r="D128" s="12">
        <v>1022</v>
      </c>
      <c r="E128" s="12">
        <v>25</v>
      </c>
      <c r="F128" s="12">
        <v>1</v>
      </c>
      <c r="G128" s="12">
        <v>55</v>
      </c>
      <c r="H128" s="12">
        <v>166</v>
      </c>
      <c r="I128" s="12" t="s">
        <v>21</v>
      </c>
      <c r="J128" s="12" t="s">
        <v>27</v>
      </c>
      <c r="K128" s="12">
        <f>VLOOKUP(Tableau4[[#This Row],[essence]],Tableau6[],2,FALSE)</f>
        <v>-2.4091999999999998</v>
      </c>
      <c r="L128" s="12">
        <f>VLOOKUP(Tableau4[[#This Row],[essence]],Tableau6[],3,FALSE)</f>
        <v>-1.3315999999999999</v>
      </c>
      <c r="M128" s="12">
        <f>VLOOKUP(Tableau4[[#This Row],[essence]],Tableau6[],4,FALSE)</f>
        <v>0.2475</v>
      </c>
      <c r="N128" s="12">
        <f>VLOOKUP(Tableau4[[#This Row],[essence]],Tableau6[],5,FALSE)</f>
        <v>1.9658</v>
      </c>
      <c r="O128" s="12">
        <f>IF(Tableau4[[#This Row],[priorecol]]="C",1,0)</f>
        <v>1</v>
      </c>
      <c r="P128" s="12">
        <f>VLOOKUP(Tableau4[[#This Row],[essence]],Tableau6[],6,FALSE)</f>
        <v>2.8807</v>
      </c>
      <c r="Q128" s="12">
        <f>IF(Tableau4[[#This Row],[priorecol]]="R",1,0)</f>
        <v>0</v>
      </c>
      <c r="R128" s="12">
        <f>VLOOKUP(Tableau4[[#This Row],[essence]],Tableau6[],7,FALSE)</f>
        <v>1.1791</v>
      </c>
      <c r="S128" s="12">
        <f>IF(Tableau4[[#This Row],[priorecol]]="S",1,0)</f>
        <v>0</v>
      </c>
      <c r="T128" s="12">
        <f>VLOOKUP(Tableau4[[#This Row],[essence]],Tableau6[],20,FALSE)</f>
        <v>0</v>
      </c>
      <c r="U128" s="12">
        <f>VLOOKUP(Tableau4[[#This Row],[essence]],Tableau6[],15,FALSE)</f>
        <v>2.4500000000000001E-2</v>
      </c>
      <c r="V128" s="12">
        <f>VLOOKUP(Tableau4[[#This Row],[essence]],Tableau6[],28,FALSE)</f>
        <v>0</v>
      </c>
      <c r="W128" s="12">
        <f>IF(Tableau4[[#This Row],[sdom]]=1,1,0)</f>
        <v>0</v>
      </c>
      <c r="X128" s="12">
        <f>VLOOKUP(Tableau4[[#This Row],[essence]],Tableau6[],8,FALSE)</f>
        <v>0</v>
      </c>
      <c r="Y128" s="12">
        <f>IF(Tableau4[[#This Row],[sdom]]="2EST",1,0)</f>
        <v>0</v>
      </c>
      <c r="Z128" s="12">
        <f>VLOOKUP(Tableau4[[#This Row],[essence]],Tableau6[],9,FALSE)</f>
        <v>0</v>
      </c>
      <c r="AA128" s="12">
        <f>IF(Tableau4[[#This Row],[sdom]]="2OUEST",1,0)</f>
        <v>0</v>
      </c>
      <c r="AB128" s="12">
        <f>VLOOKUP(Tableau4[[#This Row],[essence]],Tableau6[],10,FALSE)</f>
        <v>0</v>
      </c>
      <c r="AC128" s="12">
        <f>IF(Tableau4[[#This Row],[sdom]]="3EST",1,0)</f>
        <v>0</v>
      </c>
      <c r="AD128" s="12">
        <f>VLOOKUP(Tableau4[[#This Row],[essence]],Tableau6[],11,FALSE)</f>
        <v>0</v>
      </c>
      <c r="AE128" s="12">
        <f>IF(Tableau4[[#This Row],[sdom]]="3OUEST",1,0)</f>
        <v>0</v>
      </c>
      <c r="AF128" s="12">
        <f>VLOOKUP(Tableau4[[#This Row],[essence]],Tableau6[],12,FALSE)</f>
        <v>0</v>
      </c>
      <c r="AG128" s="12">
        <f>IF(Tableau4[[#This Row],[sdom]]="4EST",1,0)</f>
        <v>1</v>
      </c>
      <c r="AH128" s="12">
        <f>VLOOKUP(Tableau4[[#This Row],[essence]],Tableau6[],13,FALSE)</f>
        <v>0</v>
      </c>
      <c r="AI128" s="12">
        <f>IF(Tableau4[[#This Row],[sdom]]="4OUEST",1,0)</f>
        <v>0</v>
      </c>
      <c r="AJ128" s="12">
        <f>VLOOKUP(Tableau4[[#This Row],[essence]],Tableau6[],14,FALSE)</f>
        <v>0</v>
      </c>
      <c r="AK128" s="12">
        <f>IF(Tableau4[[#This Row],[sdom]]="5EST",1,0)</f>
        <v>0</v>
      </c>
      <c r="AL128" s="12">
        <f>VLOOKUP(Tableau4[[#This Row],[essence]],Tableau6[],17,FALSE)</f>
        <v>0</v>
      </c>
      <c r="AM128" s="12">
        <f>IF(Tableau4[[#This Row],[priorecol]]="C",1,0)</f>
        <v>1</v>
      </c>
      <c r="AN128" s="12">
        <f>VLOOKUP(Tableau4[[#This Row],[essence]],Tableau6[],18,FALSE)</f>
        <v>0</v>
      </c>
      <c r="AO128" s="12">
        <f>IF(Tableau4[[#This Row],[priorecol]]="R",1,0)</f>
        <v>0</v>
      </c>
      <c r="AP128" s="12">
        <f>VLOOKUP(Tableau4[[#This Row],[essence]],Tableau6[],19,FALSE)</f>
        <v>0</v>
      </c>
      <c r="AQ128" s="12">
        <f>IF(Tableau4[[#This Row],[priorecol]]="S",1,0)</f>
        <v>0</v>
      </c>
      <c r="AR128" s="12">
        <f>VLOOKUP(Tableau4[[#This Row],[essence]],Tableau6[],21,FALSE)</f>
        <v>0</v>
      </c>
      <c r="AS128" s="12">
        <f>IF(Tableau4[[#This Row],[priorecol]]="C",1,0)</f>
        <v>1</v>
      </c>
      <c r="AT128" s="12">
        <f>VLOOKUP(Tableau4[[#This Row],[essence]],Tableau6[],22,FALSE)</f>
        <v>0</v>
      </c>
      <c r="AU128" s="12">
        <f>IF(Tableau4[[#This Row],[priorecol]]="R",1,0)</f>
        <v>0</v>
      </c>
      <c r="AV128" s="12">
        <f>VLOOKUP(Tableau4[[#This Row],[essence]],Tableau6[],23,FALSE)</f>
        <v>0</v>
      </c>
      <c r="AW128" s="12">
        <f>IF(Tableau4[[#This Row],[priorecol]]="S",1,0)</f>
        <v>0</v>
      </c>
      <c r="AX128" s="12">
        <f>VLOOKUP(Tableau4[[#This Row],[essence]],Tableau6[],24,FALSE)</f>
        <v>0</v>
      </c>
      <c r="AY128" s="12">
        <f>VLOOKUP(Tableau4[[#This Row],[essence]],Tableau6[],25,FALSE)</f>
        <v>0</v>
      </c>
      <c r="AZ128" s="12">
        <f>VLOOKUP(Tableau4[[#This Row],[essence]],Tableau6[],26,FALSE)</f>
        <v>0</v>
      </c>
      <c r="BA128" s="12">
        <f>VLOOKUP(Tableau4[[#This Row],[essence]],Tableau6[],27,FALSE)</f>
        <v>0</v>
      </c>
      <c r="BB128" s="12">
        <f>VLOOKUP(Tableau4[[#This Row],[essence]],Tableau6[],16,FALSE)</f>
        <v>0</v>
      </c>
      <c r="BC12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2.5783</v>
      </c>
      <c r="BD128" s="12">
        <f>Tableau4[[#This Row],[xb_]]+Tableau4[[#This Row],[b_intercept_C]]+Tableau4[[#This Row],[b_dhpcm_x_intercept_C]]*Tableau4[[#This Row],[dhpcm]]</f>
        <v>2.8258000000000001</v>
      </c>
      <c r="BE128" s="12">
        <f>Tableau4[[#This Row],[xb_]]+Tableau4[[#This Row],[b_intercept_B]]+Tableau4[[#This Row],[b_dhpcm_x_intercept_B]]*Tableau4[[#This Row],[dhpcm]]</f>
        <v>1.2467000000000001</v>
      </c>
      <c r="BF128" s="12">
        <f>Tableau4[[#This Row],[xb_]]+Tableau4[[#This Row],[b_intercept_A]]+Tableau4[[#This Row],[b_dhpcm_x_intercept_A]]*Tableau4[[#This Row],[dhpcm]]</f>
        <v>0.16910000000000025</v>
      </c>
      <c r="BG128" s="12">
        <f>1/(1+EXP(-Tableau4[[#This Row],[xb_c]]))</f>
        <v>0.94405418865328028</v>
      </c>
      <c r="BH128" s="12">
        <f>1/(1+EXP(-Tableau4[[#This Row],[xb_b]]))</f>
        <v>0.77672809267712317</v>
      </c>
      <c r="BI128" s="12">
        <f>1/(1+EXP(-Tableau4[[#This Row],[xb_a]]))</f>
        <v>0.54217455009209914</v>
      </c>
      <c r="BJ128" s="12">
        <f>Tableau4[[#This Row],[prob_a]]</f>
        <v>0.54217455009209914</v>
      </c>
      <c r="BK128" s="12">
        <f>Tableau4[[#This Row],[prob_b]]-Tableau4[[#This Row],[prob_a]]</f>
        <v>0.23455354258502403</v>
      </c>
      <c r="BL128" s="12">
        <f>Tableau4[[#This Row],[prob_c]]-Tableau4[[#This Row],[prob_b]]</f>
        <v>0.16732609597615711</v>
      </c>
      <c r="BM128" s="12">
        <f>1-Tableau4[[#This Row],[prob_c]]</f>
        <v>5.594581134671972E-2</v>
      </c>
    </row>
    <row r="129" spans="1:65" x14ac:dyDescent="0.25">
      <c r="A129" s="12">
        <v>6</v>
      </c>
      <c r="B129" s="12" t="s">
        <v>14</v>
      </c>
      <c r="C129" s="12">
        <v>1.2</v>
      </c>
      <c r="D129" s="12">
        <v>1022</v>
      </c>
      <c r="E129" s="12">
        <v>25</v>
      </c>
      <c r="F129" s="12">
        <v>1</v>
      </c>
      <c r="G129" s="12">
        <v>56</v>
      </c>
      <c r="H129" s="12">
        <v>167</v>
      </c>
      <c r="I129" s="12" t="s">
        <v>21</v>
      </c>
      <c r="J129" s="12" t="s">
        <v>28</v>
      </c>
      <c r="K129" s="12">
        <f>VLOOKUP(Tableau4[[#This Row],[essence]],Tableau6[],2,FALSE)</f>
        <v>-2.4091999999999998</v>
      </c>
      <c r="L129" s="12">
        <f>VLOOKUP(Tableau4[[#This Row],[essence]],Tableau6[],3,FALSE)</f>
        <v>-1.3315999999999999</v>
      </c>
      <c r="M129" s="12">
        <f>VLOOKUP(Tableau4[[#This Row],[essence]],Tableau6[],4,FALSE)</f>
        <v>0.2475</v>
      </c>
      <c r="N129" s="12">
        <f>VLOOKUP(Tableau4[[#This Row],[essence]],Tableau6[],5,FALSE)</f>
        <v>1.9658</v>
      </c>
      <c r="O129" s="12">
        <f>IF(Tableau4[[#This Row],[priorecol]]="C",1,0)</f>
        <v>0</v>
      </c>
      <c r="P129" s="12">
        <f>VLOOKUP(Tableau4[[#This Row],[essence]],Tableau6[],6,FALSE)</f>
        <v>2.8807</v>
      </c>
      <c r="Q129" s="12">
        <f>IF(Tableau4[[#This Row],[priorecol]]="R",1,0)</f>
        <v>1</v>
      </c>
      <c r="R129" s="12">
        <f>VLOOKUP(Tableau4[[#This Row],[essence]],Tableau6[],7,FALSE)</f>
        <v>1.1791</v>
      </c>
      <c r="S129" s="12">
        <f>IF(Tableau4[[#This Row],[priorecol]]="S",1,0)</f>
        <v>0</v>
      </c>
      <c r="T129" s="12">
        <f>VLOOKUP(Tableau4[[#This Row],[essence]],Tableau6[],20,FALSE)</f>
        <v>0</v>
      </c>
      <c r="U129" s="12">
        <f>VLOOKUP(Tableau4[[#This Row],[essence]],Tableau6[],15,FALSE)</f>
        <v>2.4500000000000001E-2</v>
      </c>
      <c r="V129" s="12">
        <f>VLOOKUP(Tableau4[[#This Row],[essence]],Tableau6[],28,FALSE)</f>
        <v>0</v>
      </c>
      <c r="W129" s="12">
        <f>IF(Tableau4[[#This Row],[sdom]]=1,1,0)</f>
        <v>0</v>
      </c>
      <c r="X129" s="12">
        <f>VLOOKUP(Tableau4[[#This Row],[essence]],Tableau6[],8,FALSE)</f>
        <v>0</v>
      </c>
      <c r="Y129" s="12">
        <f>IF(Tableau4[[#This Row],[sdom]]="2EST",1,0)</f>
        <v>0</v>
      </c>
      <c r="Z129" s="12">
        <f>VLOOKUP(Tableau4[[#This Row],[essence]],Tableau6[],9,FALSE)</f>
        <v>0</v>
      </c>
      <c r="AA129" s="12">
        <f>IF(Tableau4[[#This Row],[sdom]]="2OUEST",1,0)</f>
        <v>0</v>
      </c>
      <c r="AB129" s="12">
        <f>VLOOKUP(Tableau4[[#This Row],[essence]],Tableau6[],10,FALSE)</f>
        <v>0</v>
      </c>
      <c r="AC129" s="12">
        <f>IF(Tableau4[[#This Row],[sdom]]="3EST",1,0)</f>
        <v>0</v>
      </c>
      <c r="AD129" s="12">
        <f>VLOOKUP(Tableau4[[#This Row],[essence]],Tableau6[],11,FALSE)</f>
        <v>0</v>
      </c>
      <c r="AE129" s="12">
        <f>IF(Tableau4[[#This Row],[sdom]]="3OUEST",1,0)</f>
        <v>0</v>
      </c>
      <c r="AF129" s="12">
        <f>VLOOKUP(Tableau4[[#This Row],[essence]],Tableau6[],12,FALSE)</f>
        <v>0</v>
      </c>
      <c r="AG129" s="12">
        <f>IF(Tableau4[[#This Row],[sdom]]="4EST",1,0)</f>
        <v>1</v>
      </c>
      <c r="AH129" s="12">
        <f>VLOOKUP(Tableau4[[#This Row],[essence]],Tableau6[],13,FALSE)</f>
        <v>0</v>
      </c>
      <c r="AI129" s="12">
        <f>IF(Tableau4[[#This Row],[sdom]]="4OUEST",1,0)</f>
        <v>0</v>
      </c>
      <c r="AJ129" s="12">
        <f>VLOOKUP(Tableau4[[#This Row],[essence]],Tableau6[],14,FALSE)</f>
        <v>0</v>
      </c>
      <c r="AK129" s="12">
        <f>IF(Tableau4[[#This Row],[sdom]]="5EST",1,0)</f>
        <v>0</v>
      </c>
      <c r="AL129" s="12">
        <f>VLOOKUP(Tableau4[[#This Row],[essence]],Tableau6[],17,FALSE)</f>
        <v>0</v>
      </c>
      <c r="AM129" s="12">
        <f>IF(Tableau4[[#This Row],[priorecol]]="C",1,0)</f>
        <v>0</v>
      </c>
      <c r="AN129" s="12">
        <f>VLOOKUP(Tableau4[[#This Row],[essence]],Tableau6[],18,FALSE)</f>
        <v>0</v>
      </c>
      <c r="AO129" s="12">
        <f>IF(Tableau4[[#This Row],[priorecol]]="R",1,0)</f>
        <v>1</v>
      </c>
      <c r="AP129" s="12">
        <f>VLOOKUP(Tableau4[[#This Row],[essence]],Tableau6[],19,FALSE)</f>
        <v>0</v>
      </c>
      <c r="AQ129" s="12">
        <f>IF(Tableau4[[#This Row],[priorecol]]="S",1,0)</f>
        <v>0</v>
      </c>
      <c r="AR129" s="12">
        <f>VLOOKUP(Tableau4[[#This Row],[essence]],Tableau6[],21,FALSE)</f>
        <v>0</v>
      </c>
      <c r="AS129" s="12">
        <f>IF(Tableau4[[#This Row],[priorecol]]="C",1,0)</f>
        <v>0</v>
      </c>
      <c r="AT129" s="12">
        <f>VLOOKUP(Tableau4[[#This Row],[essence]],Tableau6[],22,FALSE)</f>
        <v>0</v>
      </c>
      <c r="AU129" s="12">
        <f>IF(Tableau4[[#This Row],[priorecol]]="R",1,0)</f>
        <v>1</v>
      </c>
      <c r="AV129" s="12">
        <f>VLOOKUP(Tableau4[[#This Row],[essence]],Tableau6[],23,FALSE)</f>
        <v>0</v>
      </c>
      <c r="AW129" s="12">
        <f>IF(Tableau4[[#This Row],[priorecol]]="S",1,0)</f>
        <v>0</v>
      </c>
      <c r="AX129" s="12">
        <f>VLOOKUP(Tableau4[[#This Row],[essence]],Tableau6[],24,FALSE)</f>
        <v>0</v>
      </c>
      <c r="AY129" s="12">
        <f>VLOOKUP(Tableau4[[#This Row],[essence]],Tableau6[],25,FALSE)</f>
        <v>0</v>
      </c>
      <c r="AZ129" s="12">
        <f>VLOOKUP(Tableau4[[#This Row],[essence]],Tableau6[],26,FALSE)</f>
        <v>0</v>
      </c>
      <c r="BA129" s="12">
        <f>VLOOKUP(Tableau4[[#This Row],[essence]],Tableau6[],27,FALSE)</f>
        <v>0</v>
      </c>
      <c r="BB129" s="12">
        <f>VLOOKUP(Tableau4[[#This Row],[essence]],Tableau6[],16,FALSE)</f>
        <v>0</v>
      </c>
      <c r="BC12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3.4931999999999999</v>
      </c>
      <c r="BD129" s="12">
        <f>Tableau4[[#This Row],[xb_]]+Tableau4[[#This Row],[b_intercept_C]]+Tableau4[[#This Row],[b_dhpcm_x_intercept_C]]*Tableau4[[#This Row],[dhpcm]]</f>
        <v>3.7406999999999999</v>
      </c>
      <c r="BE129" s="12">
        <f>Tableau4[[#This Row],[xb_]]+Tableau4[[#This Row],[b_intercept_B]]+Tableau4[[#This Row],[b_dhpcm_x_intercept_B]]*Tableau4[[#This Row],[dhpcm]]</f>
        <v>2.1616</v>
      </c>
      <c r="BF129" s="12">
        <f>Tableau4[[#This Row],[xb_]]+Tableau4[[#This Row],[b_intercept_A]]+Tableau4[[#This Row],[b_dhpcm_x_intercept_A]]*Tableau4[[#This Row],[dhpcm]]</f>
        <v>1.0840000000000001</v>
      </c>
      <c r="BG129" s="12">
        <f>1/(1+EXP(-Tableau4[[#This Row],[xb_c]]))</f>
        <v>0.9768129217536059</v>
      </c>
      <c r="BH129" s="12">
        <f>1/(1+EXP(-Tableau4[[#This Row],[xb_b]]))</f>
        <v>0.89674778852002679</v>
      </c>
      <c r="BI129" s="12">
        <f>1/(1+EXP(-Tableau4[[#This Row],[xb_a]]))</f>
        <v>0.74725019958306904</v>
      </c>
      <c r="BJ129" s="12">
        <f>Tableau4[[#This Row],[prob_a]]</f>
        <v>0.74725019958306904</v>
      </c>
      <c r="BK129" s="12">
        <f>Tableau4[[#This Row],[prob_b]]-Tableau4[[#This Row],[prob_a]]</f>
        <v>0.14949758893695775</v>
      </c>
      <c r="BL129" s="12">
        <f>Tableau4[[#This Row],[prob_c]]-Tableau4[[#This Row],[prob_b]]</f>
        <v>8.0065133233579111E-2</v>
      </c>
      <c r="BM129" s="12">
        <f>1-Tableau4[[#This Row],[prob_c]]</f>
        <v>2.3187078246394099E-2</v>
      </c>
    </row>
    <row r="130" spans="1:65" x14ac:dyDescent="0.25">
      <c r="A130" s="12">
        <v>6</v>
      </c>
      <c r="B130" s="12" t="s">
        <v>14</v>
      </c>
      <c r="C130" s="12">
        <v>1.2</v>
      </c>
      <c r="D130" s="12">
        <v>1022</v>
      </c>
      <c r="E130" s="12">
        <v>25</v>
      </c>
      <c r="F130" s="12">
        <v>1</v>
      </c>
      <c r="G130" s="12">
        <v>57</v>
      </c>
      <c r="H130" s="12">
        <v>168</v>
      </c>
      <c r="I130" s="12" t="s">
        <v>21</v>
      </c>
      <c r="J130" s="12" t="s">
        <v>29</v>
      </c>
      <c r="K130" s="12">
        <f>VLOOKUP(Tableau4[[#This Row],[essence]],Tableau6[],2,FALSE)</f>
        <v>-2.4091999999999998</v>
      </c>
      <c r="L130" s="12">
        <f>VLOOKUP(Tableau4[[#This Row],[essence]],Tableau6[],3,FALSE)</f>
        <v>-1.3315999999999999</v>
      </c>
      <c r="M130" s="12">
        <f>VLOOKUP(Tableau4[[#This Row],[essence]],Tableau6[],4,FALSE)</f>
        <v>0.2475</v>
      </c>
      <c r="N130" s="12">
        <f>VLOOKUP(Tableau4[[#This Row],[essence]],Tableau6[],5,FALSE)</f>
        <v>1.9658</v>
      </c>
      <c r="O130" s="12">
        <f>IF(Tableau4[[#This Row],[priorecol]]="C",1,0)</f>
        <v>0</v>
      </c>
      <c r="P130" s="12">
        <f>VLOOKUP(Tableau4[[#This Row],[essence]],Tableau6[],6,FALSE)</f>
        <v>2.8807</v>
      </c>
      <c r="Q130" s="12">
        <f>IF(Tableau4[[#This Row],[priorecol]]="R",1,0)</f>
        <v>0</v>
      </c>
      <c r="R130" s="12">
        <f>VLOOKUP(Tableau4[[#This Row],[essence]],Tableau6[],7,FALSE)</f>
        <v>1.1791</v>
      </c>
      <c r="S130" s="12">
        <f>IF(Tableau4[[#This Row],[priorecol]]="S",1,0)</f>
        <v>1</v>
      </c>
      <c r="T130" s="12">
        <f>VLOOKUP(Tableau4[[#This Row],[essence]],Tableau6[],20,FALSE)</f>
        <v>0</v>
      </c>
      <c r="U130" s="12">
        <f>VLOOKUP(Tableau4[[#This Row],[essence]],Tableau6[],15,FALSE)</f>
        <v>2.4500000000000001E-2</v>
      </c>
      <c r="V130" s="12">
        <f>VLOOKUP(Tableau4[[#This Row],[essence]],Tableau6[],28,FALSE)</f>
        <v>0</v>
      </c>
      <c r="W130" s="12">
        <f>IF(Tableau4[[#This Row],[sdom]]=1,1,0)</f>
        <v>0</v>
      </c>
      <c r="X130" s="12">
        <f>VLOOKUP(Tableau4[[#This Row],[essence]],Tableau6[],8,FALSE)</f>
        <v>0</v>
      </c>
      <c r="Y130" s="12">
        <f>IF(Tableau4[[#This Row],[sdom]]="2EST",1,0)</f>
        <v>0</v>
      </c>
      <c r="Z130" s="12">
        <f>VLOOKUP(Tableau4[[#This Row],[essence]],Tableau6[],9,FALSE)</f>
        <v>0</v>
      </c>
      <c r="AA130" s="12">
        <f>IF(Tableau4[[#This Row],[sdom]]="2OUEST",1,0)</f>
        <v>0</v>
      </c>
      <c r="AB130" s="12">
        <f>VLOOKUP(Tableau4[[#This Row],[essence]],Tableau6[],10,FALSE)</f>
        <v>0</v>
      </c>
      <c r="AC130" s="12">
        <f>IF(Tableau4[[#This Row],[sdom]]="3EST",1,0)</f>
        <v>0</v>
      </c>
      <c r="AD130" s="12">
        <f>VLOOKUP(Tableau4[[#This Row],[essence]],Tableau6[],11,FALSE)</f>
        <v>0</v>
      </c>
      <c r="AE130" s="12">
        <f>IF(Tableau4[[#This Row],[sdom]]="3OUEST",1,0)</f>
        <v>0</v>
      </c>
      <c r="AF130" s="12">
        <f>VLOOKUP(Tableau4[[#This Row],[essence]],Tableau6[],12,FALSE)</f>
        <v>0</v>
      </c>
      <c r="AG130" s="12">
        <f>IF(Tableau4[[#This Row],[sdom]]="4EST",1,0)</f>
        <v>1</v>
      </c>
      <c r="AH130" s="12">
        <f>VLOOKUP(Tableau4[[#This Row],[essence]],Tableau6[],13,FALSE)</f>
        <v>0</v>
      </c>
      <c r="AI130" s="12">
        <f>IF(Tableau4[[#This Row],[sdom]]="4OUEST",1,0)</f>
        <v>0</v>
      </c>
      <c r="AJ130" s="12">
        <f>VLOOKUP(Tableau4[[#This Row],[essence]],Tableau6[],14,FALSE)</f>
        <v>0</v>
      </c>
      <c r="AK130" s="12">
        <f>IF(Tableau4[[#This Row],[sdom]]="5EST",1,0)</f>
        <v>0</v>
      </c>
      <c r="AL130" s="12">
        <f>VLOOKUP(Tableau4[[#This Row],[essence]],Tableau6[],17,FALSE)</f>
        <v>0</v>
      </c>
      <c r="AM130" s="12">
        <f>IF(Tableau4[[#This Row],[priorecol]]="C",1,0)</f>
        <v>0</v>
      </c>
      <c r="AN130" s="12">
        <f>VLOOKUP(Tableau4[[#This Row],[essence]],Tableau6[],18,FALSE)</f>
        <v>0</v>
      </c>
      <c r="AO130" s="12">
        <f>IF(Tableau4[[#This Row],[priorecol]]="R",1,0)</f>
        <v>0</v>
      </c>
      <c r="AP130" s="12">
        <f>VLOOKUP(Tableau4[[#This Row],[essence]],Tableau6[],19,FALSE)</f>
        <v>0</v>
      </c>
      <c r="AQ130" s="12">
        <f>IF(Tableau4[[#This Row],[priorecol]]="S",1,0)</f>
        <v>1</v>
      </c>
      <c r="AR130" s="12">
        <f>VLOOKUP(Tableau4[[#This Row],[essence]],Tableau6[],21,FALSE)</f>
        <v>0</v>
      </c>
      <c r="AS130" s="12">
        <f>IF(Tableau4[[#This Row],[priorecol]]="C",1,0)</f>
        <v>0</v>
      </c>
      <c r="AT130" s="12">
        <f>VLOOKUP(Tableau4[[#This Row],[essence]],Tableau6[],22,FALSE)</f>
        <v>0</v>
      </c>
      <c r="AU130" s="12">
        <f>IF(Tableau4[[#This Row],[priorecol]]="R",1,0)</f>
        <v>0</v>
      </c>
      <c r="AV130" s="12">
        <f>VLOOKUP(Tableau4[[#This Row],[essence]],Tableau6[],23,FALSE)</f>
        <v>0</v>
      </c>
      <c r="AW130" s="12">
        <f>IF(Tableau4[[#This Row],[priorecol]]="S",1,0)</f>
        <v>1</v>
      </c>
      <c r="AX130" s="12">
        <f>VLOOKUP(Tableau4[[#This Row],[essence]],Tableau6[],24,FALSE)</f>
        <v>0</v>
      </c>
      <c r="AY130" s="12">
        <f>VLOOKUP(Tableau4[[#This Row],[essence]],Tableau6[],25,FALSE)</f>
        <v>0</v>
      </c>
      <c r="AZ130" s="12">
        <f>VLOOKUP(Tableau4[[#This Row],[essence]],Tableau6[],26,FALSE)</f>
        <v>0</v>
      </c>
      <c r="BA130" s="12">
        <f>VLOOKUP(Tableau4[[#This Row],[essence]],Tableau6[],27,FALSE)</f>
        <v>0</v>
      </c>
      <c r="BB130" s="12">
        <f>VLOOKUP(Tableau4[[#This Row],[essence]],Tableau6[],16,FALSE)</f>
        <v>0</v>
      </c>
      <c r="BC13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1.7916000000000001</v>
      </c>
      <c r="BD130" s="12">
        <f>Tableau4[[#This Row],[xb_]]+Tableau4[[#This Row],[b_intercept_C]]+Tableau4[[#This Row],[b_dhpcm_x_intercept_C]]*Tableau4[[#This Row],[dhpcm]]</f>
        <v>2.0390999999999999</v>
      </c>
      <c r="BE130" s="12">
        <f>Tableau4[[#This Row],[xb_]]+Tableau4[[#This Row],[b_intercept_B]]+Tableau4[[#This Row],[b_dhpcm_x_intercept_B]]*Tableau4[[#This Row],[dhpcm]]</f>
        <v>0.46000000000000019</v>
      </c>
      <c r="BF130" s="12">
        <f>Tableau4[[#This Row],[xb_]]+Tableau4[[#This Row],[b_intercept_A]]+Tableau4[[#This Row],[b_dhpcm_x_intercept_A]]*Tableau4[[#This Row],[dhpcm]]</f>
        <v>-0.6175999999999997</v>
      </c>
      <c r="BG130" s="12">
        <f>1/(1+EXP(-Tableau4[[#This Row],[xb_c]]))</f>
        <v>0.88484159245928551</v>
      </c>
      <c r="BH130" s="12">
        <f>1/(1+EXP(-Tableau4[[#This Row],[xb_b]]))</f>
        <v>0.61301417613933551</v>
      </c>
      <c r="BI130" s="12">
        <f>1/(1+EXP(-Tableau4[[#This Row],[xb_a]]))</f>
        <v>0.35032749055496171</v>
      </c>
      <c r="BJ130" s="12">
        <f>Tableau4[[#This Row],[prob_a]]</f>
        <v>0.35032749055496171</v>
      </c>
      <c r="BK130" s="12">
        <f>Tableau4[[#This Row],[prob_b]]-Tableau4[[#This Row],[prob_a]]</f>
        <v>0.2626866855843738</v>
      </c>
      <c r="BL130" s="12">
        <f>Tableau4[[#This Row],[prob_c]]-Tableau4[[#This Row],[prob_b]]</f>
        <v>0.27182741631995</v>
      </c>
      <c r="BM130" s="12">
        <f>1-Tableau4[[#This Row],[prob_c]]</f>
        <v>0.11515840754071449</v>
      </c>
    </row>
    <row r="131" spans="1:65" x14ac:dyDescent="0.25">
      <c r="A131" s="12">
        <v>6</v>
      </c>
      <c r="B131" s="12" t="s">
        <v>14</v>
      </c>
      <c r="C131" s="12">
        <v>1.2</v>
      </c>
      <c r="D131" s="12">
        <v>1022</v>
      </c>
      <c r="E131" s="12">
        <v>25</v>
      </c>
      <c r="F131" s="12">
        <v>1</v>
      </c>
      <c r="G131" s="12">
        <v>58</v>
      </c>
      <c r="H131" s="12">
        <v>169</v>
      </c>
      <c r="I131" s="12" t="s">
        <v>22</v>
      </c>
      <c r="J131" s="12" t="s">
        <v>27</v>
      </c>
      <c r="K131" s="12">
        <f>VLOOKUP(Tableau4[[#This Row],[essence]],Tableau6[],2,FALSE)</f>
        <v>-3.5731999999999999</v>
      </c>
      <c r="L131" s="12">
        <f>VLOOKUP(Tableau4[[#This Row],[essence]],Tableau6[],3,FALSE)</f>
        <v>-1.9289000000000001</v>
      </c>
      <c r="M131" s="12">
        <f>VLOOKUP(Tableau4[[#This Row],[essence]],Tableau6[],4,FALSE)</f>
        <v>0.40949999999999998</v>
      </c>
      <c r="N131" s="12">
        <f>VLOOKUP(Tableau4[[#This Row],[essence]],Tableau6[],5,FALSE)</f>
        <v>2.0705</v>
      </c>
      <c r="O131" s="12">
        <f>IF(Tableau4[[#This Row],[priorecol]]="C",1,0)</f>
        <v>1</v>
      </c>
      <c r="P131" s="12">
        <f>VLOOKUP(Tableau4[[#This Row],[essence]],Tableau6[],6,FALSE)</f>
        <v>2.9992999999999999</v>
      </c>
      <c r="Q131" s="12">
        <f>IF(Tableau4[[#This Row],[priorecol]]="R",1,0)</f>
        <v>0</v>
      </c>
      <c r="R131" s="12">
        <f>VLOOKUP(Tableau4[[#This Row],[essence]],Tableau6[],7,FALSE)</f>
        <v>1.3050999999999999</v>
      </c>
      <c r="S131" s="12">
        <f>IF(Tableau4[[#This Row],[priorecol]]="S",1,0)</f>
        <v>0</v>
      </c>
      <c r="T131" s="12">
        <f>VLOOKUP(Tableau4[[#This Row],[essence]],Tableau6[],20,FALSE)</f>
        <v>0</v>
      </c>
      <c r="U131" s="12">
        <f>VLOOKUP(Tableau4[[#This Row],[essence]],Tableau6[],15,FALSE)</f>
        <v>0</v>
      </c>
      <c r="V131" s="12">
        <f>VLOOKUP(Tableau4[[#This Row],[essence]],Tableau6[],28,FALSE)</f>
        <v>0</v>
      </c>
      <c r="W131" s="12">
        <f>IF(Tableau4[[#This Row],[sdom]]=1,1,0)</f>
        <v>0</v>
      </c>
      <c r="X131" s="12">
        <f>VLOOKUP(Tableau4[[#This Row],[essence]],Tableau6[],8,FALSE)</f>
        <v>0</v>
      </c>
      <c r="Y131" s="12">
        <f>IF(Tableau4[[#This Row],[sdom]]="2EST",1,0)</f>
        <v>0</v>
      </c>
      <c r="Z131" s="12">
        <f>VLOOKUP(Tableau4[[#This Row],[essence]],Tableau6[],9,FALSE)</f>
        <v>0</v>
      </c>
      <c r="AA131" s="12">
        <f>IF(Tableau4[[#This Row],[sdom]]="2OUEST",1,0)</f>
        <v>0</v>
      </c>
      <c r="AB131" s="12">
        <f>VLOOKUP(Tableau4[[#This Row],[essence]],Tableau6[],10,FALSE)</f>
        <v>0</v>
      </c>
      <c r="AC131" s="12">
        <f>IF(Tableau4[[#This Row],[sdom]]="3EST",1,0)</f>
        <v>0</v>
      </c>
      <c r="AD131" s="12">
        <f>VLOOKUP(Tableau4[[#This Row],[essence]],Tableau6[],11,FALSE)</f>
        <v>0</v>
      </c>
      <c r="AE131" s="12">
        <f>IF(Tableau4[[#This Row],[sdom]]="3OUEST",1,0)</f>
        <v>0</v>
      </c>
      <c r="AF131" s="12">
        <f>VLOOKUP(Tableau4[[#This Row],[essence]],Tableau6[],12,FALSE)</f>
        <v>0</v>
      </c>
      <c r="AG131" s="12">
        <f>IF(Tableau4[[#This Row],[sdom]]="4EST",1,0)</f>
        <v>1</v>
      </c>
      <c r="AH131" s="12">
        <f>VLOOKUP(Tableau4[[#This Row],[essence]],Tableau6[],13,FALSE)</f>
        <v>0</v>
      </c>
      <c r="AI131" s="12">
        <f>IF(Tableau4[[#This Row],[sdom]]="4OUEST",1,0)</f>
        <v>0</v>
      </c>
      <c r="AJ131" s="12">
        <f>VLOOKUP(Tableau4[[#This Row],[essence]],Tableau6[],14,FALSE)</f>
        <v>0</v>
      </c>
      <c r="AK131" s="12">
        <f>IF(Tableau4[[#This Row],[sdom]]="5EST",1,0)</f>
        <v>0</v>
      </c>
      <c r="AL131" s="12">
        <f>VLOOKUP(Tableau4[[#This Row],[essence]],Tableau6[],17,FALSE)</f>
        <v>0</v>
      </c>
      <c r="AM131" s="12">
        <f>IF(Tableau4[[#This Row],[priorecol]]="C",1,0)</f>
        <v>1</v>
      </c>
      <c r="AN131" s="12">
        <f>VLOOKUP(Tableau4[[#This Row],[essence]],Tableau6[],18,FALSE)</f>
        <v>0</v>
      </c>
      <c r="AO131" s="12">
        <f>IF(Tableau4[[#This Row],[priorecol]]="R",1,0)</f>
        <v>0</v>
      </c>
      <c r="AP131" s="12">
        <f>VLOOKUP(Tableau4[[#This Row],[essence]],Tableau6[],19,FALSE)</f>
        <v>0</v>
      </c>
      <c r="AQ131" s="12">
        <f>IF(Tableau4[[#This Row],[priorecol]]="S",1,0)</f>
        <v>0</v>
      </c>
      <c r="AR131" s="12">
        <f>VLOOKUP(Tableau4[[#This Row],[essence]],Tableau6[],21,FALSE)</f>
        <v>0</v>
      </c>
      <c r="AS131" s="12">
        <f>IF(Tableau4[[#This Row],[priorecol]]="C",1,0)</f>
        <v>1</v>
      </c>
      <c r="AT131" s="12">
        <f>VLOOKUP(Tableau4[[#This Row],[essence]],Tableau6[],22,FALSE)</f>
        <v>0</v>
      </c>
      <c r="AU131" s="12">
        <f>IF(Tableau4[[#This Row],[priorecol]]="R",1,0)</f>
        <v>0</v>
      </c>
      <c r="AV131" s="12">
        <f>VLOOKUP(Tableau4[[#This Row],[essence]],Tableau6[],23,FALSE)</f>
        <v>0</v>
      </c>
      <c r="AW131" s="12">
        <f>IF(Tableau4[[#This Row],[priorecol]]="S",1,0)</f>
        <v>0</v>
      </c>
      <c r="AX131" s="12">
        <f>VLOOKUP(Tableau4[[#This Row],[essence]],Tableau6[],24,FALSE)</f>
        <v>-2.1000000000000001E-4</v>
      </c>
      <c r="AY131" s="12">
        <f>VLOOKUP(Tableau4[[#This Row],[essence]],Tableau6[],25,FALSE)</f>
        <v>-1.34E-2</v>
      </c>
      <c r="AZ131" s="12">
        <f>VLOOKUP(Tableau4[[#This Row],[essence]],Tableau6[],26,FALSE)</f>
        <v>-2.8899999999999999E-2</v>
      </c>
      <c r="BA131" s="12">
        <f>VLOOKUP(Tableau4[[#This Row],[essence]],Tableau6[],27,FALSE)</f>
        <v>0.2873</v>
      </c>
      <c r="BB131" s="12">
        <f>VLOOKUP(Tableau4[[#This Row],[essence]],Tableau6[],16,FALSE)</f>
        <v>0</v>
      </c>
      <c r="BC13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2.41526</v>
      </c>
      <c r="BD131" s="12">
        <f>Tableau4[[#This Row],[xb_]]+Tableau4[[#This Row],[b_intercept_C]]+Tableau4[[#This Row],[b_dhpcm_x_intercept_C]]*Tableau4[[#This Row],[dhpcm]]</f>
        <v>-2.0593400000000002</v>
      </c>
      <c r="BE131" s="12">
        <f>Tableau4[[#This Row],[xb_]]+Tableau4[[#This Row],[b_intercept_B]]+Tableau4[[#This Row],[b_dhpcm_x_intercept_B]]*Tableau4[[#This Row],[dhpcm]]</f>
        <v>-1.7782400000000003</v>
      </c>
      <c r="BF131" s="12">
        <f>Tableau4[[#This Row],[xb_]]+Tableau4[[#This Row],[b_intercept_A]]+Tableau4[[#This Row],[b_dhpcm_x_intercept_A]]*Tableau4[[#This Row],[dhpcm]]</f>
        <v>-1.19343</v>
      </c>
      <c r="BG131" s="12">
        <f>1/(1+EXP(-Tableau4[[#This Row],[xb_c]]))</f>
        <v>0.1131120228450798</v>
      </c>
      <c r="BH131" s="12">
        <f>1/(1+EXP(-Tableau4[[#This Row],[xb_b]]))</f>
        <v>0.14452059451203264</v>
      </c>
      <c r="BI131" s="12">
        <f>1/(1+EXP(-Tableau4[[#This Row],[xb_a]]))</f>
        <v>0.23264604434813205</v>
      </c>
      <c r="BJ131" s="12">
        <f>Tableau4[[#This Row],[prob_a]]</f>
        <v>0.23264604434813205</v>
      </c>
      <c r="BK131" s="12">
        <f>Tableau4[[#This Row],[prob_b]]-Tableau4[[#This Row],[prob_a]]</f>
        <v>-8.8125449836099407E-2</v>
      </c>
      <c r="BL131" s="12">
        <f>Tableau4[[#This Row],[prob_c]]-Tableau4[[#This Row],[prob_b]]</f>
        <v>-3.1408571666952836E-2</v>
      </c>
      <c r="BM131" s="12">
        <f>1-Tableau4[[#This Row],[prob_c]]</f>
        <v>0.88688797715492018</v>
      </c>
    </row>
    <row r="132" spans="1:65" x14ac:dyDescent="0.25">
      <c r="A132" s="12">
        <v>6</v>
      </c>
      <c r="B132" s="12" t="s">
        <v>14</v>
      </c>
      <c r="C132" s="12">
        <v>1.2</v>
      </c>
      <c r="D132" s="12">
        <v>1022</v>
      </c>
      <c r="E132" s="12">
        <v>25</v>
      </c>
      <c r="F132" s="12">
        <v>1</v>
      </c>
      <c r="G132" s="12">
        <v>59</v>
      </c>
      <c r="H132" s="12">
        <v>170</v>
      </c>
      <c r="I132" s="12" t="s">
        <v>22</v>
      </c>
      <c r="J132" s="12" t="s">
        <v>28</v>
      </c>
      <c r="K132" s="12">
        <f>VLOOKUP(Tableau4[[#This Row],[essence]],Tableau6[],2,FALSE)</f>
        <v>-3.5731999999999999</v>
      </c>
      <c r="L132" s="12">
        <f>VLOOKUP(Tableau4[[#This Row],[essence]],Tableau6[],3,FALSE)</f>
        <v>-1.9289000000000001</v>
      </c>
      <c r="M132" s="12">
        <f>VLOOKUP(Tableau4[[#This Row],[essence]],Tableau6[],4,FALSE)</f>
        <v>0.40949999999999998</v>
      </c>
      <c r="N132" s="12">
        <f>VLOOKUP(Tableau4[[#This Row],[essence]],Tableau6[],5,FALSE)</f>
        <v>2.0705</v>
      </c>
      <c r="O132" s="12">
        <f>IF(Tableau4[[#This Row],[priorecol]]="C",1,0)</f>
        <v>0</v>
      </c>
      <c r="P132" s="12">
        <f>VLOOKUP(Tableau4[[#This Row],[essence]],Tableau6[],6,FALSE)</f>
        <v>2.9992999999999999</v>
      </c>
      <c r="Q132" s="12">
        <f>IF(Tableau4[[#This Row],[priorecol]]="R",1,0)</f>
        <v>1</v>
      </c>
      <c r="R132" s="12">
        <f>VLOOKUP(Tableau4[[#This Row],[essence]],Tableau6[],7,FALSE)</f>
        <v>1.3050999999999999</v>
      </c>
      <c r="S132" s="12">
        <f>IF(Tableau4[[#This Row],[priorecol]]="S",1,0)</f>
        <v>0</v>
      </c>
      <c r="T132" s="12">
        <f>VLOOKUP(Tableau4[[#This Row],[essence]],Tableau6[],20,FALSE)</f>
        <v>0</v>
      </c>
      <c r="U132" s="12">
        <f>VLOOKUP(Tableau4[[#This Row],[essence]],Tableau6[],15,FALSE)</f>
        <v>0</v>
      </c>
      <c r="V132" s="12">
        <f>VLOOKUP(Tableau4[[#This Row],[essence]],Tableau6[],28,FALSE)</f>
        <v>0</v>
      </c>
      <c r="W132" s="12">
        <f>IF(Tableau4[[#This Row],[sdom]]=1,1,0)</f>
        <v>0</v>
      </c>
      <c r="X132" s="12">
        <f>VLOOKUP(Tableau4[[#This Row],[essence]],Tableau6[],8,FALSE)</f>
        <v>0</v>
      </c>
      <c r="Y132" s="12">
        <f>IF(Tableau4[[#This Row],[sdom]]="2EST",1,0)</f>
        <v>0</v>
      </c>
      <c r="Z132" s="12">
        <f>VLOOKUP(Tableau4[[#This Row],[essence]],Tableau6[],9,FALSE)</f>
        <v>0</v>
      </c>
      <c r="AA132" s="12">
        <f>IF(Tableau4[[#This Row],[sdom]]="2OUEST",1,0)</f>
        <v>0</v>
      </c>
      <c r="AB132" s="12">
        <f>VLOOKUP(Tableau4[[#This Row],[essence]],Tableau6[],10,FALSE)</f>
        <v>0</v>
      </c>
      <c r="AC132" s="12">
        <f>IF(Tableau4[[#This Row],[sdom]]="3EST",1,0)</f>
        <v>0</v>
      </c>
      <c r="AD132" s="12">
        <f>VLOOKUP(Tableau4[[#This Row],[essence]],Tableau6[],11,FALSE)</f>
        <v>0</v>
      </c>
      <c r="AE132" s="12">
        <f>IF(Tableau4[[#This Row],[sdom]]="3OUEST",1,0)</f>
        <v>0</v>
      </c>
      <c r="AF132" s="12">
        <f>VLOOKUP(Tableau4[[#This Row],[essence]],Tableau6[],12,FALSE)</f>
        <v>0</v>
      </c>
      <c r="AG132" s="12">
        <f>IF(Tableau4[[#This Row],[sdom]]="4EST",1,0)</f>
        <v>1</v>
      </c>
      <c r="AH132" s="12">
        <f>VLOOKUP(Tableau4[[#This Row],[essence]],Tableau6[],13,FALSE)</f>
        <v>0</v>
      </c>
      <c r="AI132" s="12">
        <f>IF(Tableau4[[#This Row],[sdom]]="4OUEST",1,0)</f>
        <v>0</v>
      </c>
      <c r="AJ132" s="12">
        <f>VLOOKUP(Tableau4[[#This Row],[essence]],Tableau6[],14,FALSE)</f>
        <v>0</v>
      </c>
      <c r="AK132" s="12">
        <f>IF(Tableau4[[#This Row],[sdom]]="5EST",1,0)</f>
        <v>0</v>
      </c>
      <c r="AL132" s="12">
        <f>VLOOKUP(Tableau4[[#This Row],[essence]],Tableau6[],17,FALSE)</f>
        <v>0</v>
      </c>
      <c r="AM132" s="12">
        <f>IF(Tableau4[[#This Row],[priorecol]]="C",1,0)</f>
        <v>0</v>
      </c>
      <c r="AN132" s="12">
        <f>VLOOKUP(Tableau4[[#This Row],[essence]],Tableau6[],18,FALSE)</f>
        <v>0</v>
      </c>
      <c r="AO132" s="12">
        <f>IF(Tableau4[[#This Row],[priorecol]]="R",1,0)</f>
        <v>1</v>
      </c>
      <c r="AP132" s="12">
        <f>VLOOKUP(Tableau4[[#This Row],[essence]],Tableau6[],19,FALSE)</f>
        <v>0</v>
      </c>
      <c r="AQ132" s="12">
        <f>IF(Tableau4[[#This Row],[priorecol]]="S",1,0)</f>
        <v>0</v>
      </c>
      <c r="AR132" s="12">
        <f>VLOOKUP(Tableau4[[#This Row],[essence]],Tableau6[],21,FALSE)</f>
        <v>0</v>
      </c>
      <c r="AS132" s="12">
        <f>IF(Tableau4[[#This Row],[priorecol]]="C",1,0)</f>
        <v>0</v>
      </c>
      <c r="AT132" s="12">
        <f>VLOOKUP(Tableau4[[#This Row],[essence]],Tableau6[],22,FALSE)</f>
        <v>0</v>
      </c>
      <c r="AU132" s="12">
        <f>IF(Tableau4[[#This Row],[priorecol]]="R",1,0)</f>
        <v>1</v>
      </c>
      <c r="AV132" s="12">
        <f>VLOOKUP(Tableau4[[#This Row],[essence]],Tableau6[],23,FALSE)</f>
        <v>0</v>
      </c>
      <c r="AW132" s="12">
        <f>IF(Tableau4[[#This Row],[priorecol]]="S",1,0)</f>
        <v>0</v>
      </c>
      <c r="AX132" s="12">
        <f>VLOOKUP(Tableau4[[#This Row],[essence]],Tableau6[],24,FALSE)</f>
        <v>-2.1000000000000001E-4</v>
      </c>
      <c r="AY132" s="12">
        <f>VLOOKUP(Tableau4[[#This Row],[essence]],Tableau6[],25,FALSE)</f>
        <v>-1.34E-2</v>
      </c>
      <c r="AZ132" s="12">
        <f>VLOOKUP(Tableau4[[#This Row],[essence]],Tableau6[],26,FALSE)</f>
        <v>-2.8899999999999999E-2</v>
      </c>
      <c r="BA132" s="12">
        <f>VLOOKUP(Tableau4[[#This Row],[essence]],Tableau6[],27,FALSE)</f>
        <v>0.2873</v>
      </c>
      <c r="BB132" s="12">
        <f>VLOOKUP(Tableau4[[#This Row],[essence]],Tableau6[],16,FALSE)</f>
        <v>0</v>
      </c>
      <c r="BC13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3.3440599999999998</v>
      </c>
      <c r="BD132" s="12">
        <f>Tableau4[[#This Row],[xb_]]+Tableau4[[#This Row],[b_intercept_C]]+Tableau4[[#This Row],[b_dhpcm_x_intercept_C]]*Tableau4[[#This Row],[dhpcm]]</f>
        <v>-1.1594399999999996</v>
      </c>
      <c r="BE132" s="12">
        <f>Tableau4[[#This Row],[xb_]]+Tableau4[[#This Row],[b_intercept_B]]+Tableau4[[#This Row],[b_dhpcm_x_intercept_B]]*Tableau4[[#This Row],[dhpcm]]</f>
        <v>-0.86284000000000027</v>
      </c>
      <c r="BF132" s="12">
        <f>Tableau4[[#This Row],[xb_]]+Tableau4[[#This Row],[b_intercept_A]]+Tableau4[[#This Row],[b_dhpcm_x_intercept_A]]*Tableau4[[#This Row],[dhpcm]]</f>
        <v>-0.26484000000000013</v>
      </c>
      <c r="BG132" s="12">
        <f>1/(1+EXP(-Tableau4[[#This Row],[xb_c]]))</f>
        <v>0.23876905496687284</v>
      </c>
      <c r="BH132" s="12">
        <f>1/(1+EXP(-Tableau4[[#This Row],[xb_b]]))</f>
        <v>0.29674632997566686</v>
      </c>
      <c r="BI132" s="12">
        <f>1/(1+EXP(-Tableau4[[#This Row],[xb_a]]))</f>
        <v>0.43417430340688301</v>
      </c>
      <c r="BJ132" s="12">
        <f>Tableau4[[#This Row],[prob_a]]</f>
        <v>0.43417430340688301</v>
      </c>
      <c r="BK132" s="12">
        <f>Tableau4[[#This Row],[prob_b]]-Tableau4[[#This Row],[prob_a]]</f>
        <v>-0.13742797343121615</v>
      </c>
      <c r="BL132" s="12">
        <f>Tableau4[[#This Row],[prob_c]]-Tableau4[[#This Row],[prob_b]]</f>
        <v>-5.7977275008794016E-2</v>
      </c>
      <c r="BM132" s="12">
        <f>1-Tableau4[[#This Row],[prob_c]]</f>
        <v>0.76123094503312716</v>
      </c>
    </row>
    <row r="133" spans="1:65" x14ac:dyDescent="0.25">
      <c r="A133" s="12">
        <v>6</v>
      </c>
      <c r="B133" s="12" t="s">
        <v>14</v>
      </c>
      <c r="C133" s="12">
        <v>1.2</v>
      </c>
      <c r="D133" s="12">
        <v>1022</v>
      </c>
      <c r="E133" s="12">
        <v>25</v>
      </c>
      <c r="F133" s="12">
        <v>1</v>
      </c>
      <c r="G133" s="12">
        <v>60</v>
      </c>
      <c r="H133" s="12">
        <v>171</v>
      </c>
      <c r="I133" s="12" t="s">
        <v>22</v>
      </c>
      <c r="J133" s="12" t="s">
        <v>29</v>
      </c>
      <c r="K133" s="12">
        <f>VLOOKUP(Tableau4[[#This Row],[essence]],Tableau6[],2,FALSE)</f>
        <v>-3.5731999999999999</v>
      </c>
      <c r="L133" s="12">
        <f>VLOOKUP(Tableau4[[#This Row],[essence]],Tableau6[],3,FALSE)</f>
        <v>-1.9289000000000001</v>
      </c>
      <c r="M133" s="12">
        <f>VLOOKUP(Tableau4[[#This Row],[essence]],Tableau6[],4,FALSE)</f>
        <v>0.40949999999999998</v>
      </c>
      <c r="N133" s="12">
        <f>VLOOKUP(Tableau4[[#This Row],[essence]],Tableau6[],5,FALSE)</f>
        <v>2.0705</v>
      </c>
      <c r="O133" s="12">
        <f>IF(Tableau4[[#This Row],[priorecol]]="C",1,0)</f>
        <v>0</v>
      </c>
      <c r="P133" s="12">
        <f>VLOOKUP(Tableau4[[#This Row],[essence]],Tableau6[],6,FALSE)</f>
        <v>2.9992999999999999</v>
      </c>
      <c r="Q133" s="12">
        <f>IF(Tableau4[[#This Row],[priorecol]]="R",1,0)</f>
        <v>0</v>
      </c>
      <c r="R133" s="12">
        <f>VLOOKUP(Tableau4[[#This Row],[essence]],Tableau6[],7,FALSE)</f>
        <v>1.3050999999999999</v>
      </c>
      <c r="S133" s="12">
        <f>IF(Tableau4[[#This Row],[priorecol]]="S",1,0)</f>
        <v>1</v>
      </c>
      <c r="T133" s="12">
        <f>VLOOKUP(Tableau4[[#This Row],[essence]],Tableau6[],20,FALSE)</f>
        <v>0</v>
      </c>
      <c r="U133" s="12">
        <f>VLOOKUP(Tableau4[[#This Row],[essence]],Tableau6[],15,FALSE)</f>
        <v>0</v>
      </c>
      <c r="V133" s="12">
        <f>VLOOKUP(Tableau4[[#This Row],[essence]],Tableau6[],28,FALSE)</f>
        <v>0</v>
      </c>
      <c r="W133" s="12">
        <f>IF(Tableau4[[#This Row],[sdom]]=1,1,0)</f>
        <v>0</v>
      </c>
      <c r="X133" s="12">
        <f>VLOOKUP(Tableau4[[#This Row],[essence]],Tableau6[],8,FALSE)</f>
        <v>0</v>
      </c>
      <c r="Y133" s="12">
        <f>IF(Tableau4[[#This Row],[sdom]]="2EST",1,0)</f>
        <v>0</v>
      </c>
      <c r="Z133" s="12">
        <f>VLOOKUP(Tableau4[[#This Row],[essence]],Tableau6[],9,FALSE)</f>
        <v>0</v>
      </c>
      <c r="AA133" s="12">
        <f>IF(Tableau4[[#This Row],[sdom]]="2OUEST",1,0)</f>
        <v>0</v>
      </c>
      <c r="AB133" s="12">
        <f>VLOOKUP(Tableau4[[#This Row],[essence]],Tableau6[],10,FALSE)</f>
        <v>0</v>
      </c>
      <c r="AC133" s="12">
        <f>IF(Tableau4[[#This Row],[sdom]]="3EST",1,0)</f>
        <v>0</v>
      </c>
      <c r="AD133" s="12">
        <f>VLOOKUP(Tableau4[[#This Row],[essence]],Tableau6[],11,FALSE)</f>
        <v>0</v>
      </c>
      <c r="AE133" s="12">
        <f>IF(Tableau4[[#This Row],[sdom]]="3OUEST",1,0)</f>
        <v>0</v>
      </c>
      <c r="AF133" s="12">
        <f>VLOOKUP(Tableau4[[#This Row],[essence]],Tableau6[],12,FALSE)</f>
        <v>0</v>
      </c>
      <c r="AG133" s="12">
        <f>IF(Tableau4[[#This Row],[sdom]]="4EST",1,0)</f>
        <v>1</v>
      </c>
      <c r="AH133" s="12">
        <f>VLOOKUP(Tableau4[[#This Row],[essence]],Tableau6[],13,FALSE)</f>
        <v>0</v>
      </c>
      <c r="AI133" s="12">
        <f>IF(Tableau4[[#This Row],[sdom]]="4OUEST",1,0)</f>
        <v>0</v>
      </c>
      <c r="AJ133" s="12">
        <f>VLOOKUP(Tableau4[[#This Row],[essence]],Tableau6[],14,FALSE)</f>
        <v>0</v>
      </c>
      <c r="AK133" s="12">
        <f>IF(Tableau4[[#This Row],[sdom]]="5EST",1,0)</f>
        <v>0</v>
      </c>
      <c r="AL133" s="12">
        <f>VLOOKUP(Tableau4[[#This Row],[essence]],Tableau6[],17,FALSE)</f>
        <v>0</v>
      </c>
      <c r="AM133" s="12">
        <f>IF(Tableau4[[#This Row],[priorecol]]="C",1,0)</f>
        <v>0</v>
      </c>
      <c r="AN133" s="12">
        <f>VLOOKUP(Tableau4[[#This Row],[essence]],Tableau6[],18,FALSE)</f>
        <v>0</v>
      </c>
      <c r="AO133" s="12">
        <f>IF(Tableau4[[#This Row],[priorecol]]="R",1,0)</f>
        <v>0</v>
      </c>
      <c r="AP133" s="12">
        <f>VLOOKUP(Tableau4[[#This Row],[essence]],Tableau6[],19,FALSE)</f>
        <v>0</v>
      </c>
      <c r="AQ133" s="12">
        <f>IF(Tableau4[[#This Row],[priorecol]]="S",1,0)</f>
        <v>1</v>
      </c>
      <c r="AR133" s="12">
        <f>VLOOKUP(Tableau4[[#This Row],[essence]],Tableau6[],21,FALSE)</f>
        <v>0</v>
      </c>
      <c r="AS133" s="12">
        <f>IF(Tableau4[[#This Row],[priorecol]]="C",1,0)</f>
        <v>0</v>
      </c>
      <c r="AT133" s="12">
        <f>VLOOKUP(Tableau4[[#This Row],[essence]],Tableau6[],22,FALSE)</f>
        <v>0</v>
      </c>
      <c r="AU133" s="12">
        <f>IF(Tableau4[[#This Row],[priorecol]]="R",1,0)</f>
        <v>0</v>
      </c>
      <c r="AV133" s="12">
        <f>VLOOKUP(Tableau4[[#This Row],[essence]],Tableau6[],23,FALSE)</f>
        <v>0</v>
      </c>
      <c r="AW133" s="12">
        <f>IF(Tableau4[[#This Row],[priorecol]]="S",1,0)</f>
        <v>1</v>
      </c>
      <c r="AX133" s="12">
        <f>VLOOKUP(Tableau4[[#This Row],[essence]],Tableau6[],24,FALSE)</f>
        <v>-2.1000000000000001E-4</v>
      </c>
      <c r="AY133" s="12">
        <f>VLOOKUP(Tableau4[[#This Row],[essence]],Tableau6[],25,FALSE)</f>
        <v>-1.34E-2</v>
      </c>
      <c r="AZ133" s="12">
        <f>VLOOKUP(Tableau4[[#This Row],[essence]],Tableau6[],26,FALSE)</f>
        <v>-2.8899999999999999E-2</v>
      </c>
      <c r="BA133" s="12">
        <f>VLOOKUP(Tableau4[[#This Row],[essence]],Tableau6[],27,FALSE)</f>
        <v>0.2873</v>
      </c>
      <c r="BB133" s="12">
        <f>VLOOKUP(Tableau4[[#This Row],[essence]],Tableau6[],16,FALSE)</f>
        <v>0</v>
      </c>
      <c r="BC13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1.6498599999999999</v>
      </c>
      <c r="BD133" s="12">
        <f>Tableau4[[#This Row],[xb_]]+Tableau4[[#This Row],[b_intercept_C]]+Tableau4[[#This Row],[b_dhpcm_x_intercept_C]]*Tableau4[[#This Row],[dhpcm]]</f>
        <v>-2.8825399999999997</v>
      </c>
      <c r="BE133" s="12">
        <f>Tableau4[[#This Row],[xb_]]+Tableau4[[#This Row],[b_intercept_B]]+Tableau4[[#This Row],[b_dhpcm_x_intercept_B]]*Tableau4[[#This Row],[dhpcm]]</f>
        <v>-2.5704400000000001</v>
      </c>
      <c r="BF133" s="12">
        <f>Tableau4[[#This Row],[xb_]]+Tableau4[[#This Row],[b_intercept_A]]+Tableau4[[#This Row],[b_dhpcm_x_intercept_A]]*Tableau4[[#This Row],[dhpcm]]</f>
        <v>-1.9592500000000002</v>
      </c>
      <c r="BG133" s="12">
        <f>1/(1+EXP(-Tableau4[[#This Row],[xb_c]]))</f>
        <v>5.3023453110277875E-2</v>
      </c>
      <c r="BH133" s="12">
        <f>1/(1+EXP(-Tableau4[[#This Row],[xb_b]]))</f>
        <v>7.1065252009655133E-2</v>
      </c>
      <c r="BI133" s="12">
        <f>1/(1+EXP(-Tableau4[[#This Row],[xb_a]]))</f>
        <v>0.12354823769128466</v>
      </c>
      <c r="BJ133" s="12">
        <f>Tableau4[[#This Row],[prob_a]]</f>
        <v>0.12354823769128466</v>
      </c>
      <c r="BK133" s="12">
        <f>Tableau4[[#This Row],[prob_b]]-Tableau4[[#This Row],[prob_a]]</f>
        <v>-5.2482985681629526E-2</v>
      </c>
      <c r="BL133" s="12">
        <f>Tableau4[[#This Row],[prob_c]]-Tableau4[[#This Row],[prob_b]]</f>
        <v>-1.8041798899377258E-2</v>
      </c>
      <c r="BM133" s="12">
        <f>1-Tableau4[[#This Row],[prob_c]]</f>
        <v>0.9469765468897221</v>
      </c>
    </row>
    <row r="134" spans="1:65" x14ac:dyDescent="0.25">
      <c r="A134" s="12">
        <v>6</v>
      </c>
      <c r="B134" s="12" t="s">
        <v>14</v>
      </c>
      <c r="C134" s="12">
        <v>1.2</v>
      </c>
      <c r="D134" s="12">
        <v>1022</v>
      </c>
      <c r="E134" s="12">
        <v>25</v>
      </c>
      <c r="F134" s="12">
        <v>1</v>
      </c>
      <c r="G134" s="12">
        <v>61</v>
      </c>
      <c r="H134" s="12">
        <v>172</v>
      </c>
      <c r="I134" s="12" t="s">
        <v>23</v>
      </c>
      <c r="J134" s="12" t="s">
        <v>27</v>
      </c>
      <c r="K134" s="12">
        <f>VLOOKUP(Tableau4[[#This Row],[essence]],Tableau6[],2,FALSE)</f>
        <v>-1.6034999999999999</v>
      </c>
      <c r="L134" s="12">
        <f>VLOOKUP(Tableau4[[#This Row],[essence]],Tableau6[],3,FALSE)</f>
        <v>-0.41120000000000001</v>
      </c>
      <c r="M134" s="12">
        <f>VLOOKUP(Tableau4[[#This Row],[essence]],Tableau6[],4,FALSE)</f>
        <v>1.1791</v>
      </c>
      <c r="N134" s="12">
        <f>VLOOKUP(Tableau4[[#This Row],[essence]],Tableau6[],5,FALSE)</f>
        <v>-0.48980000000000001</v>
      </c>
      <c r="O134" s="12">
        <f>IF(Tableau4[[#This Row],[priorecol]]="C",1,0)</f>
        <v>1</v>
      </c>
      <c r="P134" s="12">
        <f>VLOOKUP(Tableau4[[#This Row],[essence]],Tableau6[],6,FALSE)</f>
        <v>-3.5700000000000003E-2</v>
      </c>
      <c r="Q134" s="12">
        <f>IF(Tableau4[[#This Row],[priorecol]]="R",1,0)</f>
        <v>0</v>
      </c>
      <c r="R134" s="12">
        <f>VLOOKUP(Tableau4[[#This Row],[essence]],Tableau6[],7,FALSE)</f>
        <v>0.1021</v>
      </c>
      <c r="S134" s="12">
        <f>IF(Tableau4[[#This Row],[priorecol]]="S",1,0)</f>
        <v>0</v>
      </c>
      <c r="T134" s="12">
        <f>VLOOKUP(Tableau4[[#This Row],[essence]],Tableau6[],20,FALSE)</f>
        <v>-3.3500000000000002E-2</v>
      </c>
      <c r="U134" s="12">
        <f>VLOOKUP(Tableau4[[#This Row],[essence]],Tableau6[],15,FALSE)</f>
        <v>7.4200000000000004E-3</v>
      </c>
      <c r="V134" s="12">
        <f>VLOOKUP(Tableau4[[#This Row],[essence]],Tableau6[],28,FALSE)</f>
        <v>1.071</v>
      </c>
      <c r="W134" s="12">
        <f>IF(Tableau4[[#This Row],[sdom]]=1,1,0)</f>
        <v>0</v>
      </c>
      <c r="X134" s="12">
        <f>VLOOKUP(Tableau4[[#This Row],[essence]],Tableau6[],8,FALSE)</f>
        <v>0.83450000000000002</v>
      </c>
      <c r="Y134" s="12">
        <f>IF(Tableau4[[#This Row],[sdom]]="2EST",1,0)</f>
        <v>0</v>
      </c>
      <c r="Z134" s="12">
        <f>VLOOKUP(Tableau4[[#This Row],[essence]],Tableau6[],9,FALSE)</f>
        <v>0.94689999999999996</v>
      </c>
      <c r="AA134" s="12">
        <f>IF(Tableau4[[#This Row],[sdom]]="2OUEST",1,0)</f>
        <v>0</v>
      </c>
      <c r="AB134" s="12">
        <f>VLOOKUP(Tableau4[[#This Row],[essence]],Tableau6[],10,FALSE)</f>
        <v>0.62780000000000002</v>
      </c>
      <c r="AC134" s="12">
        <f>IF(Tableau4[[#This Row],[sdom]]="3EST",1,0)</f>
        <v>0</v>
      </c>
      <c r="AD134" s="12">
        <f>VLOOKUP(Tableau4[[#This Row],[essence]],Tableau6[],11,FALSE)</f>
        <v>0.95940000000000003</v>
      </c>
      <c r="AE134" s="12">
        <f>IF(Tableau4[[#This Row],[sdom]]="3OUEST",1,0)</f>
        <v>0</v>
      </c>
      <c r="AF134" s="12">
        <f>VLOOKUP(Tableau4[[#This Row],[essence]],Tableau6[],12,FALSE)</f>
        <v>0.49719999999999998</v>
      </c>
      <c r="AG134" s="12">
        <f>IF(Tableau4[[#This Row],[sdom]]="4EST",1,0)</f>
        <v>1</v>
      </c>
      <c r="AH134" s="12">
        <f>VLOOKUP(Tableau4[[#This Row],[essence]],Tableau6[],13,FALSE)</f>
        <v>0.37669999999999998</v>
      </c>
      <c r="AI134" s="12">
        <f>IF(Tableau4[[#This Row],[sdom]]="4OUEST",1,0)</f>
        <v>0</v>
      </c>
      <c r="AJ134" s="12">
        <f>VLOOKUP(Tableau4[[#This Row],[essence]],Tableau6[],14,FALSE)</f>
        <v>0</v>
      </c>
      <c r="AK134" s="12">
        <f>IF(Tableau4[[#This Row],[sdom]]="5EST",1,0)</f>
        <v>0</v>
      </c>
      <c r="AL134" s="12">
        <f>VLOOKUP(Tableau4[[#This Row],[essence]],Tableau6[],17,FALSE)</f>
        <v>2.8E-3</v>
      </c>
      <c r="AM134" s="12">
        <f>IF(Tableau4[[#This Row],[priorecol]]="C",1,0)</f>
        <v>1</v>
      </c>
      <c r="AN134" s="12">
        <f>VLOOKUP(Tableau4[[#This Row],[essence]],Tableau6[],18,FALSE)</f>
        <v>-2.2499999999999999E-2</v>
      </c>
      <c r="AO134" s="12">
        <f>IF(Tableau4[[#This Row],[priorecol]]="R",1,0)</f>
        <v>0</v>
      </c>
      <c r="AP134" s="12">
        <f>VLOOKUP(Tableau4[[#This Row],[essence]],Tableau6[],19,FALSE)</f>
        <v>3.0699999999999998E-3</v>
      </c>
      <c r="AQ134" s="12">
        <f>IF(Tableau4[[#This Row],[priorecol]]="S",1,0)</f>
        <v>0</v>
      </c>
      <c r="AR134" s="12">
        <f>VLOOKUP(Tableau4[[#This Row],[essence]],Tableau6[],21,FALSE)</f>
        <v>5.2400000000000002E-2</v>
      </c>
      <c r="AS134" s="12">
        <f>IF(Tableau4[[#This Row],[priorecol]]="C",1,0)</f>
        <v>1</v>
      </c>
      <c r="AT134" s="12">
        <f>VLOOKUP(Tableau4[[#This Row],[essence]],Tableau6[],22,FALSE)</f>
        <v>7.7799999999999994E-2</v>
      </c>
      <c r="AU134" s="12">
        <f>IF(Tableau4[[#This Row],[priorecol]]="R",1,0)</f>
        <v>0</v>
      </c>
      <c r="AV134" s="12">
        <f>VLOOKUP(Tableau4[[#This Row],[essence]],Tableau6[],23,FALSE)</f>
        <v>1.9E-2</v>
      </c>
      <c r="AW134" s="12">
        <f>IF(Tableau4[[#This Row],[priorecol]]="S",1,0)</f>
        <v>0</v>
      </c>
      <c r="AX134" s="12">
        <f>VLOOKUP(Tableau4[[#This Row],[essence]],Tableau6[],24,FALSE)</f>
        <v>0</v>
      </c>
      <c r="AY134" s="12">
        <f>VLOOKUP(Tableau4[[#This Row],[essence]],Tableau6[],25,FALSE)</f>
        <v>0</v>
      </c>
      <c r="AZ134" s="12">
        <f>VLOOKUP(Tableau4[[#This Row],[essence]],Tableau6[],26,FALSE)</f>
        <v>0</v>
      </c>
      <c r="BA134" s="12">
        <f>VLOOKUP(Tableau4[[#This Row],[essence]],Tableau6[],27,FALSE)</f>
        <v>0</v>
      </c>
      <c r="BB134" s="12">
        <f>VLOOKUP(Tableau4[[#This Row],[essence]],Tableau6[],16,FALSE)</f>
        <v>0</v>
      </c>
      <c r="BC13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3.5137000000000009</v>
      </c>
      <c r="BD134" s="12">
        <f>Tableau4[[#This Row],[xb_]]+Tableau4[[#This Row],[b_intercept_C]]+Tableau4[[#This Row],[b_dhpcm_x_intercept_C]]*Tableau4[[#This Row],[dhpcm]]</f>
        <v>4.692800000000001</v>
      </c>
      <c r="BE134" s="12">
        <f>Tableau4[[#This Row],[xb_]]+Tableau4[[#This Row],[b_intercept_B]]+Tableau4[[#This Row],[b_dhpcm_x_intercept_B]]*Tableau4[[#This Row],[dhpcm]]</f>
        <v>3.1025000000000009</v>
      </c>
      <c r="BF134" s="12">
        <f>Tableau4[[#This Row],[xb_]]+Tableau4[[#This Row],[b_intercept_A]]+Tableau4[[#This Row],[b_dhpcm_x_intercept_A]]*Tableau4[[#This Row],[dhpcm]]</f>
        <v>1.910200000000001</v>
      </c>
      <c r="BG134" s="12">
        <f>1/(1+EXP(-Tableau4[[#This Row],[xb_c]]))</f>
        <v>0.9909221626494128</v>
      </c>
      <c r="BH134" s="12">
        <f>1/(1+EXP(-Tableau4[[#This Row],[xb_b]]))</f>
        <v>0.95699574989863689</v>
      </c>
      <c r="BI134" s="12">
        <f>1/(1+EXP(-Tableau4[[#This Row],[xb_a]]))</f>
        <v>0.87104161514491563</v>
      </c>
      <c r="BJ134" s="12">
        <f>Tableau4[[#This Row],[prob_a]]</f>
        <v>0.87104161514491563</v>
      </c>
      <c r="BK134" s="12">
        <f>Tableau4[[#This Row],[prob_b]]-Tableau4[[#This Row],[prob_a]]</f>
        <v>8.5954134753721267E-2</v>
      </c>
      <c r="BL134" s="12">
        <f>Tableau4[[#This Row],[prob_c]]-Tableau4[[#This Row],[prob_b]]</f>
        <v>3.3926412750775903E-2</v>
      </c>
      <c r="BM134" s="12">
        <f>1-Tableau4[[#This Row],[prob_c]]</f>
        <v>9.0778373505872034E-3</v>
      </c>
    </row>
    <row r="135" spans="1:65" x14ac:dyDescent="0.25">
      <c r="A135" s="12">
        <v>6</v>
      </c>
      <c r="B135" s="12" t="s">
        <v>14</v>
      </c>
      <c r="C135" s="12">
        <v>1.2</v>
      </c>
      <c r="D135" s="12">
        <v>1022</v>
      </c>
      <c r="E135" s="12">
        <v>25</v>
      </c>
      <c r="F135" s="12">
        <v>1</v>
      </c>
      <c r="G135" s="12">
        <v>62</v>
      </c>
      <c r="H135" s="12">
        <v>173</v>
      </c>
      <c r="I135" s="12" t="s">
        <v>23</v>
      </c>
      <c r="J135" s="12" t="s">
        <v>28</v>
      </c>
      <c r="K135" s="12">
        <f>VLOOKUP(Tableau4[[#This Row],[essence]],Tableau6[],2,FALSE)</f>
        <v>-1.6034999999999999</v>
      </c>
      <c r="L135" s="12">
        <f>VLOOKUP(Tableau4[[#This Row],[essence]],Tableau6[],3,FALSE)</f>
        <v>-0.41120000000000001</v>
      </c>
      <c r="M135" s="12">
        <f>VLOOKUP(Tableau4[[#This Row],[essence]],Tableau6[],4,FALSE)</f>
        <v>1.1791</v>
      </c>
      <c r="N135" s="12">
        <f>VLOOKUP(Tableau4[[#This Row],[essence]],Tableau6[],5,FALSE)</f>
        <v>-0.48980000000000001</v>
      </c>
      <c r="O135" s="12">
        <f>IF(Tableau4[[#This Row],[priorecol]]="C",1,0)</f>
        <v>0</v>
      </c>
      <c r="P135" s="12">
        <f>VLOOKUP(Tableau4[[#This Row],[essence]],Tableau6[],6,FALSE)</f>
        <v>-3.5700000000000003E-2</v>
      </c>
      <c r="Q135" s="12">
        <f>IF(Tableau4[[#This Row],[priorecol]]="R",1,0)</f>
        <v>1</v>
      </c>
      <c r="R135" s="12">
        <f>VLOOKUP(Tableau4[[#This Row],[essence]],Tableau6[],7,FALSE)</f>
        <v>0.1021</v>
      </c>
      <c r="S135" s="12">
        <f>IF(Tableau4[[#This Row],[priorecol]]="S",1,0)</f>
        <v>0</v>
      </c>
      <c r="T135" s="12">
        <f>VLOOKUP(Tableau4[[#This Row],[essence]],Tableau6[],20,FALSE)</f>
        <v>-3.3500000000000002E-2</v>
      </c>
      <c r="U135" s="12">
        <f>VLOOKUP(Tableau4[[#This Row],[essence]],Tableau6[],15,FALSE)</f>
        <v>7.4200000000000004E-3</v>
      </c>
      <c r="V135" s="12">
        <f>VLOOKUP(Tableau4[[#This Row],[essence]],Tableau6[],28,FALSE)</f>
        <v>1.071</v>
      </c>
      <c r="W135" s="12">
        <f>IF(Tableau4[[#This Row],[sdom]]=1,1,0)</f>
        <v>0</v>
      </c>
      <c r="X135" s="12">
        <f>VLOOKUP(Tableau4[[#This Row],[essence]],Tableau6[],8,FALSE)</f>
        <v>0.83450000000000002</v>
      </c>
      <c r="Y135" s="12">
        <f>IF(Tableau4[[#This Row],[sdom]]="2EST",1,0)</f>
        <v>0</v>
      </c>
      <c r="Z135" s="12">
        <f>VLOOKUP(Tableau4[[#This Row],[essence]],Tableau6[],9,FALSE)</f>
        <v>0.94689999999999996</v>
      </c>
      <c r="AA135" s="12">
        <f>IF(Tableau4[[#This Row],[sdom]]="2OUEST",1,0)</f>
        <v>0</v>
      </c>
      <c r="AB135" s="12">
        <f>VLOOKUP(Tableau4[[#This Row],[essence]],Tableau6[],10,FALSE)</f>
        <v>0.62780000000000002</v>
      </c>
      <c r="AC135" s="12">
        <f>IF(Tableau4[[#This Row],[sdom]]="3EST",1,0)</f>
        <v>0</v>
      </c>
      <c r="AD135" s="12">
        <f>VLOOKUP(Tableau4[[#This Row],[essence]],Tableau6[],11,FALSE)</f>
        <v>0.95940000000000003</v>
      </c>
      <c r="AE135" s="12">
        <f>IF(Tableau4[[#This Row],[sdom]]="3OUEST",1,0)</f>
        <v>0</v>
      </c>
      <c r="AF135" s="12">
        <f>VLOOKUP(Tableau4[[#This Row],[essence]],Tableau6[],12,FALSE)</f>
        <v>0.49719999999999998</v>
      </c>
      <c r="AG135" s="12">
        <f>IF(Tableau4[[#This Row],[sdom]]="4EST",1,0)</f>
        <v>1</v>
      </c>
      <c r="AH135" s="12">
        <f>VLOOKUP(Tableau4[[#This Row],[essence]],Tableau6[],13,FALSE)</f>
        <v>0.37669999999999998</v>
      </c>
      <c r="AI135" s="12">
        <f>IF(Tableau4[[#This Row],[sdom]]="4OUEST",1,0)</f>
        <v>0</v>
      </c>
      <c r="AJ135" s="12">
        <f>VLOOKUP(Tableau4[[#This Row],[essence]],Tableau6[],14,FALSE)</f>
        <v>0</v>
      </c>
      <c r="AK135" s="12">
        <f>IF(Tableau4[[#This Row],[sdom]]="5EST",1,0)</f>
        <v>0</v>
      </c>
      <c r="AL135" s="12">
        <f>VLOOKUP(Tableau4[[#This Row],[essence]],Tableau6[],17,FALSE)</f>
        <v>2.8E-3</v>
      </c>
      <c r="AM135" s="12">
        <f>IF(Tableau4[[#This Row],[priorecol]]="C",1,0)</f>
        <v>0</v>
      </c>
      <c r="AN135" s="12">
        <f>VLOOKUP(Tableau4[[#This Row],[essence]],Tableau6[],18,FALSE)</f>
        <v>-2.2499999999999999E-2</v>
      </c>
      <c r="AO135" s="12">
        <f>IF(Tableau4[[#This Row],[priorecol]]="R",1,0)</f>
        <v>1</v>
      </c>
      <c r="AP135" s="12">
        <f>VLOOKUP(Tableau4[[#This Row],[essence]],Tableau6[],19,FALSE)</f>
        <v>3.0699999999999998E-3</v>
      </c>
      <c r="AQ135" s="12">
        <f>IF(Tableau4[[#This Row],[priorecol]]="S",1,0)</f>
        <v>0</v>
      </c>
      <c r="AR135" s="12">
        <f>VLOOKUP(Tableau4[[#This Row],[essence]],Tableau6[],21,FALSE)</f>
        <v>5.2400000000000002E-2</v>
      </c>
      <c r="AS135" s="12">
        <f>IF(Tableau4[[#This Row],[priorecol]]="C",1,0)</f>
        <v>0</v>
      </c>
      <c r="AT135" s="12">
        <f>VLOOKUP(Tableau4[[#This Row],[essence]],Tableau6[],22,FALSE)</f>
        <v>7.7799999999999994E-2</v>
      </c>
      <c r="AU135" s="12">
        <f>IF(Tableau4[[#This Row],[priorecol]]="R",1,0)</f>
        <v>1</v>
      </c>
      <c r="AV135" s="12">
        <f>VLOOKUP(Tableau4[[#This Row],[essence]],Tableau6[],23,FALSE)</f>
        <v>1.9E-2</v>
      </c>
      <c r="AW135" s="12">
        <f>IF(Tableau4[[#This Row],[priorecol]]="S",1,0)</f>
        <v>0</v>
      </c>
      <c r="AX135" s="12">
        <f>VLOOKUP(Tableau4[[#This Row],[essence]],Tableau6[],24,FALSE)</f>
        <v>0</v>
      </c>
      <c r="AY135" s="12">
        <f>VLOOKUP(Tableau4[[#This Row],[essence]],Tableau6[],25,FALSE)</f>
        <v>0</v>
      </c>
      <c r="AZ135" s="12">
        <f>VLOOKUP(Tableau4[[#This Row],[essence]],Tableau6[],26,FALSE)</f>
        <v>0</v>
      </c>
      <c r="BA135" s="12">
        <f>VLOOKUP(Tableau4[[#This Row],[essence]],Tableau6[],27,FALSE)</f>
        <v>0</v>
      </c>
      <c r="BB135" s="12">
        <f>VLOOKUP(Tableau4[[#This Row],[essence]],Tableau6[],16,FALSE)</f>
        <v>0</v>
      </c>
      <c r="BC13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7.7483999999999984</v>
      </c>
      <c r="BD135" s="12">
        <f>Tableau4[[#This Row],[xb_]]+Tableau4[[#This Row],[b_intercept_C]]+Tableau4[[#This Row],[b_dhpcm_x_intercept_C]]*Tableau4[[#This Row],[dhpcm]]</f>
        <v>8.9274999999999984</v>
      </c>
      <c r="BE135" s="12">
        <f>Tableau4[[#This Row],[xb_]]+Tableau4[[#This Row],[b_intercept_B]]+Tableau4[[#This Row],[b_dhpcm_x_intercept_B]]*Tableau4[[#This Row],[dhpcm]]</f>
        <v>7.3371999999999984</v>
      </c>
      <c r="BF135" s="12">
        <f>Tableau4[[#This Row],[xb_]]+Tableau4[[#This Row],[b_intercept_A]]+Tableau4[[#This Row],[b_dhpcm_x_intercept_A]]*Tableau4[[#This Row],[dhpcm]]</f>
        <v>6.144899999999998</v>
      </c>
      <c r="BG135" s="12">
        <f>1/(1+EXP(-Tableau4[[#This Row],[xb_c]]))</f>
        <v>0.99986732827056846</v>
      </c>
      <c r="BH135" s="12">
        <f>1/(1+EXP(-Tableau4[[#This Row],[xb_b]]))</f>
        <v>0.99934955294768191</v>
      </c>
      <c r="BI135" s="12">
        <f>1/(1+EXP(-Tableau4[[#This Row],[xb_a]]))</f>
        <v>0.99786019824993644</v>
      </c>
      <c r="BJ135" s="12">
        <f>Tableau4[[#This Row],[prob_a]]</f>
        <v>0.99786019824993644</v>
      </c>
      <c r="BK135" s="12">
        <f>Tableau4[[#This Row],[prob_b]]-Tableau4[[#This Row],[prob_a]]</f>
        <v>1.4893546977454708E-3</v>
      </c>
      <c r="BL135" s="12">
        <f>Tableau4[[#This Row],[prob_c]]-Tableau4[[#This Row],[prob_b]]</f>
        <v>5.1777532288654893E-4</v>
      </c>
      <c r="BM135" s="12">
        <f>1-Tableau4[[#This Row],[prob_c]]</f>
        <v>1.3267172943154382E-4</v>
      </c>
    </row>
    <row r="136" spans="1:65" x14ac:dyDescent="0.25">
      <c r="A136" s="12">
        <v>6</v>
      </c>
      <c r="B136" s="12" t="s">
        <v>14</v>
      </c>
      <c r="C136" s="12">
        <v>1.2</v>
      </c>
      <c r="D136" s="12">
        <v>1022</v>
      </c>
      <c r="E136" s="12">
        <v>25</v>
      </c>
      <c r="F136" s="12">
        <v>1</v>
      </c>
      <c r="G136" s="12">
        <v>63</v>
      </c>
      <c r="H136" s="12">
        <v>174</v>
      </c>
      <c r="I136" s="12" t="s">
        <v>23</v>
      </c>
      <c r="J136" s="12" t="s">
        <v>29</v>
      </c>
      <c r="K136" s="12">
        <f>VLOOKUP(Tableau4[[#This Row],[essence]],Tableau6[],2,FALSE)</f>
        <v>-1.6034999999999999</v>
      </c>
      <c r="L136" s="12">
        <f>VLOOKUP(Tableau4[[#This Row],[essence]],Tableau6[],3,FALSE)</f>
        <v>-0.41120000000000001</v>
      </c>
      <c r="M136" s="12">
        <f>VLOOKUP(Tableau4[[#This Row],[essence]],Tableau6[],4,FALSE)</f>
        <v>1.1791</v>
      </c>
      <c r="N136" s="12">
        <f>VLOOKUP(Tableau4[[#This Row],[essence]],Tableau6[],5,FALSE)</f>
        <v>-0.48980000000000001</v>
      </c>
      <c r="O136" s="12">
        <f>IF(Tableau4[[#This Row],[priorecol]]="C",1,0)</f>
        <v>0</v>
      </c>
      <c r="P136" s="12">
        <f>VLOOKUP(Tableau4[[#This Row],[essence]],Tableau6[],6,FALSE)</f>
        <v>-3.5700000000000003E-2</v>
      </c>
      <c r="Q136" s="12">
        <f>IF(Tableau4[[#This Row],[priorecol]]="R",1,0)</f>
        <v>0</v>
      </c>
      <c r="R136" s="12">
        <f>VLOOKUP(Tableau4[[#This Row],[essence]],Tableau6[],7,FALSE)</f>
        <v>0.1021</v>
      </c>
      <c r="S136" s="12">
        <f>IF(Tableau4[[#This Row],[priorecol]]="S",1,0)</f>
        <v>1</v>
      </c>
      <c r="T136" s="12">
        <f>VLOOKUP(Tableau4[[#This Row],[essence]],Tableau6[],20,FALSE)</f>
        <v>-3.3500000000000002E-2</v>
      </c>
      <c r="U136" s="12">
        <f>VLOOKUP(Tableau4[[#This Row],[essence]],Tableau6[],15,FALSE)</f>
        <v>7.4200000000000004E-3</v>
      </c>
      <c r="V136" s="12">
        <f>VLOOKUP(Tableau4[[#This Row],[essence]],Tableau6[],28,FALSE)</f>
        <v>1.071</v>
      </c>
      <c r="W136" s="12">
        <f>IF(Tableau4[[#This Row],[sdom]]=1,1,0)</f>
        <v>0</v>
      </c>
      <c r="X136" s="12">
        <f>VLOOKUP(Tableau4[[#This Row],[essence]],Tableau6[],8,FALSE)</f>
        <v>0.83450000000000002</v>
      </c>
      <c r="Y136" s="12">
        <f>IF(Tableau4[[#This Row],[sdom]]="2EST",1,0)</f>
        <v>0</v>
      </c>
      <c r="Z136" s="12">
        <f>VLOOKUP(Tableau4[[#This Row],[essence]],Tableau6[],9,FALSE)</f>
        <v>0.94689999999999996</v>
      </c>
      <c r="AA136" s="12">
        <f>IF(Tableau4[[#This Row],[sdom]]="2OUEST",1,0)</f>
        <v>0</v>
      </c>
      <c r="AB136" s="12">
        <f>VLOOKUP(Tableau4[[#This Row],[essence]],Tableau6[],10,FALSE)</f>
        <v>0.62780000000000002</v>
      </c>
      <c r="AC136" s="12">
        <f>IF(Tableau4[[#This Row],[sdom]]="3EST",1,0)</f>
        <v>0</v>
      </c>
      <c r="AD136" s="12">
        <f>VLOOKUP(Tableau4[[#This Row],[essence]],Tableau6[],11,FALSE)</f>
        <v>0.95940000000000003</v>
      </c>
      <c r="AE136" s="12">
        <f>IF(Tableau4[[#This Row],[sdom]]="3OUEST",1,0)</f>
        <v>0</v>
      </c>
      <c r="AF136" s="12">
        <f>VLOOKUP(Tableau4[[#This Row],[essence]],Tableau6[],12,FALSE)</f>
        <v>0.49719999999999998</v>
      </c>
      <c r="AG136" s="12">
        <f>IF(Tableau4[[#This Row],[sdom]]="4EST",1,0)</f>
        <v>1</v>
      </c>
      <c r="AH136" s="12">
        <f>VLOOKUP(Tableau4[[#This Row],[essence]],Tableau6[],13,FALSE)</f>
        <v>0.37669999999999998</v>
      </c>
      <c r="AI136" s="12">
        <f>IF(Tableau4[[#This Row],[sdom]]="4OUEST",1,0)</f>
        <v>0</v>
      </c>
      <c r="AJ136" s="12">
        <f>VLOOKUP(Tableau4[[#This Row],[essence]],Tableau6[],14,FALSE)</f>
        <v>0</v>
      </c>
      <c r="AK136" s="12">
        <f>IF(Tableau4[[#This Row],[sdom]]="5EST",1,0)</f>
        <v>0</v>
      </c>
      <c r="AL136" s="12">
        <f>VLOOKUP(Tableau4[[#This Row],[essence]],Tableau6[],17,FALSE)</f>
        <v>2.8E-3</v>
      </c>
      <c r="AM136" s="12">
        <f>IF(Tableau4[[#This Row],[priorecol]]="C",1,0)</f>
        <v>0</v>
      </c>
      <c r="AN136" s="12">
        <f>VLOOKUP(Tableau4[[#This Row],[essence]],Tableau6[],18,FALSE)</f>
        <v>-2.2499999999999999E-2</v>
      </c>
      <c r="AO136" s="12">
        <f>IF(Tableau4[[#This Row],[priorecol]]="R",1,0)</f>
        <v>0</v>
      </c>
      <c r="AP136" s="12">
        <f>VLOOKUP(Tableau4[[#This Row],[essence]],Tableau6[],19,FALSE)</f>
        <v>3.0699999999999998E-3</v>
      </c>
      <c r="AQ136" s="12">
        <f>IF(Tableau4[[#This Row],[priorecol]]="S",1,0)</f>
        <v>1</v>
      </c>
      <c r="AR136" s="12">
        <f>VLOOKUP(Tableau4[[#This Row],[essence]],Tableau6[],21,FALSE)</f>
        <v>5.2400000000000002E-2</v>
      </c>
      <c r="AS136" s="12">
        <f>IF(Tableau4[[#This Row],[priorecol]]="C",1,0)</f>
        <v>0</v>
      </c>
      <c r="AT136" s="12">
        <f>VLOOKUP(Tableau4[[#This Row],[essence]],Tableau6[],22,FALSE)</f>
        <v>7.7799999999999994E-2</v>
      </c>
      <c r="AU136" s="12">
        <f>IF(Tableau4[[#This Row],[priorecol]]="R",1,0)</f>
        <v>0</v>
      </c>
      <c r="AV136" s="12">
        <f>VLOOKUP(Tableau4[[#This Row],[essence]],Tableau6[],23,FALSE)</f>
        <v>1.9E-2</v>
      </c>
      <c r="AW136" s="12">
        <f>IF(Tableau4[[#This Row],[priorecol]]="S",1,0)</f>
        <v>1</v>
      </c>
      <c r="AX136" s="12">
        <f>VLOOKUP(Tableau4[[#This Row],[essence]],Tableau6[],24,FALSE)</f>
        <v>0</v>
      </c>
      <c r="AY136" s="12">
        <f>VLOOKUP(Tableau4[[#This Row],[essence]],Tableau6[],25,FALSE)</f>
        <v>0</v>
      </c>
      <c r="AZ136" s="12">
        <f>VLOOKUP(Tableau4[[#This Row],[essence]],Tableau6[],26,FALSE)</f>
        <v>0</v>
      </c>
      <c r="BA136" s="12">
        <f>VLOOKUP(Tableau4[[#This Row],[essence]],Tableau6[],27,FALSE)</f>
        <v>0</v>
      </c>
      <c r="BB136" s="12">
        <f>VLOOKUP(Tableau4[[#This Row],[essence]],Tableau6[],16,FALSE)</f>
        <v>0</v>
      </c>
      <c r="BC13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-1.6614500000000003</v>
      </c>
      <c r="BD136" s="12">
        <f>Tableau4[[#This Row],[xb_]]+Tableau4[[#This Row],[b_intercept_C]]+Tableau4[[#This Row],[b_dhpcm_x_intercept_C]]*Tableau4[[#This Row],[dhpcm]]</f>
        <v>-0.48235000000000028</v>
      </c>
      <c r="BE136" s="12">
        <f>Tableau4[[#This Row],[xb_]]+Tableau4[[#This Row],[b_intercept_B]]+Tableau4[[#This Row],[b_dhpcm_x_intercept_B]]*Tableau4[[#This Row],[dhpcm]]</f>
        <v>-2.0726500000000003</v>
      </c>
      <c r="BF136" s="12">
        <f>Tableau4[[#This Row],[xb_]]+Tableau4[[#This Row],[b_intercept_A]]+Tableau4[[#This Row],[b_dhpcm_x_intercept_A]]*Tableau4[[#This Row],[dhpcm]]</f>
        <v>-3.2649500000000002</v>
      </c>
      <c r="BG136" s="12">
        <f>1/(1+EXP(-Tableau4[[#This Row],[xb_c]]))</f>
        <v>0.38169736071429355</v>
      </c>
      <c r="BH136" s="12">
        <f>1/(1+EXP(-Tableau4[[#This Row],[xb_b]]))</f>
        <v>0.11178365436569382</v>
      </c>
      <c r="BI136" s="12">
        <f>1/(1+EXP(-Tableau4[[#This Row],[xb_a]]))</f>
        <v>3.6793380346116511E-2</v>
      </c>
      <c r="BJ136" s="12">
        <f>Tableau4[[#This Row],[prob_a]]</f>
        <v>3.6793380346116511E-2</v>
      </c>
      <c r="BK136" s="12">
        <f>Tableau4[[#This Row],[prob_b]]-Tableau4[[#This Row],[prob_a]]</f>
        <v>7.4990274019577308E-2</v>
      </c>
      <c r="BL136" s="12">
        <f>Tableau4[[#This Row],[prob_c]]-Tableau4[[#This Row],[prob_b]]</f>
        <v>0.26991370634859974</v>
      </c>
      <c r="BM136" s="12">
        <f>1-Tableau4[[#This Row],[prob_c]]</f>
        <v>0.6183026392857065</v>
      </c>
    </row>
    <row r="137" spans="1:65" x14ac:dyDescent="0.25">
      <c r="A137" s="12">
        <v>6</v>
      </c>
      <c r="B137" s="12" t="s">
        <v>14</v>
      </c>
      <c r="C137" s="12">
        <v>1.2</v>
      </c>
      <c r="D137" s="12">
        <v>1022</v>
      </c>
      <c r="E137" s="12">
        <v>25</v>
      </c>
      <c r="F137" s="12">
        <v>1</v>
      </c>
      <c r="G137" s="12">
        <v>64</v>
      </c>
      <c r="H137" s="12">
        <v>175</v>
      </c>
      <c r="I137" s="12" t="s">
        <v>24</v>
      </c>
      <c r="J137" s="12" t="s">
        <v>27</v>
      </c>
      <c r="K137" s="12">
        <f>VLOOKUP(Tableau4[[#This Row],[essence]],Tableau6[],2,FALSE)</f>
        <v>0.5262</v>
      </c>
      <c r="L137" s="12">
        <f>VLOOKUP(Tableau4[[#This Row],[essence]],Tableau6[],3,FALSE)</f>
        <v>1.3954</v>
      </c>
      <c r="M137" s="12">
        <f>VLOOKUP(Tableau4[[#This Row],[essence]],Tableau6[],4,FALSE)</f>
        <v>2.8633000000000002</v>
      </c>
      <c r="N137" s="12">
        <f>VLOOKUP(Tableau4[[#This Row],[essence]],Tableau6[],5,FALSE)</f>
        <v>1.4995000000000001</v>
      </c>
      <c r="O137" s="12">
        <f>IF(Tableau4[[#This Row],[priorecol]]="C",1,0)</f>
        <v>1</v>
      </c>
      <c r="P137" s="12">
        <f>VLOOKUP(Tableau4[[#This Row],[essence]],Tableau6[],6,FALSE)</f>
        <v>2.5129000000000001</v>
      </c>
      <c r="Q137" s="12">
        <f>IF(Tableau4[[#This Row],[priorecol]]="R",1,0)</f>
        <v>0</v>
      </c>
      <c r="R137" s="12">
        <f>VLOOKUP(Tableau4[[#This Row],[essence]],Tableau6[],7,FALSE)</f>
        <v>0.88009999999999999</v>
      </c>
      <c r="S137" s="12">
        <f>IF(Tableau4[[#This Row],[priorecol]]="S",1,0)</f>
        <v>0</v>
      </c>
      <c r="T137" s="12">
        <f>VLOOKUP(Tableau4[[#This Row],[essence]],Tableau6[],20,FALSE)</f>
        <v>0</v>
      </c>
      <c r="U137" s="12">
        <f>VLOOKUP(Tableau4[[#This Row],[essence]],Tableau6[],15,FALSE)</f>
        <v>2.9000000000000001E-2</v>
      </c>
      <c r="V137" s="12">
        <f>VLOOKUP(Tableau4[[#This Row],[essence]],Tableau6[],28,FALSE)</f>
        <v>-0.43919999999999998</v>
      </c>
      <c r="W137" s="12">
        <f>IF(Tableau4[[#This Row],[sdom]]=1,1,0)</f>
        <v>0</v>
      </c>
      <c r="X137" s="12">
        <f>VLOOKUP(Tableau4[[#This Row],[essence]],Tableau6[],8,FALSE)</f>
        <v>-0.32929999999999998</v>
      </c>
      <c r="Y137" s="12">
        <f>IF(Tableau4[[#This Row],[sdom]]="2EST",1,0)</f>
        <v>0</v>
      </c>
      <c r="Z137" s="12">
        <f>VLOOKUP(Tableau4[[#This Row],[essence]],Tableau6[],9,FALSE)</f>
        <v>0</v>
      </c>
      <c r="AA137" s="12">
        <f>IF(Tableau4[[#This Row],[sdom]]="2OUEST",1,0)</f>
        <v>0</v>
      </c>
      <c r="AB137" s="12">
        <f>VLOOKUP(Tableau4[[#This Row],[essence]],Tableau6[],10,FALSE)</f>
        <v>0</v>
      </c>
      <c r="AC137" s="12">
        <f>IF(Tableau4[[#This Row],[sdom]]="3EST",1,0)</f>
        <v>0</v>
      </c>
      <c r="AD137" s="12">
        <f>VLOOKUP(Tableau4[[#This Row],[essence]],Tableau6[],11,FALSE)</f>
        <v>0</v>
      </c>
      <c r="AE137" s="12">
        <f>IF(Tableau4[[#This Row],[sdom]]="3OUEST",1,0)</f>
        <v>0</v>
      </c>
      <c r="AF137" s="12">
        <f>VLOOKUP(Tableau4[[#This Row],[essence]],Tableau6[],12,FALSE)</f>
        <v>0</v>
      </c>
      <c r="AG137" s="12">
        <f>IF(Tableau4[[#This Row],[sdom]]="4EST",1,0)</f>
        <v>1</v>
      </c>
      <c r="AH137" s="12">
        <f>VLOOKUP(Tableau4[[#This Row],[essence]],Tableau6[],13,FALSE)</f>
        <v>0</v>
      </c>
      <c r="AI137" s="12">
        <f>IF(Tableau4[[#This Row],[sdom]]="4OUEST",1,0)</f>
        <v>0</v>
      </c>
      <c r="AJ137" s="12">
        <f>VLOOKUP(Tableau4[[#This Row],[essence]],Tableau6[],14,FALSE)</f>
        <v>0</v>
      </c>
      <c r="AK137" s="12">
        <f>IF(Tableau4[[#This Row],[sdom]]="5EST",1,0)</f>
        <v>0</v>
      </c>
      <c r="AL137" s="12">
        <f>VLOOKUP(Tableau4[[#This Row],[essence]],Tableau6[],17,FALSE)</f>
        <v>0</v>
      </c>
      <c r="AM137" s="12">
        <f>IF(Tableau4[[#This Row],[priorecol]]="C",1,0)</f>
        <v>1</v>
      </c>
      <c r="AN137" s="12">
        <f>VLOOKUP(Tableau4[[#This Row],[essence]],Tableau6[],18,FALSE)</f>
        <v>0</v>
      </c>
      <c r="AO137" s="12">
        <f>IF(Tableau4[[#This Row],[priorecol]]="R",1,0)</f>
        <v>0</v>
      </c>
      <c r="AP137" s="12">
        <f>VLOOKUP(Tableau4[[#This Row],[essence]],Tableau6[],19,FALSE)</f>
        <v>0</v>
      </c>
      <c r="AQ137" s="12">
        <f>IF(Tableau4[[#This Row],[priorecol]]="S",1,0)</f>
        <v>0</v>
      </c>
      <c r="AR137" s="12">
        <f>VLOOKUP(Tableau4[[#This Row],[essence]],Tableau6[],21,FALSE)</f>
        <v>0</v>
      </c>
      <c r="AS137" s="12">
        <f>IF(Tableau4[[#This Row],[priorecol]]="C",1,0)</f>
        <v>1</v>
      </c>
      <c r="AT137" s="12">
        <f>VLOOKUP(Tableau4[[#This Row],[essence]],Tableau6[],22,FALSE)</f>
        <v>0</v>
      </c>
      <c r="AU137" s="12">
        <f>IF(Tableau4[[#This Row],[priorecol]]="R",1,0)</f>
        <v>0</v>
      </c>
      <c r="AV137" s="12">
        <f>VLOOKUP(Tableau4[[#This Row],[essence]],Tableau6[],23,FALSE)</f>
        <v>0</v>
      </c>
      <c r="AW137" s="12">
        <f>IF(Tableau4[[#This Row],[priorecol]]="S",1,0)</f>
        <v>0</v>
      </c>
      <c r="AX137" s="12">
        <f>VLOOKUP(Tableau4[[#This Row],[essence]],Tableau6[],24,FALSE)</f>
        <v>0</v>
      </c>
      <c r="AY137" s="12">
        <f>VLOOKUP(Tableau4[[#This Row],[essence]],Tableau6[],25,FALSE)</f>
        <v>0</v>
      </c>
      <c r="AZ137" s="12">
        <f>VLOOKUP(Tableau4[[#This Row],[essence]],Tableau6[],26,FALSE)</f>
        <v>0</v>
      </c>
      <c r="BA137" s="12">
        <f>VLOOKUP(Tableau4[[#This Row],[essence]],Tableau6[],27,FALSE)</f>
        <v>0</v>
      </c>
      <c r="BB137" s="12">
        <f>VLOOKUP(Tableau4[[#This Row],[essence]],Tableau6[],16,FALSE)</f>
        <v>-2.0699999999999998E-3</v>
      </c>
      <c r="BC13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0.10896000000000017</v>
      </c>
      <c r="BD137" s="12">
        <f>Tableau4[[#This Row],[xb_]]+Tableau4[[#This Row],[b_intercept_C]]+Tableau4[[#This Row],[b_dhpcm_x_intercept_C]]*Tableau4[[#This Row],[dhpcm]]</f>
        <v>2.9722600000000003</v>
      </c>
      <c r="BE137" s="12">
        <f>Tableau4[[#This Row],[xb_]]+Tableau4[[#This Row],[b_intercept_B]]+Tableau4[[#This Row],[b_dhpcm_x_intercept_B]]*Tableau4[[#This Row],[dhpcm]]</f>
        <v>1.5043600000000001</v>
      </c>
      <c r="BF137" s="12">
        <f>Tableau4[[#This Row],[xb_]]+Tableau4[[#This Row],[b_intercept_A]]+Tableau4[[#This Row],[b_dhpcm_x_intercept_A]]*Tableau4[[#This Row],[dhpcm]]</f>
        <v>0.63516000000000017</v>
      </c>
      <c r="BG137" s="12">
        <f>1/(1+EXP(-Tableau4[[#This Row],[xb_c]]))</f>
        <v>0.95130507547294652</v>
      </c>
      <c r="BH137" s="12">
        <f>1/(1+EXP(-Tableau4[[#This Row],[xb_b]]))</f>
        <v>0.8182238545506455</v>
      </c>
      <c r="BI137" s="12">
        <f>1/(1+EXP(-Tableau4[[#This Row],[xb_a]]))</f>
        <v>0.65365855403778939</v>
      </c>
      <c r="BJ137" s="12">
        <f>Tableau4[[#This Row],[prob_a]]</f>
        <v>0.65365855403778939</v>
      </c>
      <c r="BK137" s="12">
        <f>Tableau4[[#This Row],[prob_b]]-Tableau4[[#This Row],[prob_a]]</f>
        <v>0.16456530051285612</v>
      </c>
      <c r="BL137" s="12">
        <f>Tableau4[[#This Row],[prob_c]]-Tableau4[[#This Row],[prob_b]]</f>
        <v>0.13308122092230101</v>
      </c>
      <c r="BM137" s="12">
        <f>1-Tableau4[[#This Row],[prob_c]]</f>
        <v>4.8694924527053485E-2</v>
      </c>
    </row>
    <row r="138" spans="1:65" x14ac:dyDescent="0.25">
      <c r="A138" s="12">
        <v>6</v>
      </c>
      <c r="B138" s="12" t="s">
        <v>14</v>
      </c>
      <c r="C138" s="12">
        <v>1.2</v>
      </c>
      <c r="D138" s="12">
        <v>1022</v>
      </c>
      <c r="E138" s="12">
        <v>25</v>
      </c>
      <c r="F138" s="12">
        <v>1</v>
      </c>
      <c r="G138" s="12">
        <v>65</v>
      </c>
      <c r="H138" s="12">
        <v>176</v>
      </c>
      <c r="I138" s="12" t="s">
        <v>24</v>
      </c>
      <c r="J138" s="12" t="s">
        <v>28</v>
      </c>
      <c r="K138" s="12">
        <f>VLOOKUP(Tableau4[[#This Row],[essence]],Tableau6[],2,FALSE)</f>
        <v>0.5262</v>
      </c>
      <c r="L138" s="12">
        <f>VLOOKUP(Tableau4[[#This Row],[essence]],Tableau6[],3,FALSE)</f>
        <v>1.3954</v>
      </c>
      <c r="M138" s="12">
        <f>VLOOKUP(Tableau4[[#This Row],[essence]],Tableau6[],4,FALSE)</f>
        <v>2.8633000000000002</v>
      </c>
      <c r="N138" s="12">
        <f>VLOOKUP(Tableau4[[#This Row],[essence]],Tableau6[],5,FALSE)</f>
        <v>1.4995000000000001</v>
      </c>
      <c r="O138" s="12">
        <f>IF(Tableau4[[#This Row],[priorecol]]="C",1,0)</f>
        <v>0</v>
      </c>
      <c r="P138" s="12">
        <f>VLOOKUP(Tableau4[[#This Row],[essence]],Tableau6[],6,FALSE)</f>
        <v>2.5129000000000001</v>
      </c>
      <c r="Q138" s="12">
        <f>IF(Tableau4[[#This Row],[priorecol]]="R",1,0)</f>
        <v>1</v>
      </c>
      <c r="R138" s="12">
        <f>VLOOKUP(Tableau4[[#This Row],[essence]],Tableau6[],7,FALSE)</f>
        <v>0.88009999999999999</v>
      </c>
      <c r="S138" s="12">
        <f>IF(Tableau4[[#This Row],[priorecol]]="S",1,0)</f>
        <v>0</v>
      </c>
      <c r="T138" s="12">
        <f>VLOOKUP(Tableau4[[#This Row],[essence]],Tableau6[],20,FALSE)</f>
        <v>0</v>
      </c>
      <c r="U138" s="12">
        <f>VLOOKUP(Tableau4[[#This Row],[essence]],Tableau6[],15,FALSE)</f>
        <v>2.9000000000000001E-2</v>
      </c>
      <c r="V138" s="12">
        <f>VLOOKUP(Tableau4[[#This Row],[essence]],Tableau6[],28,FALSE)</f>
        <v>-0.43919999999999998</v>
      </c>
      <c r="W138" s="12">
        <f>IF(Tableau4[[#This Row],[sdom]]=1,1,0)</f>
        <v>0</v>
      </c>
      <c r="X138" s="12">
        <f>VLOOKUP(Tableau4[[#This Row],[essence]],Tableau6[],8,FALSE)</f>
        <v>-0.32929999999999998</v>
      </c>
      <c r="Y138" s="12">
        <f>IF(Tableau4[[#This Row],[sdom]]="2EST",1,0)</f>
        <v>0</v>
      </c>
      <c r="Z138" s="12">
        <f>VLOOKUP(Tableau4[[#This Row],[essence]],Tableau6[],9,FALSE)</f>
        <v>0</v>
      </c>
      <c r="AA138" s="12">
        <f>IF(Tableau4[[#This Row],[sdom]]="2OUEST",1,0)</f>
        <v>0</v>
      </c>
      <c r="AB138" s="12">
        <f>VLOOKUP(Tableau4[[#This Row],[essence]],Tableau6[],10,FALSE)</f>
        <v>0</v>
      </c>
      <c r="AC138" s="12">
        <f>IF(Tableau4[[#This Row],[sdom]]="3EST",1,0)</f>
        <v>0</v>
      </c>
      <c r="AD138" s="12">
        <f>VLOOKUP(Tableau4[[#This Row],[essence]],Tableau6[],11,FALSE)</f>
        <v>0</v>
      </c>
      <c r="AE138" s="12">
        <f>IF(Tableau4[[#This Row],[sdom]]="3OUEST",1,0)</f>
        <v>0</v>
      </c>
      <c r="AF138" s="12">
        <f>VLOOKUP(Tableau4[[#This Row],[essence]],Tableau6[],12,FALSE)</f>
        <v>0</v>
      </c>
      <c r="AG138" s="12">
        <f>IF(Tableau4[[#This Row],[sdom]]="4EST",1,0)</f>
        <v>1</v>
      </c>
      <c r="AH138" s="12">
        <f>VLOOKUP(Tableau4[[#This Row],[essence]],Tableau6[],13,FALSE)</f>
        <v>0</v>
      </c>
      <c r="AI138" s="12">
        <f>IF(Tableau4[[#This Row],[sdom]]="4OUEST",1,0)</f>
        <v>0</v>
      </c>
      <c r="AJ138" s="12">
        <f>VLOOKUP(Tableau4[[#This Row],[essence]],Tableau6[],14,FALSE)</f>
        <v>0</v>
      </c>
      <c r="AK138" s="12">
        <f>IF(Tableau4[[#This Row],[sdom]]="5EST",1,0)</f>
        <v>0</v>
      </c>
      <c r="AL138" s="12">
        <f>VLOOKUP(Tableau4[[#This Row],[essence]],Tableau6[],17,FALSE)</f>
        <v>0</v>
      </c>
      <c r="AM138" s="12">
        <f>IF(Tableau4[[#This Row],[priorecol]]="C",1,0)</f>
        <v>0</v>
      </c>
      <c r="AN138" s="12">
        <f>VLOOKUP(Tableau4[[#This Row],[essence]],Tableau6[],18,FALSE)</f>
        <v>0</v>
      </c>
      <c r="AO138" s="12">
        <f>IF(Tableau4[[#This Row],[priorecol]]="R",1,0)</f>
        <v>1</v>
      </c>
      <c r="AP138" s="12">
        <f>VLOOKUP(Tableau4[[#This Row],[essence]],Tableau6[],19,FALSE)</f>
        <v>0</v>
      </c>
      <c r="AQ138" s="12">
        <f>IF(Tableau4[[#This Row],[priorecol]]="S",1,0)</f>
        <v>0</v>
      </c>
      <c r="AR138" s="12">
        <f>VLOOKUP(Tableau4[[#This Row],[essence]],Tableau6[],21,FALSE)</f>
        <v>0</v>
      </c>
      <c r="AS138" s="12">
        <f>IF(Tableau4[[#This Row],[priorecol]]="C",1,0)</f>
        <v>0</v>
      </c>
      <c r="AT138" s="12">
        <f>VLOOKUP(Tableau4[[#This Row],[essence]],Tableau6[],22,FALSE)</f>
        <v>0</v>
      </c>
      <c r="AU138" s="12">
        <f>IF(Tableau4[[#This Row],[priorecol]]="R",1,0)</f>
        <v>1</v>
      </c>
      <c r="AV138" s="12">
        <f>VLOOKUP(Tableau4[[#This Row],[essence]],Tableau6[],23,FALSE)</f>
        <v>0</v>
      </c>
      <c r="AW138" s="12">
        <f>IF(Tableau4[[#This Row],[priorecol]]="S",1,0)</f>
        <v>0</v>
      </c>
      <c r="AX138" s="12">
        <f>VLOOKUP(Tableau4[[#This Row],[essence]],Tableau6[],24,FALSE)</f>
        <v>0</v>
      </c>
      <c r="AY138" s="12">
        <f>VLOOKUP(Tableau4[[#This Row],[essence]],Tableau6[],25,FALSE)</f>
        <v>0</v>
      </c>
      <c r="AZ138" s="12">
        <f>VLOOKUP(Tableau4[[#This Row],[essence]],Tableau6[],26,FALSE)</f>
        <v>0</v>
      </c>
      <c r="BA138" s="12">
        <f>VLOOKUP(Tableau4[[#This Row],[essence]],Tableau6[],27,FALSE)</f>
        <v>0</v>
      </c>
      <c r="BB138" s="12">
        <f>VLOOKUP(Tableau4[[#This Row],[essence]],Tableau6[],16,FALSE)</f>
        <v>-2.0699999999999998E-3</v>
      </c>
      <c r="BC13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1.1223600000000005</v>
      </c>
      <c r="BD138" s="12">
        <f>Tableau4[[#This Row],[xb_]]+Tableau4[[#This Row],[b_intercept_C]]+Tableau4[[#This Row],[b_dhpcm_x_intercept_C]]*Tableau4[[#This Row],[dhpcm]]</f>
        <v>3.9856600000000006</v>
      </c>
      <c r="BE138" s="12">
        <f>Tableau4[[#This Row],[xb_]]+Tableau4[[#This Row],[b_intercept_B]]+Tableau4[[#This Row],[b_dhpcm_x_intercept_B]]*Tableau4[[#This Row],[dhpcm]]</f>
        <v>2.5177600000000004</v>
      </c>
      <c r="BF138" s="12">
        <f>Tableau4[[#This Row],[xb_]]+Tableau4[[#This Row],[b_intercept_A]]+Tableau4[[#This Row],[b_dhpcm_x_intercept_A]]*Tableau4[[#This Row],[dhpcm]]</f>
        <v>1.6485600000000005</v>
      </c>
      <c r="BG138" s="12">
        <f>1/(1+EXP(-Tableau4[[#This Row],[xb_c]]))</f>
        <v>0.98175874833317356</v>
      </c>
      <c r="BH138" s="12">
        <f>1/(1+EXP(-Tableau4[[#This Row],[xb_b]]))</f>
        <v>0.92537752126496475</v>
      </c>
      <c r="BI138" s="12">
        <f>1/(1+EXP(-Tableau4[[#This Row],[xb_a]]))</f>
        <v>0.83869633532292875</v>
      </c>
      <c r="BJ138" s="12">
        <f>Tableau4[[#This Row],[prob_a]]</f>
        <v>0.83869633532292875</v>
      </c>
      <c r="BK138" s="12">
        <f>Tableau4[[#This Row],[prob_b]]-Tableau4[[#This Row],[prob_a]]</f>
        <v>8.6681185942035999E-2</v>
      </c>
      <c r="BL138" s="12">
        <f>Tableau4[[#This Row],[prob_c]]-Tableau4[[#This Row],[prob_b]]</f>
        <v>5.6381227068208806E-2</v>
      </c>
      <c r="BM138" s="12">
        <f>1-Tableau4[[#This Row],[prob_c]]</f>
        <v>1.8241251666826441E-2</v>
      </c>
    </row>
    <row r="139" spans="1:65" x14ac:dyDescent="0.25">
      <c r="A139" s="12">
        <v>6</v>
      </c>
      <c r="B139" s="12" t="s">
        <v>14</v>
      </c>
      <c r="C139" s="12">
        <v>1.2</v>
      </c>
      <c r="D139" s="12">
        <v>1022</v>
      </c>
      <c r="E139" s="12">
        <v>25</v>
      </c>
      <c r="F139" s="12">
        <v>1</v>
      </c>
      <c r="G139" s="12">
        <v>66</v>
      </c>
      <c r="H139" s="12">
        <v>177</v>
      </c>
      <c r="I139" s="12" t="s">
        <v>24</v>
      </c>
      <c r="J139" s="12" t="s">
        <v>29</v>
      </c>
      <c r="K139" s="12">
        <f>VLOOKUP(Tableau4[[#This Row],[essence]],Tableau6[],2,FALSE)</f>
        <v>0.5262</v>
      </c>
      <c r="L139" s="12">
        <f>VLOOKUP(Tableau4[[#This Row],[essence]],Tableau6[],3,FALSE)</f>
        <v>1.3954</v>
      </c>
      <c r="M139" s="12">
        <f>VLOOKUP(Tableau4[[#This Row],[essence]],Tableau6[],4,FALSE)</f>
        <v>2.8633000000000002</v>
      </c>
      <c r="N139" s="12">
        <f>VLOOKUP(Tableau4[[#This Row],[essence]],Tableau6[],5,FALSE)</f>
        <v>1.4995000000000001</v>
      </c>
      <c r="O139" s="12">
        <f>IF(Tableau4[[#This Row],[priorecol]]="C",1,0)</f>
        <v>0</v>
      </c>
      <c r="P139" s="12">
        <f>VLOOKUP(Tableau4[[#This Row],[essence]],Tableau6[],6,FALSE)</f>
        <v>2.5129000000000001</v>
      </c>
      <c r="Q139" s="12">
        <f>IF(Tableau4[[#This Row],[priorecol]]="R",1,0)</f>
        <v>0</v>
      </c>
      <c r="R139" s="12">
        <f>VLOOKUP(Tableau4[[#This Row],[essence]],Tableau6[],7,FALSE)</f>
        <v>0.88009999999999999</v>
      </c>
      <c r="S139" s="12">
        <f>IF(Tableau4[[#This Row],[priorecol]]="S",1,0)</f>
        <v>1</v>
      </c>
      <c r="T139" s="12">
        <f>VLOOKUP(Tableau4[[#This Row],[essence]],Tableau6[],20,FALSE)</f>
        <v>0</v>
      </c>
      <c r="U139" s="12">
        <f>VLOOKUP(Tableau4[[#This Row],[essence]],Tableau6[],15,FALSE)</f>
        <v>2.9000000000000001E-2</v>
      </c>
      <c r="V139" s="12">
        <f>VLOOKUP(Tableau4[[#This Row],[essence]],Tableau6[],28,FALSE)</f>
        <v>-0.43919999999999998</v>
      </c>
      <c r="W139" s="12">
        <f>IF(Tableau4[[#This Row],[sdom]]=1,1,0)</f>
        <v>0</v>
      </c>
      <c r="X139" s="12">
        <f>VLOOKUP(Tableau4[[#This Row],[essence]],Tableau6[],8,FALSE)</f>
        <v>-0.32929999999999998</v>
      </c>
      <c r="Y139" s="12">
        <f>IF(Tableau4[[#This Row],[sdom]]="2EST",1,0)</f>
        <v>0</v>
      </c>
      <c r="Z139" s="12">
        <f>VLOOKUP(Tableau4[[#This Row],[essence]],Tableau6[],9,FALSE)</f>
        <v>0</v>
      </c>
      <c r="AA139" s="12">
        <f>IF(Tableau4[[#This Row],[sdom]]="2OUEST",1,0)</f>
        <v>0</v>
      </c>
      <c r="AB139" s="12">
        <f>VLOOKUP(Tableau4[[#This Row],[essence]],Tableau6[],10,FALSE)</f>
        <v>0</v>
      </c>
      <c r="AC139" s="12">
        <f>IF(Tableau4[[#This Row],[sdom]]="3EST",1,0)</f>
        <v>0</v>
      </c>
      <c r="AD139" s="12">
        <f>VLOOKUP(Tableau4[[#This Row],[essence]],Tableau6[],11,FALSE)</f>
        <v>0</v>
      </c>
      <c r="AE139" s="12">
        <f>IF(Tableau4[[#This Row],[sdom]]="3OUEST",1,0)</f>
        <v>0</v>
      </c>
      <c r="AF139" s="12">
        <f>VLOOKUP(Tableau4[[#This Row],[essence]],Tableau6[],12,FALSE)</f>
        <v>0</v>
      </c>
      <c r="AG139" s="12">
        <f>IF(Tableau4[[#This Row],[sdom]]="4EST",1,0)</f>
        <v>1</v>
      </c>
      <c r="AH139" s="12">
        <f>VLOOKUP(Tableau4[[#This Row],[essence]],Tableau6[],13,FALSE)</f>
        <v>0</v>
      </c>
      <c r="AI139" s="12">
        <f>IF(Tableau4[[#This Row],[sdom]]="4OUEST",1,0)</f>
        <v>0</v>
      </c>
      <c r="AJ139" s="12">
        <f>VLOOKUP(Tableau4[[#This Row],[essence]],Tableau6[],14,FALSE)</f>
        <v>0</v>
      </c>
      <c r="AK139" s="12">
        <f>IF(Tableau4[[#This Row],[sdom]]="5EST",1,0)</f>
        <v>0</v>
      </c>
      <c r="AL139" s="12">
        <f>VLOOKUP(Tableau4[[#This Row],[essence]],Tableau6[],17,FALSE)</f>
        <v>0</v>
      </c>
      <c r="AM139" s="12">
        <f>IF(Tableau4[[#This Row],[priorecol]]="C",1,0)</f>
        <v>0</v>
      </c>
      <c r="AN139" s="12">
        <f>VLOOKUP(Tableau4[[#This Row],[essence]],Tableau6[],18,FALSE)</f>
        <v>0</v>
      </c>
      <c r="AO139" s="12">
        <f>IF(Tableau4[[#This Row],[priorecol]]="R",1,0)</f>
        <v>0</v>
      </c>
      <c r="AP139" s="12">
        <f>VLOOKUP(Tableau4[[#This Row],[essence]],Tableau6[],19,FALSE)</f>
        <v>0</v>
      </c>
      <c r="AQ139" s="12">
        <f>IF(Tableau4[[#This Row],[priorecol]]="S",1,0)</f>
        <v>1</v>
      </c>
      <c r="AR139" s="12">
        <f>VLOOKUP(Tableau4[[#This Row],[essence]],Tableau6[],21,FALSE)</f>
        <v>0</v>
      </c>
      <c r="AS139" s="12">
        <f>IF(Tableau4[[#This Row],[priorecol]]="C",1,0)</f>
        <v>0</v>
      </c>
      <c r="AT139" s="12">
        <f>VLOOKUP(Tableau4[[#This Row],[essence]],Tableau6[],22,FALSE)</f>
        <v>0</v>
      </c>
      <c r="AU139" s="12">
        <f>IF(Tableau4[[#This Row],[priorecol]]="R",1,0)</f>
        <v>0</v>
      </c>
      <c r="AV139" s="12">
        <f>VLOOKUP(Tableau4[[#This Row],[essence]],Tableau6[],23,FALSE)</f>
        <v>0</v>
      </c>
      <c r="AW139" s="12">
        <f>IF(Tableau4[[#This Row],[priorecol]]="S",1,0)</f>
        <v>1</v>
      </c>
      <c r="AX139" s="12">
        <f>VLOOKUP(Tableau4[[#This Row],[essence]],Tableau6[],24,FALSE)</f>
        <v>0</v>
      </c>
      <c r="AY139" s="12">
        <f>VLOOKUP(Tableau4[[#This Row],[essence]],Tableau6[],25,FALSE)</f>
        <v>0</v>
      </c>
      <c r="AZ139" s="12">
        <f>VLOOKUP(Tableau4[[#This Row],[essence]],Tableau6[],26,FALSE)</f>
        <v>0</v>
      </c>
      <c r="BA139" s="12">
        <f>VLOOKUP(Tableau4[[#This Row],[essence]],Tableau6[],27,FALSE)</f>
        <v>0</v>
      </c>
      <c r="BB139" s="12">
        <f>VLOOKUP(Tableau4[[#This Row],[essence]],Tableau6[],16,FALSE)</f>
        <v>-2.0699999999999998E-3</v>
      </c>
      <c r="BC13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-0.51043999999999956</v>
      </c>
      <c r="BD139" s="12">
        <f>Tableau4[[#This Row],[xb_]]+Tableau4[[#This Row],[b_intercept_C]]+Tableau4[[#This Row],[b_dhpcm_x_intercept_C]]*Tableau4[[#This Row],[dhpcm]]</f>
        <v>2.3528600000000006</v>
      </c>
      <c r="BE139" s="12">
        <f>Tableau4[[#This Row],[xb_]]+Tableau4[[#This Row],[b_intercept_B]]+Tableau4[[#This Row],[b_dhpcm_x_intercept_B]]*Tableau4[[#This Row],[dhpcm]]</f>
        <v>0.88496000000000041</v>
      </c>
      <c r="BF139" s="12">
        <f>Tableau4[[#This Row],[xb_]]+Tableau4[[#This Row],[b_intercept_A]]+Tableau4[[#This Row],[b_dhpcm_x_intercept_A]]*Tableau4[[#This Row],[dhpcm]]</f>
        <v>1.576000000000044E-2</v>
      </c>
      <c r="BG139" s="12">
        <f>1/(1+EXP(-Tableau4[[#This Row],[xb_c]]))</f>
        <v>0.91316128727508439</v>
      </c>
      <c r="BH139" s="12">
        <f>1/(1+EXP(-Tableau4[[#This Row],[xb_b]]))</f>
        <v>0.70784899954151914</v>
      </c>
      <c r="BI139" s="12">
        <f>1/(1+EXP(-Tableau4[[#This Row],[xb_a]]))</f>
        <v>0.50393991845138031</v>
      </c>
      <c r="BJ139" s="12">
        <f>Tableau4[[#This Row],[prob_a]]</f>
        <v>0.50393991845138031</v>
      </c>
      <c r="BK139" s="12">
        <f>Tableau4[[#This Row],[prob_b]]-Tableau4[[#This Row],[prob_a]]</f>
        <v>0.20390908109013883</v>
      </c>
      <c r="BL139" s="12">
        <f>Tableau4[[#This Row],[prob_c]]-Tableau4[[#This Row],[prob_b]]</f>
        <v>0.20531228773356525</v>
      </c>
      <c r="BM139" s="12">
        <f>1-Tableau4[[#This Row],[prob_c]]</f>
        <v>8.6838712724915612E-2</v>
      </c>
    </row>
    <row r="140" spans="1:65" x14ac:dyDescent="0.25">
      <c r="A140" s="12">
        <v>6</v>
      </c>
      <c r="B140" s="12" t="s">
        <v>14</v>
      </c>
      <c r="C140" s="12">
        <v>1.2</v>
      </c>
      <c r="D140" s="12">
        <v>1022</v>
      </c>
      <c r="E140" s="12">
        <v>25</v>
      </c>
      <c r="F140" s="12">
        <v>1</v>
      </c>
      <c r="G140" s="12">
        <v>67</v>
      </c>
      <c r="H140" s="12">
        <v>178</v>
      </c>
      <c r="I140" s="12" t="s">
        <v>25</v>
      </c>
      <c r="J140" s="12" t="s">
        <v>27</v>
      </c>
      <c r="K140" s="12">
        <f>VLOOKUP(Tableau4[[#This Row],[essence]],Tableau6[],2,FALSE)</f>
        <v>-4.3875000000000002</v>
      </c>
      <c r="L140" s="12">
        <f>VLOOKUP(Tableau4[[#This Row],[essence]],Tableau6[],3,FALSE)</f>
        <v>-3.0411999999999999</v>
      </c>
      <c r="M140" s="12">
        <f>VLOOKUP(Tableau4[[#This Row],[essence]],Tableau6[],4,FALSE)</f>
        <v>-1.2259</v>
      </c>
      <c r="N140" s="12">
        <f>VLOOKUP(Tableau4[[#This Row],[essence]],Tableau6[],5,FALSE)</f>
        <v>1.7715000000000001</v>
      </c>
      <c r="O140" s="12">
        <f>IF(Tableau4[[#This Row],[priorecol]]="C",1,0)</f>
        <v>1</v>
      </c>
      <c r="P140" s="12">
        <f>VLOOKUP(Tableau4[[#This Row],[essence]],Tableau6[],6,FALSE)</f>
        <v>2.6688000000000001</v>
      </c>
      <c r="Q140" s="12">
        <f>IF(Tableau4[[#This Row],[priorecol]]="R",1,0)</f>
        <v>0</v>
      </c>
      <c r="R140" s="12">
        <f>VLOOKUP(Tableau4[[#This Row],[essence]],Tableau6[],7,FALSE)</f>
        <v>1.5728</v>
      </c>
      <c r="S140" s="12">
        <f>IF(Tableau4[[#This Row],[priorecol]]="S",1,0)</f>
        <v>0</v>
      </c>
      <c r="T140" s="12">
        <f>VLOOKUP(Tableau4[[#This Row],[essence]],Tableau6[],20,FALSE)</f>
        <v>0</v>
      </c>
      <c r="U140" s="12">
        <f>VLOOKUP(Tableau4[[#This Row],[essence]],Tableau6[],15,FALSE)</f>
        <v>0</v>
      </c>
      <c r="V140" s="12">
        <f>VLOOKUP(Tableau4[[#This Row],[essence]],Tableau6[],28,FALSE)</f>
        <v>0</v>
      </c>
      <c r="W140" s="12">
        <f>IF(Tableau4[[#This Row],[sdom]]=1,1,0)</f>
        <v>0</v>
      </c>
      <c r="X140" s="12">
        <f>VLOOKUP(Tableau4[[#This Row],[essence]],Tableau6[],8,FALSE)</f>
        <v>0.86129999999999995</v>
      </c>
      <c r="Y140" s="12">
        <f>IF(Tableau4[[#This Row],[sdom]]="2EST",1,0)</f>
        <v>0</v>
      </c>
      <c r="Z140" s="12">
        <f>VLOOKUP(Tableau4[[#This Row],[essence]],Tableau6[],9,FALSE)</f>
        <v>0.39550000000000002</v>
      </c>
      <c r="AA140" s="12">
        <f>IF(Tableau4[[#This Row],[sdom]]="2OUEST",1,0)</f>
        <v>0</v>
      </c>
      <c r="AB140" s="12">
        <f>VLOOKUP(Tableau4[[#This Row],[essence]],Tableau6[],10,FALSE)</f>
        <v>0.58989999999999998</v>
      </c>
      <c r="AC140" s="12">
        <f>IF(Tableau4[[#This Row],[sdom]]="3EST",1,0)</f>
        <v>0</v>
      </c>
      <c r="AD140" s="12">
        <f>VLOOKUP(Tableau4[[#This Row],[essence]],Tableau6[],11,FALSE)</f>
        <v>0.52759999999999996</v>
      </c>
      <c r="AE140" s="12">
        <f>IF(Tableau4[[#This Row],[sdom]]="3OUEST",1,0)</f>
        <v>0</v>
      </c>
      <c r="AF140" s="12">
        <f>VLOOKUP(Tableau4[[#This Row],[essence]],Tableau6[],12,FALSE)</f>
        <v>0</v>
      </c>
      <c r="AG140" s="12">
        <f>IF(Tableau4[[#This Row],[sdom]]="4EST",1,0)</f>
        <v>1</v>
      </c>
      <c r="AH140" s="12">
        <f>VLOOKUP(Tableau4[[#This Row],[essence]],Tableau6[],13,FALSE)</f>
        <v>0</v>
      </c>
      <c r="AI140" s="12">
        <f>IF(Tableau4[[#This Row],[sdom]]="4OUEST",1,0)</f>
        <v>0</v>
      </c>
      <c r="AJ140" s="12">
        <f>VLOOKUP(Tableau4[[#This Row],[essence]],Tableau6[],14,FALSE)</f>
        <v>0</v>
      </c>
      <c r="AK140" s="12">
        <f>IF(Tableau4[[#This Row],[sdom]]="5EST",1,0)</f>
        <v>0</v>
      </c>
      <c r="AL140" s="12">
        <f>VLOOKUP(Tableau4[[#This Row],[essence]],Tableau6[],17,FALSE)</f>
        <v>0</v>
      </c>
      <c r="AM140" s="12">
        <f>IF(Tableau4[[#This Row],[priorecol]]="C",1,0)</f>
        <v>1</v>
      </c>
      <c r="AN140" s="12">
        <f>VLOOKUP(Tableau4[[#This Row],[essence]],Tableau6[],18,FALSE)</f>
        <v>0</v>
      </c>
      <c r="AO140" s="12">
        <f>IF(Tableau4[[#This Row],[priorecol]]="R",1,0)</f>
        <v>0</v>
      </c>
      <c r="AP140" s="12">
        <f>VLOOKUP(Tableau4[[#This Row],[essence]],Tableau6[],19,FALSE)</f>
        <v>0</v>
      </c>
      <c r="AQ140" s="12">
        <f>IF(Tableau4[[#This Row],[priorecol]]="S",1,0)</f>
        <v>0</v>
      </c>
      <c r="AR140" s="12">
        <f>VLOOKUP(Tableau4[[#This Row],[essence]],Tableau6[],21,FALSE)</f>
        <v>0</v>
      </c>
      <c r="AS140" s="12">
        <f>IF(Tableau4[[#This Row],[priorecol]]="C",1,0)</f>
        <v>1</v>
      </c>
      <c r="AT140" s="12">
        <f>VLOOKUP(Tableau4[[#This Row],[essence]],Tableau6[],22,FALSE)</f>
        <v>0</v>
      </c>
      <c r="AU140" s="12">
        <f>IF(Tableau4[[#This Row],[priorecol]]="R",1,0)</f>
        <v>0</v>
      </c>
      <c r="AV140" s="12">
        <f>VLOOKUP(Tableau4[[#This Row],[essence]],Tableau6[],23,FALSE)</f>
        <v>0</v>
      </c>
      <c r="AW140" s="12">
        <f>IF(Tableau4[[#This Row],[priorecol]]="S",1,0)</f>
        <v>0</v>
      </c>
      <c r="AX140" s="12">
        <f>VLOOKUP(Tableau4[[#This Row],[essence]],Tableau6[],24,FALSE)</f>
        <v>0</v>
      </c>
      <c r="AY140" s="12">
        <f>VLOOKUP(Tableau4[[#This Row],[essence]],Tableau6[],25,FALSE)</f>
        <v>0</v>
      </c>
      <c r="AZ140" s="12">
        <f>VLOOKUP(Tableau4[[#This Row],[essence]],Tableau6[],26,FALSE)</f>
        <v>0</v>
      </c>
      <c r="BA140" s="12">
        <f>VLOOKUP(Tableau4[[#This Row],[essence]],Tableau6[],27,FALSE)</f>
        <v>0</v>
      </c>
      <c r="BB140" s="12">
        <f>VLOOKUP(Tableau4[[#This Row],[essence]],Tableau6[],16,FALSE)</f>
        <v>0</v>
      </c>
      <c r="BC14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140" s="12">
        <f>Tableau4[[#This Row],[xb_]]+Tableau4[[#This Row],[b_intercept_C]]+Tableau4[[#This Row],[b_dhpcm_x_intercept_C]]*Tableau4[[#This Row],[dhpcm]]</f>
        <v>0.54560000000000008</v>
      </c>
      <c r="BE140" s="12">
        <f>Tableau4[[#This Row],[xb_]]+Tableau4[[#This Row],[b_intercept_B]]+Tableau4[[#This Row],[b_dhpcm_x_intercept_B]]*Tableau4[[#This Row],[dhpcm]]</f>
        <v>-1.2696999999999998</v>
      </c>
      <c r="BF140" s="12">
        <f>Tableau4[[#This Row],[xb_]]+Tableau4[[#This Row],[b_intercept_A]]+Tableau4[[#This Row],[b_dhpcm_x_intercept_A]]*Tableau4[[#This Row],[dhpcm]]</f>
        <v>-2.6160000000000001</v>
      </c>
      <c r="BG140" s="12">
        <f>1/(1+EXP(-Tableau4[[#This Row],[xb_c]]))</f>
        <v>0.63311415618116451</v>
      </c>
      <c r="BH140" s="12">
        <f>1/(1+EXP(-Tableau4[[#This Row],[xb_b]]))</f>
        <v>0.21930861146596689</v>
      </c>
      <c r="BI140" s="12">
        <f>1/(1+EXP(-Tableau4[[#This Row],[xb_a]]))</f>
        <v>6.8115759378310187E-2</v>
      </c>
      <c r="BJ140" s="12">
        <f>Tableau4[[#This Row],[prob_a]]</f>
        <v>6.8115759378310187E-2</v>
      </c>
      <c r="BK140" s="12">
        <f>Tableau4[[#This Row],[prob_b]]-Tableau4[[#This Row],[prob_a]]</f>
        <v>0.1511928520876567</v>
      </c>
      <c r="BL140" s="12">
        <f>Tableau4[[#This Row],[prob_c]]-Tableau4[[#This Row],[prob_b]]</f>
        <v>0.41380554471519759</v>
      </c>
      <c r="BM140" s="12">
        <f>1-Tableau4[[#This Row],[prob_c]]</f>
        <v>0.36688584381883549</v>
      </c>
    </row>
    <row r="141" spans="1:65" x14ac:dyDescent="0.25">
      <c r="A141" s="12">
        <v>6</v>
      </c>
      <c r="B141" s="12" t="s">
        <v>14</v>
      </c>
      <c r="C141" s="12">
        <v>1.2</v>
      </c>
      <c r="D141" s="12">
        <v>1022</v>
      </c>
      <c r="E141" s="12">
        <v>25</v>
      </c>
      <c r="F141" s="12">
        <v>1</v>
      </c>
      <c r="G141" s="12">
        <v>68</v>
      </c>
      <c r="H141" s="12">
        <v>179</v>
      </c>
      <c r="I141" s="12" t="s">
        <v>25</v>
      </c>
      <c r="J141" s="12" t="s">
        <v>28</v>
      </c>
      <c r="K141" s="12">
        <f>VLOOKUP(Tableau4[[#This Row],[essence]],Tableau6[],2,FALSE)</f>
        <v>-4.3875000000000002</v>
      </c>
      <c r="L141" s="12">
        <f>VLOOKUP(Tableau4[[#This Row],[essence]],Tableau6[],3,FALSE)</f>
        <v>-3.0411999999999999</v>
      </c>
      <c r="M141" s="12">
        <f>VLOOKUP(Tableau4[[#This Row],[essence]],Tableau6[],4,FALSE)</f>
        <v>-1.2259</v>
      </c>
      <c r="N141" s="12">
        <f>VLOOKUP(Tableau4[[#This Row],[essence]],Tableau6[],5,FALSE)</f>
        <v>1.7715000000000001</v>
      </c>
      <c r="O141" s="12">
        <f>IF(Tableau4[[#This Row],[priorecol]]="C",1,0)</f>
        <v>0</v>
      </c>
      <c r="P141" s="12">
        <f>VLOOKUP(Tableau4[[#This Row],[essence]],Tableau6[],6,FALSE)</f>
        <v>2.6688000000000001</v>
      </c>
      <c r="Q141" s="12">
        <f>IF(Tableau4[[#This Row],[priorecol]]="R",1,0)</f>
        <v>1</v>
      </c>
      <c r="R141" s="12">
        <f>VLOOKUP(Tableau4[[#This Row],[essence]],Tableau6[],7,FALSE)</f>
        <v>1.5728</v>
      </c>
      <c r="S141" s="12">
        <f>IF(Tableau4[[#This Row],[priorecol]]="S",1,0)</f>
        <v>0</v>
      </c>
      <c r="T141" s="12">
        <f>VLOOKUP(Tableau4[[#This Row],[essence]],Tableau6[],20,FALSE)</f>
        <v>0</v>
      </c>
      <c r="U141" s="12">
        <f>VLOOKUP(Tableau4[[#This Row],[essence]],Tableau6[],15,FALSE)</f>
        <v>0</v>
      </c>
      <c r="V141" s="12">
        <f>VLOOKUP(Tableau4[[#This Row],[essence]],Tableau6[],28,FALSE)</f>
        <v>0</v>
      </c>
      <c r="W141" s="12">
        <f>IF(Tableau4[[#This Row],[sdom]]=1,1,0)</f>
        <v>0</v>
      </c>
      <c r="X141" s="12">
        <f>VLOOKUP(Tableau4[[#This Row],[essence]],Tableau6[],8,FALSE)</f>
        <v>0.86129999999999995</v>
      </c>
      <c r="Y141" s="12">
        <f>IF(Tableau4[[#This Row],[sdom]]="2EST",1,0)</f>
        <v>0</v>
      </c>
      <c r="Z141" s="12">
        <f>VLOOKUP(Tableau4[[#This Row],[essence]],Tableau6[],9,FALSE)</f>
        <v>0.39550000000000002</v>
      </c>
      <c r="AA141" s="12">
        <f>IF(Tableau4[[#This Row],[sdom]]="2OUEST",1,0)</f>
        <v>0</v>
      </c>
      <c r="AB141" s="12">
        <f>VLOOKUP(Tableau4[[#This Row],[essence]],Tableau6[],10,FALSE)</f>
        <v>0.58989999999999998</v>
      </c>
      <c r="AC141" s="12">
        <f>IF(Tableau4[[#This Row],[sdom]]="3EST",1,0)</f>
        <v>0</v>
      </c>
      <c r="AD141" s="12">
        <f>VLOOKUP(Tableau4[[#This Row],[essence]],Tableau6[],11,FALSE)</f>
        <v>0.52759999999999996</v>
      </c>
      <c r="AE141" s="12">
        <f>IF(Tableau4[[#This Row],[sdom]]="3OUEST",1,0)</f>
        <v>0</v>
      </c>
      <c r="AF141" s="12">
        <f>VLOOKUP(Tableau4[[#This Row],[essence]],Tableau6[],12,FALSE)</f>
        <v>0</v>
      </c>
      <c r="AG141" s="12">
        <f>IF(Tableau4[[#This Row],[sdom]]="4EST",1,0)</f>
        <v>1</v>
      </c>
      <c r="AH141" s="12">
        <f>VLOOKUP(Tableau4[[#This Row],[essence]],Tableau6[],13,FALSE)</f>
        <v>0</v>
      </c>
      <c r="AI141" s="12">
        <f>IF(Tableau4[[#This Row],[sdom]]="4OUEST",1,0)</f>
        <v>0</v>
      </c>
      <c r="AJ141" s="12">
        <f>VLOOKUP(Tableau4[[#This Row],[essence]],Tableau6[],14,FALSE)</f>
        <v>0</v>
      </c>
      <c r="AK141" s="12">
        <f>IF(Tableau4[[#This Row],[sdom]]="5EST",1,0)</f>
        <v>0</v>
      </c>
      <c r="AL141" s="12">
        <f>VLOOKUP(Tableau4[[#This Row],[essence]],Tableau6[],17,FALSE)</f>
        <v>0</v>
      </c>
      <c r="AM141" s="12">
        <f>IF(Tableau4[[#This Row],[priorecol]]="C",1,0)</f>
        <v>0</v>
      </c>
      <c r="AN141" s="12">
        <f>VLOOKUP(Tableau4[[#This Row],[essence]],Tableau6[],18,FALSE)</f>
        <v>0</v>
      </c>
      <c r="AO141" s="12">
        <f>IF(Tableau4[[#This Row],[priorecol]]="R",1,0)</f>
        <v>1</v>
      </c>
      <c r="AP141" s="12">
        <f>VLOOKUP(Tableau4[[#This Row],[essence]],Tableau6[],19,FALSE)</f>
        <v>0</v>
      </c>
      <c r="AQ141" s="12">
        <f>IF(Tableau4[[#This Row],[priorecol]]="S",1,0)</f>
        <v>0</v>
      </c>
      <c r="AR141" s="12">
        <f>VLOOKUP(Tableau4[[#This Row],[essence]],Tableau6[],21,FALSE)</f>
        <v>0</v>
      </c>
      <c r="AS141" s="12">
        <f>IF(Tableau4[[#This Row],[priorecol]]="C",1,0)</f>
        <v>0</v>
      </c>
      <c r="AT141" s="12">
        <f>VLOOKUP(Tableau4[[#This Row],[essence]],Tableau6[],22,FALSE)</f>
        <v>0</v>
      </c>
      <c r="AU141" s="12">
        <f>IF(Tableau4[[#This Row],[priorecol]]="R",1,0)</f>
        <v>1</v>
      </c>
      <c r="AV141" s="12">
        <f>VLOOKUP(Tableau4[[#This Row],[essence]],Tableau6[],23,FALSE)</f>
        <v>0</v>
      </c>
      <c r="AW141" s="12">
        <f>IF(Tableau4[[#This Row],[priorecol]]="S",1,0)</f>
        <v>0</v>
      </c>
      <c r="AX141" s="12">
        <f>VLOOKUP(Tableau4[[#This Row],[essence]],Tableau6[],24,FALSE)</f>
        <v>0</v>
      </c>
      <c r="AY141" s="12">
        <f>VLOOKUP(Tableau4[[#This Row],[essence]],Tableau6[],25,FALSE)</f>
        <v>0</v>
      </c>
      <c r="AZ141" s="12">
        <f>VLOOKUP(Tableau4[[#This Row],[essence]],Tableau6[],26,FALSE)</f>
        <v>0</v>
      </c>
      <c r="BA141" s="12">
        <f>VLOOKUP(Tableau4[[#This Row],[essence]],Tableau6[],27,FALSE)</f>
        <v>0</v>
      </c>
      <c r="BB141" s="12">
        <f>VLOOKUP(Tableau4[[#This Row],[essence]],Tableau6[],16,FALSE)</f>
        <v>0</v>
      </c>
      <c r="BC14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141" s="12">
        <f>Tableau4[[#This Row],[xb_]]+Tableau4[[#This Row],[b_intercept_C]]+Tableau4[[#This Row],[b_dhpcm_x_intercept_C]]*Tableau4[[#This Row],[dhpcm]]</f>
        <v>1.4429000000000001</v>
      </c>
      <c r="BE141" s="12">
        <f>Tableau4[[#This Row],[xb_]]+Tableau4[[#This Row],[b_intercept_B]]+Tableau4[[#This Row],[b_dhpcm_x_intercept_B]]*Tableau4[[#This Row],[dhpcm]]</f>
        <v>-0.37239999999999984</v>
      </c>
      <c r="BF141" s="12">
        <f>Tableau4[[#This Row],[xb_]]+Tableau4[[#This Row],[b_intercept_A]]+Tableau4[[#This Row],[b_dhpcm_x_intercept_A]]*Tableau4[[#This Row],[dhpcm]]</f>
        <v>-1.7187000000000001</v>
      </c>
      <c r="BG141" s="12">
        <f>1/(1+EXP(-Tableau4[[#This Row],[xb_c]]))</f>
        <v>0.80890333138279402</v>
      </c>
      <c r="BH141" s="12">
        <f>1/(1+EXP(-Tableau4[[#This Row],[xb_b]]))</f>
        <v>0.40796122449924294</v>
      </c>
      <c r="BI141" s="12">
        <f>1/(1+EXP(-Tableau4[[#This Row],[xb_a]]))</f>
        <v>0.15203868765627995</v>
      </c>
      <c r="BJ141" s="12">
        <f>Tableau4[[#This Row],[prob_a]]</f>
        <v>0.15203868765627995</v>
      </c>
      <c r="BK141" s="12">
        <f>Tableau4[[#This Row],[prob_b]]-Tableau4[[#This Row],[prob_a]]</f>
        <v>0.25592253684296296</v>
      </c>
      <c r="BL141" s="12">
        <f>Tableau4[[#This Row],[prob_c]]-Tableau4[[#This Row],[prob_b]]</f>
        <v>0.40094210688355109</v>
      </c>
      <c r="BM141" s="12">
        <f>1-Tableau4[[#This Row],[prob_c]]</f>
        <v>0.19109666861720598</v>
      </c>
    </row>
    <row r="142" spans="1:65" x14ac:dyDescent="0.25">
      <c r="A142" s="12">
        <v>6</v>
      </c>
      <c r="B142" s="12" t="s">
        <v>14</v>
      </c>
      <c r="C142" s="12">
        <v>1.2</v>
      </c>
      <c r="D142" s="12">
        <v>1022</v>
      </c>
      <c r="E142" s="12">
        <v>25</v>
      </c>
      <c r="F142" s="12">
        <v>1</v>
      </c>
      <c r="G142" s="12">
        <v>69</v>
      </c>
      <c r="H142" s="12">
        <v>180</v>
      </c>
      <c r="I142" s="12" t="s">
        <v>25</v>
      </c>
      <c r="J142" s="12" t="s">
        <v>29</v>
      </c>
      <c r="K142" s="12">
        <f>VLOOKUP(Tableau4[[#This Row],[essence]],Tableau6[],2,FALSE)</f>
        <v>-4.3875000000000002</v>
      </c>
      <c r="L142" s="12">
        <f>VLOOKUP(Tableau4[[#This Row],[essence]],Tableau6[],3,FALSE)</f>
        <v>-3.0411999999999999</v>
      </c>
      <c r="M142" s="12">
        <f>VLOOKUP(Tableau4[[#This Row],[essence]],Tableau6[],4,FALSE)</f>
        <v>-1.2259</v>
      </c>
      <c r="N142" s="12">
        <f>VLOOKUP(Tableau4[[#This Row],[essence]],Tableau6[],5,FALSE)</f>
        <v>1.7715000000000001</v>
      </c>
      <c r="O142" s="12">
        <f>IF(Tableau4[[#This Row],[priorecol]]="C",1,0)</f>
        <v>0</v>
      </c>
      <c r="P142" s="12">
        <f>VLOOKUP(Tableau4[[#This Row],[essence]],Tableau6[],6,FALSE)</f>
        <v>2.6688000000000001</v>
      </c>
      <c r="Q142" s="12">
        <f>IF(Tableau4[[#This Row],[priorecol]]="R",1,0)</f>
        <v>0</v>
      </c>
      <c r="R142" s="12">
        <f>VLOOKUP(Tableau4[[#This Row],[essence]],Tableau6[],7,FALSE)</f>
        <v>1.5728</v>
      </c>
      <c r="S142" s="12">
        <f>IF(Tableau4[[#This Row],[priorecol]]="S",1,0)</f>
        <v>1</v>
      </c>
      <c r="T142" s="12">
        <f>VLOOKUP(Tableau4[[#This Row],[essence]],Tableau6[],20,FALSE)</f>
        <v>0</v>
      </c>
      <c r="U142" s="12">
        <f>VLOOKUP(Tableau4[[#This Row],[essence]],Tableau6[],15,FALSE)</f>
        <v>0</v>
      </c>
      <c r="V142" s="12">
        <f>VLOOKUP(Tableau4[[#This Row],[essence]],Tableau6[],28,FALSE)</f>
        <v>0</v>
      </c>
      <c r="W142" s="12">
        <f>IF(Tableau4[[#This Row],[sdom]]=1,1,0)</f>
        <v>0</v>
      </c>
      <c r="X142" s="12">
        <f>VLOOKUP(Tableau4[[#This Row],[essence]],Tableau6[],8,FALSE)</f>
        <v>0.86129999999999995</v>
      </c>
      <c r="Y142" s="12">
        <f>IF(Tableau4[[#This Row],[sdom]]="2EST",1,0)</f>
        <v>0</v>
      </c>
      <c r="Z142" s="12">
        <f>VLOOKUP(Tableau4[[#This Row],[essence]],Tableau6[],9,FALSE)</f>
        <v>0.39550000000000002</v>
      </c>
      <c r="AA142" s="12">
        <f>IF(Tableau4[[#This Row],[sdom]]="2OUEST",1,0)</f>
        <v>0</v>
      </c>
      <c r="AB142" s="12">
        <f>VLOOKUP(Tableau4[[#This Row],[essence]],Tableau6[],10,FALSE)</f>
        <v>0.58989999999999998</v>
      </c>
      <c r="AC142" s="12">
        <f>IF(Tableau4[[#This Row],[sdom]]="3EST",1,0)</f>
        <v>0</v>
      </c>
      <c r="AD142" s="12">
        <f>VLOOKUP(Tableau4[[#This Row],[essence]],Tableau6[],11,FALSE)</f>
        <v>0.52759999999999996</v>
      </c>
      <c r="AE142" s="12">
        <f>IF(Tableau4[[#This Row],[sdom]]="3OUEST",1,0)</f>
        <v>0</v>
      </c>
      <c r="AF142" s="12">
        <f>VLOOKUP(Tableau4[[#This Row],[essence]],Tableau6[],12,FALSE)</f>
        <v>0</v>
      </c>
      <c r="AG142" s="12">
        <f>IF(Tableau4[[#This Row],[sdom]]="4EST",1,0)</f>
        <v>1</v>
      </c>
      <c r="AH142" s="12">
        <f>VLOOKUP(Tableau4[[#This Row],[essence]],Tableau6[],13,FALSE)</f>
        <v>0</v>
      </c>
      <c r="AI142" s="12">
        <f>IF(Tableau4[[#This Row],[sdom]]="4OUEST",1,0)</f>
        <v>0</v>
      </c>
      <c r="AJ142" s="12">
        <f>VLOOKUP(Tableau4[[#This Row],[essence]],Tableau6[],14,FALSE)</f>
        <v>0</v>
      </c>
      <c r="AK142" s="12">
        <f>IF(Tableau4[[#This Row],[sdom]]="5EST",1,0)</f>
        <v>0</v>
      </c>
      <c r="AL142" s="12">
        <f>VLOOKUP(Tableau4[[#This Row],[essence]],Tableau6[],17,FALSE)</f>
        <v>0</v>
      </c>
      <c r="AM142" s="12">
        <f>IF(Tableau4[[#This Row],[priorecol]]="C",1,0)</f>
        <v>0</v>
      </c>
      <c r="AN142" s="12">
        <f>VLOOKUP(Tableau4[[#This Row],[essence]],Tableau6[],18,FALSE)</f>
        <v>0</v>
      </c>
      <c r="AO142" s="12">
        <f>IF(Tableau4[[#This Row],[priorecol]]="R",1,0)</f>
        <v>0</v>
      </c>
      <c r="AP142" s="12">
        <f>VLOOKUP(Tableau4[[#This Row],[essence]],Tableau6[],19,FALSE)</f>
        <v>0</v>
      </c>
      <c r="AQ142" s="12">
        <f>IF(Tableau4[[#This Row],[priorecol]]="S",1,0)</f>
        <v>1</v>
      </c>
      <c r="AR142" s="12">
        <f>VLOOKUP(Tableau4[[#This Row],[essence]],Tableau6[],21,FALSE)</f>
        <v>0</v>
      </c>
      <c r="AS142" s="12">
        <f>IF(Tableau4[[#This Row],[priorecol]]="C",1,0)</f>
        <v>0</v>
      </c>
      <c r="AT142" s="12">
        <f>VLOOKUP(Tableau4[[#This Row],[essence]],Tableau6[],22,FALSE)</f>
        <v>0</v>
      </c>
      <c r="AU142" s="12">
        <f>IF(Tableau4[[#This Row],[priorecol]]="R",1,0)</f>
        <v>0</v>
      </c>
      <c r="AV142" s="12">
        <f>VLOOKUP(Tableau4[[#This Row],[essence]],Tableau6[],23,FALSE)</f>
        <v>0</v>
      </c>
      <c r="AW142" s="12">
        <f>IF(Tableau4[[#This Row],[priorecol]]="S",1,0)</f>
        <v>1</v>
      </c>
      <c r="AX142" s="12">
        <f>VLOOKUP(Tableau4[[#This Row],[essence]],Tableau6[],24,FALSE)</f>
        <v>0</v>
      </c>
      <c r="AY142" s="12">
        <f>VLOOKUP(Tableau4[[#This Row],[essence]],Tableau6[],25,FALSE)</f>
        <v>0</v>
      </c>
      <c r="AZ142" s="12">
        <f>VLOOKUP(Tableau4[[#This Row],[essence]],Tableau6[],26,FALSE)</f>
        <v>0</v>
      </c>
      <c r="BA142" s="12">
        <f>VLOOKUP(Tableau4[[#This Row],[essence]],Tableau6[],27,FALSE)</f>
        <v>0</v>
      </c>
      <c r="BB142" s="12">
        <f>VLOOKUP(Tableau4[[#This Row],[essence]],Tableau6[],16,FALSE)</f>
        <v>0</v>
      </c>
      <c r="BC14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142" s="12">
        <f>Tableau4[[#This Row],[xb_]]+Tableau4[[#This Row],[b_intercept_C]]+Tableau4[[#This Row],[b_dhpcm_x_intercept_C]]*Tableau4[[#This Row],[dhpcm]]</f>
        <v>0.34689999999999999</v>
      </c>
      <c r="BE142" s="12">
        <f>Tableau4[[#This Row],[xb_]]+Tableau4[[#This Row],[b_intercept_B]]+Tableau4[[#This Row],[b_dhpcm_x_intercept_B]]*Tableau4[[#This Row],[dhpcm]]</f>
        <v>-1.4683999999999999</v>
      </c>
      <c r="BF142" s="12">
        <f>Tableau4[[#This Row],[xb_]]+Tableau4[[#This Row],[b_intercept_A]]+Tableau4[[#This Row],[b_dhpcm_x_intercept_A]]*Tableau4[[#This Row],[dhpcm]]</f>
        <v>-2.8147000000000002</v>
      </c>
      <c r="BG142" s="12">
        <f>1/(1+EXP(-Tableau4[[#This Row],[xb_c]]))</f>
        <v>0.585865635687285</v>
      </c>
      <c r="BH142" s="12">
        <f>1/(1+EXP(-Tableau4[[#This Row],[xb_b]]))</f>
        <v>0.18718592790698188</v>
      </c>
      <c r="BI142" s="12">
        <f>1/(1+EXP(-Tableau4[[#This Row],[xb_a]]))</f>
        <v>5.6534965479882744E-2</v>
      </c>
      <c r="BJ142" s="12">
        <f>Tableau4[[#This Row],[prob_a]]</f>
        <v>5.6534965479882744E-2</v>
      </c>
      <c r="BK142" s="12">
        <f>Tableau4[[#This Row],[prob_b]]-Tableau4[[#This Row],[prob_a]]</f>
        <v>0.13065096242709914</v>
      </c>
      <c r="BL142" s="12">
        <f>Tableau4[[#This Row],[prob_c]]-Tableau4[[#This Row],[prob_b]]</f>
        <v>0.39867970778030315</v>
      </c>
      <c r="BM142" s="12">
        <f>1-Tableau4[[#This Row],[prob_c]]</f>
        <v>0.414134364312715</v>
      </c>
    </row>
    <row r="143" spans="1:65" x14ac:dyDescent="0.25">
      <c r="A143" s="12">
        <v>6</v>
      </c>
      <c r="B143" s="12" t="s">
        <v>14</v>
      </c>
      <c r="C143" s="12">
        <v>1.2</v>
      </c>
      <c r="D143" s="12">
        <v>1022</v>
      </c>
      <c r="E143" s="12">
        <v>25</v>
      </c>
      <c r="F143" s="12">
        <v>1</v>
      </c>
      <c r="G143" s="12">
        <v>70</v>
      </c>
      <c r="H143" s="12">
        <v>181</v>
      </c>
      <c r="I143" s="12" t="s">
        <v>26</v>
      </c>
      <c r="J143" s="12" t="s">
        <v>27</v>
      </c>
      <c r="K143" s="12">
        <f>VLOOKUP(Tableau4[[#This Row],[essence]],Tableau6[],2,FALSE)</f>
        <v>0.71340000000000003</v>
      </c>
      <c r="L143" s="12">
        <f>VLOOKUP(Tableau4[[#This Row],[essence]],Tableau6[],3,FALSE)</f>
        <v>1.7461</v>
      </c>
      <c r="M143" s="12">
        <f>VLOOKUP(Tableau4[[#This Row],[essence]],Tableau6[],4,FALSE)</f>
        <v>2.9828999999999999</v>
      </c>
      <c r="N143" s="12">
        <f>VLOOKUP(Tableau4[[#This Row],[essence]],Tableau6[],5,FALSE)</f>
        <v>1.5659000000000001</v>
      </c>
      <c r="O143" s="12">
        <f>IF(Tableau4[[#This Row],[priorecol]]="C",1,0)</f>
        <v>1</v>
      </c>
      <c r="P143" s="12">
        <f>VLOOKUP(Tableau4[[#This Row],[essence]],Tableau6[],6,FALSE)</f>
        <v>1.9651000000000001</v>
      </c>
      <c r="Q143" s="12">
        <f>IF(Tableau4[[#This Row],[priorecol]]="R",1,0)</f>
        <v>0</v>
      </c>
      <c r="R143" s="12">
        <f>VLOOKUP(Tableau4[[#This Row],[essence]],Tableau6[],7,FALSE)</f>
        <v>1.1892</v>
      </c>
      <c r="S143" s="12">
        <f>IF(Tableau4[[#This Row],[priorecol]]="S",1,0)</f>
        <v>0</v>
      </c>
      <c r="T143" s="12">
        <f>VLOOKUP(Tableau4[[#This Row],[essence]],Tableau6[],20,FALSE)</f>
        <v>0</v>
      </c>
      <c r="U143" s="12">
        <f>VLOOKUP(Tableau4[[#This Row],[essence]],Tableau6[],15,FALSE)</f>
        <v>0</v>
      </c>
      <c r="V143" s="12">
        <f>VLOOKUP(Tableau4[[#This Row],[essence]],Tableau6[],28,FALSE)</f>
        <v>0</v>
      </c>
      <c r="W143" s="12">
        <f>IF(Tableau4[[#This Row],[sdom]]=1,1,0)</f>
        <v>0</v>
      </c>
      <c r="X143" s="12">
        <f>VLOOKUP(Tableau4[[#This Row],[essence]],Tableau6[],8,FALSE)</f>
        <v>0</v>
      </c>
      <c r="Y143" s="12">
        <f>IF(Tableau4[[#This Row],[sdom]]="2EST",1,0)</f>
        <v>0</v>
      </c>
      <c r="Z143" s="12">
        <f>VLOOKUP(Tableau4[[#This Row],[essence]],Tableau6[],9,FALSE)</f>
        <v>0</v>
      </c>
      <c r="AA143" s="12">
        <f>IF(Tableau4[[#This Row],[sdom]]="2OUEST",1,0)</f>
        <v>0</v>
      </c>
      <c r="AB143" s="12">
        <f>VLOOKUP(Tableau4[[#This Row],[essence]],Tableau6[],10,FALSE)</f>
        <v>0</v>
      </c>
      <c r="AC143" s="12">
        <f>IF(Tableau4[[#This Row],[sdom]]="3EST",1,0)</f>
        <v>0</v>
      </c>
      <c r="AD143" s="12">
        <f>VLOOKUP(Tableau4[[#This Row],[essence]],Tableau6[],11,FALSE)</f>
        <v>0.71960000000000002</v>
      </c>
      <c r="AE143" s="12">
        <f>IF(Tableau4[[#This Row],[sdom]]="3OUEST",1,0)</f>
        <v>0</v>
      </c>
      <c r="AF143" s="12">
        <f>VLOOKUP(Tableau4[[#This Row],[essence]],Tableau6[],12,FALSE)</f>
        <v>-2.81E-2</v>
      </c>
      <c r="AG143" s="12">
        <f>IF(Tableau4[[#This Row],[sdom]]="4EST",1,0)</f>
        <v>1</v>
      </c>
      <c r="AH143" s="12">
        <f>VLOOKUP(Tableau4[[#This Row],[essence]],Tableau6[],13,FALSE)</f>
        <v>0.23519999999999999</v>
      </c>
      <c r="AI143" s="12">
        <f>IF(Tableau4[[#This Row],[sdom]]="4OUEST",1,0)</f>
        <v>0</v>
      </c>
      <c r="AJ143" s="12">
        <f>VLOOKUP(Tableau4[[#This Row],[essence]],Tableau6[],14,FALSE)</f>
        <v>0.24660000000000001</v>
      </c>
      <c r="AK143" s="12">
        <f>IF(Tableau4[[#This Row],[sdom]]="5EST",1,0)</f>
        <v>0</v>
      </c>
      <c r="AL143" s="12">
        <f>VLOOKUP(Tableau4[[#This Row],[essence]],Tableau6[],17,FALSE)</f>
        <v>0</v>
      </c>
      <c r="AM143" s="12">
        <f>IF(Tableau4[[#This Row],[priorecol]]="C",1,0)</f>
        <v>1</v>
      </c>
      <c r="AN143" s="12">
        <f>VLOOKUP(Tableau4[[#This Row],[essence]],Tableau6[],18,FALSE)</f>
        <v>0</v>
      </c>
      <c r="AO143" s="12">
        <f>IF(Tableau4[[#This Row],[priorecol]]="R",1,0)</f>
        <v>0</v>
      </c>
      <c r="AP143" s="12">
        <f>VLOOKUP(Tableau4[[#This Row],[essence]],Tableau6[],19,FALSE)</f>
        <v>0</v>
      </c>
      <c r="AQ143" s="12">
        <f>IF(Tableau4[[#This Row],[priorecol]]="S",1,0)</f>
        <v>0</v>
      </c>
      <c r="AR143" s="12">
        <f>VLOOKUP(Tableau4[[#This Row],[essence]],Tableau6[],21,FALSE)</f>
        <v>0</v>
      </c>
      <c r="AS143" s="12">
        <f>IF(Tableau4[[#This Row],[priorecol]]="C",1,0)</f>
        <v>1</v>
      </c>
      <c r="AT143" s="12">
        <f>VLOOKUP(Tableau4[[#This Row],[essence]],Tableau6[],22,FALSE)</f>
        <v>0</v>
      </c>
      <c r="AU143" s="12">
        <f>IF(Tableau4[[#This Row],[priorecol]]="R",1,0)</f>
        <v>0</v>
      </c>
      <c r="AV143" s="12">
        <f>VLOOKUP(Tableau4[[#This Row],[essence]],Tableau6[],23,FALSE)</f>
        <v>0</v>
      </c>
      <c r="AW143" s="12">
        <f>IF(Tableau4[[#This Row],[priorecol]]="S",1,0)</f>
        <v>0</v>
      </c>
      <c r="AX143" s="12">
        <f>VLOOKUP(Tableau4[[#This Row],[essence]],Tableau6[],24,FALSE)</f>
        <v>0</v>
      </c>
      <c r="AY143" s="12">
        <f>VLOOKUP(Tableau4[[#This Row],[essence]],Tableau6[],25,FALSE)</f>
        <v>0</v>
      </c>
      <c r="AZ143" s="12">
        <f>VLOOKUP(Tableau4[[#This Row],[essence]],Tableau6[],26,FALSE)</f>
        <v>0</v>
      </c>
      <c r="BA143" s="12">
        <f>VLOOKUP(Tableau4[[#This Row],[essence]],Tableau6[],27,FALSE)</f>
        <v>0</v>
      </c>
      <c r="BB143" s="12">
        <f>VLOOKUP(Tableau4[[#This Row],[essence]],Tableau6[],16,FALSE)</f>
        <v>-2.6700000000000001E-3</v>
      </c>
      <c r="BC14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-1.1909400000000001</v>
      </c>
      <c r="BD143" s="12">
        <f>Tableau4[[#This Row],[xb_]]+Tableau4[[#This Row],[b_intercept_C]]+Tableau4[[#This Row],[b_dhpcm_x_intercept_C]]*Tableau4[[#This Row],[dhpcm]]</f>
        <v>1.7919599999999998</v>
      </c>
      <c r="BE143" s="12">
        <f>Tableau4[[#This Row],[xb_]]+Tableau4[[#This Row],[b_intercept_B]]+Tableau4[[#This Row],[b_dhpcm_x_intercept_B]]*Tableau4[[#This Row],[dhpcm]]</f>
        <v>0.55515999999999988</v>
      </c>
      <c r="BF143" s="12">
        <f>Tableau4[[#This Row],[xb_]]+Tableau4[[#This Row],[b_intercept_A]]+Tableau4[[#This Row],[b_dhpcm_x_intercept_A]]*Tableau4[[#This Row],[dhpcm]]</f>
        <v>-0.47754000000000008</v>
      </c>
      <c r="BG143" s="12">
        <f>1/(1+EXP(-Tableau4[[#This Row],[xb_c]]))</f>
        <v>0.85716741017273412</v>
      </c>
      <c r="BH143" s="12">
        <f>1/(1+EXP(-Tableau4[[#This Row],[xb_b]]))</f>
        <v>0.63533191976885695</v>
      </c>
      <c r="BI143" s="12">
        <f>1/(1+EXP(-Tableau4[[#This Row],[xb_a]]))</f>
        <v>0.38283318642522374</v>
      </c>
      <c r="BJ143" s="12">
        <f>Tableau4[[#This Row],[prob_a]]</f>
        <v>0.38283318642522374</v>
      </c>
      <c r="BK143" s="12">
        <f>Tableau4[[#This Row],[prob_b]]-Tableau4[[#This Row],[prob_a]]</f>
        <v>0.25249873334363321</v>
      </c>
      <c r="BL143" s="12">
        <f>Tableau4[[#This Row],[prob_c]]-Tableau4[[#This Row],[prob_b]]</f>
        <v>0.22183549040387718</v>
      </c>
      <c r="BM143" s="12">
        <f>1-Tableau4[[#This Row],[prob_c]]</f>
        <v>0.14283258982726588</v>
      </c>
    </row>
    <row r="144" spans="1:65" x14ac:dyDescent="0.25">
      <c r="A144" s="12">
        <v>6</v>
      </c>
      <c r="B144" s="12" t="s">
        <v>14</v>
      </c>
      <c r="C144" s="12">
        <v>1.2</v>
      </c>
      <c r="D144" s="12">
        <v>1022</v>
      </c>
      <c r="E144" s="12">
        <v>25</v>
      </c>
      <c r="F144" s="12">
        <v>1</v>
      </c>
      <c r="G144" s="12">
        <v>71</v>
      </c>
      <c r="H144" s="12">
        <v>182</v>
      </c>
      <c r="I144" s="12" t="s">
        <v>26</v>
      </c>
      <c r="J144" s="12" t="s">
        <v>28</v>
      </c>
      <c r="K144" s="12">
        <f>VLOOKUP(Tableau4[[#This Row],[essence]],Tableau6[],2,FALSE)</f>
        <v>0.71340000000000003</v>
      </c>
      <c r="L144" s="12">
        <f>VLOOKUP(Tableau4[[#This Row],[essence]],Tableau6[],3,FALSE)</f>
        <v>1.7461</v>
      </c>
      <c r="M144" s="12">
        <f>VLOOKUP(Tableau4[[#This Row],[essence]],Tableau6[],4,FALSE)</f>
        <v>2.9828999999999999</v>
      </c>
      <c r="N144" s="12">
        <f>VLOOKUP(Tableau4[[#This Row],[essence]],Tableau6[],5,FALSE)</f>
        <v>1.5659000000000001</v>
      </c>
      <c r="O144" s="12">
        <f>IF(Tableau4[[#This Row],[priorecol]]="C",1,0)</f>
        <v>0</v>
      </c>
      <c r="P144" s="12">
        <f>VLOOKUP(Tableau4[[#This Row],[essence]],Tableau6[],6,FALSE)</f>
        <v>1.9651000000000001</v>
      </c>
      <c r="Q144" s="12">
        <f>IF(Tableau4[[#This Row],[priorecol]]="R",1,0)</f>
        <v>1</v>
      </c>
      <c r="R144" s="12">
        <f>VLOOKUP(Tableau4[[#This Row],[essence]],Tableau6[],7,FALSE)</f>
        <v>1.1892</v>
      </c>
      <c r="S144" s="12">
        <f>IF(Tableau4[[#This Row],[priorecol]]="S",1,0)</f>
        <v>0</v>
      </c>
      <c r="T144" s="12">
        <f>VLOOKUP(Tableau4[[#This Row],[essence]],Tableau6[],20,FALSE)</f>
        <v>0</v>
      </c>
      <c r="U144" s="12">
        <f>VLOOKUP(Tableau4[[#This Row],[essence]],Tableau6[],15,FALSE)</f>
        <v>0</v>
      </c>
      <c r="V144" s="12">
        <f>VLOOKUP(Tableau4[[#This Row],[essence]],Tableau6[],28,FALSE)</f>
        <v>0</v>
      </c>
      <c r="W144" s="12">
        <f>IF(Tableau4[[#This Row],[sdom]]=1,1,0)</f>
        <v>0</v>
      </c>
      <c r="X144" s="12">
        <f>VLOOKUP(Tableau4[[#This Row],[essence]],Tableau6[],8,FALSE)</f>
        <v>0</v>
      </c>
      <c r="Y144" s="12">
        <f>IF(Tableau4[[#This Row],[sdom]]="2EST",1,0)</f>
        <v>0</v>
      </c>
      <c r="Z144" s="12">
        <f>VLOOKUP(Tableau4[[#This Row],[essence]],Tableau6[],9,FALSE)</f>
        <v>0</v>
      </c>
      <c r="AA144" s="12">
        <f>IF(Tableau4[[#This Row],[sdom]]="2OUEST",1,0)</f>
        <v>0</v>
      </c>
      <c r="AB144" s="12">
        <f>VLOOKUP(Tableau4[[#This Row],[essence]],Tableau6[],10,FALSE)</f>
        <v>0</v>
      </c>
      <c r="AC144" s="12">
        <f>IF(Tableau4[[#This Row],[sdom]]="3EST",1,0)</f>
        <v>0</v>
      </c>
      <c r="AD144" s="12">
        <f>VLOOKUP(Tableau4[[#This Row],[essence]],Tableau6[],11,FALSE)</f>
        <v>0.71960000000000002</v>
      </c>
      <c r="AE144" s="12">
        <f>IF(Tableau4[[#This Row],[sdom]]="3OUEST",1,0)</f>
        <v>0</v>
      </c>
      <c r="AF144" s="12">
        <f>VLOOKUP(Tableau4[[#This Row],[essence]],Tableau6[],12,FALSE)</f>
        <v>-2.81E-2</v>
      </c>
      <c r="AG144" s="12">
        <f>IF(Tableau4[[#This Row],[sdom]]="4EST",1,0)</f>
        <v>1</v>
      </c>
      <c r="AH144" s="12">
        <f>VLOOKUP(Tableau4[[#This Row],[essence]],Tableau6[],13,FALSE)</f>
        <v>0.23519999999999999</v>
      </c>
      <c r="AI144" s="12">
        <f>IF(Tableau4[[#This Row],[sdom]]="4OUEST",1,0)</f>
        <v>0</v>
      </c>
      <c r="AJ144" s="12">
        <f>VLOOKUP(Tableau4[[#This Row],[essence]],Tableau6[],14,FALSE)</f>
        <v>0.24660000000000001</v>
      </c>
      <c r="AK144" s="12">
        <f>IF(Tableau4[[#This Row],[sdom]]="5EST",1,0)</f>
        <v>0</v>
      </c>
      <c r="AL144" s="12">
        <f>VLOOKUP(Tableau4[[#This Row],[essence]],Tableau6[],17,FALSE)</f>
        <v>0</v>
      </c>
      <c r="AM144" s="12">
        <f>IF(Tableau4[[#This Row],[priorecol]]="C",1,0)</f>
        <v>0</v>
      </c>
      <c r="AN144" s="12">
        <f>VLOOKUP(Tableau4[[#This Row],[essence]],Tableau6[],18,FALSE)</f>
        <v>0</v>
      </c>
      <c r="AO144" s="12">
        <f>IF(Tableau4[[#This Row],[priorecol]]="R",1,0)</f>
        <v>1</v>
      </c>
      <c r="AP144" s="12">
        <f>VLOOKUP(Tableau4[[#This Row],[essence]],Tableau6[],19,FALSE)</f>
        <v>0</v>
      </c>
      <c r="AQ144" s="12">
        <f>IF(Tableau4[[#This Row],[priorecol]]="S",1,0)</f>
        <v>0</v>
      </c>
      <c r="AR144" s="12">
        <f>VLOOKUP(Tableau4[[#This Row],[essence]],Tableau6[],21,FALSE)</f>
        <v>0</v>
      </c>
      <c r="AS144" s="12">
        <f>IF(Tableau4[[#This Row],[priorecol]]="C",1,0)</f>
        <v>0</v>
      </c>
      <c r="AT144" s="12">
        <f>VLOOKUP(Tableau4[[#This Row],[essence]],Tableau6[],22,FALSE)</f>
        <v>0</v>
      </c>
      <c r="AU144" s="12">
        <f>IF(Tableau4[[#This Row],[priorecol]]="R",1,0)</f>
        <v>1</v>
      </c>
      <c r="AV144" s="12">
        <f>VLOOKUP(Tableau4[[#This Row],[essence]],Tableau6[],23,FALSE)</f>
        <v>0</v>
      </c>
      <c r="AW144" s="12">
        <f>IF(Tableau4[[#This Row],[priorecol]]="S",1,0)</f>
        <v>0</v>
      </c>
      <c r="AX144" s="12">
        <f>VLOOKUP(Tableau4[[#This Row],[essence]],Tableau6[],24,FALSE)</f>
        <v>0</v>
      </c>
      <c r="AY144" s="12">
        <f>VLOOKUP(Tableau4[[#This Row],[essence]],Tableau6[],25,FALSE)</f>
        <v>0</v>
      </c>
      <c r="AZ144" s="12">
        <f>VLOOKUP(Tableau4[[#This Row],[essence]],Tableau6[],26,FALSE)</f>
        <v>0</v>
      </c>
      <c r="BA144" s="12">
        <f>VLOOKUP(Tableau4[[#This Row],[essence]],Tableau6[],27,FALSE)</f>
        <v>0</v>
      </c>
      <c r="BB144" s="12">
        <f>VLOOKUP(Tableau4[[#This Row],[essence]],Tableau6[],16,FALSE)</f>
        <v>-2.6700000000000001E-3</v>
      </c>
      <c r="BC14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-0.79174000000000011</v>
      </c>
      <c r="BD144" s="12">
        <f>Tableau4[[#This Row],[xb_]]+Tableau4[[#This Row],[b_intercept_C]]+Tableau4[[#This Row],[b_dhpcm_x_intercept_C]]*Tableau4[[#This Row],[dhpcm]]</f>
        <v>2.19116</v>
      </c>
      <c r="BE144" s="12">
        <f>Tableau4[[#This Row],[xb_]]+Tableau4[[#This Row],[b_intercept_B]]+Tableau4[[#This Row],[b_dhpcm_x_intercept_B]]*Tableau4[[#This Row],[dhpcm]]</f>
        <v>0.95435999999999988</v>
      </c>
      <c r="BF144" s="12">
        <f>Tableau4[[#This Row],[xb_]]+Tableau4[[#This Row],[b_intercept_A]]+Tableau4[[#This Row],[b_dhpcm_x_intercept_A]]*Tableau4[[#This Row],[dhpcm]]</f>
        <v>-7.8340000000000076E-2</v>
      </c>
      <c r="BG144" s="12">
        <f>1/(1+EXP(-Tableau4[[#This Row],[xb_c]]))</f>
        <v>0.89945286245348899</v>
      </c>
      <c r="BH144" s="12">
        <f>1/(1+EXP(-Tableau4[[#This Row],[xb_b]]))</f>
        <v>0.72199116335115288</v>
      </c>
      <c r="BI144" s="12">
        <f>1/(1+EXP(-Tableau4[[#This Row],[xb_a]]))</f>
        <v>0.48042501020599454</v>
      </c>
      <c r="BJ144" s="12">
        <f>Tableau4[[#This Row],[prob_a]]</f>
        <v>0.48042501020599454</v>
      </c>
      <c r="BK144" s="12">
        <f>Tableau4[[#This Row],[prob_b]]-Tableau4[[#This Row],[prob_a]]</f>
        <v>0.24156615314515834</v>
      </c>
      <c r="BL144" s="12">
        <f>Tableau4[[#This Row],[prob_c]]-Tableau4[[#This Row],[prob_b]]</f>
        <v>0.17746169910233611</v>
      </c>
      <c r="BM144" s="12">
        <f>1-Tableau4[[#This Row],[prob_c]]</f>
        <v>0.10054713754651101</v>
      </c>
    </row>
    <row r="145" spans="1:65" x14ac:dyDescent="0.25">
      <c r="A145" s="12">
        <v>6</v>
      </c>
      <c r="B145" s="12" t="s">
        <v>14</v>
      </c>
      <c r="C145" s="12">
        <v>1.2</v>
      </c>
      <c r="D145" s="12">
        <v>1022</v>
      </c>
      <c r="E145" s="12">
        <v>25</v>
      </c>
      <c r="F145" s="12">
        <v>1</v>
      </c>
      <c r="G145" s="12">
        <v>72</v>
      </c>
      <c r="H145" s="12">
        <v>183</v>
      </c>
      <c r="I145" s="12" t="s">
        <v>26</v>
      </c>
      <c r="J145" s="12" t="s">
        <v>29</v>
      </c>
      <c r="K145" s="12">
        <f>VLOOKUP(Tableau4[[#This Row],[essence]],Tableau6[],2,FALSE)</f>
        <v>0.71340000000000003</v>
      </c>
      <c r="L145" s="12">
        <f>VLOOKUP(Tableau4[[#This Row],[essence]],Tableau6[],3,FALSE)</f>
        <v>1.7461</v>
      </c>
      <c r="M145" s="12">
        <f>VLOOKUP(Tableau4[[#This Row],[essence]],Tableau6[],4,FALSE)</f>
        <v>2.9828999999999999</v>
      </c>
      <c r="N145" s="12">
        <f>VLOOKUP(Tableau4[[#This Row],[essence]],Tableau6[],5,FALSE)</f>
        <v>1.5659000000000001</v>
      </c>
      <c r="O145" s="12">
        <f>IF(Tableau4[[#This Row],[priorecol]]="C",1,0)</f>
        <v>0</v>
      </c>
      <c r="P145" s="12">
        <f>VLOOKUP(Tableau4[[#This Row],[essence]],Tableau6[],6,FALSE)</f>
        <v>1.9651000000000001</v>
      </c>
      <c r="Q145" s="12">
        <f>IF(Tableau4[[#This Row],[priorecol]]="R",1,0)</f>
        <v>0</v>
      </c>
      <c r="R145" s="12">
        <f>VLOOKUP(Tableau4[[#This Row],[essence]],Tableau6[],7,FALSE)</f>
        <v>1.1892</v>
      </c>
      <c r="S145" s="12">
        <f>IF(Tableau4[[#This Row],[priorecol]]="S",1,0)</f>
        <v>1</v>
      </c>
      <c r="T145" s="12">
        <f>VLOOKUP(Tableau4[[#This Row],[essence]],Tableau6[],20,FALSE)</f>
        <v>0</v>
      </c>
      <c r="U145" s="12">
        <f>VLOOKUP(Tableau4[[#This Row],[essence]],Tableau6[],15,FALSE)</f>
        <v>0</v>
      </c>
      <c r="V145" s="12">
        <f>VLOOKUP(Tableau4[[#This Row],[essence]],Tableau6[],28,FALSE)</f>
        <v>0</v>
      </c>
      <c r="W145" s="12">
        <f>IF(Tableau4[[#This Row],[sdom]]=1,1,0)</f>
        <v>0</v>
      </c>
      <c r="X145" s="12">
        <f>VLOOKUP(Tableau4[[#This Row],[essence]],Tableau6[],8,FALSE)</f>
        <v>0</v>
      </c>
      <c r="Y145" s="12">
        <f>IF(Tableau4[[#This Row],[sdom]]="2EST",1,0)</f>
        <v>0</v>
      </c>
      <c r="Z145" s="12">
        <f>VLOOKUP(Tableau4[[#This Row],[essence]],Tableau6[],9,FALSE)</f>
        <v>0</v>
      </c>
      <c r="AA145" s="12">
        <f>IF(Tableau4[[#This Row],[sdom]]="2OUEST",1,0)</f>
        <v>0</v>
      </c>
      <c r="AB145" s="12">
        <f>VLOOKUP(Tableau4[[#This Row],[essence]],Tableau6[],10,FALSE)</f>
        <v>0</v>
      </c>
      <c r="AC145" s="12">
        <f>IF(Tableau4[[#This Row],[sdom]]="3EST",1,0)</f>
        <v>0</v>
      </c>
      <c r="AD145" s="12">
        <f>VLOOKUP(Tableau4[[#This Row],[essence]],Tableau6[],11,FALSE)</f>
        <v>0.71960000000000002</v>
      </c>
      <c r="AE145" s="12">
        <f>IF(Tableau4[[#This Row],[sdom]]="3OUEST",1,0)</f>
        <v>0</v>
      </c>
      <c r="AF145" s="12">
        <f>VLOOKUP(Tableau4[[#This Row],[essence]],Tableau6[],12,FALSE)</f>
        <v>-2.81E-2</v>
      </c>
      <c r="AG145" s="12">
        <f>IF(Tableau4[[#This Row],[sdom]]="4EST",1,0)</f>
        <v>1</v>
      </c>
      <c r="AH145" s="12">
        <f>VLOOKUP(Tableau4[[#This Row],[essence]],Tableau6[],13,FALSE)</f>
        <v>0.23519999999999999</v>
      </c>
      <c r="AI145" s="12">
        <f>IF(Tableau4[[#This Row],[sdom]]="4OUEST",1,0)</f>
        <v>0</v>
      </c>
      <c r="AJ145" s="12">
        <f>VLOOKUP(Tableau4[[#This Row],[essence]],Tableau6[],14,FALSE)</f>
        <v>0.24660000000000001</v>
      </c>
      <c r="AK145" s="12">
        <f>IF(Tableau4[[#This Row],[sdom]]="5EST",1,0)</f>
        <v>0</v>
      </c>
      <c r="AL145" s="12">
        <f>VLOOKUP(Tableau4[[#This Row],[essence]],Tableau6[],17,FALSE)</f>
        <v>0</v>
      </c>
      <c r="AM145" s="12">
        <f>IF(Tableau4[[#This Row],[priorecol]]="C",1,0)</f>
        <v>0</v>
      </c>
      <c r="AN145" s="12">
        <f>VLOOKUP(Tableau4[[#This Row],[essence]],Tableau6[],18,FALSE)</f>
        <v>0</v>
      </c>
      <c r="AO145" s="12">
        <f>IF(Tableau4[[#This Row],[priorecol]]="R",1,0)</f>
        <v>0</v>
      </c>
      <c r="AP145" s="12">
        <f>VLOOKUP(Tableau4[[#This Row],[essence]],Tableau6[],19,FALSE)</f>
        <v>0</v>
      </c>
      <c r="AQ145" s="12">
        <f>IF(Tableau4[[#This Row],[priorecol]]="S",1,0)</f>
        <v>1</v>
      </c>
      <c r="AR145" s="12">
        <f>VLOOKUP(Tableau4[[#This Row],[essence]],Tableau6[],21,FALSE)</f>
        <v>0</v>
      </c>
      <c r="AS145" s="12">
        <f>IF(Tableau4[[#This Row],[priorecol]]="C",1,0)</f>
        <v>0</v>
      </c>
      <c r="AT145" s="12">
        <f>VLOOKUP(Tableau4[[#This Row],[essence]],Tableau6[],22,FALSE)</f>
        <v>0</v>
      </c>
      <c r="AU145" s="12">
        <f>IF(Tableau4[[#This Row],[priorecol]]="R",1,0)</f>
        <v>0</v>
      </c>
      <c r="AV145" s="12">
        <f>VLOOKUP(Tableau4[[#This Row],[essence]],Tableau6[],23,FALSE)</f>
        <v>0</v>
      </c>
      <c r="AW145" s="12">
        <f>IF(Tableau4[[#This Row],[priorecol]]="S",1,0)</f>
        <v>1</v>
      </c>
      <c r="AX145" s="12">
        <f>VLOOKUP(Tableau4[[#This Row],[essence]],Tableau6[],24,FALSE)</f>
        <v>0</v>
      </c>
      <c r="AY145" s="12">
        <f>VLOOKUP(Tableau4[[#This Row],[essence]],Tableau6[],25,FALSE)</f>
        <v>0</v>
      </c>
      <c r="AZ145" s="12">
        <f>VLOOKUP(Tableau4[[#This Row],[essence]],Tableau6[],26,FALSE)</f>
        <v>0</v>
      </c>
      <c r="BA145" s="12">
        <f>VLOOKUP(Tableau4[[#This Row],[essence]],Tableau6[],27,FALSE)</f>
        <v>0</v>
      </c>
      <c r="BB145" s="12">
        <f>VLOOKUP(Tableau4[[#This Row],[essence]],Tableau6[],16,FALSE)</f>
        <v>-2.6700000000000001E-3</v>
      </c>
      <c r="BC14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-1.5676400000000001</v>
      </c>
      <c r="BD145" s="12">
        <f>Tableau4[[#This Row],[xb_]]+Tableau4[[#This Row],[b_intercept_C]]+Tableau4[[#This Row],[b_dhpcm_x_intercept_C]]*Tableau4[[#This Row],[dhpcm]]</f>
        <v>1.4152599999999997</v>
      </c>
      <c r="BE145" s="12">
        <f>Tableau4[[#This Row],[xb_]]+Tableau4[[#This Row],[b_intercept_B]]+Tableau4[[#This Row],[b_dhpcm_x_intercept_B]]*Tableau4[[#This Row],[dhpcm]]</f>
        <v>0.17845999999999984</v>
      </c>
      <c r="BF145" s="12">
        <f>Tableau4[[#This Row],[xb_]]+Tableau4[[#This Row],[b_intercept_A]]+Tableau4[[#This Row],[b_dhpcm_x_intercept_A]]*Tableau4[[#This Row],[dhpcm]]</f>
        <v>-0.85424000000000011</v>
      </c>
      <c r="BG145" s="12">
        <f>1/(1+EXP(-Tableau4[[#This Row],[xb_c]]))</f>
        <v>0.80459425831871401</v>
      </c>
      <c r="BH145" s="12">
        <f>1/(1+EXP(-Tableau4[[#This Row],[xb_b]]))</f>
        <v>0.54449696778998879</v>
      </c>
      <c r="BI145" s="12">
        <f>1/(1+EXP(-Tableau4[[#This Row],[xb_a]]))</f>
        <v>0.29854417783219594</v>
      </c>
      <c r="BJ145" s="12">
        <f>Tableau4[[#This Row],[prob_a]]</f>
        <v>0.29854417783219594</v>
      </c>
      <c r="BK145" s="12">
        <f>Tableau4[[#This Row],[prob_b]]-Tableau4[[#This Row],[prob_a]]</f>
        <v>0.24595278995779285</v>
      </c>
      <c r="BL145" s="12">
        <f>Tableau4[[#This Row],[prob_c]]-Tableau4[[#This Row],[prob_b]]</f>
        <v>0.26009729052872521</v>
      </c>
      <c r="BM145" s="12">
        <f>1-Tableau4[[#This Row],[prob_c]]</f>
        <v>0.19540574168128599</v>
      </c>
    </row>
    <row r="146" spans="1:65" x14ac:dyDescent="0.25">
      <c r="A146" s="12">
        <v>7</v>
      </c>
      <c r="B146" s="12" t="s">
        <v>15</v>
      </c>
      <c r="C146" s="12">
        <v>2.1</v>
      </c>
      <c r="D146" s="12">
        <v>700</v>
      </c>
      <c r="E146" s="12">
        <v>20</v>
      </c>
      <c r="F146" s="12">
        <v>1</v>
      </c>
      <c r="G146" s="12">
        <v>49</v>
      </c>
      <c r="H146" s="12">
        <v>184</v>
      </c>
      <c r="I146" s="12" t="s">
        <v>19</v>
      </c>
      <c r="J146" s="12" t="s">
        <v>27</v>
      </c>
      <c r="K146" s="12">
        <f>VLOOKUP(Tableau4[[#This Row],[essence]],Tableau6[],2,FALSE)</f>
        <v>-1.7937000000000001</v>
      </c>
      <c r="L146" s="12">
        <f>VLOOKUP(Tableau4[[#This Row],[essence]],Tableau6[],3,FALSE)</f>
        <v>-0.68110000000000004</v>
      </c>
      <c r="M146" s="12">
        <f>VLOOKUP(Tableau4[[#This Row],[essence]],Tableau6[],4,FALSE)</f>
        <v>0.82179999999999997</v>
      </c>
      <c r="N146" s="12">
        <f>VLOOKUP(Tableau4[[#This Row],[essence]],Tableau6[],5,FALSE)</f>
        <v>1.5014000000000001</v>
      </c>
      <c r="O146" s="12">
        <f>IF(Tableau4[[#This Row],[priorecol]]="C",1,0)</f>
        <v>1</v>
      </c>
      <c r="P146" s="12">
        <f>VLOOKUP(Tableau4[[#This Row],[essence]],Tableau6[],6,FALSE)</f>
        <v>2.3875000000000002</v>
      </c>
      <c r="Q146" s="12">
        <f>IF(Tableau4[[#This Row],[priorecol]]="R",1,0)</f>
        <v>0</v>
      </c>
      <c r="R146" s="12">
        <f>VLOOKUP(Tableau4[[#This Row],[essence]],Tableau6[],7,FALSE)</f>
        <v>0.94669999999999999</v>
      </c>
      <c r="S146" s="12">
        <f>IF(Tableau4[[#This Row],[priorecol]]="S",1,0)</f>
        <v>0</v>
      </c>
      <c r="T146" s="12">
        <f>VLOOKUP(Tableau4[[#This Row],[essence]],Tableau6[],20,FALSE)</f>
        <v>0</v>
      </c>
      <c r="U146" s="12">
        <f>VLOOKUP(Tableau4[[#This Row],[essence]],Tableau6[],15,FALSE)</f>
        <v>6.4000000000000003E-3</v>
      </c>
      <c r="V146" s="12">
        <f>VLOOKUP(Tableau4[[#This Row],[essence]],Tableau6[],28,FALSE)</f>
        <v>0</v>
      </c>
      <c r="W146" s="12">
        <f>IF(Tableau4[[#This Row],[sdom]]=1,1,0)</f>
        <v>0</v>
      </c>
      <c r="X146" s="12">
        <f>VLOOKUP(Tableau4[[#This Row],[essence]],Tableau6[],8,FALSE)</f>
        <v>9.4399999999999998E-2</v>
      </c>
      <c r="Y146" s="12">
        <f>IF(Tableau4[[#This Row],[sdom]]="2EST",1,0)</f>
        <v>0</v>
      </c>
      <c r="Z146" s="12">
        <f>VLOOKUP(Tableau4[[#This Row],[essence]],Tableau6[],9,FALSE)</f>
        <v>-0.40260000000000001</v>
      </c>
      <c r="AA146" s="12">
        <f>IF(Tableau4[[#This Row],[sdom]]="2OUEST",1,0)</f>
        <v>0</v>
      </c>
      <c r="AB146" s="12">
        <f>VLOOKUP(Tableau4[[#This Row],[essence]],Tableau6[],10,FALSE)</f>
        <v>-3.5699999999999998E-3</v>
      </c>
      <c r="AC146" s="12">
        <f>IF(Tableau4[[#This Row],[sdom]]="3EST",1,0)</f>
        <v>0</v>
      </c>
      <c r="AD146" s="12">
        <f>VLOOKUP(Tableau4[[#This Row],[essence]],Tableau6[],11,FALSE)</f>
        <v>0.14949999999999999</v>
      </c>
      <c r="AE146" s="12">
        <f>IF(Tableau4[[#This Row],[sdom]]="3OUEST",1,0)</f>
        <v>0</v>
      </c>
      <c r="AF146" s="12">
        <f>VLOOKUP(Tableau4[[#This Row],[essence]],Tableau6[],12,FALSE)</f>
        <v>-0.1822</v>
      </c>
      <c r="AG146" s="12">
        <f>IF(Tableau4[[#This Row],[sdom]]="4EST",1,0)</f>
        <v>0</v>
      </c>
      <c r="AH146" s="12">
        <f>VLOOKUP(Tableau4[[#This Row],[essence]],Tableau6[],13,FALSE)</f>
        <v>-0.1013</v>
      </c>
      <c r="AI146" s="12">
        <f>IF(Tableau4[[#This Row],[sdom]]="4OUEST",1,0)</f>
        <v>1</v>
      </c>
      <c r="AJ146" s="12">
        <f>VLOOKUP(Tableau4[[#This Row],[essence]],Tableau6[],14,FALSE)</f>
        <v>-0.33779999999999999</v>
      </c>
      <c r="AK146" s="12">
        <f>IF(Tableau4[[#This Row],[sdom]]="5EST",1,0)</f>
        <v>0</v>
      </c>
      <c r="AL146" s="12">
        <f>VLOOKUP(Tableau4[[#This Row],[essence]],Tableau6[],17,FALSE)</f>
        <v>1.03E-2</v>
      </c>
      <c r="AM146" s="12">
        <f>IF(Tableau4[[#This Row],[priorecol]]="C",1,0)</f>
        <v>1</v>
      </c>
      <c r="AN146" s="12">
        <f>VLOOKUP(Tableau4[[#This Row],[essence]],Tableau6[],18,FALSE)</f>
        <v>1.23E-2</v>
      </c>
      <c r="AO146" s="12">
        <f>IF(Tableau4[[#This Row],[priorecol]]="R",1,0)</f>
        <v>0</v>
      </c>
      <c r="AP146" s="12">
        <f>VLOOKUP(Tableau4[[#This Row],[essence]],Tableau6[],19,FALSE)</f>
        <v>1.2800000000000001E-2</v>
      </c>
      <c r="AQ146" s="12">
        <f>IF(Tableau4[[#This Row],[priorecol]]="S",1,0)</f>
        <v>0</v>
      </c>
      <c r="AR146" s="12">
        <f>VLOOKUP(Tableau4[[#This Row],[essence]],Tableau6[],21,FALSE)</f>
        <v>0</v>
      </c>
      <c r="AS146" s="12">
        <f>IF(Tableau4[[#This Row],[priorecol]]="C",1,0)</f>
        <v>1</v>
      </c>
      <c r="AT146" s="12">
        <f>VLOOKUP(Tableau4[[#This Row],[essence]],Tableau6[],22,FALSE)</f>
        <v>0</v>
      </c>
      <c r="AU146" s="12">
        <f>IF(Tableau4[[#This Row],[priorecol]]="R",1,0)</f>
        <v>0</v>
      </c>
      <c r="AV146" s="12">
        <f>VLOOKUP(Tableau4[[#This Row],[essence]],Tableau6[],23,FALSE)</f>
        <v>0</v>
      </c>
      <c r="AW146" s="12">
        <f>IF(Tableau4[[#This Row],[priorecol]]="S",1,0)</f>
        <v>0</v>
      </c>
      <c r="AX146" s="12">
        <f>VLOOKUP(Tableau4[[#This Row],[essence]],Tableau6[],24,FALSE)</f>
        <v>0</v>
      </c>
      <c r="AY146" s="12">
        <f>VLOOKUP(Tableau4[[#This Row],[essence]],Tableau6[],25,FALSE)</f>
        <v>0</v>
      </c>
      <c r="AZ146" s="12">
        <f>VLOOKUP(Tableau4[[#This Row],[essence]],Tableau6[],26,FALSE)</f>
        <v>0</v>
      </c>
      <c r="BA146" s="12">
        <f>VLOOKUP(Tableau4[[#This Row],[essence]],Tableau6[],27,FALSE)</f>
        <v>0</v>
      </c>
      <c r="BB146" s="12">
        <f>VLOOKUP(Tableau4[[#This Row],[essence]],Tableau6[],16,FALSE)</f>
        <v>-4.8999999999999998E-4</v>
      </c>
      <c r="BC14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1.3911</v>
      </c>
      <c r="BD146" s="12">
        <f>Tableau4[[#This Row],[xb_]]+Tableau4[[#This Row],[b_intercept_C]]+Tableau4[[#This Row],[b_dhpcm_x_intercept_C]]*Tableau4[[#This Row],[dhpcm]]</f>
        <v>2.2128999999999999</v>
      </c>
      <c r="BE146" s="12">
        <f>Tableau4[[#This Row],[xb_]]+Tableau4[[#This Row],[b_intercept_B]]+Tableau4[[#This Row],[b_dhpcm_x_intercept_B]]*Tableau4[[#This Row],[dhpcm]]</f>
        <v>0.71</v>
      </c>
      <c r="BF146" s="12">
        <f>Tableau4[[#This Row],[xb_]]+Tableau4[[#This Row],[b_intercept_A]]+Tableau4[[#This Row],[b_dhpcm_x_intercept_A]]*Tableau4[[#This Row],[dhpcm]]</f>
        <v>-0.40260000000000007</v>
      </c>
      <c r="BG146" s="12">
        <f>1/(1+EXP(-Tableau4[[#This Row],[xb_c]]))</f>
        <v>0.90140196875124745</v>
      </c>
      <c r="BH146" s="12">
        <f>1/(1+EXP(-Tableau4[[#This Row],[xb_b]]))</f>
        <v>0.67040115980886861</v>
      </c>
      <c r="BI146" s="12">
        <f>1/(1+EXP(-Tableau4[[#This Row],[xb_a]]))</f>
        <v>0.40068782254403529</v>
      </c>
      <c r="BJ146" s="12">
        <f>Tableau4[[#This Row],[prob_a]]</f>
        <v>0.40068782254403529</v>
      </c>
      <c r="BK146" s="12">
        <f>Tableau4[[#This Row],[prob_b]]-Tableau4[[#This Row],[prob_a]]</f>
        <v>0.26971333726483332</v>
      </c>
      <c r="BL146" s="12">
        <f>Tableau4[[#This Row],[prob_c]]-Tableau4[[#This Row],[prob_b]]</f>
        <v>0.23100080894237884</v>
      </c>
      <c r="BM146" s="12">
        <f>1-Tableau4[[#This Row],[prob_c]]</f>
        <v>9.8598031248752549E-2</v>
      </c>
    </row>
    <row r="147" spans="1:65" x14ac:dyDescent="0.25">
      <c r="A147" s="12">
        <v>7</v>
      </c>
      <c r="B147" s="12" t="s">
        <v>15</v>
      </c>
      <c r="C147" s="12">
        <v>2.1</v>
      </c>
      <c r="D147" s="12">
        <v>700</v>
      </c>
      <c r="E147" s="12">
        <v>20</v>
      </c>
      <c r="F147" s="12">
        <v>1</v>
      </c>
      <c r="G147" s="12">
        <v>50</v>
      </c>
      <c r="H147" s="12">
        <v>185</v>
      </c>
      <c r="I147" s="12" t="s">
        <v>19</v>
      </c>
      <c r="J147" s="12" t="s">
        <v>28</v>
      </c>
      <c r="K147" s="12">
        <f>VLOOKUP(Tableau4[[#This Row],[essence]],Tableau6[],2,FALSE)</f>
        <v>-1.7937000000000001</v>
      </c>
      <c r="L147" s="12">
        <f>VLOOKUP(Tableau4[[#This Row],[essence]],Tableau6[],3,FALSE)</f>
        <v>-0.68110000000000004</v>
      </c>
      <c r="M147" s="12">
        <f>VLOOKUP(Tableau4[[#This Row],[essence]],Tableau6[],4,FALSE)</f>
        <v>0.82179999999999997</v>
      </c>
      <c r="N147" s="12">
        <f>VLOOKUP(Tableau4[[#This Row],[essence]],Tableau6[],5,FALSE)</f>
        <v>1.5014000000000001</v>
      </c>
      <c r="O147" s="12">
        <f>IF(Tableau4[[#This Row],[priorecol]]="C",1,0)</f>
        <v>0</v>
      </c>
      <c r="P147" s="12">
        <f>VLOOKUP(Tableau4[[#This Row],[essence]],Tableau6[],6,FALSE)</f>
        <v>2.3875000000000002</v>
      </c>
      <c r="Q147" s="12">
        <f>IF(Tableau4[[#This Row],[priorecol]]="R",1,0)</f>
        <v>1</v>
      </c>
      <c r="R147" s="12">
        <f>VLOOKUP(Tableau4[[#This Row],[essence]],Tableau6[],7,FALSE)</f>
        <v>0.94669999999999999</v>
      </c>
      <c r="S147" s="12">
        <f>IF(Tableau4[[#This Row],[priorecol]]="S",1,0)</f>
        <v>0</v>
      </c>
      <c r="T147" s="12">
        <f>VLOOKUP(Tableau4[[#This Row],[essence]],Tableau6[],20,FALSE)</f>
        <v>0</v>
      </c>
      <c r="U147" s="12">
        <f>VLOOKUP(Tableau4[[#This Row],[essence]],Tableau6[],15,FALSE)</f>
        <v>6.4000000000000003E-3</v>
      </c>
      <c r="V147" s="12">
        <f>VLOOKUP(Tableau4[[#This Row],[essence]],Tableau6[],28,FALSE)</f>
        <v>0</v>
      </c>
      <c r="W147" s="12">
        <f>IF(Tableau4[[#This Row],[sdom]]=1,1,0)</f>
        <v>0</v>
      </c>
      <c r="X147" s="12">
        <f>VLOOKUP(Tableau4[[#This Row],[essence]],Tableau6[],8,FALSE)</f>
        <v>9.4399999999999998E-2</v>
      </c>
      <c r="Y147" s="12">
        <f>IF(Tableau4[[#This Row],[sdom]]="2EST",1,0)</f>
        <v>0</v>
      </c>
      <c r="Z147" s="12">
        <f>VLOOKUP(Tableau4[[#This Row],[essence]],Tableau6[],9,FALSE)</f>
        <v>-0.40260000000000001</v>
      </c>
      <c r="AA147" s="12">
        <f>IF(Tableau4[[#This Row],[sdom]]="2OUEST",1,0)</f>
        <v>0</v>
      </c>
      <c r="AB147" s="12">
        <f>VLOOKUP(Tableau4[[#This Row],[essence]],Tableau6[],10,FALSE)</f>
        <v>-3.5699999999999998E-3</v>
      </c>
      <c r="AC147" s="12">
        <f>IF(Tableau4[[#This Row],[sdom]]="3EST",1,0)</f>
        <v>0</v>
      </c>
      <c r="AD147" s="12">
        <f>VLOOKUP(Tableau4[[#This Row],[essence]],Tableau6[],11,FALSE)</f>
        <v>0.14949999999999999</v>
      </c>
      <c r="AE147" s="12">
        <f>IF(Tableau4[[#This Row],[sdom]]="3OUEST",1,0)</f>
        <v>0</v>
      </c>
      <c r="AF147" s="12">
        <f>VLOOKUP(Tableau4[[#This Row],[essence]],Tableau6[],12,FALSE)</f>
        <v>-0.1822</v>
      </c>
      <c r="AG147" s="12">
        <f>IF(Tableau4[[#This Row],[sdom]]="4EST",1,0)</f>
        <v>0</v>
      </c>
      <c r="AH147" s="12">
        <f>VLOOKUP(Tableau4[[#This Row],[essence]],Tableau6[],13,FALSE)</f>
        <v>-0.1013</v>
      </c>
      <c r="AI147" s="12">
        <f>IF(Tableau4[[#This Row],[sdom]]="4OUEST",1,0)</f>
        <v>1</v>
      </c>
      <c r="AJ147" s="12">
        <f>VLOOKUP(Tableau4[[#This Row],[essence]],Tableau6[],14,FALSE)</f>
        <v>-0.33779999999999999</v>
      </c>
      <c r="AK147" s="12">
        <f>IF(Tableau4[[#This Row],[sdom]]="5EST",1,0)</f>
        <v>0</v>
      </c>
      <c r="AL147" s="12">
        <f>VLOOKUP(Tableau4[[#This Row],[essence]],Tableau6[],17,FALSE)</f>
        <v>1.03E-2</v>
      </c>
      <c r="AM147" s="12">
        <f>IF(Tableau4[[#This Row],[priorecol]]="C",1,0)</f>
        <v>0</v>
      </c>
      <c r="AN147" s="12">
        <f>VLOOKUP(Tableau4[[#This Row],[essence]],Tableau6[],18,FALSE)</f>
        <v>1.23E-2</v>
      </c>
      <c r="AO147" s="12">
        <f>IF(Tableau4[[#This Row],[priorecol]]="R",1,0)</f>
        <v>1</v>
      </c>
      <c r="AP147" s="12">
        <f>VLOOKUP(Tableau4[[#This Row],[essence]],Tableau6[],19,FALSE)</f>
        <v>1.2800000000000001E-2</v>
      </c>
      <c r="AQ147" s="12">
        <f>IF(Tableau4[[#This Row],[priorecol]]="S",1,0)</f>
        <v>0</v>
      </c>
      <c r="AR147" s="12">
        <f>VLOOKUP(Tableau4[[#This Row],[essence]],Tableau6[],21,FALSE)</f>
        <v>0</v>
      </c>
      <c r="AS147" s="12">
        <f>IF(Tableau4[[#This Row],[priorecol]]="C",1,0)</f>
        <v>0</v>
      </c>
      <c r="AT147" s="12">
        <f>VLOOKUP(Tableau4[[#This Row],[essence]],Tableau6[],22,FALSE)</f>
        <v>0</v>
      </c>
      <c r="AU147" s="12">
        <f>IF(Tableau4[[#This Row],[priorecol]]="R",1,0)</f>
        <v>1</v>
      </c>
      <c r="AV147" s="12">
        <f>VLOOKUP(Tableau4[[#This Row],[essence]],Tableau6[],23,FALSE)</f>
        <v>0</v>
      </c>
      <c r="AW147" s="12">
        <f>IF(Tableau4[[#This Row],[priorecol]]="S",1,0)</f>
        <v>0</v>
      </c>
      <c r="AX147" s="12">
        <f>VLOOKUP(Tableau4[[#This Row],[essence]],Tableau6[],24,FALSE)</f>
        <v>0</v>
      </c>
      <c r="AY147" s="12">
        <f>VLOOKUP(Tableau4[[#This Row],[essence]],Tableau6[],25,FALSE)</f>
        <v>0</v>
      </c>
      <c r="AZ147" s="12">
        <f>VLOOKUP(Tableau4[[#This Row],[essence]],Tableau6[],26,FALSE)</f>
        <v>0</v>
      </c>
      <c r="BA147" s="12">
        <f>VLOOKUP(Tableau4[[#This Row],[essence]],Tableau6[],27,FALSE)</f>
        <v>0</v>
      </c>
      <c r="BB147" s="12">
        <f>VLOOKUP(Tableau4[[#This Row],[essence]],Tableau6[],16,FALSE)</f>
        <v>-4.8999999999999998E-4</v>
      </c>
      <c r="BC14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2.3172000000000001</v>
      </c>
      <c r="BD147" s="12">
        <f>Tableau4[[#This Row],[xb_]]+Tableau4[[#This Row],[b_intercept_C]]+Tableau4[[#This Row],[b_dhpcm_x_intercept_C]]*Tableau4[[#This Row],[dhpcm]]</f>
        <v>3.1390000000000002</v>
      </c>
      <c r="BE147" s="12">
        <f>Tableau4[[#This Row],[xb_]]+Tableau4[[#This Row],[b_intercept_B]]+Tableau4[[#This Row],[b_dhpcm_x_intercept_B]]*Tableau4[[#This Row],[dhpcm]]</f>
        <v>1.6361000000000001</v>
      </c>
      <c r="BF147" s="12">
        <f>Tableau4[[#This Row],[xb_]]+Tableau4[[#This Row],[b_intercept_A]]+Tableau4[[#This Row],[b_dhpcm_x_intercept_A]]*Tableau4[[#This Row],[dhpcm]]</f>
        <v>0.52350000000000008</v>
      </c>
      <c r="BG147" s="12">
        <f>1/(1+EXP(-Tableau4[[#This Row],[xb_c]]))</f>
        <v>0.95847309652182844</v>
      </c>
      <c r="BH147" s="12">
        <f>1/(1+EXP(-Tableau4[[#This Row],[xb_b]]))</f>
        <v>0.83700356495392492</v>
      </c>
      <c r="BI147" s="12">
        <f>1/(1+EXP(-Tableau4[[#This Row],[xb_a]]))</f>
        <v>0.62796581849015176</v>
      </c>
      <c r="BJ147" s="12">
        <f>Tableau4[[#This Row],[prob_a]]</f>
        <v>0.62796581849015176</v>
      </c>
      <c r="BK147" s="12">
        <f>Tableau4[[#This Row],[prob_b]]-Tableau4[[#This Row],[prob_a]]</f>
        <v>0.20903774646377316</v>
      </c>
      <c r="BL147" s="12">
        <f>Tableau4[[#This Row],[prob_c]]-Tableau4[[#This Row],[prob_b]]</f>
        <v>0.12146953156790352</v>
      </c>
      <c r="BM147" s="12">
        <f>1-Tableau4[[#This Row],[prob_c]]</f>
        <v>4.1526903478171562E-2</v>
      </c>
    </row>
    <row r="148" spans="1:65" x14ac:dyDescent="0.25">
      <c r="A148" s="12">
        <v>7</v>
      </c>
      <c r="B148" s="12" t="s">
        <v>15</v>
      </c>
      <c r="C148" s="12">
        <v>2.1</v>
      </c>
      <c r="D148" s="12">
        <v>700</v>
      </c>
      <c r="E148" s="12">
        <v>20</v>
      </c>
      <c r="F148" s="12">
        <v>1</v>
      </c>
      <c r="G148" s="12">
        <v>51</v>
      </c>
      <c r="H148" s="12">
        <v>186</v>
      </c>
      <c r="I148" s="12" t="s">
        <v>19</v>
      </c>
      <c r="J148" s="12" t="s">
        <v>29</v>
      </c>
      <c r="K148" s="12">
        <f>VLOOKUP(Tableau4[[#This Row],[essence]],Tableau6[],2,FALSE)</f>
        <v>-1.7937000000000001</v>
      </c>
      <c r="L148" s="12">
        <f>VLOOKUP(Tableau4[[#This Row],[essence]],Tableau6[],3,FALSE)</f>
        <v>-0.68110000000000004</v>
      </c>
      <c r="M148" s="12">
        <f>VLOOKUP(Tableau4[[#This Row],[essence]],Tableau6[],4,FALSE)</f>
        <v>0.82179999999999997</v>
      </c>
      <c r="N148" s="12">
        <f>VLOOKUP(Tableau4[[#This Row],[essence]],Tableau6[],5,FALSE)</f>
        <v>1.5014000000000001</v>
      </c>
      <c r="O148" s="12">
        <f>IF(Tableau4[[#This Row],[priorecol]]="C",1,0)</f>
        <v>0</v>
      </c>
      <c r="P148" s="12">
        <f>VLOOKUP(Tableau4[[#This Row],[essence]],Tableau6[],6,FALSE)</f>
        <v>2.3875000000000002</v>
      </c>
      <c r="Q148" s="12">
        <f>IF(Tableau4[[#This Row],[priorecol]]="R",1,0)</f>
        <v>0</v>
      </c>
      <c r="R148" s="12">
        <f>VLOOKUP(Tableau4[[#This Row],[essence]],Tableau6[],7,FALSE)</f>
        <v>0.94669999999999999</v>
      </c>
      <c r="S148" s="12">
        <f>IF(Tableau4[[#This Row],[priorecol]]="S",1,0)</f>
        <v>1</v>
      </c>
      <c r="T148" s="12">
        <f>VLOOKUP(Tableau4[[#This Row],[essence]],Tableau6[],20,FALSE)</f>
        <v>0</v>
      </c>
      <c r="U148" s="12">
        <f>VLOOKUP(Tableau4[[#This Row],[essence]],Tableau6[],15,FALSE)</f>
        <v>6.4000000000000003E-3</v>
      </c>
      <c r="V148" s="12">
        <f>VLOOKUP(Tableau4[[#This Row],[essence]],Tableau6[],28,FALSE)</f>
        <v>0</v>
      </c>
      <c r="W148" s="12">
        <f>IF(Tableau4[[#This Row],[sdom]]=1,1,0)</f>
        <v>0</v>
      </c>
      <c r="X148" s="12">
        <f>VLOOKUP(Tableau4[[#This Row],[essence]],Tableau6[],8,FALSE)</f>
        <v>9.4399999999999998E-2</v>
      </c>
      <c r="Y148" s="12">
        <f>IF(Tableau4[[#This Row],[sdom]]="2EST",1,0)</f>
        <v>0</v>
      </c>
      <c r="Z148" s="12">
        <f>VLOOKUP(Tableau4[[#This Row],[essence]],Tableau6[],9,FALSE)</f>
        <v>-0.40260000000000001</v>
      </c>
      <c r="AA148" s="12">
        <f>IF(Tableau4[[#This Row],[sdom]]="2OUEST",1,0)</f>
        <v>0</v>
      </c>
      <c r="AB148" s="12">
        <f>VLOOKUP(Tableau4[[#This Row],[essence]],Tableau6[],10,FALSE)</f>
        <v>-3.5699999999999998E-3</v>
      </c>
      <c r="AC148" s="12">
        <f>IF(Tableau4[[#This Row],[sdom]]="3EST",1,0)</f>
        <v>0</v>
      </c>
      <c r="AD148" s="12">
        <f>VLOOKUP(Tableau4[[#This Row],[essence]],Tableau6[],11,FALSE)</f>
        <v>0.14949999999999999</v>
      </c>
      <c r="AE148" s="12">
        <f>IF(Tableau4[[#This Row],[sdom]]="3OUEST",1,0)</f>
        <v>0</v>
      </c>
      <c r="AF148" s="12">
        <f>VLOOKUP(Tableau4[[#This Row],[essence]],Tableau6[],12,FALSE)</f>
        <v>-0.1822</v>
      </c>
      <c r="AG148" s="12">
        <f>IF(Tableau4[[#This Row],[sdom]]="4EST",1,0)</f>
        <v>0</v>
      </c>
      <c r="AH148" s="12">
        <f>VLOOKUP(Tableau4[[#This Row],[essence]],Tableau6[],13,FALSE)</f>
        <v>-0.1013</v>
      </c>
      <c r="AI148" s="12">
        <f>IF(Tableau4[[#This Row],[sdom]]="4OUEST",1,0)</f>
        <v>1</v>
      </c>
      <c r="AJ148" s="12">
        <f>VLOOKUP(Tableau4[[#This Row],[essence]],Tableau6[],14,FALSE)</f>
        <v>-0.33779999999999999</v>
      </c>
      <c r="AK148" s="12">
        <f>IF(Tableau4[[#This Row],[sdom]]="5EST",1,0)</f>
        <v>0</v>
      </c>
      <c r="AL148" s="12">
        <f>VLOOKUP(Tableau4[[#This Row],[essence]],Tableau6[],17,FALSE)</f>
        <v>1.03E-2</v>
      </c>
      <c r="AM148" s="12">
        <f>IF(Tableau4[[#This Row],[priorecol]]="C",1,0)</f>
        <v>0</v>
      </c>
      <c r="AN148" s="12">
        <f>VLOOKUP(Tableau4[[#This Row],[essence]],Tableau6[],18,FALSE)</f>
        <v>1.23E-2</v>
      </c>
      <c r="AO148" s="12">
        <f>IF(Tableau4[[#This Row],[priorecol]]="R",1,0)</f>
        <v>0</v>
      </c>
      <c r="AP148" s="12">
        <f>VLOOKUP(Tableau4[[#This Row],[essence]],Tableau6[],19,FALSE)</f>
        <v>1.2800000000000001E-2</v>
      </c>
      <c r="AQ148" s="12">
        <f>IF(Tableau4[[#This Row],[priorecol]]="S",1,0)</f>
        <v>1</v>
      </c>
      <c r="AR148" s="12">
        <f>VLOOKUP(Tableau4[[#This Row],[essence]],Tableau6[],21,FALSE)</f>
        <v>0</v>
      </c>
      <c r="AS148" s="12">
        <f>IF(Tableau4[[#This Row],[priorecol]]="C",1,0)</f>
        <v>0</v>
      </c>
      <c r="AT148" s="12">
        <f>VLOOKUP(Tableau4[[#This Row],[essence]],Tableau6[],22,FALSE)</f>
        <v>0</v>
      </c>
      <c r="AU148" s="12">
        <f>IF(Tableau4[[#This Row],[priorecol]]="R",1,0)</f>
        <v>0</v>
      </c>
      <c r="AV148" s="12">
        <f>VLOOKUP(Tableau4[[#This Row],[essence]],Tableau6[],23,FALSE)</f>
        <v>0</v>
      </c>
      <c r="AW148" s="12">
        <f>IF(Tableau4[[#This Row],[priorecol]]="S",1,0)</f>
        <v>1</v>
      </c>
      <c r="AX148" s="12">
        <f>VLOOKUP(Tableau4[[#This Row],[essence]],Tableau6[],24,FALSE)</f>
        <v>0</v>
      </c>
      <c r="AY148" s="12">
        <f>VLOOKUP(Tableau4[[#This Row],[essence]],Tableau6[],25,FALSE)</f>
        <v>0</v>
      </c>
      <c r="AZ148" s="12">
        <f>VLOOKUP(Tableau4[[#This Row],[essence]],Tableau6[],26,FALSE)</f>
        <v>0</v>
      </c>
      <c r="BA148" s="12">
        <f>VLOOKUP(Tableau4[[#This Row],[essence]],Tableau6[],27,FALSE)</f>
        <v>0</v>
      </c>
      <c r="BB148" s="12">
        <f>VLOOKUP(Tableau4[[#This Row],[essence]],Tableau6[],16,FALSE)</f>
        <v>-4.8999999999999998E-4</v>
      </c>
      <c r="BC14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0.88640000000000008</v>
      </c>
      <c r="BD148" s="12">
        <f>Tableau4[[#This Row],[xb_]]+Tableau4[[#This Row],[b_intercept_C]]+Tableau4[[#This Row],[b_dhpcm_x_intercept_C]]*Tableau4[[#This Row],[dhpcm]]</f>
        <v>1.7082000000000002</v>
      </c>
      <c r="BE148" s="12">
        <f>Tableau4[[#This Row],[xb_]]+Tableau4[[#This Row],[b_intercept_B]]+Tableau4[[#This Row],[b_dhpcm_x_intercept_B]]*Tableau4[[#This Row],[dhpcm]]</f>
        <v>0.20530000000000004</v>
      </c>
      <c r="BF148" s="12">
        <f>Tableau4[[#This Row],[xb_]]+Tableau4[[#This Row],[b_intercept_A]]+Tableau4[[#This Row],[b_dhpcm_x_intercept_A]]*Tableau4[[#This Row],[dhpcm]]</f>
        <v>-0.9073</v>
      </c>
      <c r="BG148" s="12">
        <f>1/(1+EXP(-Tableau4[[#This Row],[xb_c]]))</f>
        <v>0.84660267018600943</v>
      </c>
      <c r="BH148" s="12">
        <f>1/(1+EXP(-Tableau4[[#This Row],[xb_b]]))</f>
        <v>0.55114548568732336</v>
      </c>
      <c r="BI148" s="12">
        <f>1/(1+EXP(-Tableau4[[#This Row],[xb_a]]))</f>
        <v>0.28755265835234201</v>
      </c>
      <c r="BJ148" s="12">
        <f>Tableau4[[#This Row],[prob_a]]</f>
        <v>0.28755265835234201</v>
      </c>
      <c r="BK148" s="12">
        <f>Tableau4[[#This Row],[prob_b]]-Tableau4[[#This Row],[prob_a]]</f>
        <v>0.26359282733498135</v>
      </c>
      <c r="BL148" s="12">
        <f>Tableau4[[#This Row],[prob_c]]-Tableau4[[#This Row],[prob_b]]</f>
        <v>0.29545718449868608</v>
      </c>
      <c r="BM148" s="12">
        <f>1-Tableau4[[#This Row],[prob_c]]</f>
        <v>0.15339732981399057</v>
      </c>
    </row>
    <row r="149" spans="1:65" x14ac:dyDescent="0.25">
      <c r="A149" s="12">
        <v>7</v>
      </c>
      <c r="B149" s="12" t="s">
        <v>15</v>
      </c>
      <c r="C149" s="12">
        <v>2.1</v>
      </c>
      <c r="D149" s="12">
        <v>700</v>
      </c>
      <c r="E149" s="12">
        <v>20</v>
      </c>
      <c r="F149" s="12">
        <v>1</v>
      </c>
      <c r="G149" s="12">
        <v>52</v>
      </c>
      <c r="H149" s="12">
        <v>187</v>
      </c>
      <c r="I149" s="12" t="s">
        <v>20</v>
      </c>
      <c r="J149" s="12" t="s">
        <v>27</v>
      </c>
      <c r="K149" s="12">
        <f>VLOOKUP(Tableau4[[#This Row],[essence]],Tableau6[],2,FALSE)</f>
        <v>1.0688</v>
      </c>
      <c r="L149" s="12">
        <f>VLOOKUP(Tableau4[[#This Row],[essence]],Tableau6[],3,FALSE)</f>
        <v>2.0478000000000001</v>
      </c>
      <c r="M149" s="12">
        <f>VLOOKUP(Tableau4[[#This Row],[essence]],Tableau6[],4,FALSE)</f>
        <v>3.3382999999999998</v>
      </c>
      <c r="N149" s="12">
        <f>VLOOKUP(Tableau4[[#This Row],[essence]],Tableau6[],5,FALSE)</f>
        <v>-1.2143999999999999</v>
      </c>
      <c r="O149" s="12">
        <f>IF(Tableau4[[#This Row],[priorecol]]="C",1,0)</f>
        <v>1</v>
      </c>
      <c r="P149" s="12">
        <f>VLOOKUP(Tableau4[[#This Row],[essence]],Tableau6[],6,FALSE)</f>
        <v>-1.2690999999999999</v>
      </c>
      <c r="Q149" s="12">
        <f>IF(Tableau4[[#This Row],[priorecol]]="R",1,0)</f>
        <v>0</v>
      </c>
      <c r="R149" s="12">
        <f>VLOOKUP(Tableau4[[#This Row],[essence]],Tableau6[],7,FALSE)</f>
        <v>-7.1900000000000006E-2</v>
      </c>
      <c r="S149" s="12">
        <f>IF(Tableau4[[#This Row],[priorecol]]="S",1,0)</f>
        <v>0</v>
      </c>
      <c r="T149" s="12">
        <f>VLOOKUP(Tableau4[[#This Row],[essence]],Tableau6[],20,FALSE)</f>
        <v>-3.04E-2</v>
      </c>
      <c r="U149" s="12">
        <f>VLOOKUP(Tableau4[[#This Row],[essence]],Tableau6[],15,FALSE)</f>
        <v>1.4200000000000001E-2</v>
      </c>
      <c r="V149" s="12">
        <f>VLOOKUP(Tableau4[[#This Row],[essence]],Tableau6[],28,FALSE)</f>
        <v>0</v>
      </c>
      <c r="W149" s="12">
        <f>IF(Tableau4[[#This Row],[sdom]]=1,1,0)</f>
        <v>0</v>
      </c>
      <c r="X149" s="12">
        <f>VLOOKUP(Tableau4[[#This Row],[essence]],Tableau6[],8,FALSE)</f>
        <v>0</v>
      </c>
      <c r="Y149" s="12">
        <f>IF(Tableau4[[#This Row],[sdom]]="2EST",1,0)</f>
        <v>0</v>
      </c>
      <c r="Z149" s="12">
        <f>VLOOKUP(Tableau4[[#This Row],[essence]],Tableau6[],9,FALSE)</f>
        <v>0</v>
      </c>
      <c r="AA149" s="12">
        <f>IF(Tableau4[[#This Row],[sdom]]="2OUEST",1,0)</f>
        <v>0</v>
      </c>
      <c r="AB149" s="12">
        <f>VLOOKUP(Tableau4[[#This Row],[essence]],Tableau6[],10,FALSE)</f>
        <v>0</v>
      </c>
      <c r="AC149" s="12">
        <f>IF(Tableau4[[#This Row],[sdom]]="3EST",1,0)</f>
        <v>0</v>
      </c>
      <c r="AD149" s="12">
        <f>VLOOKUP(Tableau4[[#This Row],[essence]],Tableau6[],11,FALSE)</f>
        <v>0</v>
      </c>
      <c r="AE149" s="12">
        <f>IF(Tableau4[[#This Row],[sdom]]="3OUEST",1,0)</f>
        <v>0</v>
      </c>
      <c r="AF149" s="12">
        <f>VLOOKUP(Tableau4[[#This Row],[essence]],Tableau6[],12,FALSE)</f>
        <v>0</v>
      </c>
      <c r="AG149" s="12">
        <f>IF(Tableau4[[#This Row],[sdom]]="4EST",1,0)</f>
        <v>0</v>
      </c>
      <c r="AH149" s="12">
        <f>VLOOKUP(Tableau4[[#This Row],[essence]],Tableau6[],13,FALSE)</f>
        <v>0</v>
      </c>
      <c r="AI149" s="12">
        <f>IF(Tableau4[[#This Row],[sdom]]="4OUEST",1,0)</f>
        <v>1</v>
      </c>
      <c r="AJ149" s="12">
        <f>VLOOKUP(Tableau4[[#This Row],[essence]],Tableau6[],14,FALSE)</f>
        <v>0</v>
      </c>
      <c r="AK149" s="12">
        <f>IF(Tableau4[[#This Row],[sdom]]="5EST",1,0)</f>
        <v>0</v>
      </c>
      <c r="AL149" s="12">
        <f>VLOOKUP(Tableau4[[#This Row],[essence]],Tableau6[],17,FALSE)</f>
        <v>0</v>
      </c>
      <c r="AM149" s="12">
        <f>IF(Tableau4[[#This Row],[priorecol]]="C",1,0)</f>
        <v>1</v>
      </c>
      <c r="AN149" s="12">
        <f>VLOOKUP(Tableau4[[#This Row],[essence]],Tableau6[],18,FALSE)</f>
        <v>0</v>
      </c>
      <c r="AO149" s="12">
        <f>IF(Tableau4[[#This Row],[priorecol]]="R",1,0)</f>
        <v>0</v>
      </c>
      <c r="AP149" s="12">
        <f>VLOOKUP(Tableau4[[#This Row],[essence]],Tableau6[],19,FALSE)</f>
        <v>0</v>
      </c>
      <c r="AQ149" s="12">
        <f>IF(Tableau4[[#This Row],[priorecol]]="S",1,0)</f>
        <v>0</v>
      </c>
      <c r="AR149" s="12">
        <f>VLOOKUP(Tableau4[[#This Row],[essence]],Tableau6[],21,FALSE)</f>
        <v>5.4600000000000003E-2</v>
      </c>
      <c r="AS149" s="12">
        <f>IF(Tableau4[[#This Row],[priorecol]]="C",1,0)</f>
        <v>1</v>
      </c>
      <c r="AT149" s="12">
        <f>VLOOKUP(Tableau4[[#This Row],[essence]],Tableau6[],22,FALSE)</f>
        <v>6.7900000000000002E-2</v>
      </c>
      <c r="AU149" s="12">
        <f>IF(Tableau4[[#This Row],[priorecol]]="R",1,0)</f>
        <v>0</v>
      </c>
      <c r="AV149" s="12">
        <f>VLOOKUP(Tableau4[[#This Row],[essence]],Tableau6[],23,FALSE)</f>
        <v>1.8700000000000001E-2</v>
      </c>
      <c r="AW149" s="12">
        <f>IF(Tableau4[[#This Row],[priorecol]]="S",1,0)</f>
        <v>0</v>
      </c>
      <c r="AX149" s="12">
        <f>VLOOKUP(Tableau4[[#This Row],[essence]],Tableau6[],24,FALSE)</f>
        <v>0</v>
      </c>
      <c r="AY149" s="12">
        <f>VLOOKUP(Tableau4[[#This Row],[essence]],Tableau6[],25,FALSE)</f>
        <v>0</v>
      </c>
      <c r="AZ149" s="12">
        <f>VLOOKUP(Tableau4[[#This Row],[essence]],Tableau6[],26,FALSE)</f>
        <v>0</v>
      </c>
      <c r="BA149" s="12">
        <f>VLOOKUP(Tableau4[[#This Row],[essence]],Tableau6[],27,FALSE)</f>
        <v>0</v>
      </c>
      <c r="BB149" s="12">
        <f>VLOOKUP(Tableau4[[#This Row],[essence]],Tableau6[],16,FALSE)</f>
        <v>-1.33E-3</v>
      </c>
      <c r="BC14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2.6639999999999997</v>
      </c>
      <c r="BD149" s="12">
        <f>Tableau4[[#This Row],[xb_]]+Tableau4[[#This Row],[b_intercept_C]]+Tableau4[[#This Row],[b_dhpcm_x_intercept_C]]*Tableau4[[#This Row],[dhpcm]]</f>
        <v>6.0023</v>
      </c>
      <c r="BE149" s="12">
        <f>Tableau4[[#This Row],[xb_]]+Tableau4[[#This Row],[b_intercept_B]]+Tableau4[[#This Row],[b_dhpcm_x_intercept_B]]*Tableau4[[#This Row],[dhpcm]]</f>
        <v>4.7118000000000002</v>
      </c>
      <c r="BF149" s="12">
        <f>Tableau4[[#This Row],[xb_]]+Tableau4[[#This Row],[b_intercept_A]]+Tableau4[[#This Row],[b_dhpcm_x_intercept_A]]*Tableau4[[#This Row],[dhpcm]]</f>
        <v>3.7327999999999997</v>
      </c>
      <c r="BG149" s="12">
        <f>1/(1+EXP(-Tableau4[[#This Row],[xb_c]]))</f>
        <v>0.99753304332800552</v>
      </c>
      <c r="BH149" s="12">
        <f>1/(1+EXP(-Tableau4[[#This Row],[xb_b]]))</f>
        <v>0.99109149131296514</v>
      </c>
      <c r="BI149" s="12">
        <f>1/(1+EXP(-Tableau4[[#This Row],[xb_a]]))</f>
        <v>0.97663331558580224</v>
      </c>
      <c r="BJ149" s="12">
        <f>Tableau4[[#This Row],[prob_a]]</f>
        <v>0.97663331558580224</v>
      </c>
      <c r="BK149" s="12">
        <f>Tableau4[[#This Row],[prob_b]]-Tableau4[[#This Row],[prob_a]]</f>
        <v>1.4458175727162903E-2</v>
      </c>
      <c r="BL149" s="12">
        <f>Tableau4[[#This Row],[prob_c]]-Tableau4[[#This Row],[prob_b]]</f>
        <v>6.4415520150403749E-3</v>
      </c>
      <c r="BM149" s="12">
        <f>1-Tableau4[[#This Row],[prob_c]]</f>
        <v>2.4669566719944802E-3</v>
      </c>
    </row>
    <row r="150" spans="1:65" x14ac:dyDescent="0.25">
      <c r="A150" s="12">
        <v>7</v>
      </c>
      <c r="B150" s="12" t="s">
        <v>15</v>
      </c>
      <c r="C150" s="12">
        <v>2.1</v>
      </c>
      <c r="D150" s="12">
        <v>700</v>
      </c>
      <c r="E150" s="12">
        <v>20</v>
      </c>
      <c r="F150" s="12">
        <v>1</v>
      </c>
      <c r="G150" s="12">
        <v>53</v>
      </c>
      <c r="H150" s="12">
        <v>188</v>
      </c>
      <c r="I150" s="12" t="s">
        <v>20</v>
      </c>
      <c r="J150" s="12" t="s">
        <v>28</v>
      </c>
      <c r="K150" s="12">
        <f>VLOOKUP(Tableau4[[#This Row],[essence]],Tableau6[],2,FALSE)</f>
        <v>1.0688</v>
      </c>
      <c r="L150" s="12">
        <f>VLOOKUP(Tableau4[[#This Row],[essence]],Tableau6[],3,FALSE)</f>
        <v>2.0478000000000001</v>
      </c>
      <c r="M150" s="12">
        <f>VLOOKUP(Tableau4[[#This Row],[essence]],Tableau6[],4,FALSE)</f>
        <v>3.3382999999999998</v>
      </c>
      <c r="N150" s="12">
        <f>VLOOKUP(Tableau4[[#This Row],[essence]],Tableau6[],5,FALSE)</f>
        <v>-1.2143999999999999</v>
      </c>
      <c r="O150" s="12">
        <f>IF(Tableau4[[#This Row],[priorecol]]="C",1,0)</f>
        <v>0</v>
      </c>
      <c r="P150" s="12">
        <f>VLOOKUP(Tableau4[[#This Row],[essence]],Tableau6[],6,FALSE)</f>
        <v>-1.2690999999999999</v>
      </c>
      <c r="Q150" s="12">
        <f>IF(Tableau4[[#This Row],[priorecol]]="R",1,0)</f>
        <v>1</v>
      </c>
      <c r="R150" s="12">
        <f>VLOOKUP(Tableau4[[#This Row],[essence]],Tableau6[],7,FALSE)</f>
        <v>-7.1900000000000006E-2</v>
      </c>
      <c r="S150" s="12">
        <f>IF(Tableau4[[#This Row],[priorecol]]="S",1,0)</f>
        <v>0</v>
      </c>
      <c r="T150" s="12">
        <f>VLOOKUP(Tableau4[[#This Row],[essence]],Tableau6[],20,FALSE)</f>
        <v>-3.04E-2</v>
      </c>
      <c r="U150" s="12">
        <f>VLOOKUP(Tableau4[[#This Row],[essence]],Tableau6[],15,FALSE)</f>
        <v>1.4200000000000001E-2</v>
      </c>
      <c r="V150" s="12">
        <f>VLOOKUP(Tableau4[[#This Row],[essence]],Tableau6[],28,FALSE)</f>
        <v>0</v>
      </c>
      <c r="W150" s="12">
        <f>IF(Tableau4[[#This Row],[sdom]]=1,1,0)</f>
        <v>0</v>
      </c>
      <c r="X150" s="12">
        <f>VLOOKUP(Tableau4[[#This Row],[essence]],Tableau6[],8,FALSE)</f>
        <v>0</v>
      </c>
      <c r="Y150" s="12">
        <f>IF(Tableau4[[#This Row],[sdom]]="2EST",1,0)</f>
        <v>0</v>
      </c>
      <c r="Z150" s="12">
        <f>VLOOKUP(Tableau4[[#This Row],[essence]],Tableau6[],9,FALSE)</f>
        <v>0</v>
      </c>
      <c r="AA150" s="12">
        <f>IF(Tableau4[[#This Row],[sdom]]="2OUEST",1,0)</f>
        <v>0</v>
      </c>
      <c r="AB150" s="12">
        <f>VLOOKUP(Tableau4[[#This Row],[essence]],Tableau6[],10,FALSE)</f>
        <v>0</v>
      </c>
      <c r="AC150" s="12">
        <f>IF(Tableau4[[#This Row],[sdom]]="3EST",1,0)</f>
        <v>0</v>
      </c>
      <c r="AD150" s="12">
        <f>VLOOKUP(Tableau4[[#This Row],[essence]],Tableau6[],11,FALSE)</f>
        <v>0</v>
      </c>
      <c r="AE150" s="12">
        <f>IF(Tableau4[[#This Row],[sdom]]="3OUEST",1,0)</f>
        <v>0</v>
      </c>
      <c r="AF150" s="12">
        <f>VLOOKUP(Tableau4[[#This Row],[essence]],Tableau6[],12,FALSE)</f>
        <v>0</v>
      </c>
      <c r="AG150" s="12">
        <f>IF(Tableau4[[#This Row],[sdom]]="4EST",1,0)</f>
        <v>0</v>
      </c>
      <c r="AH150" s="12">
        <f>VLOOKUP(Tableau4[[#This Row],[essence]],Tableau6[],13,FALSE)</f>
        <v>0</v>
      </c>
      <c r="AI150" s="12">
        <f>IF(Tableau4[[#This Row],[sdom]]="4OUEST",1,0)</f>
        <v>1</v>
      </c>
      <c r="AJ150" s="12">
        <f>VLOOKUP(Tableau4[[#This Row],[essence]],Tableau6[],14,FALSE)</f>
        <v>0</v>
      </c>
      <c r="AK150" s="12">
        <f>IF(Tableau4[[#This Row],[sdom]]="5EST",1,0)</f>
        <v>0</v>
      </c>
      <c r="AL150" s="12">
        <f>VLOOKUP(Tableau4[[#This Row],[essence]],Tableau6[],17,FALSE)</f>
        <v>0</v>
      </c>
      <c r="AM150" s="12">
        <f>IF(Tableau4[[#This Row],[priorecol]]="C",1,0)</f>
        <v>0</v>
      </c>
      <c r="AN150" s="12">
        <f>VLOOKUP(Tableau4[[#This Row],[essence]],Tableau6[],18,FALSE)</f>
        <v>0</v>
      </c>
      <c r="AO150" s="12">
        <f>IF(Tableau4[[#This Row],[priorecol]]="R",1,0)</f>
        <v>1</v>
      </c>
      <c r="AP150" s="12">
        <f>VLOOKUP(Tableau4[[#This Row],[essence]],Tableau6[],19,FALSE)</f>
        <v>0</v>
      </c>
      <c r="AQ150" s="12">
        <f>IF(Tableau4[[#This Row],[priorecol]]="S",1,0)</f>
        <v>0</v>
      </c>
      <c r="AR150" s="12">
        <f>VLOOKUP(Tableau4[[#This Row],[essence]],Tableau6[],21,FALSE)</f>
        <v>5.4600000000000003E-2</v>
      </c>
      <c r="AS150" s="12">
        <f>IF(Tableau4[[#This Row],[priorecol]]="C",1,0)</f>
        <v>0</v>
      </c>
      <c r="AT150" s="12">
        <f>VLOOKUP(Tableau4[[#This Row],[essence]],Tableau6[],22,FALSE)</f>
        <v>6.7900000000000002E-2</v>
      </c>
      <c r="AU150" s="12">
        <f>IF(Tableau4[[#This Row],[priorecol]]="R",1,0)</f>
        <v>1</v>
      </c>
      <c r="AV150" s="12">
        <f>VLOOKUP(Tableau4[[#This Row],[essence]],Tableau6[],23,FALSE)</f>
        <v>1.8700000000000001E-2</v>
      </c>
      <c r="AW150" s="12">
        <f>IF(Tableau4[[#This Row],[priorecol]]="S",1,0)</f>
        <v>0</v>
      </c>
      <c r="AX150" s="12">
        <f>VLOOKUP(Tableau4[[#This Row],[essence]],Tableau6[],24,FALSE)</f>
        <v>0</v>
      </c>
      <c r="AY150" s="12">
        <f>VLOOKUP(Tableau4[[#This Row],[essence]],Tableau6[],25,FALSE)</f>
        <v>0</v>
      </c>
      <c r="AZ150" s="12">
        <f>VLOOKUP(Tableau4[[#This Row],[essence]],Tableau6[],26,FALSE)</f>
        <v>0</v>
      </c>
      <c r="BA150" s="12">
        <f>VLOOKUP(Tableau4[[#This Row],[essence]],Tableau6[],27,FALSE)</f>
        <v>0</v>
      </c>
      <c r="BB150" s="12">
        <f>VLOOKUP(Tableau4[[#This Row],[essence]],Tableau6[],16,FALSE)</f>
        <v>-1.33E-3</v>
      </c>
      <c r="BC15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5.1338999999999997</v>
      </c>
      <c r="BD150" s="12">
        <f>Tableau4[[#This Row],[xb_]]+Tableau4[[#This Row],[b_intercept_C]]+Tableau4[[#This Row],[b_dhpcm_x_intercept_C]]*Tableau4[[#This Row],[dhpcm]]</f>
        <v>8.4721999999999991</v>
      </c>
      <c r="BE150" s="12">
        <f>Tableau4[[#This Row],[xb_]]+Tableau4[[#This Row],[b_intercept_B]]+Tableau4[[#This Row],[b_dhpcm_x_intercept_B]]*Tableau4[[#This Row],[dhpcm]]</f>
        <v>7.1816999999999993</v>
      </c>
      <c r="BF150" s="12">
        <f>Tableau4[[#This Row],[xb_]]+Tableau4[[#This Row],[b_intercept_A]]+Tableau4[[#This Row],[b_dhpcm_x_intercept_A]]*Tableau4[[#This Row],[dhpcm]]</f>
        <v>6.2027000000000001</v>
      </c>
      <c r="BG150" s="12">
        <f>1/(1+EXP(-Tableau4[[#This Row],[xb_c]]))</f>
        <v>0.99979083960962822</v>
      </c>
      <c r="BH150" s="12">
        <f>1/(1+EXP(-Tableau4[[#This Row],[xb_b]]))</f>
        <v>0.99924020362268595</v>
      </c>
      <c r="BI150" s="12">
        <f>1/(1+EXP(-Tableau4[[#This Row],[xb_a]]))</f>
        <v>0.99798012956985616</v>
      </c>
      <c r="BJ150" s="12">
        <f>Tableau4[[#This Row],[prob_a]]</f>
        <v>0.99798012956985616</v>
      </c>
      <c r="BK150" s="12">
        <f>Tableau4[[#This Row],[prob_b]]-Tableau4[[#This Row],[prob_a]]</f>
        <v>1.260074052829796E-3</v>
      </c>
      <c r="BL150" s="12">
        <f>Tableau4[[#This Row],[prob_c]]-Tableau4[[#This Row],[prob_b]]</f>
        <v>5.5063598694227167E-4</v>
      </c>
      <c r="BM150" s="12">
        <f>1-Tableau4[[#This Row],[prob_c]]</f>
        <v>2.0916039037177647E-4</v>
      </c>
    </row>
    <row r="151" spans="1:65" x14ac:dyDescent="0.25">
      <c r="A151" s="12">
        <v>7</v>
      </c>
      <c r="B151" s="12" t="s">
        <v>15</v>
      </c>
      <c r="C151" s="12">
        <v>2.1</v>
      </c>
      <c r="D151" s="12">
        <v>700</v>
      </c>
      <c r="E151" s="12">
        <v>20</v>
      </c>
      <c r="F151" s="12">
        <v>1</v>
      </c>
      <c r="G151" s="12">
        <v>54</v>
      </c>
      <c r="H151" s="12">
        <v>189</v>
      </c>
      <c r="I151" s="12" t="s">
        <v>20</v>
      </c>
      <c r="J151" s="12" t="s">
        <v>29</v>
      </c>
      <c r="K151" s="12">
        <f>VLOOKUP(Tableau4[[#This Row],[essence]],Tableau6[],2,FALSE)</f>
        <v>1.0688</v>
      </c>
      <c r="L151" s="12">
        <f>VLOOKUP(Tableau4[[#This Row],[essence]],Tableau6[],3,FALSE)</f>
        <v>2.0478000000000001</v>
      </c>
      <c r="M151" s="12">
        <f>VLOOKUP(Tableau4[[#This Row],[essence]],Tableau6[],4,FALSE)</f>
        <v>3.3382999999999998</v>
      </c>
      <c r="N151" s="12">
        <f>VLOOKUP(Tableau4[[#This Row],[essence]],Tableau6[],5,FALSE)</f>
        <v>-1.2143999999999999</v>
      </c>
      <c r="O151" s="12">
        <f>IF(Tableau4[[#This Row],[priorecol]]="C",1,0)</f>
        <v>0</v>
      </c>
      <c r="P151" s="12">
        <f>VLOOKUP(Tableau4[[#This Row],[essence]],Tableau6[],6,FALSE)</f>
        <v>-1.2690999999999999</v>
      </c>
      <c r="Q151" s="12">
        <f>IF(Tableau4[[#This Row],[priorecol]]="R",1,0)</f>
        <v>0</v>
      </c>
      <c r="R151" s="12">
        <f>VLOOKUP(Tableau4[[#This Row],[essence]],Tableau6[],7,FALSE)</f>
        <v>-7.1900000000000006E-2</v>
      </c>
      <c r="S151" s="12">
        <f>IF(Tableau4[[#This Row],[priorecol]]="S",1,0)</f>
        <v>1</v>
      </c>
      <c r="T151" s="12">
        <f>VLOOKUP(Tableau4[[#This Row],[essence]],Tableau6[],20,FALSE)</f>
        <v>-3.04E-2</v>
      </c>
      <c r="U151" s="12">
        <f>VLOOKUP(Tableau4[[#This Row],[essence]],Tableau6[],15,FALSE)</f>
        <v>1.4200000000000001E-2</v>
      </c>
      <c r="V151" s="12">
        <f>VLOOKUP(Tableau4[[#This Row],[essence]],Tableau6[],28,FALSE)</f>
        <v>0</v>
      </c>
      <c r="W151" s="12">
        <f>IF(Tableau4[[#This Row],[sdom]]=1,1,0)</f>
        <v>0</v>
      </c>
      <c r="X151" s="12">
        <f>VLOOKUP(Tableau4[[#This Row],[essence]],Tableau6[],8,FALSE)</f>
        <v>0</v>
      </c>
      <c r="Y151" s="12">
        <f>IF(Tableau4[[#This Row],[sdom]]="2EST",1,0)</f>
        <v>0</v>
      </c>
      <c r="Z151" s="12">
        <f>VLOOKUP(Tableau4[[#This Row],[essence]],Tableau6[],9,FALSE)</f>
        <v>0</v>
      </c>
      <c r="AA151" s="12">
        <f>IF(Tableau4[[#This Row],[sdom]]="2OUEST",1,0)</f>
        <v>0</v>
      </c>
      <c r="AB151" s="12">
        <f>VLOOKUP(Tableau4[[#This Row],[essence]],Tableau6[],10,FALSE)</f>
        <v>0</v>
      </c>
      <c r="AC151" s="12">
        <f>IF(Tableau4[[#This Row],[sdom]]="3EST",1,0)</f>
        <v>0</v>
      </c>
      <c r="AD151" s="12">
        <f>VLOOKUP(Tableau4[[#This Row],[essence]],Tableau6[],11,FALSE)</f>
        <v>0</v>
      </c>
      <c r="AE151" s="12">
        <f>IF(Tableau4[[#This Row],[sdom]]="3OUEST",1,0)</f>
        <v>0</v>
      </c>
      <c r="AF151" s="12">
        <f>VLOOKUP(Tableau4[[#This Row],[essence]],Tableau6[],12,FALSE)</f>
        <v>0</v>
      </c>
      <c r="AG151" s="12">
        <f>IF(Tableau4[[#This Row],[sdom]]="4EST",1,0)</f>
        <v>0</v>
      </c>
      <c r="AH151" s="12">
        <f>VLOOKUP(Tableau4[[#This Row],[essence]],Tableau6[],13,FALSE)</f>
        <v>0</v>
      </c>
      <c r="AI151" s="12">
        <f>IF(Tableau4[[#This Row],[sdom]]="4OUEST",1,0)</f>
        <v>1</v>
      </c>
      <c r="AJ151" s="12">
        <f>VLOOKUP(Tableau4[[#This Row],[essence]],Tableau6[],14,FALSE)</f>
        <v>0</v>
      </c>
      <c r="AK151" s="12">
        <f>IF(Tableau4[[#This Row],[sdom]]="5EST",1,0)</f>
        <v>0</v>
      </c>
      <c r="AL151" s="12">
        <f>VLOOKUP(Tableau4[[#This Row],[essence]],Tableau6[],17,FALSE)</f>
        <v>0</v>
      </c>
      <c r="AM151" s="12">
        <f>IF(Tableau4[[#This Row],[priorecol]]="C",1,0)</f>
        <v>0</v>
      </c>
      <c r="AN151" s="12">
        <f>VLOOKUP(Tableau4[[#This Row],[essence]],Tableau6[],18,FALSE)</f>
        <v>0</v>
      </c>
      <c r="AO151" s="12">
        <f>IF(Tableau4[[#This Row],[priorecol]]="R",1,0)</f>
        <v>0</v>
      </c>
      <c r="AP151" s="12">
        <f>VLOOKUP(Tableau4[[#This Row],[essence]],Tableau6[],19,FALSE)</f>
        <v>0</v>
      </c>
      <c r="AQ151" s="12">
        <f>IF(Tableau4[[#This Row],[priorecol]]="S",1,0)</f>
        <v>1</v>
      </c>
      <c r="AR151" s="12">
        <f>VLOOKUP(Tableau4[[#This Row],[essence]],Tableau6[],21,FALSE)</f>
        <v>5.4600000000000003E-2</v>
      </c>
      <c r="AS151" s="12">
        <f>IF(Tableau4[[#This Row],[priorecol]]="C",1,0)</f>
        <v>0</v>
      </c>
      <c r="AT151" s="12">
        <f>VLOOKUP(Tableau4[[#This Row],[essence]],Tableau6[],22,FALSE)</f>
        <v>6.7900000000000002E-2</v>
      </c>
      <c r="AU151" s="12">
        <f>IF(Tableau4[[#This Row],[priorecol]]="R",1,0)</f>
        <v>0</v>
      </c>
      <c r="AV151" s="12">
        <f>VLOOKUP(Tableau4[[#This Row],[essence]],Tableau6[],23,FALSE)</f>
        <v>1.8700000000000001E-2</v>
      </c>
      <c r="AW151" s="12">
        <f>IF(Tableau4[[#This Row],[priorecol]]="S",1,0)</f>
        <v>1</v>
      </c>
      <c r="AX151" s="12">
        <f>VLOOKUP(Tableau4[[#This Row],[essence]],Tableau6[],24,FALSE)</f>
        <v>0</v>
      </c>
      <c r="AY151" s="12">
        <f>VLOOKUP(Tableau4[[#This Row],[essence]],Tableau6[],25,FALSE)</f>
        <v>0</v>
      </c>
      <c r="AZ151" s="12">
        <f>VLOOKUP(Tableau4[[#This Row],[essence]],Tableau6[],26,FALSE)</f>
        <v>0</v>
      </c>
      <c r="BA151" s="12">
        <f>VLOOKUP(Tableau4[[#This Row],[essence]],Tableau6[],27,FALSE)</f>
        <v>0</v>
      </c>
      <c r="BB151" s="12">
        <f>VLOOKUP(Tableau4[[#This Row],[essence]],Tableau6[],16,FALSE)</f>
        <v>-1.33E-3</v>
      </c>
      <c r="BC15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-2.9301999999999997</v>
      </c>
      <c r="BD151" s="12">
        <f>Tableau4[[#This Row],[xb_]]+Tableau4[[#This Row],[b_intercept_C]]+Tableau4[[#This Row],[b_dhpcm_x_intercept_C]]*Tableau4[[#This Row],[dhpcm]]</f>
        <v>0.40810000000000013</v>
      </c>
      <c r="BE151" s="12">
        <f>Tableau4[[#This Row],[xb_]]+Tableau4[[#This Row],[b_intercept_B]]+Tableau4[[#This Row],[b_dhpcm_x_intercept_B]]*Tableau4[[#This Row],[dhpcm]]</f>
        <v>-0.88239999999999963</v>
      </c>
      <c r="BF151" s="12">
        <f>Tableau4[[#This Row],[xb_]]+Tableau4[[#This Row],[b_intercept_A]]+Tableau4[[#This Row],[b_dhpcm_x_intercept_A]]*Tableau4[[#This Row],[dhpcm]]</f>
        <v>-1.8613999999999997</v>
      </c>
      <c r="BG151" s="12">
        <f>1/(1+EXP(-Tableau4[[#This Row],[xb_c]]))</f>
        <v>0.60063220710853582</v>
      </c>
      <c r="BH151" s="12">
        <f>1/(1+EXP(-Tableau4[[#This Row],[xb_b]]))</f>
        <v>0.29268068692297144</v>
      </c>
      <c r="BI151" s="12">
        <f>1/(1+EXP(-Tableau4[[#This Row],[xb_a]]))</f>
        <v>0.13453995399388277</v>
      </c>
      <c r="BJ151" s="12">
        <f>Tableau4[[#This Row],[prob_a]]</f>
        <v>0.13453995399388277</v>
      </c>
      <c r="BK151" s="12">
        <f>Tableau4[[#This Row],[prob_b]]-Tableau4[[#This Row],[prob_a]]</f>
        <v>0.15814073292908867</v>
      </c>
      <c r="BL151" s="12">
        <f>Tableau4[[#This Row],[prob_c]]-Tableau4[[#This Row],[prob_b]]</f>
        <v>0.30795152018556438</v>
      </c>
      <c r="BM151" s="12">
        <f>1-Tableau4[[#This Row],[prob_c]]</f>
        <v>0.39936779289146418</v>
      </c>
    </row>
    <row r="152" spans="1:65" x14ac:dyDescent="0.25">
      <c r="A152" s="12">
        <v>7</v>
      </c>
      <c r="B152" s="12" t="s">
        <v>15</v>
      </c>
      <c r="C152" s="12">
        <v>2.1</v>
      </c>
      <c r="D152" s="12">
        <v>700</v>
      </c>
      <c r="E152" s="12">
        <v>20</v>
      </c>
      <c r="F152" s="12">
        <v>1</v>
      </c>
      <c r="G152" s="12">
        <v>55</v>
      </c>
      <c r="H152" s="12">
        <v>190</v>
      </c>
      <c r="I152" s="12" t="s">
        <v>21</v>
      </c>
      <c r="J152" s="12" t="s">
        <v>27</v>
      </c>
      <c r="K152" s="12">
        <f>VLOOKUP(Tableau4[[#This Row],[essence]],Tableau6[],2,FALSE)</f>
        <v>-2.4091999999999998</v>
      </c>
      <c r="L152" s="12">
        <f>VLOOKUP(Tableau4[[#This Row],[essence]],Tableau6[],3,FALSE)</f>
        <v>-1.3315999999999999</v>
      </c>
      <c r="M152" s="12">
        <f>VLOOKUP(Tableau4[[#This Row],[essence]],Tableau6[],4,FALSE)</f>
        <v>0.2475</v>
      </c>
      <c r="N152" s="12">
        <f>VLOOKUP(Tableau4[[#This Row],[essence]],Tableau6[],5,FALSE)</f>
        <v>1.9658</v>
      </c>
      <c r="O152" s="12">
        <f>IF(Tableau4[[#This Row],[priorecol]]="C",1,0)</f>
        <v>1</v>
      </c>
      <c r="P152" s="12">
        <f>VLOOKUP(Tableau4[[#This Row],[essence]],Tableau6[],6,FALSE)</f>
        <v>2.8807</v>
      </c>
      <c r="Q152" s="12">
        <f>IF(Tableau4[[#This Row],[priorecol]]="R",1,0)</f>
        <v>0</v>
      </c>
      <c r="R152" s="12">
        <f>VLOOKUP(Tableau4[[#This Row],[essence]],Tableau6[],7,FALSE)</f>
        <v>1.1791</v>
      </c>
      <c r="S152" s="12">
        <f>IF(Tableau4[[#This Row],[priorecol]]="S",1,0)</f>
        <v>0</v>
      </c>
      <c r="T152" s="12">
        <f>VLOOKUP(Tableau4[[#This Row],[essence]],Tableau6[],20,FALSE)</f>
        <v>0</v>
      </c>
      <c r="U152" s="12">
        <f>VLOOKUP(Tableau4[[#This Row],[essence]],Tableau6[],15,FALSE)</f>
        <v>2.4500000000000001E-2</v>
      </c>
      <c r="V152" s="12">
        <f>VLOOKUP(Tableau4[[#This Row],[essence]],Tableau6[],28,FALSE)</f>
        <v>0</v>
      </c>
      <c r="W152" s="12">
        <f>IF(Tableau4[[#This Row],[sdom]]=1,1,0)</f>
        <v>0</v>
      </c>
      <c r="X152" s="12">
        <f>VLOOKUP(Tableau4[[#This Row],[essence]],Tableau6[],8,FALSE)</f>
        <v>0</v>
      </c>
      <c r="Y152" s="12">
        <f>IF(Tableau4[[#This Row],[sdom]]="2EST",1,0)</f>
        <v>0</v>
      </c>
      <c r="Z152" s="12">
        <f>VLOOKUP(Tableau4[[#This Row],[essence]],Tableau6[],9,FALSE)</f>
        <v>0</v>
      </c>
      <c r="AA152" s="12">
        <f>IF(Tableau4[[#This Row],[sdom]]="2OUEST",1,0)</f>
        <v>0</v>
      </c>
      <c r="AB152" s="12">
        <f>VLOOKUP(Tableau4[[#This Row],[essence]],Tableau6[],10,FALSE)</f>
        <v>0</v>
      </c>
      <c r="AC152" s="12">
        <f>IF(Tableau4[[#This Row],[sdom]]="3EST",1,0)</f>
        <v>0</v>
      </c>
      <c r="AD152" s="12">
        <f>VLOOKUP(Tableau4[[#This Row],[essence]],Tableau6[],11,FALSE)</f>
        <v>0</v>
      </c>
      <c r="AE152" s="12">
        <f>IF(Tableau4[[#This Row],[sdom]]="3OUEST",1,0)</f>
        <v>0</v>
      </c>
      <c r="AF152" s="12">
        <f>VLOOKUP(Tableau4[[#This Row],[essence]],Tableau6[],12,FALSE)</f>
        <v>0</v>
      </c>
      <c r="AG152" s="12">
        <f>IF(Tableau4[[#This Row],[sdom]]="4EST",1,0)</f>
        <v>0</v>
      </c>
      <c r="AH152" s="12">
        <f>VLOOKUP(Tableau4[[#This Row],[essence]],Tableau6[],13,FALSE)</f>
        <v>0</v>
      </c>
      <c r="AI152" s="12">
        <f>IF(Tableau4[[#This Row],[sdom]]="4OUEST",1,0)</f>
        <v>1</v>
      </c>
      <c r="AJ152" s="12">
        <f>VLOOKUP(Tableau4[[#This Row],[essence]],Tableau6[],14,FALSE)</f>
        <v>0</v>
      </c>
      <c r="AK152" s="12">
        <f>IF(Tableau4[[#This Row],[sdom]]="5EST",1,0)</f>
        <v>0</v>
      </c>
      <c r="AL152" s="12">
        <f>VLOOKUP(Tableau4[[#This Row],[essence]],Tableau6[],17,FALSE)</f>
        <v>0</v>
      </c>
      <c r="AM152" s="12">
        <f>IF(Tableau4[[#This Row],[priorecol]]="C",1,0)</f>
        <v>1</v>
      </c>
      <c r="AN152" s="12">
        <f>VLOOKUP(Tableau4[[#This Row],[essence]],Tableau6[],18,FALSE)</f>
        <v>0</v>
      </c>
      <c r="AO152" s="12">
        <f>IF(Tableau4[[#This Row],[priorecol]]="R",1,0)</f>
        <v>0</v>
      </c>
      <c r="AP152" s="12">
        <f>VLOOKUP(Tableau4[[#This Row],[essence]],Tableau6[],19,FALSE)</f>
        <v>0</v>
      </c>
      <c r="AQ152" s="12">
        <f>IF(Tableau4[[#This Row],[priorecol]]="S",1,0)</f>
        <v>0</v>
      </c>
      <c r="AR152" s="12">
        <f>VLOOKUP(Tableau4[[#This Row],[essence]],Tableau6[],21,FALSE)</f>
        <v>0</v>
      </c>
      <c r="AS152" s="12">
        <f>IF(Tableau4[[#This Row],[priorecol]]="C",1,0)</f>
        <v>1</v>
      </c>
      <c r="AT152" s="12">
        <f>VLOOKUP(Tableau4[[#This Row],[essence]],Tableau6[],22,FALSE)</f>
        <v>0</v>
      </c>
      <c r="AU152" s="12">
        <f>IF(Tableau4[[#This Row],[priorecol]]="R",1,0)</f>
        <v>0</v>
      </c>
      <c r="AV152" s="12">
        <f>VLOOKUP(Tableau4[[#This Row],[essence]],Tableau6[],23,FALSE)</f>
        <v>0</v>
      </c>
      <c r="AW152" s="12">
        <f>IF(Tableau4[[#This Row],[priorecol]]="S",1,0)</f>
        <v>0</v>
      </c>
      <c r="AX152" s="12">
        <f>VLOOKUP(Tableau4[[#This Row],[essence]],Tableau6[],24,FALSE)</f>
        <v>0</v>
      </c>
      <c r="AY152" s="12">
        <f>VLOOKUP(Tableau4[[#This Row],[essence]],Tableau6[],25,FALSE)</f>
        <v>0</v>
      </c>
      <c r="AZ152" s="12">
        <f>VLOOKUP(Tableau4[[#This Row],[essence]],Tableau6[],26,FALSE)</f>
        <v>0</v>
      </c>
      <c r="BA152" s="12">
        <f>VLOOKUP(Tableau4[[#This Row],[essence]],Tableau6[],27,FALSE)</f>
        <v>0</v>
      </c>
      <c r="BB152" s="12">
        <f>VLOOKUP(Tableau4[[#This Row],[essence]],Tableau6[],16,FALSE)</f>
        <v>0</v>
      </c>
      <c r="BC15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152" s="12">
        <f>Tableau4[[#This Row],[xb_]]+Tableau4[[#This Row],[b_intercept_C]]+Tableau4[[#This Row],[b_dhpcm_x_intercept_C]]*Tableau4[[#This Row],[dhpcm]]</f>
        <v>2.7033</v>
      </c>
      <c r="BE152" s="12">
        <f>Tableau4[[#This Row],[xb_]]+Tableau4[[#This Row],[b_intercept_B]]+Tableau4[[#This Row],[b_dhpcm_x_intercept_B]]*Tableau4[[#This Row],[dhpcm]]</f>
        <v>1.1242000000000001</v>
      </c>
      <c r="BF152" s="12">
        <f>Tableau4[[#This Row],[xb_]]+Tableau4[[#This Row],[b_intercept_A]]+Tableau4[[#This Row],[b_dhpcm_x_intercept_A]]*Tableau4[[#This Row],[dhpcm]]</f>
        <v>4.6600000000000197E-2</v>
      </c>
      <c r="BG152" s="12">
        <f>1/(1+EXP(-Tableau4[[#This Row],[xb_c]]))</f>
        <v>0.93722108879172883</v>
      </c>
      <c r="BH152" s="12">
        <f>1/(1+EXP(-Tableau4[[#This Row],[xb_b]]))</f>
        <v>0.75476694200486438</v>
      </c>
      <c r="BI152" s="12">
        <f>1/(1+EXP(-Tableau4[[#This Row],[xb_a]]))</f>
        <v>0.51164789223487939</v>
      </c>
      <c r="BJ152" s="12">
        <f>Tableau4[[#This Row],[prob_a]]</f>
        <v>0.51164789223487939</v>
      </c>
      <c r="BK152" s="12">
        <f>Tableau4[[#This Row],[prob_b]]-Tableau4[[#This Row],[prob_a]]</f>
        <v>0.243119049769985</v>
      </c>
      <c r="BL152" s="12">
        <f>Tableau4[[#This Row],[prob_c]]-Tableau4[[#This Row],[prob_b]]</f>
        <v>0.18245414678686445</v>
      </c>
      <c r="BM152" s="12">
        <f>1-Tableau4[[#This Row],[prob_c]]</f>
        <v>6.2778911208271171E-2</v>
      </c>
    </row>
    <row r="153" spans="1:65" x14ac:dyDescent="0.25">
      <c r="A153" s="12">
        <v>7</v>
      </c>
      <c r="B153" s="12" t="s">
        <v>15</v>
      </c>
      <c r="C153" s="12">
        <v>2.1</v>
      </c>
      <c r="D153" s="12">
        <v>700</v>
      </c>
      <c r="E153" s="12">
        <v>20</v>
      </c>
      <c r="F153" s="12">
        <v>1</v>
      </c>
      <c r="G153" s="12">
        <v>56</v>
      </c>
      <c r="H153" s="12">
        <v>191</v>
      </c>
      <c r="I153" s="12" t="s">
        <v>21</v>
      </c>
      <c r="J153" s="12" t="s">
        <v>28</v>
      </c>
      <c r="K153" s="12">
        <f>VLOOKUP(Tableau4[[#This Row],[essence]],Tableau6[],2,FALSE)</f>
        <v>-2.4091999999999998</v>
      </c>
      <c r="L153" s="12">
        <f>VLOOKUP(Tableau4[[#This Row],[essence]],Tableau6[],3,FALSE)</f>
        <v>-1.3315999999999999</v>
      </c>
      <c r="M153" s="12">
        <f>VLOOKUP(Tableau4[[#This Row],[essence]],Tableau6[],4,FALSE)</f>
        <v>0.2475</v>
      </c>
      <c r="N153" s="12">
        <f>VLOOKUP(Tableau4[[#This Row],[essence]],Tableau6[],5,FALSE)</f>
        <v>1.9658</v>
      </c>
      <c r="O153" s="12">
        <f>IF(Tableau4[[#This Row],[priorecol]]="C",1,0)</f>
        <v>0</v>
      </c>
      <c r="P153" s="12">
        <f>VLOOKUP(Tableau4[[#This Row],[essence]],Tableau6[],6,FALSE)</f>
        <v>2.8807</v>
      </c>
      <c r="Q153" s="12">
        <f>IF(Tableau4[[#This Row],[priorecol]]="R",1,0)</f>
        <v>1</v>
      </c>
      <c r="R153" s="12">
        <f>VLOOKUP(Tableau4[[#This Row],[essence]],Tableau6[],7,FALSE)</f>
        <v>1.1791</v>
      </c>
      <c r="S153" s="12">
        <f>IF(Tableau4[[#This Row],[priorecol]]="S",1,0)</f>
        <v>0</v>
      </c>
      <c r="T153" s="12">
        <f>VLOOKUP(Tableau4[[#This Row],[essence]],Tableau6[],20,FALSE)</f>
        <v>0</v>
      </c>
      <c r="U153" s="12">
        <f>VLOOKUP(Tableau4[[#This Row],[essence]],Tableau6[],15,FALSE)</f>
        <v>2.4500000000000001E-2</v>
      </c>
      <c r="V153" s="12">
        <f>VLOOKUP(Tableau4[[#This Row],[essence]],Tableau6[],28,FALSE)</f>
        <v>0</v>
      </c>
      <c r="W153" s="12">
        <f>IF(Tableau4[[#This Row],[sdom]]=1,1,0)</f>
        <v>0</v>
      </c>
      <c r="X153" s="12">
        <f>VLOOKUP(Tableau4[[#This Row],[essence]],Tableau6[],8,FALSE)</f>
        <v>0</v>
      </c>
      <c r="Y153" s="12">
        <f>IF(Tableau4[[#This Row],[sdom]]="2EST",1,0)</f>
        <v>0</v>
      </c>
      <c r="Z153" s="12">
        <f>VLOOKUP(Tableau4[[#This Row],[essence]],Tableau6[],9,FALSE)</f>
        <v>0</v>
      </c>
      <c r="AA153" s="12">
        <f>IF(Tableau4[[#This Row],[sdom]]="2OUEST",1,0)</f>
        <v>0</v>
      </c>
      <c r="AB153" s="12">
        <f>VLOOKUP(Tableau4[[#This Row],[essence]],Tableau6[],10,FALSE)</f>
        <v>0</v>
      </c>
      <c r="AC153" s="12">
        <f>IF(Tableau4[[#This Row],[sdom]]="3EST",1,0)</f>
        <v>0</v>
      </c>
      <c r="AD153" s="12">
        <f>VLOOKUP(Tableau4[[#This Row],[essence]],Tableau6[],11,FALSE)</f>
        <v>0</v>
      </c>
      <c r="AE153" s="12">
        <f>IF(Tableau4[[#This Row],[sdom]]="3OUEST",1,0)</f>
        <v>0</v>
      </c>
      <c r="AF153" s="12">
        <f>VLOOKUP(Tableau4[[#This Row],[essence]],Tableau6[],12,FALSE)</f>
        <v>0</v>
      </c>
      <c r="AG153" s="12">
        <f>IF(Tableau4[[#This Row],[sdom]]="4EST",1,0)</f>
        <v>0</v>
      </c>
      <c r="AH153" s="12">
        <f>VLOOKUP(Tableau4[[#This Row],[essence]],Tableau6[],13,FALSE)</f>
        <v>0</v>
      </c>
      <c r="AI153" s="12">
        <f>IF(Tableau4[[#This Row],[sdom]]="4OUEST",1,0)</f>
        <v>1</v>
      </c>
      <c r="AJ153" s="12">
        <f>VLOOKUP(Tableau4[[#This Row],[essence]],Tableau6[],14,FALSE)</f>
        <v>0</v>
      </c>
      <c r="AK153" s="12">
        <f>IF(Tableau4[[#This Row],[sdom]]="5EST",1,0)</f>
        <v>0</v>
      </c>
      <c r="AL153" s="12">
        <f>VLOOKUP(Tableau4[[#This Row],[essence]],Tableau6[],17,FALSE)</f>
        <v>0</v>
      </c>
      <c r="AM153" s="12">
        <f>IF(Tableau4[[#This Row],[priorecol]]="C",1,0)</f>
        <v>0</v>
      </c>
      <c r="AN153" s="12">
        <f>VLOOKUP(Tableau4[[#This Row],[essence]],Tableau6[],18,FALSE)</f>
        <v>0</v>
      </c>
      <c r="AO153" s="12">
        <f>IF(Tableau4[[#This Row],[priorecol]]="R",1,0)</f>
        <v>1</v>
      </c>
      <c r="AP153" s="12">
        <f>VLOOKUP(Tableau4[[#This Row],[essence]],Tableau6[],19,FALSE)</f>
        <v>0</v>
      </c>
      <c r="AQ153" s="12">
        <f>IF(Tableau4[[#This Row],[priorecol]]="S",1,0)</f>
        <v>0</v>
      </c>
      <c r="AR153" s="12">
        <f>VLOOKUP(Tableau4[[#This Row],[essence]],Tableau6[],21,FALSE)</f>
        <v>0</v>
      </c>
      <c r="AS153" s="12">
        <f>IF(Tableau4[[#This Row],[priorecol]]="C",1,0)</f>
        <v>0</v>
      </c>
      <c r="AT153" s="12">
        <f>VLOOKUP(Tableau4[[#This Row],[essence]],Tableau6[],22,FALSE)</f>
        <v>0</v>
      </c>
      <c r="AU153" s="12">
        <f>IF(Tableau4[[#This Row],[priorecol]]="R",1,0)</f>
        <v>1</v>
      </c>
      <c r="AV153" s="12">
        <f>VLOOKUP(Tableau4[[#This Row],[essence]],Tableau6[],23,FALSE)</f>
        <v>0</v>
      </c>
      <c r="AW153" s="12">
        <f>IF(Tableau4[[#This Row],[priorecol]]="S",1,0)</f>
        <v>0</v>
      </c>
      <c r="AX153" s="12">
        <f>VLOOKUP(Tableau4[[#This Row],[essence]],Tableau6[],24,FALSE)</f>
        <v>0</v>
      </c>
      <c r="AY153" s="12">
        <f>VLOOKUP(Tableau4[[#This Row],[essence]],Tableau6[],25,FALSE)</f>
        <v>0</v>
      </c>
      <c r="AZ153" s="12">
        <f>VLOOKUP(Tableau4[[#This Row],[essence]],Tableau6[],26,FALSE)</f>
        <v>0</v>
      </c>
      <c r="BA153" s="12">
        <f>VLOOKUP(Tableau4[[#This Row],[essence]],Tableau6[],27,FALSE)</f>
        <v>0</v>
      </c>
      <c r="BB153" s="12">
        <f>VLOOKUP(Tableau4[[#This Row],[essence]],Tableau6[],16,FALSE)</f>
        <v>0</v>
      </c>
      <c r="BC15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153" s="12">
        <f>Tableau4[[#This Row],[xb_]]+Tableau4[[#This Row],[b_intercept_C]]+Tableau4[[#This Row],[b_dhpcm_x_intercept_C]]*Tableau4[[#This Row],[dhpcm]]</f>
        <v>3.6182000000000003</v>
      </c>
      <c r="BE153" s="12">
        <f>Tableau4[[#This Row],[xb_]]+Tableau4[[#This Row],[b_intercept_B]]+Tableau4[[#This Row],[b_dhpcm_x_intercept_B]]*Tableau4[[#This Row],[dhpcm]]</f>
        <v>2.0391000000000004</v>
      </c>
      <c r="BF153" s="12">
        <f>Tableau4[[#This Row],[xb_]]+Tableau4[[#This Row],[b_intercept_A]]+Tableau4[[#This Row],[b_dhpcm_x_intercept_A]]*Tableau4[[#This Row],[dhpcm]]</f>
        <v>0.96150000000000047</v>
      </c>
      <c r="BG153" s="12">
        <f>1/(1+EXP(-Tableau4[[#This Row],[xb_c]]))</f>
        <v>0.97387015917251429</v>
      </c>
      <c r="BH153" s="12">
        <f>1/(1+EXP(-Tableau4[[#This Row],[xb_b]]))</f>
        <v>0.88484159245928551</v>
      </c>
      <c r="BI153" s="12">
        <f>1/(1+EXP(-Tableau4[[#This Row],[xb_a]]))</f>
        <v>0.72342202957828172</v>
      </c>
      <c r="BJ153" s="12">
        <f>Tableau4[[#This Row],[prob_a]]</f>
        <v>0.72342202957828172</v>
      </c>
      <c r="BK153" s="12">
        <f>Tableau4[[#This Row],[prob_b]]-Tableau4[[#This Row],[prob_a]]</f>
        <v>0.16141956288100379</v>
      </c>
      <c r="BL153" s="12">
        <f>Tableau4[[#This Row],[prob_c]]-Tableau4[[#This Row],[prob_b]]</f>
        <v>8.9028566713228785E-2</v>
      </c>
      <c r="BM153" s="12">
        <f>1-Tableau4[[#This Row],[prob_c]]</f>
        <v>2.6129840827485706E-2</v>
      </c>
    </row>
    <row r="154" spans="1:65" x14ac:dyDescent="0.25">
      <c r="A154" s="12">
        <v>7</v>
      </c>
      <c r="B154" s="12" t="s">
        <v>15</v>
      </c>
      <c r="C154" s="12">
        <v>2.1</v>
      </c>
      <c r="D154" s="12">
        <v>700</v>
      </c>
      <c r="E154" s="12">
        <v>20</v>
      </c>
      <c r="F154" s="12">
        <v>1</v>
      </c>
      <c r="G154" s="12">
        <v>57</v>
      </c>
      <c r="H154" s="12">
        <v>192</v>
      </c>
      <c r="I154" s="12" t="s">
        <v>21</v>
      </c>
      <c r="J154" s="12" t="s">
        <v>29</v>
      </c>
      <c r="K154" s="12">
        <f>VLOOKUP(Tableau4[[#This Row],[essence]],Tableau6[],2,FALSE)</f>
        <v>-2.4091999999999998</v>
      </c>
      <c r="L154" s="12">
        <f>VLOOKUP(Tableau4[[#This Row],[essence]],Tableau6[],3,FALSE)</f>
        <v>-1.3315999999999999</v>
      </c>
      <c r="M154" s="12">
        <f>VLOOKUP(Tableau4[[#This Row],[essence]],Tableau6[],4,FALSE)</f>
        <v>0.2475</v>
      </c>
      <c r="N154" s="12">
        <f>VLOOKUP(Tableau4[[#This Row],[essence]],Tableau6[],5,FALSE)</f>
        <v>1.9658</v>
      </c>
      <c r="O154" s="12">
        <f>IF(Tableau4[[#This Row],[priorecol]]="C",1,0)</f>
        <v>0</v>
      </c>
      <c r="P154" s="12">
        <f>VLOOKUP(Tableau4[[#This Row],[essence]],Tableau6[],6,FALSE)</f>
        <v>2.8807</v>
      </c>
      <c r="Q154" s="12">
        <f>IF(Tableau4[[#This Row],[priorecol]]="R",1,0)</f>
        <v>0</v>
      </c>
      <c r="R154" s="12">
        <f>VLOOKUP(Tableau4[[#This Row],[essence]],Tableau6[],7,FALSE)</f>
        <v>1.1791</v>
      </c>
      <c r="S154" s="12">
        <f>IF(Tableau4[[#This Row],[priorecol]]="S",1,0)</f>
        <v>1</v>
      </c>
      <c r="T154" s="12">
        <f>VLOOKUP(Tableau4[[#This Row],[essence]],Tableau6[],20,FALSE)</f>
        <v>0</v>
      </c>
      <c r="U154" s="12">
        <f>VLOOKUP(Tableau4[[#This Row],[essence]],Tableau6[],15,FALSE)</f>
        <v>2.4500000000000001E-2</v>
      </c>
      <c r="V154" s="12">
        <f>VLOOKUP(Tableau4[[#This Row],[essence]],Tableau6[],28,FALSE)</f>
        <v>0</v>
      </c>
      <c r="W154" s="12">
        <f>IF(Tableau4[[#This Row],[sdom]]=1,1,0)</f>
        <v>0</v>
      </c>
      <c r="X154" s="12">
        <f>VLOOKUP(Tableau4[[#This Row],[essence]],Tableau6[],8,FALSE)</f>
        <v>0</v>
      </c>
      <c r="Y154" s="12">
        <f>IF(Tableau4[[#This Row],[sdom]]="2EST",1,0)</f>
        <v>0</v>
      </c>
      <c r="Z154" s="12">
        <f>VLOOKUP(Tableau4[[#This Row],[essence]],Tableau6[],9,FALSE)</f>
        <v>0</v>
      </c>
      <c r="AA154" s="12">
        <f>IF(Tableau4[[#This Row],[sdom]]="2OUEST",1,0)</f>
        <v>0</v>
      </c>
      <c r="AB154" s="12">
        <f>VLOOKUP(Tableau4[[#This Row],[essence]],Tableau6[],10,FALSE)</f>
        <v>0</v>
      </c>
      <c r="AC154" s="12">
        <f>IF(Tableau4[[#This Row],[sdom]]="3EST",1,0)</f>
        <v>0</v>
      </c>
      <c r="AD154" s="12">
        <f>VLOOKUP(Tableau4[[#This Row],[essence]],Tableau6[],11,FALSE)</f>
        <v>0</v>
      </c>
      <c r="AE154" s="12">
        <f>IF(Tableau4[[#This Row],[sdom]]="3OUEST",1,0)</f>
        <v>0</v>
      </c>
      <c r="AF154" s="12">
        <f>VLOOKUP(Tableau4[[#This Row],[essence]],Tableau6[],12,FALSE)</f>
        <v>0</v>
      </c>
      <c r="AG154" s="12">
        <f>IF(Tableau4[[#This Row],[sdom]]="4EST",1,0)</f>
        <v>0</v>
      </c>
      <c r="AH154" s="12">
        <f>VLOOKUP(Tableau4[[#This Row],[essence]],Tableau6[],13,FALSE)</f>
        <v>0</v>
      </c>
      <c r="AI154" s="12">
        <f>IF(Tableau4[[#This Row],[sdom]]="4OUEST",1,0)</f>
        <v>1</v>
      </c>
      <c r="AJ154" s="12">
        <f>VLOOKUP(Tableau4[[#This Row],[essence]],Tableau6[],14,FALSE)</f>
        <v>0</v>
      </c>
      <c r="AK154" s="12">
        <f>IF(Tableau4[[#This Row],[sdom]]="5EST",1,0)</f>
        <v>0</v>
      </c>
      <c r="AL154" s="12">
        <f>VLOOKUP(Tableau4[[#This Row],[essence]],Tableau6[],17,FALSE)</f>
        <v>0</v>
      </c>
      <c r="AM154" s="12">
        <f>IF(Tableau4[[#This Row],[priorecol]]="C",1,0)</f>
        <v>0</v>
      </c>
      <c r="AN154" s="12">
        <f>VLOOKUP(Tableau4[[#This Row],[essence]],Tableau6[],18,FALSE)</f>
        <v>0</v>
      </c>
      <c r="AO154" s="12">
        <f>IF(Tableau4[[#This Row],[priorecol]]="R",1,0)</f>
        <v>0</v>
      </c>
      <c r="AP154" s="12">
        <f>VLOOKUP(Tableau4[[#This Row],[essence]],Tableau6[],19,FALSE)</f>
        <v>0</v>
      </c>
      <c r="AQ154" s="12">
        <f>IF(Tableau4[[#This Row],[priorecol]]="S",1,0)</f>
        <v>1</v>
      </c>
      <c r="AR154" s="12">
        <f>VLOOKUP(Tableau4[[#This Row],[essence]],Tableau6[],21,FALSE)</f>
        <v>0</v>
      </c>
      <c r="AS154" s="12">
        <f>IF(Tableau4[[#This Row],[priorecol]]="C",1,0)</f>
        <v>0</v>
      </c>
      <c r="AT154" s="12">
        <f>VLOOKUP(Tableau4[[#This Row],[essence]],Tableau6[],22,FALSE)</f>
        <v>0</v>
      </c>
      <c r="AU154" s="12">
        <f>IF(Tableau4[[#This Row],[priorecol]]="R",1,0)</f>
        <v>0</v>
      </c>
      <c r="AV154" s="12">
        <f>VLOOKUP(Tableau4[[#This Row],[essence]],Tableau6[],23,FALSE)</f>
        <v>0</v>
      </c>
      <c r="AW154" s="12">
        <f>IF(Tableau4[[#This Row],[priorecol]]="S",1,0)</f>
        <v>1</v>
      </c>
      <c r="AX154" s="12">
        <f>VLOOKUP(Tableau4[[#This Row],[essence]],Tableau6[],24,FALSE)</f>
        <v>0</v>
      </c>
      <c r="AY154" s="12">
        <f>VLOOKUP(Tableau4[[#This Row],[essence]],Tableau6[],25,FALSE)</f>
        <v>0</v>
      </c>
      <c r="AZ154" s="12">
        <f>VLOOKUP(Tableau4[[#This Row],[essence]],Tableau6[],26,FALSE)</f>
        <v>0</v>
      </c>
      <c r="BA154" s="12">
        <f>VLOOKUP(Tableau4[[#This Row],[essence]],Tableau6[],27,FALSE)</f>
        <v>0</v>
      </c>
      <c r="BB154" s="12">
        <f>VLOOKUP(Tableau4[[#This Row],[essence]],Tableau6[],16,FALSE)</f>
        <v>0</v>
      </c>
      <c r="BC15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54" s="12">
        <f>Tableau4[[#This Row],[xb_]]+Tableau4[[#This Row],[b_intercept_C]]+Tableau4[[#This Row],[b_dhpcm_x_intercept_C]]*Tableau4[[#This Row],[dhpcm]]</f>
        <v>1.9166000000000001</v>
      </c>
      <c r="BE154" s="12">
        <f>Tableau4[[#This Row],[xb_]]+Tableau4[[#This Row],[b_intercept_B]]+Tableau4[[#This Row],[b_dhpcm_x_intercept_B]]*Tableau4[[#This Row],[dhpcm]]</f>
        <v>0.33750000000000013</v>
      </c>
      <c r="BF154" s="12">
        <f>Tableau4[[#This Row],[xb_]]+Tableau4[[#This Row],[b_intercept_A]]+Tableau4[[#This Row],[b_dhpcm_x_intercept_A]]*Tableau4[[#This Row],[dhpcm]]</f>
        <v>-0.74009999999999976</v>
      </c>
      <c r="BG154" s="12">
        <f>1/(1+EXP(-Tableau4[[#This Row],[xb_c]]))</f>
        <v>0.87175880956636009</v>
      </c>
      <c r="BH154" s="12">
        <f>1/(1+EXP(-Tableau4[[#This Row],[xb_b]]))</f>
        <v>0.58358311551727526</v>
      </c>
      <c r="BI154" s="12">
        <f>1/(1+EXP(-Tableau4[[#This Row],[xb_a]]))</f>
        <v>0.32298227690184222</v>
      </c>
      <c r="BJ154" s="12">
        <f>Tableau4[[#This Row],[prob_a]]</f>
        <v>0.32298227690184222</v>
      </c>
      <c r="BK154" s="12">
        <f>Tableau4[[#This Row],[prob_b]]-Tableau4[[#This Row],[prob_a]]</f>
        <v>0.26060083861543304</v>
      </c>
      <c r="BL154" s="12">
        <f>Tableau4[[#This Row],[prob_c]]-Tableau4[[#This Row],[prob_b]]</f>
        <v>0.28817569404908483</v>
      </c>
      <c r="BM154" s="12">
        <f>1-Tableau4[[#This Row],[prob_c]]</f>
        <v>0.12824119043363991</v>
      </c>
    </row>
    <row r="155" spans="1:65" x14ac:dyDescent="0.25">
      <c r="A155" s="12">
        <v>7</v>
      </c>
      <c r="B155" s="12" t="s">
        <v>15</v>
      </c>
      <c r="C155" s="12">
        <v>2.1</v>
      </c>
      <c r="D155" s="12">
        <v>700</v>
      </c>
      <c r="E155" s="12">
        <v>20</v>
      </c>
      <c r="F155" s="12">
        <v>1</v>
      </c>
      <c r="G155" s="12">
        <v>58</v>
      </c>
      <c r="H155" s="12">
        <v>193</v>
      </c>
      <c r="I155" s="12" t="s">
        <v>22</v>
      </c>
      <c r="J155" s="12" t="s">
        <v>27</v>
      </c>
      <c r="K155" s="12">
        <f>VLOOKUP(Tableau4[[#This Row],[essence]],Tableau6[],2,FALSE)</f>
        <v>-3.5731999999999999</v>
      </c>
      <c r="L155" s="12">
        <f>VLOOKUP(Tableau4[[#This Row],[essence]],Tableau6[],3,FALSE)</f>
        <v>-1.9289000000000001</v>
      </c>
      <c r="M155" s="12">
        <f>VLOOKUP(Tableau4[[#This Row],[essence]],Tableau6[],4,FALSE)</f>
        <v>0.40949999999999998</v>
      </c>
      <c r="N155" s="12">
        <f>VLOOKUP(Tableau4[[#This Row],[essence]],Tableau6[],5,FALSE)</f>
        <v>2.0705</v>
      </c>
      <c r="O155" s="12">
        <f>IF(Tableau4[[#This Row],[priorecol]]="C",1,0)</f>
        <v>1</v>
      </c>
      <c r="P155" s="12">
        <f>VLOOKUP(Tableau4[[#This Row],[essence]],Tableau6[],6,FALSE)</f>
        <v>2.9992999999999999</v>
      </c>
      <c r="Q155" s="12">
        <f>IF(Tableau4[[#This Row],[priorecol]]="R",1,0)</f>
        <v>0</v>
      </c>
      <c r="R155" s="12">
        <f>VLOOKUP(Tableau4[[#This Row],[essence]],Tableau6[],7,FALSE)</f>
        <v>1.3050999999999999</v>
      </c>
      <c r="S155" s="12">
        <f>IF(Tableau4[[#This Row],[priorecol]]="S",1,0)</f>
        <v>0</v>
      </c>
      <c r="T155" s="12">
        <f>VLOOKUP(Tableau4[[#This Row],[essence]],Tableau6[],20,FALSE)</f>
        <v>0</v>
      </c>
      <c r="U155" s="12">
        <f>VLOOKUP(Tableau4[[#This Row],[essence]],Tableau6[],15,FALSE)</f>
        <v>0</v>
      </c>
      <c r="V155" s="12">
        <f>VLOOKUP(Tableau4[[#This Row],[essence]],Tableau6[],28,FALSE)</f>
        <v>0</v>
      </c>
      <c r="W155" s="12">
        <f>IF(Tableau4[[#This Row],[sdom]]=1,1,0)</f>
        <v>0</v>
      </c>
      <c r="X155" s="12">
        <f>VLOOKUP(Tableau4[[#This Row],[essence]],Tableau6[],8,FALSE)</f>
        <v>0</v>
      </c>
      <c r="Y155" s="12">
        <f>IF(Tableau4[[#This Row],[sdom]]="2EST",1,0)</f>
        <v>0</v>
      </c>
      <c r="Z155" s="12">
        <f>VLOOKUP(Tableau4[[#This Row],[essence]],Tableau6[],9,FALSE)</f>
        <v>0</v>
      </c>
      <c r="AA155" s="12">
        <f>IF(Tableau4[[#This Row],[sdom]]="2OUEST",1,0)</f>
        <v>0</v>
      </c>
      <c r="AB155" s="12">
        <f>VLOOKUP(Tableau4[[#This Row],[essence]],Tableau6[],10,FALSE)</f>
        <v>0</v>
      </c>
      <c r="AC155" s="12">
        <f>IF(Tableau4[[#This Row],[sdom]]="3EST",1,0)</f>
        <v>0</v>
      </c>
      <c r="AD155" s="12">
        <f>VLOOKUP(Tableau4[[#This Row],[essence]],Tableau6[],11,FALSE)</f>
        <v>0</v>
      </c>
      <c r="AE155" s="12">
        <f>IF(Tableau4[[#This Row],[sdom]]="3OUEST",1,0)</f>
        <v>0</v>
      </c>
      <c r="AF155" s="12">
        <f>VLOOKUP(Tableau4[[#This Row],[essence]],Tableau6[],12,FALSE)</f>
        <v>0</v>
      </c>
      <c r="AG155" s="12">
        <f>IF(Tableau4[[#This Row],[sdom]]="4EST",1,0)</f>
        <v>0</v>
      </c>
      <c r="AH155" s="12">
        <f>VLOOKUP(Tableau4[[#This Row],[essence]],Tableau6[],13,FALSE)</f>
        <v>0</v>
      </c>
      <c r="AI155" s="12">
        <f>IF(Tableau4[[#This Row],[sdom]]="4OUEST",1,0)</f>
        <v>1</v>
      </c>
      <c r="AJ155" s="12">
        <f>VLOOKUP(Tableau4[[#This Row],[essence]],Tableau6[],14,FALSE)</f>
        <v>0</v>
      </c>
      <c r="AK155" s="12">
        <f>IF(Tableau4[[#This Row],[sdom]]="5EST",1,0)</f>
        <v>0</v>
      </c>
      <c r="AL155" s="12">
        <f>VLOOKUP(Tableau4[[#This Row],[essence]],Tableau6[],17,FALSE)</f>
        <v>0</v>
      </c>
      <c r="AM155" s="12">
        <f>IF(Tableau4[[#This Row],[priorecol]]="C",1,0)</f>
        <v>1</v>
      </c>
      <c r="AN155" s="12">
        <f>VLOOKUP(Tableau4[[#This Row],[essence]],Tableau6[],18,FALSE)</f>
        <v>0</v>
      </c>
      <c r="AO155" s="12">
        <f>IF(Tableau4[[#This Row],[priorecol]]="R",1,0)</f>
        <v>0</v>
      </c>
      <c r="AP155" s="12">
        <f>VLOOKUP(Tableau4[[#This Row],[essence]],Tableau6[],19,FALSE)</f>
        <v>0</v>
      </c>
      <c r="AQ155" s="12">
        <f>IF(Tableau4[[#This Row],[priorecol]]="S",1,0)</f>
        <v>0</v>
      </c>
      <c r="AR155" s="12">
        <f>VLOOKUP(Tableau4[[#This Row],[essence]],Tableau6[],21,FALSE)</f>
        <v>0</v>
      </c>
      <c r="AS155" s="12">
        <f>IF(Tableau4[[#This Row],[priorecol]]="C",1,0)</f>
        <v>1</v>
      </c>
      <c r="AT155" s="12">
        <f>VLOOKUP(Tableau4[[#This Row],[essence]],Tableau6[],22,FALSE)</f>
        <v>0</v>
      </c>
      <c r="AU155" s="12">
        <f>IF(Tableau4[[#This Row],[priorecol]]="R",1,0)</f>
        <v>0</v>
      </c>
      <c r="AV155" s="12">
        <f>VLOOKUP(Tableau4[[#This Row],[essence]],Tableau6[],23,FALSE)</f>
        <v>0</v>
      </c>
      <c r="AW155" s="12">
        <f>IF(Tableau4[[#This Row],[priorecol]]="S",1,0)</f>
        <v>0</v>
      </c>
      <c r="AX155" s="12">
        <f>VLOOKUP(Tableau4[[#This Row],[essence]],Tableau6[],24,FALSE)</f>
        <v>-2.1000000000000001E-4</v>
      </c>
      <c r="AY155" s="12">
        <f>VLOOKUP(Tableau4[[#This Row],[essence]],Tableau6[],25,FALSE)</f>
        <v>-1.34E-2</v>
      </c>
      <c r="AZ155" s="12">
        <f>VLOOKUP(Tableau4[[#This Row],[essence]],Tableau6[],26,FALSE)</f>
        <v>-2.8899999999999999E-2</v>
      </c>
      <c r="BA155" s="12">
        <f>VLOOKUP(Tableau4[[#This Row],[essence]],Tableau6[],27,FALSE)</f>
        <v>0.2873</v>
      </c>
      <c r="BB155" s="12">
        <f>VLOOKUP(Tableau4[[#This Row],[essence]],Tableau6[],16,FALSE)</f>
        <v>0</v>
      </c>
      <c r="BC15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55" s="12">
        <f>Tableau4[[#This Row],[xb_]]+Tableau4[[#This Row],[b_intercept_C]]+Tableau4[[#This Row],[b_dhpcm_x_intercept_C]]*Tableau4[[#This Row],[dhpcm]]</f>
        <v>-2.49437</v>
      </c>
      <c r="BE155" s="12">
        <f>Tableau4[[#This Row],[xb_]]+Tableau4[[#This Row],[b_intercept_B]]+Tableau4[[#This Row],[b_dhpcm_x_intercept_B]]*Tableau4[[#This Row],[dhpcm]]</f>
        <v>-1.8412700000000002</v>
      </c>
      <c r="BF155" s="12">
        <f>Tableau4[[#This Row],[xb_]]+Tableau4[[#This Row],[b_intercept_A]]+Tableau4[[#This Row],[b_dhpcm_x_intercept_A]]*Tableau4[[#This Row],[dhpcm]]</f>
        <v>-0.93989999999999974</v>
      </c>
      <c r="BG155" s="12">
        <f>1/(1+EXP(-Tableau4[[#This Row],[xb_c]]))</f>
        <v>7.625380762683634E-2</v>
      </c>
      <c r="BH155" s="12">
        <f>1/(1+EXP(-Tableau4[[#This Row],[xb_b]]))</f>
        <v>0.13690116113851336</v>
      </c>
      <c r="BI155" s="12">
        <f>1/(1+EXP(-Tableau4[[#This Row],[xb_a]]))</f>
        <v>0.28092054256019217</v>
      </c>
      <c r="BJ155" s="12">
        <f>Tableau4[[#This Row],[prob_a]]</f>
        <v>0.28092054256019217</v>
      </c>
      <c r="BK155" s="12">
        <f>Tableau4[[#This Row],[prob_b]]-Tableau4[[#This Row],[prob_a]]</f>
        <v>-0.1440193814216788</v>
      </c>
      <c r="BL155" s="12">
        <f>Tableau4[[#This Row],[prob_c]]-Tableau4[[#This Row],[prob_b]]</f>
        <v>-6.0647353511677021E-2</v>
      </c>
      <c r="BM155" s="12">
        <f>1-Tableau4[[#This Row],[prob_c]]</f>
        <v>0.92374619237316369</v>
      </c>
    </row>
    <row r="156" spans="1:65" x14ac:dyDescent="0.25">
      <c r="A156" s="12">
        <v>7</v>
      </c>
      <c r="B156" s="12" t="s">
        <v>15</v>
      </c>
      <c r="C156" s="12">
        <v>2.1</v>
      </c>
      <c r="D156" s="12">
        <v>700</v>
      </c>
      <c r="E156" s="12">
        <v>20</v>
      </c>
      <c r="F156" s="12">
        <v>1</v>
      </c>
      <c r="G156" s="12">
        <v>59</v>
      </c>
      <c r="H156" s="12">
        <v>194</v>
      </c>
      <c r="I156" s="12" t="s">
        <v>22</v>
      </c>
      <c r="J156" s="12" t="s">
        <v>28</v>
      </c>
      <c r="K156" s="12">
        <f>VLOOKUP(Tableau4[[#This Row],[essence]],Tableau6[],2,FALSE)</f>
        <v>-3.5731999999999999</v>
      </c>
      <c r="L156" s="12">
        <f>VLOOKUP(Tableau4[[#This Row],[essence]],Tableau6[],3,FALSE)</f>
        <v>-1.9289000000000001</v>
      </c>
      <c r="M156" s="12">
        <f>VLOOKUP(Tableau4[[#This Row],[essence]],Tableau6[],4,FALSE)</f>
        <v>0.40949999999999998</v>
      </c>
      <c r="N156" s="12">
        <f>VLOOKUP(Tableau4[[#This Row],[essence]],Tableau6[],5,FALSE)</f>
        <v>2.0705</v>
      </c>
      <c r="O156" s="12">
        <f>IF(Tableau4[[#This Row],[priorecol]]="C",1,0)</f>
        <v>0</v>
      </c>
      <c r="P156" s="12">
        <f>VLOOKUP(Tableau4[[#This Row],[essence]],Tableau6[],6,FALSE)</f>
        <v>2.9992999999999999</v>
      </c>
      <c r="Q156" s="12">
        <f>IF(Tableau4[[#This Row],[priorecol]]="R",1,0)</f>
        <v>1</v>
      </c>
      <c r="R156" s="12">
        <f>VLOOKUP(Tableau4[[#This Row],[essence]],Tableau6[],7,FALSE)</f>
        <v>1.3050999999999999</v>
      </c>
      <c r="S156" s="12">
        <f>IF(Tableau4[[#This Row],[priorecol]]="S",1,0)</f>
        <v>0</v>
      </c>
      <c r="T156" s="12">
        <f>VLOOKUP(Tableau4[[#This Row],[essence]],Tableau6[],20,FALSE)</f>
        <v>0</v>
      </c>
      <c r="U156" s="12">
        <f>VLOOKUP(Tableau4[[#This Row],[essence]],Tableau6[],15,FALSE)</f>
        <v>0</v>
      </c>
      <c r="V156" s="12">
        <f>VLOOKUP(Tableau4[[#This Row],[essence]],Tableau6[],28,FALSE)</f>
        <v>0</v>
      </c>
      <c r="W156" s="12">
        <f>IF(Tableau4[[#This Row],[sdom]]=1,1,0)</f>
        <v>0</v>
      </c>
      <c r="X156" s="12">
        <f>VLOOKUP(Tableau4[[#This Row],[essence]],Tableau6[],8,FALSE)</f>
        <v>0</v>
      </c>
      <c r="Y156" s="12">
        <f>IF(Tableau4[[#This Row],[sdom]]="2EST",1,0)</f>
        <v>0</v>
      </c>
      <c r="Z156" s="12">
        <f>VLOOKUP(Tableau4[[#This Row],[essence]],Tableau6[],9,FALSE)</f>
        <v>0</v>
      </c>
      <c r="AA156" s="12">
        <f>IF(Tableau4[[#This Row],[sdom]]="2OUEST",1,0)</f>
        <v>0</v>
      </c>
      <c r="AB156" s="12">
        <f>VLOOKUP(Tableau4[[#This Row],[essence]],Tableau6[],10,FALSE)</f>
        <v>0</v>
      </c>
      <c r="AC156" s="12">
        <f>IF(Tableau4[[#This Row],[sdom]]="3EST",1,0)</f>
        <v>0</v>
      </c>
      <c r="AD156" s="12">
        <f>VLOOKUP(Tableau4[[#This Row],[essence]],Tableau6[],11,FALSE)</f>
        <v>0</v>
      </c>
      <c r="AE156" s="12">
        <f>IF(Tableau4[[#This Row],[sdom]]="3OUEST",1,0)</f>
        <v>0</v>
      </c>
      <c r="AF156" s="12">
        <f>VLOOKUP(Tableau4[[#This Row],[essence]],Tableau6[],12,FALSE)</f>
        <v>0</v>
      </c>
      <c r="AG156" s="12">
        <f>IF(Tableau4[[#This Row],[sdom]]="4EST",1,0)</f>
        <v>0</v>
      </c>
      <c r="AH156" s="12">
        <f>VLOOKUP(Tableau4[[#This Row],[essence]],Tableau6[],13,FALSE)</f>
        <v>0</v>
      </c>
      <c r="AI156" s="12">
        <f>IF(Tableau4[[#This Row],[sdom]]="4OUEST",1,0)</f>
        <v>1</v>
      </c>
      <c r="AJ156" s="12">
        <f>VLOOKUP(Tableau4[[#This Row],[essence]],Tableau6[],14,FALSE)</f>
        <v>0</v>
      </c>
      <c r="AK156" s="12">
        <f>IF(Tableau4[[#This Row],[sdom]]="5EST",1,0)</f>
        <v>0</v>
      </c>
      <c r="AL156" s="12">
        <f>VLOOKUP(Tableau4[[#This Row],[essence]],Tableau6[],17,FALSE)</f>
        <v>0</v>
      </c>
      <c r="AM156" s="12">
        <f>IF(Tableau4[[#This Row],[priorecol]]="C",1,0)</f>
        <v>0</v>
      </c>
      <c r="AN156" s="12">
        <f>VLOOKUP(Tableau4[[#This Row],[essence]],Tableau6[],18,FALSE)</f>
        <v>0</v>
      </c>
      <c r="AO156" s="12">
        <f>IF(Tableau4[[#This Row],[priorecol]]="R",1,0)</f>
        <v>1</v>
      </c>
      <c r="AP156" s="12">
        <f>VLOOKUP(Tableau4[[#This Row],[essence]],Tableau6[],19,FALSE)</f>
        <v>0</v>
      </c>
      <c r="AQ156" s="12">
        <f>IF(Tableau4[[#This Row],[priorecol]]="S",1,0)</f>
        <v>0</v>
      </c>
      <c r="AR156" s="12">
        <f>VLOOKUP(Tableau4[[#This Row],[essence]],Tableau6[],21,FALSE)</f>
        <v>0</v>
      </c>
      <c r="AS156" s="12">
        <f>IF(Tableau4[[#This Row],[priorecol]]="C",1,0)</f>
        <v>0</v>
      </c>
      <c r="AT156" s="12">
        <f>VLOOKUP(Tableau4[[#This Row],[essence]],Tableau6[],22,FALSE)</f>
        <v>0</v>
      </c>
      <c r="AU156" s="12">
        <f>IF(Tableau4[[#This Row],[priorecol]]="R",1,0)</f>
        <v>1</v>
      </c>
      <c r="AV156" s="12">
        <f>VLOOKUP(Tableau4[[#This Row],[essence]],Tableau6[],23,FALSE)</f>
        <v>0</v>
      </c>
      <c r="AW156" s="12">
        <f>IF(Tableau4[[#This Row],[priorecol]]="S",1,0)</f>
        <v>0</v>
      </c>
      <c r="AX156" s="12">
        <f>VLOOKUP(Tableau4[[#This Row],[essence]],Tableau6[],24,FALSE)</f>
        <v>-2.1000000000000001E-4</v>
      </c>
      <c r="AY156" s="12">
        <f>VLOOKUP(Tableau4[[#This Row],[essence]],Tableau6[],25,FALSE)</f>
        <v>-1.34E-2</v>
      </c>
      <c r="AZ156" s="12">
        <f>VLOOKUP(Tableau4[[#This Row],[essence]],Tableau6[],26,FALSE)</f>
        <v>-2.8899999999999999E-2</v>
      </c>
      <c r="BA156" s="12">
        <f>VLOOKUP(Tableau4[[#This Row],[essence]],Tableau6[],27,FALSE)</f>
        <v>0.2873</v>
      </c>
      <c r="BB156" s="12">
        <f>VLOOKUP(Tableau4[[#This Row],[essence]],Tableau6[],16,FALSE)</f>
        <v>0</v>
      </c>
      <c r="BC15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56" s="12">
        <f>Tableau4[[#This Row],[xb_]]+Tableau4[[#This Row],[b_intercept_C]]+Tableau4[[#This Row],[b_dhpcm_x_intercept_C]]*Tableau4[[#This Row],[dhpcm]]</f>
        <v>-1.5944699999999994</v>
      </c>
      <c r="BE156" s="12">
        <f>Tableau4[[#This Row],[xb_]]+Tableau4[[#This Row],[b_intercept_B]]+Tableau4[[#This Row],[b_dhpcm_x_intercept_B]]*Tableau4[[#This Row],[dhpcm]]</f>
        <v>-0.92587000000000019</v>
      </c>
      <c r="BF156" s="12">
        <f>Tableau4[[#This Row],[xb_]]+Tableau4[[#This Row],[b_intercept_A]]+Tableau4[[#This Row],[b_dhpcm_x_intercept_A]]*Tableau4[[#This Row],[dhpcm]]</f>
        <v>-1.1309999999999931E-2</v>
      </c>
      <c r="BG156" s="12">
        <f>1/(1+EXP(-Tableau4[[#This Row],[xb_c]]))</f>
        <v>0.16875592834950684</v>
      </c>
      <c r="BH156" s="12">
        <f>1/(1+EXP(-Tableau4[[#This Row],[xb_b]]))</f>
        <v>0.28376335263498242</v>
      </c>
      <c r="BI156" s="12">
        <f>1/(1+EXP(-Tableau4[[#This Row],[xb_a]]))</f>
        <v>0.49717253013984558</v>
      </c>
      <c r="BJ156" s="12">
        <f>Tableau4[[#This Row],[prob_a]]</f>
        <v>0.49717253013984558</v>
      </c>
      <c r="BK156" s="12">
        <f>Tableau4[[#This Row],[prob_b]]-Tableau4[[#This Row],[prob_a]]</f>
        <v>-0.21340917750486316</v>
      </c>
      <c r="BL156" s="12">
        <f>Tableau4[[#This Row],[prob_c]]-Tableau4[[#This Row],[prob_b]]</f>
        <v>-0.11500742428547558</v>
      </c>
      <c r="BM156" s="12">
        <f>1-Tableau4[[#This Row],[prob_c]]</f>
        <v>0.83124407165049319</v>
      </c>
    </row>
    <row r="157" spans="1:65" x14ac:dyDescent="0.25">
      <c r="A157" s="12">
        <v>7</v>
      </c>
      <c r="B157" s="12" t="s">
        <v>15</v>
      </c>
      <c r="C157" s="12">
        <v>2.1</v>
      </c>
      <c r="D157" s="12">
        <v>700</v>
      </c>
      <c r="E157" s="12">
        <v>20</v>
      </c>
      <c r="F157" s="12">
        <v>1</v>
      </c>
      <c r="G157" s="12">
        <v>60</v>
      </c>
      <c r="H157" s="12">
        <v>195</v>
      </c>
      <c r="I157" s="12" t="s">
        <v>22</v>
      </c>
      <c r="J157" s="12" t="s">
        <v>29</v>
      </c>
      <c r="K157" s="12">
        <f>VLOOKUP(Tableau4[[#This Row],[essence]],Tableau6[],2,FALSE)</f>
        <v>-3.5731999999999999</v>
      </c>
      <c r="L157" s="12">
        <f>VLOOKUP(Tableau4[[#This Row],[essence]],Tableau6[],3,FALSE)</f>
        <v>-1.9289000000000001</v>
      </c>
      <c r="M157" s="12">
        <f>VLOOKUP(Tableau4[[#This Row],[essence]],Tableau6[],4,FALSE)</f>
        <v>0.40949999999999998</v>
      </c>
      <c r="N157" s="12">
        <f>VLOOKUP(Tableau4[[#This Row],[essence]],Tableau6[],5,FALSE)</f>
        <v>2.0705</v>
      </c>
      <c r="O157" s="12">
        <f>IF(Tableau4[[#This Row],[priorecol]]="C",1,0)</f>
        <v>0</v>
      </c>
      <c r="P157" s="12">
        <f>VLOOKUP(Tableau4[[#This Row],[essence]],Tableau6[],6,FALSE)</f>
        <v>2.9992999999999999</v>
      </c>
      <c r="Q157" s="12">
        <f>IF(Tableau4[[#This Row],[priorecol]]="R",1,0)</f>
        <v>0</v>
      </c>
      <c r="R157" s="12">
        <f>VLOOKUP(Tableau4[[#This Row],[essence]],Tableau6[],7,FALSE)</f>
        <v>1.3050999999999999</v>
      </c>
      <c r="S157" s="12">
        <f>IF(Tableau4[[#This Row],[priorecol]]="S",1,0)</f>
        <v>1</v>
      </c>
      <c r="T157" s="12">
        <f>VLOOKUP(Tableau4[[#This Row],[essence]],Tableau6[],20,FALSE)</f>
        <v>0</v>
      </c>
      <c r="U157" s="12">
        <f>VLOOKUP(Tableau4[[#This Row],[essence]],Tableau6[],15,FALSE)</f>
        <v>0</v>
      </c>
      <c r="V157" s="12">
        <f>VLOOKUP(Tableau4[[#This Row],[essence]],Tableau6[],28,FALSE)</f>
        <v>0</v>
      </c>
      <c r="W157" s="12">
        <f>IF(Tableau4[[#This Row],[sdom]]=1,1,0)</f>
        <v>0</v>
      </c>
      <c r="X157" s="12">
        <f>VLOOKUP(Tableau4[[#This Row],[essence]],Tableau6[],8,FALSE)</f>
        <v>0</v>
      </c>
      <c r="Y157" s="12">
        <f>IF(Tableau4[[#This Row],[sdom]]="2EST",1,0)</f>
        <v>0</v>
      </c>
      <c r="Z157" s="12">
        <f>VLOOKUP(Tableau4[[#This Row],[essence]],Tableau6[],9,FALSE)</f>
        <v>0</v>
      </c>
      <c r="AA157" s="12">
        <f>IF(Tableau4[[#This Row],[sdom]]="2OUEST",1,0)</f>
        <v>0</v>
      </c>
      <c r="AB157" s="12">
        <f>VLOOKUP(Tableau4[[#This Row],[essence]],Tableau6[],10,FALSE)</f>
        <v>0</v>
      </c>
      <c r="AC157" s="12">
        <f>IF(Tableau4[[#This Row],[sdom]]="3EST",1,0)</f>
        <v>0</v>
      </c>
      <c r="AD157" s="12">
        <f>VLOOKUP(Tableau4[[#This Row],[essence]],Tableau6[],11,FALSE)</f>
        <v>0</v>
      </c>
      <c r="AE157" s="12">
        <f>IF(Tableau4[[#This Row],[sdom]]="3OUEST",1,0)</f>
        <v>0</v>
      </c>
      <c r="AF157" s="12">
        <f>VLOOKUP(Tableau4[[#This Row],[essence]],Tableau6[],12,FALSE)</f>
        <v>0</v>
      </c>
      <c r="AG157" s="12">
        <f>IF(Tableau4[[#This Row],[sdom]]="4EST",1,0)</f>
        <v>0</v>
      </c>
      <c r="AH157" s="12">
        <f>VLOOKUP(Tableau4[[#This Row],[essence]],Tableau6[],13,FALSE)</f>
        <v>0</v>
      </c>
      <c r="AI157" s="12">
        <f>IF(Tableau4[[#This Row],[sdom]]="4OUEST",1,0)</f>
        <v>1</v>
      </c>
      <c r="AJ157" s="12">
        <f>VLOOKUP(Tableau4[[#This Row],[essence]],Tableau6[],14,FALSE)</f>
        <v>0</v>
      </c>
      <c r="AK157" s="12">
        <f>IF(Tableau4[[#This Row],[sdom]]="5EST",1,0)</f>
        <v>0</v>
      </c>
      <c r="AL157" s="12">
        <f>VLOOKUP(Tableau4[[#This Row],[essence]],Tableau6[],17,FALSE)</f>
        <v>0</v>
      </c>
      <c r="AM157" s="12">
        <f>IF(Tableau4[[#This Row],[priorecol]]="C",1,0)</f>
        <v>0</v>
      </c>
      <c r="AN157" s="12">
        <f>VLOOKUP(Tableau4[[#This Row],[essence]],Tableau6[],18,FALSE)</f>
        <v>0</v>
      </c>
      <c r="AO157" s="12">
        <f>IF(Tableau4[[#This Row],[priorecol]]="R",1,0)</f>
        <v>0</v>
      </c>
      <c r="AP157" s="12">
        <f>VLOOKUP(Tableau4[[#This Row],[essence]],Tableau6[],19,FALSE)</f>
        <v>0</v>
      </c>
      <c r="AQ157" s="12">
        <f>IF(Tableau4[[#This Row],[priorecol]]="S",1,0)</f>
        <v>1</v>
      </c>
      <c r="AR157" s="12">
        <f>VLOOKUP(Tableau4[[#This Row],[essence]],Tableau6[],21,FALSE)</f>
        <v>0</v>
      </c>
      <c r="AS157" s="12">
        <f>IF(Tableau4[[#This Row],[priorecol]]="C",1,0)</f>
        <v>0</v>
      </c>
      <c r="AT157" s="12">
        <f>VLOOKUP(Tableau4[[#This Row],[essence]],Tableau6[],22,FALSE)</f>
        <v>0</v>
      </c>
      <c r="AU157" s="12">
        <f>IF(Tableau4[[#This Row],[priorecol]]="R",1,0)</f>
        <v>0</v>
      </c>
      <c r="AV157" s="12">
        <f>VLOOKUP(Tableau4[[#This Row],[essence]],Tableau6[],23,FALSE)</f>
        <v>0</v>
      </c>
      <c r="AW157" s="12">
        <f>IF(Tableau4[[#This Row],[priorecol]]="S",1,0)</f>
        <v>1</v>
      </c>
      <c r="AX157" s="12">
        <f>VLOOKUP(Tableau4[[#This Row],[essence]],Tableau6[],24,FALSE)</f>
        <v>-2.1000000000000001E-4</v>
      </c>
      <c r="AY157" s="12">
        <f>VLOOKUP(Tableau4[[#This Row],[essence]],Tableau6[],25,FALSE)</f>
        <v>-1.34E-2</v>
      </c>
      <c r="AZ157" s="12">
        <f>VLOOKUP(Tableau4[[#This Row],[essence]],Tableau6[],26,FALSE)</f>
        <v>-2.8899999999999999E-2</v>
      </c>
      <c r="BA157" s="12">
        <f>VLOOKUP(Tableau4[[#This Row],[essence]],Tableau6[],27,FALSE)</f>
        <v>0.2873</v>
      </c>
      <c r="BB157" s="12">
        <f>VLOOKUP(Tableau4[[#This Row],[essence]],Tableau6[],16,FALSE)</f>
        <v>0</v>
      </c>
      <c r="BC15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57" s="12">
        <f>Tableau4[[#This Row],[xb_]]+Tableau4[[#This Row],[b_intercept_C]]+Tableau4[[#This Row],[b_dhpcm_x_intercept_C]]*Tableau4[[#This Row],[dhpcm]]</f>
        <v>-3.3175699999999995</v>
      </c>
      <c r="BE157" s="12">
        <f>Tableau4[[#This Row],[xb_]]+Tableau4[[#This Row],[b_intercept_B]]+Tableau4[[#This Row],[b_dhpcm_x_intercept_B]]*Tableau4[[#This Row],[dhpcm]]</f>
        <v>-2.63347</v>
      </c>
      <c r="BF157" s="12">
        <f>Tableau4[[#This Row],[xb_]]+Tableau4[[#This Row],[b_intercept_A]]+Tableau4[[#This Row],[b_dhpcm_x_intercept_A]]*Tableau4[[#This Row],[dhpcm]]</f>
        <v>-1.7057199999999999</v>
      </c>
      <c r="BG157" s="12">
        <f>1/(1+EXP(-Tableau4[[#This Row],[xb_c]]))</f>
        <v>3.4973328894442712E-2</v>
      </c>
      <c r="BH157" s="12">
        <f>1/(1+EXP(-Tableau4[[#This Row],[xb_b]]))</f>
        <v>6.7015165602306317E-2</v>
      </c>
      <c r="BI157" s="12">
        <f>1/(1+EXP(-Tableau4[[#This Row],[xb_a]]))</f>
        <v>0.15371967587003624</v>
      </c>
      <c r="BJ157" s="12">
        <f>Tableau4[[#This Row],[prob_a]]</f>
        <v>0.15371967587003624</v>
      </c>
      <c r="BK157" s="12">
        <f>Tableau4[[#This Row],[prob_b]]-Tableau4[[#This Row],[prob_a]]</f>
        <v>-8.670451026772992E-2</v>
      </c>
      <c r="BL157" s="12">
        <f>Tableau4[[#This Row],[prob_c]]-Tableau4[[#This Row],[prob_b]]</f>
        <v>-3.2041836707863605E-2</v>
      </c>
      <c r="BM157" s="12">
        <f>1-Tableau4[[#This Row],[prob_c]]</f>
        <v>0.96502667110555729</v>
      </c>
    </row>
    <row r="158" spans="1:65" x14ac:dyDescent="0.25">
      <c r="A158" s="12">
        <v>7</v>
      </c>
      <c r="B158" s="12" t="s">
        <v>15</v>
      </c>
      <c r="C158" s="12">
        <v>2.1</v>
      </c>
      <c r="D158" s="12">
        <v>700</v>
      </c>
      <c r="E158" s="12">
        <v>20</v>
      </c>
      <c r="F158" s="12">
        <v>1</v>
      </c>
      <c r="G158" s="12">
        <v>61</v>
      </c>
      <c r="H158" s="12">
        <v>196</v>
      </c>
      <c r="I158" s="12" t="s">
        <v>23</v>
      </c>
      <c r="J158" s="12" t="s">
        <v>27</v>
      </c>
      <c r="K158" s="12">
        <f>VLOOKUP(Tableau4[[#This Row],[essence]],Tableau6[],2,FALSE)</f>
        <v>-1.6034999999999999</v>
      </c>
      <c r="L158" s="12">
        <f>VLOOKUP(Tableau4[[#This Row],[essence]],Tableau6[],3,FALSE)</f>
        <v>-0.41120000000000001</v>
      </c>
      <c r="M158" s="12">
        <f>VLOOKUP(Tableau4[[#This Row],[essence]],Tableau6[],4,FALSE)</f>
        <v>1.1791</v>
      </c>
      <c r="N158" s="12">
        <f>VLOOKUP(Tableau4[[#This Row],[essence]],Tableau6[],5,FALSE)</f>
        <v>-0.48980000000000001</v>
      </c>
      <c r="O158" s="12">
        <f>IF(Tableau4[[#This Row],[priorecol]]="C",1,0)</f>
        <v>1</v>
      </c>
      <c r="P158" s="12">
        <f>VLOOKUP(Tableau4[[#This Row],[essence]],Tableau6[],6,FALSE)</f>
        <v>-3.5700000000000003E-2</v>
      </c>
      <c r="Q158" s="12">
        <f>IF(Tableau4[[#This Row],[priorecol]]="R",1,0)</f>
        <v>0</v>
      </c>
      <c r="R158" s="12">
        <f>VLOOKUP(Tableau4[[#This Row],[essence]],Tableau6[],7,FALSE)</f>
        <v>0.1021</v>
      </c>
      <c r="S158" s="12">
        <f>IF(Tableau4[[#This Row],[priorecol]]="S",1,0)</f>
        <v>0</v>
      </c>
      <c r="T158" s="12">
        <f>VLOOKUP(Tableau4[[#This Row],[essence]],Tableau6[],20,FALSE)</f>
        <v>-3.3500000000000002E-2</v>
      </c>
      <c r="U158" s="12">
        <f>VLOOKUP(Tableau4[[#This Row],[essence]],Tableau6[],15,FALSE)</f>
        <v>7.4200000000000004E-3</v>
      </c>
      <c r="V158" s="12">
        <f>VLOOKUP(Tableau4[[#This Row],[essence]],Tableau6[],28,FALSE)</f>
        <v>1.071</v>
      </c>
      <c r="W158" s="12">
        <f>IF(Tableau4[[#This Row],[sdom]]=1,1,0)</f>
        <v>0</v>
      </c>
      <c r="X158" s="12">
        <f>VLOOKUP(Tableau4[[#This Row],[essence]],Tableau6[],8,FALSE)</f>
        <v>0.83450000000000002</v>
      </c>
      <c r="Y158" s="12">
        <f>IF(Tableau4[[#This Row],[sdom]]="2EST",1,0)</f>
        <v>0</v>
      </c>
      <c r="Z158" s="12">
        <f>VLOOKUP(Tableau4[[#This Row],[essence]],Tableau6[],9,FALSE)</f>
        <v>0.94689999999999996</v>
      </c>
      <c r="AA158" s="12">
        <f>IF(Tableau4[[#This Row],[sdom]]="2OUEST",1,0)</f>
        <v>0</v>
      </c>
      <c r="AB158" s="12">
        <f>VLOOKUP(Tableau4[[#This Row],[essence]],Tableau6[],10,FALSE)</f>
        <v>0.62780000000000002</v>
      </c>
      <c r="AC158" s="12">
        <f>IF(Tableau4[[#This Row],[sdom]]="3EST",1,0)</f>
        <v>0</v>
      </c>
      <c r="AD158" s="12">
        <f>VLOOKUP(Tableau4[[#This Row],[essence]],Tableau6[],11,FALSE)</f>
        <v>0.95940000000000003</v>
      </c>
      <c r="AE158" s="12">
        <f>IF(Tableau4[[#This Row],[sdom]]="3OUEST",1,0)</f>
        <v>0</v>
      </c>
      <c r="AF158" s="12">
        <f>VLOOKUP(Tableau4[[#This Row],[essence]],Tableau6[],12,FALSE)</f>
        <v>0.49719999999999998</v>
      </c>
      <c r="AG158" s="12">
        <f>IF(Tableau4[[#This Row],[sdom]]="4EST",1,0)</f>
        <v>0</v>
      </c>
      <c r="AH158" s="12">
        <f>VLOOKUP(Tableau4[[#This Row],[essence]],Tableau6[],13,FALSE)</f>
        <v>0.37669999999999998</v>
      </c>
      <c r="AI158" s="12">
        <f>IF(Tableau4[[#This Row],[sdom]]="4OUEST",1,0)</f>
        <v>1</v>
      </c>
      <c r="AJ158" s="12">
        <f>VLOOKUP(Tableau4[[#This Row],[essence]],Tableau6[],14,FALSE)</f>
        <v>0</v>
      </c>
      <c r="AK158" s="12">
        <f>IF(Tableau4[[#This Row],[sdom]]="5EST",1,0)</f>
        <v>0</v>
      </c>
      <c r="AL158" s="12">
        <f>VLOOKUP(Tableau4[[#This Row],[essence]],Tableau6[],17,FALSE)</f>
        <v>2.8E-3</v>
      </c>
      <c r="AM158" s="12">
        <f>IF(Tableau4[[#This Row],[priorecol]]="C",1,0)</f>
        <v>1</v>
      </c>
      <c r="AN158" s="12">
        <f>VLOOKUP(Tableau4[[#This Row],[essence]],Tableau6[],18,FALSE)</f>
        <v>-2.2499999999999999E-2</v>
      </c>
      <c r="AO158" s="12">
        <f>IF(Tableau4[[#This Row],[priorecol]]="R",1,0)</f>
        <v>0</v>
      </c>
      <c r="AP158" s="12">
        <f>VLOOKUP(Tableau4[[#This Row],[essence]],Tableau6[],19,FALSE)</f>
        <v>3.0699999999999998E-3</v>
      </c>
      <c r="AQ158" s="12">
        <f>IF(Tableau4[[#This Row],[priorecol]]="S",1,0)</f>
        <v>0</v>
      </c>
      <c r="AR158" s="12">
        <f>VLOOKUP(Tableau4[[#This Row],[essence]],Tableau6[],21,FALSE)</f>
        <v>5.2400000000000002E-2</v>
      </c>
      <c r="AS158" s="12">
        <f>IF(Tableau4[[#This Row],[priorecol]]="C",1,0)</f>
        <v>1</v>
      </c>
      <c r="AT158" s="12">
        <f>VLOOKUP(Tableau4[[#This Row],[essence]],Tableau6[],22,FALSE)</f>
        <v>7.7799999999999994E-2</v>
      </c>
      <c r="AU158" s="12">
        <f>IF(Tableau4[[#This Row],[priorecol]]="R",1,0)</f>
        <v>0</v>
      </c>
      <c r="AV158" s="12">
        <f>VLOOKUP(Tableau4[[#This Row],[essence]],Tableau6[],23,FALSE)</f>
        <v>1.9E-2</v>
      </c>
      <c r="AW158" s="12">
        <f>IF(Tableau4[[#This Row],[priorecol]]="S",1,0)</f>
        <v>0</v>
      </c>
      <c r="AX158" s="12">
        <f>VLOOKUP(Tableau4[[#This Row],[essence]],Tableau6[],24,FALSE)</f>
        <v>0</v>
      </c>
      <c r="AY158" s="12">
        <f>VLOOKUP(Tableau4[[#This Row],[essence]],Tableau6[],25,FALSE)</f>
        <v>0</v>
      </c>
      <c r="AZ158" s="12">
        <f>VLOOKUP(Tableau4[[#This Row],[essence]],Tableau6[],26,FALSE)</f>
        <v>0</v>
      </c>
      <c r="BA158" s="12">
        <f>VLOOKUP(Tableau4[[#This Row],[essence]],Tableau6[],27,FALSE)</f>
        <v>0</v>
      </c>
      <c r="BB158" s="12">
        <f>VLOOKUP(Tableau4[[#This Row],[essence]],Tableau6[],16,FALSE)</f>
        <v>0</v>
      </c>
      <c r="BC15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3.7956999999999992</v>
      </c>
      <c r="BD158" s="12">
        <f>Tableau4[[#This Row],[xb_]]+Tableau4[[#This Row],[b_intercept_C]]+Tableau4[[#This Row],[b_dhpcm_x_intercept_C]]*Tableau4[[#This Row],[dhpcm]]</f>
        <v>4.9747999999999992</v>
      </c>
      <c r="BE158" s="12">
        <f>Tableau4[[#This Row],[xb_]]+Tableau4[[#This Row],[b_intercept_B]]+Tableau4[[#This Row],[b_dhpcm_x_intercept_B]]*Tableau4[[#This Row],[dhpcm]]</f>
        <v>3.3844999999999992</v>
      </c>
      <c r="BF158" s="12">
        <f>Tableau4[[#This Row],[xb_]]+Tableau4[[#This Row],[b_intercept_A]]+Tableau4[[#This Row],[b_dhpcm_x_intercept_A]]*Tableau4[[#This Row],[dhpcm]]</f>
        <v>2.1921999999999993</v>
      </c>
      <c r="BG158" s="12">
        <f>1/(1+EXP(-Tableau4[[#This Row],[xb_c]]))</f>
        <v>0.99313751828633379</v>
      </c>
      <c r="BH158" s="12">
        <f>1/(1+EXP(-Tableau4[[#This Row],[xb_b]]))</f>
        <v>0.96721659453408304</v>
      </c>
      <c r="BI158" s="12">
        <f>1/(1+EXP(-Tableau4[[#This Row],[xb_a]]))</f>
        <v>0.89954687829502689</v>
      </c>
      <c r="BJ158" s="12">
        <f>Tableau4[[#This Row],[prob_a]]</f>
        <v>0.89954687829502689</v>
      </c>
      <c r="BK158" s="12">
        <f>Tableau4[[#This Row],[prob_b]]-Tableau4[[#This Row],[prob_a]]</f>
        <v>6.7669716239056155E-2</v>
      </c>
      <c r="BL158" s="12">
        <f>Tableau4[[#This Row],[prob_c]]-Tableau4[[#This Row],[prob_b]]</f>
        <v>2.5920923752250746E-2</v>
      </c>
      <c r="BM158" s="12">
        <f>1-Tableau4[[#This Row],[prob_c]]</f>
        <v>6.8624817136662131E-3</v>
      </c>
    </row>
    <row r="159" spans="1:65" x14ac:dyDescent="0.25">
      <c r="A159" s="12">
        <v>7</v>
      </c>
      <c r="B159" s="12" t="s">
        <v>15</v>
      </c>
      <c r="C159" s="12">
        <v>2.1</v>
      </c>
      <c r="D159" s="12">
        <v>700</v>
      </c>
      <c r="E159" s="12">
        <v>20</v>
      </c>
      <c r="F159" s="12">
        <v>1</v>
      </c>
      <c r="G159" s="12">
        <v>62</v>
      </c>
      <c r="H159" s="12">
        <v>197</v>
      </c>
      <c r="I159" s="12" t="s">
        <v>23</v>
      </c>
      <c r="J159" s="12" t="s">
        <v>28</v>
      </c>
      <c r="K159" s="12">
        <f>VLOOKUP(Tableau4[[#This Row],[essence]],Tableau6[],2,FALSE)</f>
        <v>-1.6034999999999999</v>
      </c>
      <c r="L159" s="12">
        <f>VLOOKUP(Tableau4[[#This Row],[essence]],Tableau6[],3,FALSE)</f>
        <v>-0.41120000000000001</v>
      </c>
      <c r="M159" s="12">
        <f>VLOOKUP(Tableau4[[#This Row],[essence]],Tableau6[],4,FALSE)</f>
        <v>1.1791</v>
      </c>
      <c r="N159" s="12">
        <f>VLOOKUP(Tableau4[[#This Row],[essence]],Tableau6[],5,FALSE)</f>
        <v>-0.48980000000000001</v>
      </c>
      <c r="O159" s="12">
        <f>IF(Tableau4[[#This Row],[priorecol]]="C",1,0)</f>
        <v>0</v>
      </c>
      <c r="P159" s="12">
        <f>VLOOKUP(Tableau4[[#This Row],[essence]],Tableau6[],6,FALSE)</f>
        <v>-3.5700000000000003E-2</v>
      </c>
      <c r="Q159" s="12">
        <f>IF(Tableau4[[#This Row],[priorecol]]="R",1,0)</f>
        <v>1</v>
      </c>
      <c r="R159" s="12">
        <f>VLOOKUP(Tableau4[[#This Row],[essence]],Tableau6[],7,FALSE)</f>
        <v>0.1021</v>
      </c>
      <c r="S159" s="12">
        <f>IF(Tableau4[[#This Row],[priorecol]]="S",1,0)</f>
        <v>0</v>
      </c>
      <c r="T159" s="12">
        <f>VLOOKUP(Tableau4[[#This Row],[essence]],Tableau6[],20,FALSE)</f>
        <v>-3.3500000000000002E-2</v>
      </c>
      <c r="U159" s="12">
        <f>VLOOKUP(Tableau4[[#This Row],[essence]],Tableau6[],15,FALSE)</f>
        <v>7.4200000000000004E-3</v>
      </c>
      <c r="V159" s="12">
        <f>VLOOKUP(Tableau4[[#This Row],[essence]],Tableau6[],28,FALSE)</f>
        <v>1.071</v>
      </c>
      <c r="W159" s="12">
        <f>IF(Tableau4[[#This Row],[sdom]]=1,1,0)</f>
        <v>0</v>
      </c>
      <c r="X159" s="12">
        <f>VLOOKUP(Tableau4[[#This Row],[essence]],Tableau6[],8,FALSE)</f>
        <v>0.83450000000000002</v>
      </c>
      <c r="Y159" s="12">
        <f>IF(Tableau4[[#This Row],[sdom]]="2EST",1,0)</f>
        <v>0</v>
      </c>
      <c r="Z159" s="12">
        <f>VLOOKUP(Tableau4[[#This Row],[essence]],Tableau6[],9,FALSE)</f>
        <v>0.94689999999999996</v>
      </c>
      <c r="AA159" s="12">
        <f>IF(Tableau4[[#This Row],[sdom]]="2OUEST",1,0)</f>
        <v>0</v>
      </c>
      <c r="AB159" s="12">
        <f>VLOOKUP(Tableau4[[#This Row],[essence]],Tableau6[],10,FALSE)</f>
        <v>0.62780000000000002</v>
      </c>
      <c r="AC159" s="12">
        <f>IF(Tableau4[[#This Row],[sdom]]="3EST",1,0)</f>
        <v>0</v>
      </c>
      <c r="AD159" s="12">
        <f>VLOOKUP(Tableau4[[#This Row],[essence]],Tableau6[],11,FALSE)</f>
        <v>0.95940000000000003</v>
      </c>
      <c r="AE159" s="12">
        <f>IF(Tableau4[[#This Row],[sdom]]="3OUEST",1,0)</f>
        <v>0</v>
      </c>
      <c r="AF159" s="12">
        <f>VLOOKUP(Tableau4[[#This Row],[essence]],Tableau6[],12,FALSE)</f>
        <v>0.49719999999999998</v>
      </c>
      <c r="AG159" s="12">
        <f>IF(Tableau4[[#This Row],[sdom]]="4EST",1,0)</f>
        <v>0</v>
      </c>
      <c r="AH159" s="12">
        <f>VLOOKUP(Tableau4[[#This Row],[essence]],Tableau6[],13,FALSE)</f>
        <v>0.37669999999999998</v>
      </c>
      <c r="AI159" s="12">
        <f>IF(Tableau4[[#This Row],[sdom]]="4OUEST",1,0)</f>
        <v>1</v>
      </c>
      <c r="AJ159" s="12">
        <f>VLOOKUP(Tableau4[[#This Row],[essence]],Tableau6[],14,FALSE)</f>
        <v>0</v>
      </c>
      <c r="AK159" s="12">
        <f>IF(Tableau4[[#This Row],[sdom]]="5EST",1,0)</f>
        <v>0</v>
      </c>
      <c r="AL159" s="12">
        <f>VLOOKUP(Tableau4[[#This Row],[essence]],Tableau6[],17,FALSE)</f>
        <v>2.8E-3</v>
      </c>
      <c r="AM159" s="12">
        <f>IF(Tableau4[[#This Row],[priorecol]]="C",1,0)</f>
        <v>0</v>
      </c>
      <c r="AN159" s="12">
        <f>VLOOKUP(Tableau4[[#This Row],[essence]],Tableau6[],18,FALSE)</f>
        <v>-2.2499999999999999E-2</v>
      </c>
      <c r="AO159" s="12">
        <f>IF(Tableau4[[#This Row],[priorecol]]="R",1,0)</f>
        <v>1</v>
      </c>
      <c r="AP159" s="12">
        <f>VLOOKUP(Tableau4[[#This Row],[essence]],Tableau6[],19,FALSE)</f>
        <v>3.0699999999999998E-3</v>
      </c>
      <c r="AQ159" s="12">
        <f>IF(Tableau4[[#This Row],[priorecol]]="S",1,0)</f>
        <v>0</v>
      </c>
      <c r="AR159" s="12">
        <f>VLOOKUP(Tableau4[[#This Row],[essence]],Tableau6[],21,FALSE)</f>
        <v>5.2400000000000002E-2</v>
      </c>
      <c r="AS159" s="12">
        <f>IF(Tableau4[[#This Row],[priorecol]]="C",1,0)</f>
        <v>0</v>
      </c>
      <c r="AT159" s="12">
        <f>VLOOKUP(Tableau4[[#This Row],[essence]],Tableau6[],22,FALSE)</f>
        <v>7.7799999999999994E-2</v>
      </c>
      <c r="AU159" s="12">
        <f>IF(Tableau4[[#This Row],[priorecol]]="R",1,0)</f>
        <v>1</v>
      </c>
      <c r="AV159" s="12">
        <f>VLOOKUP(Tableau4[[#This Row],[essence]],Tableau6[],23,FALSE)</f>
        <v>1.9E-2</v>
      </c>
      <c r="AW159" s="12">
        <f>IF(Tableau4[[#This Row],[priorecol]]="S",1,0)</f>
        <v>0</v>
      </c>
      <c r="AX159" s="12">
        <f>VLOOKUP(Tableau4[[#This Row],[essence]],Tableau6[],24,FALSE)</f>
        <v>0</v>
      </c>
      <c r="AY159" s="12">
        <f>VLOOKUP(Tableau4[[#This Row],[essence]],Tableau6[],25,FALSE)</f>
        <v>0</v>
      </c>
      <c r="AZ159" s="12">
        <f>VLOOKUP(Tableau4[[#This Row],[essence]],Tableau6[],26,FALSE)</f>
        <v>0</v>
      </c>
      <c r="BA159" s="12">
        <f>VLOOKUP(Tableau4[[#This Row],[essence]],Tableau6[],27,FALSE)</f>
        <v>0</v>
      </c>
      <c r="BB159" s="12">
        <f>VLOOKUP(Tableau4[[#This Row],[essence]],Tableau6[],16,FALSE)</f>
        <v>0</v>
      </c>
      <c r="BC15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8.7664999999999971</v>
      </c>
      <c r="BD159" s="12">
        <f>Tableau4[[#This Row],[xb_]]+Tableau4[[#This Row],[b_intercept_C]]+Tableau4[[#This Row],[b_dhpcm_x_intercept_C]]*Tableau4[[#This Row],[dhpcm]]</f>
        <v>9.9455999999999971</v>
      </c>
      <c r="BE159" s="12">
        <f>Tableau4[[#This Row],[xb_]]+Tableau4[[#This Row],[b_intercept_B]]+Tableau4[[#This Row],[b_dhpcm_x_intercept_B]]*Tableau4[[#This Row],[dhpcm]]</f>
        <v>8.3552999999999962</v>
      </c>
      <c r="BF159" s="12">
        <f>Tableau4[[#This Row],[xb_]]+Tableau4[[#This Row],[b_intercept_A]]+Tableau4[[#This Row],[b_dhpcm_x_intercept_A]]*Tableau4[[#This Row],[dhpcm]]</f>
        <v>7.1629999999999967</v>
      </c>
      <c r="BG159" s="12">
        <f>1/(1+EXP(-Tableau4[[#This Row],[xb_c]]))</f>
        <v>0.99995206419974314</v>
      </c>
      <c r="BH159" s="12">
        <f>1/(1+EXP(-Tableau4[[#This Row],[xb_b]]))</f>
        <v>0.99976490834986798</v>
      </c>
      <c r="BI159" s="12">
        <f>1/(1+EXP(-Tableau4[[#This Row],[xb_a]]))</f>
        <v>0.9992258728543012</v>
      </c>
      <c r="BJ159" s="12">
        <f>Tableau4[[#This Row],[prob_a]]</f>
        <v>0.9992258728543012</v>
      </c>
      <c r="BK159" s="12">
        <f>Tableau4[[#This Row],[prob_b]]-Tableau4[[#This Row],[prob_a]]</f>
        <v>5.3903549556677532E-4</v>
      </c>
      <c r="BL159" s="12">
        <f>Tableau4[[#This Row],[prob_c]]-Tableau4[[#This Row],[prob_b]]</f>
        <v>1.8715584987516465E-4</v>
      </c>
      <c r="BM159" s="12">
        <f>1-Tableau4[[#This Row],[prob_c]]</f>
        <v>4.7935800256859729E-5</v>
      </c>
    </row>
    <row r="160" spans="1:65" x14ac:dyDescent="0.25">
      <c r="A160" s="12">
        <v>7</v>
      </c>
      <c r="B160" s="12" t="s">
        <v>15</v>
      </c>
      <c r="C160" s="12">
        <v>2.1</v>
      </c>
      <c r="D160" s="12">
        <v>700</v>
      </c>
      <c r="E160" s="12">
        <v>20</v>
      </c>
      <c r="F160" s="12">
        <v>1</v>
      </c>
      <c r="G160" s="12">
        <v>63</v>
      </c>
      <c r="H160" s="12">
        <v>198</v>
      </c>
      <c r="I160" s="12" t="s">
        <v>23</v>
      </c>
      <c r="J160" s="12" t="s">
        <v>29</v>
      </c>
      <c r="K160" s="12">
        <f>VLOOKUP(Tableau4[[#This Row],[essence]],Tableau6[],2,FALSE)</f>
        <v>-1.6034999999999999</v>
      </c>
      <c r="L160" s="12">
        <f>VLOOKUP(Tableau4[[#This Row],[essence]],Tableau6[],3,FALSE)</f>
        <v>-0.41120000000000001</v>
      </c>
      <c r="M160" s="12">
        <f>VLOOKUP(Tableau4[[#This Row],[essence]],Tableau6[],4,FALSE)</f>
        <v>1.1791</v>
      </c>
      <c r="N160" s="12">
        <f>VLOOKUP(Tableau4[[#This Row],[essence]],Tableau6[],5,FALSE)</f>
        <v>-0.48980000000000001</v>
      </c>
      <c r="O160" s="12">
        <f>IF(Tableau4[[#This Row],[priorecol]]="C",1,0)</f>
        <v>0</v>
      </c>
      <c r="P160" s="12">
        <f>VLOOKUP(Tableau4[[#This Row],[essence]],Tableau6[],6,FALSE)</f>
        <v>-3.5700000000000003E-2</v>
      </c>
      <c r="Q160" s="12">
        <f>IF(Tableau4[[#This Row],[priorecol]]="R",1,0)</f>
        <v>0</v>
      </c>
      <c r="R160" s="12">
        <f>VLOOKUP(Tableau4[[#This Row],[essence]],Tableau6[],7,FALSE)</f>
        <v>0.1021</v>
      </c>
      <c r="S160" s="12">
        <f>IF(Tableau4[[#This Row],[priorecol]]="S",1,0)</f>
        <v>1</v>
      </c>
      <c r="T160" s="12">
        <f>VLOOKUP(Tableau4[[#This Row],[essence]],Tableau6[],20,FALSE)</f>
        <v>-3.3500000000000002E-2</v>
      </c>
      <c r="U160" s="12">
        <f>VLOOKUP(Tableau4[[#This Row],[essence]],Tableau6[],15,FALSE)</f>
        <v>7.4200000000000004E-3</v>
      </c>
      <c r="V160" s="12">
        <f>VLOOKUP(Tableau4[[#This Row],[essence]],Tableau6[],28,FALSE)</f>
        <v>1.071</v>
      </c>
      <c r="W160" s="12">
        <f>IF(Tableau4[[#This Row],[sdom]]=1,1,0)</f>
        <v>0</v>
      </c>
      <c r="X160" s="12">
        <f>VLOOKUP(Tableau4[[#This Row],[essence]],Tableau6[],8,FALSE)</f>
        <v>0.83450000000000002</v>
      </c>
      <c r="Y160" s="12">
        <f>IF(Tableau4[[#This Row],[sdom]]="2EST",1,0)</f>
        <v>0</v>
      </c>
      <c r="Z160" s="12">
        <f>VLOOKUP(Tableau4[[#This Row],[essence]],Tableau6[],9,FALSE)</f>
        <v>0.94689999999999996</v>
      </c>
      <c r="AA160" s="12">
        <f>IF(Tableau4[[#This Row],[sdom]]="2OUEST",1,0)</f>
        <v>0</v>
      </c>
      <c r="AB160" s="12">
        <f>VLOOKUP(Tableau4[[#This Row],[essence]],Tableau6[],10,FALSE)</f>
        <v>0.62780000000000002</v>
      </c>
      <c r="AC160" s="12">
        <f>IF(Tableau4[[#This Row],[sdom]]="3EST",1,0)</f>
        <v>0</v>
      </c>
      <c r="AD160" s="12">
        <f>VLOOKUP(Tableau4[[#This Row],[essence]],Tableau6[],11,FALSE)</f>
        <v>0.95940000000000003</v>
      </c>
      <c r="AE160" s="12">
        <f>IF(Tableau4[[#This Row],[sdom]]="3OUEST",1,0)</f>
        <v>0</v>
      </c>
      <c r="AF160" s="12">
        <f>VLOOKUP(Tableau4[[#This Row],[essence]],Tableau6[],12,FALSE)</f>
        <v>0.49719999999999998</v>
      </c>
      <c r="AG160" s="12">
        <f>IF(Tableau4[[#This Row],[sdom]]="4EST",1,0)</f>
        <v>0</v>
      </c>
      <c r="AH160" s="12">
        <f>VLOOKUP(Tableau4[[#This Row],[essence]],Tableau6[],13,FALSE)</f>
        <v>0.37669999999999998</v>
      </c>
      <c r="AI160" s="12">
        <f>IF(Tableau4[[#This Row],[sdom]]="4OUEST",1,0)</f>
        <v>1</v>
      </c>
      <c r="AJ160" s="12">
        <f>VLOOKUP(Tableau4[[#This Row],[essence]],Tableau6[],14,FALSE)</f>
        <v>0</v>
      </c>
      <c r="AK160" s="12">
        <f>IF(Tableau4[[#This Row],[sdom]]="5EST",1,0)</f>
        <v>0</v>
      </c>
      <c r="AL160" s="12">
        <f>VLOOKUP(Tableau4[[#This Row],[essence]],Tableau6[],17,FALSE)</f>
        <v>2.8E-3</v>
      </c>
      <c r="AM160" s="12">
        <f>IF(Tableau4[[#This Row],[priorecol]]="C",1,0)</f>
        <v>0</v>
      </c>
      <c r="AN160" s="12">
        <f>VLOOKUP(Tableau4[[#This Row],[essence]],Tableau6[],18,FALSE)</f>
        <v>-2.2499999999999999E-2</v>
      </c>
      <c r="AO160" s="12">
        <f>IF(Tableau4[[#This Row],[priorecol]]="R",1,0)</f>
        <v>0</v>
      </c>
      <c r="AP160" s="12">
        <f>VLOOKUP(Tableau4[[#This Row],[essence]],Tableau6[],19,FALSE)</f>
        <v>3.0699999999999998E-3</v>
      </c>
      <c r="AQ160" s="12">
        <f>IF(Tableau4[[#This Row],[priorecol]]="S",1,0)</f>
        <v>1</v>
      </c>
      <c r="AR160" s="12">
        <f>VLOOKUP(Tableau4[[#This Row],[essence]],Tableau6[],21,FALSE)</f>
        <v>5.2400000000000002E-2</v>
      </c>
      <c r="AS160" s="12">
        <f>IF(Tableau4[[#This Row],[priorecol]]="C",1,0)</f>
        <v>0</v>
      </c>
      <c r="AT160" s="12">
        <f>VLOOKUP(Tableau4[[#This Row],[essence]],Tableau6[],22,FALSE)</f>
        <v>7.7799999999999994E-2</v>
      </c>
      <c r="AU160" s="12">
        <f>IF(Tableau4[[#This Row],[priorecol]]="R",1,0)</f>
        <v>0</v>
      </c>
      <c r="AV160" s="12">
        <f>VLOOKUP(Tableau4[[#This Row],[essence]],Tableau6[],23,FALSE)</f>
        <v>1.9E-2</v>
      </c>
      <c r="AW160" s="12">
        <f>IF(Tableau4[[#This Row],[priorecol]]="S",1,0)</f>
        <v>1</v>
      </c>
      <c r="AX160" s="12">
        <f>VLOOKUP(Tableau4[[#This Row],[essence]],Tableau6[],24,FALSE)</f>
        <v>0</v>
      </c>
      <c r="AY160" s="12">
        <f>VLOOKUP(Tableau4[[#This Row],[essence]],Tableau6[],25,FALSE)</f>
        <v>0</v>
      </c>
      <c r="AZ160" s="12">
        <f>VLOOKUP(Tableau4[[#This Row],[essence]],Tableau6[],26,FALSE)</f>
        <v>0</v>
      </c>
      <c r="BA160" s="12">
        <f>VLOOKUP(Tableau4[[#This Row],[essence]],Tableau6[],27,FALSE)</f>
        <v>0</v>
      </c>
      <c r="BB160" s="12">
        <f>VLOOKUP(Tableau4[[#This Row],[essence]],Tableau6[],16,FALSE)</f>
        <v>0</v>
      </c>
      <c r="BC16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-2.1824000000000008</v>
      </c>
      <c r="BD160" s="12">
        <f>Tableau4[[#This Row],[xb_]]+Tableau4[[#This Row],[b_intercept_C]]+Tableau4[[#This Row],[b_dhpcm_x_intercept_C]]*Tableau4[[#This Row],[dhpcm]]</f>
        <v>-1.0033000000000007</v>
      </c>
      <c r="BE160" s="12">
        <f>Tableau4[[#This Row],[xb_]]+Tableau4[[#This Row],[b_intercept_B]]+Tableau4[[#This Row],[b_dhpcm_x_intercept_B]]*Tableau4[[#This Row],[dhpcm]]</f>
        <v>-2.5936000000000008</v>
      </c>
      <c r="BF160" s="12">
        <f>Tableau4[[#This Row],[xb_]]+Tableau4[[#This Row],[b_intercept_A]]+Tableau4[[#This Row],[b_dhpcm_x_intercept_A]]*Tableau4[[#This Row],[dhpcm]]</f>
        <v>-3.7859000000000007</v>
      </c>
      <c r="BG160" s="12">
        <f>1/(1+EXP(-Tableau4[[#This Row],[xb_c]]))</f>
        <v>0.26829309692170661</v>
      </c>
      <c r="BH160" s="12">
        <f>1/(1+EXP(-Tableau4[[#This Row],[xb_b]]))</f>
        <v>6.955145098608656E-2</v>
      </c>
      <c r="BI160" s="12">
        <f>1/(1+EXP(-Tableau4[[#This Row],[xb_a]]))</f>
        <v>2.2185089065634035E-2</v>
      </c>
      <c r="BJ160" s="12">
        <f>Tableau4[[#This Row],[prob_a]]</f>
        <v>2.2185089065634035E-2</v>
      </c>
      <c r="BK160" s="12">
        <f>Tableau4[[#This Row],[prob_b]]-Tableau4[[#This Row],[prob_a]]</f>
        <v>4.7366361920452529E-2</v>
      </c>
      <c r="BL160" s="12">
        <f>Tableau4[[#This Row],[prob_c]]-Tableau4[[#This Row],[prob_b]]</f>
        <v>0.19874164593562005</v>
      </c>
      <c r="BM160" s="12">
        <f>1-Tableau4[[#This Row],[prob_c]]</f>
        <v>0.73170690307829345</v>
      </c>
    </row>
    <row r="161" spans="1:65" x14ac:dyDescent="0.25">
      <c r="A161" s="12">
        <v>7</v>
      </c>
      <c r="B161" s="12" t="s">
        <v>15</v>
      </c>
      <c r="C161" s="12">
        <v>2.1</v>
      </c>
      <c r="D161" s="12">
        <v>700</v>
      </c>
      <c r="E161" s="12">
        <v>20</v>
      </c>
      <c r="F161" s="12">
        <v>1</v>
      </c>
      <c r="G161" s="12">
        <v>64</v>
      </c>
      <c r="H161" s="12">
        <v>199</v>
      </c>
      <c r="I161" s="12" t="s">
        <v>24</v>
      </c>
      <c r="J161" s="12" t="s">
        <v>27</v>
      </c>
      <c r="K161" s="12">
        <f>VLOOKUP(Tableau4[[#This Row],[essence]],Tableau6[],2,FALSE)</f>
        <v>0.5262</v>
      </c>
      <c r="L161" s="12">
        <f>VLOOKUP(Tableau4[[#This Row],[essence]],Tableau6[],3,FALSE)</f>
        <v>1.3954</v>
      </c>
      <c r="M161" s="12">
        <f>VLOOKUP(Tableau4[[#This Row],[essence]],Tableau6[],4,FALSE)</f>
        <v>2.8633000000000002</v>
      </c>
      <c r="N161" s="12">
        <f>VLOOKUP(Tableau4[[#This Row],[essence]],Tableau6[],5,FALSE)</f>
        <v>1.4995000000000001</v>
      </c>
      <c r="O161" s="12">
        <f>IF(Tableau4[[#This Row],[priorecol]]="C",1,0)</f>
        <v>1</v>
      </c>
      <c r="P161" s="12">
        <f>VLOOKUP(Tableau4[[#This Row],[essence]],Tableau6[],6,FALSE)</f>
        <v>2.5129000000000001</v>
      </c>
      <c r="Q161" s="12">
        <f>IF(Tableau4[[#This Row],[priorecol]]="R",1,0)</f>
        <v>0</v>
      </c>
      <c r="R161" s="12">
        <f>VLOOKUP(Tableau4[[#This Row],[essence]],Tableau6[],7,FALSE)</f>
        <v>0.88009999999999999</v>
      </c>
      <c r="S161" s="12">
        <f>IF(Tableau4[[#This Row],[priorecol]]="S",1,0)</f>
        <v>0</v>
      </c>
      <c r="T161" s="12">
        <f>VLOOKUP(Tableau4[[#This Row],[essence]],Tableau6[],20,FALSE)</f>
        <v>0</v>
      </c>
      <c r="U161" s="12">
        <f>VLOOKUP(Tableau4[[#This Row],[essence]],Tableau6[],15,FALSE)</f>
        <v>2.9000000000000001E-2</v>
      </c>
      <c r="V161" s="12">
        <f>VLOOKUP(Tableau4[[#This Row],[essence]],Tableau6[],28,FALSE)</f>
        <v>-0.43919999999999998</v>
      </c>
      <c r="W161" s="12">
        <f>IF(Tableau4[[#This Row],[sdom]]=1,1,0)</f>
        <v>0</v>
      </c>
      <c r="X161" s="12">
        <f>VLOOKUP(Tableau4[[#This Row],[essence]],Tableau6[],8,FALSE)</f>
        <v>-0.32929999999999998</v>
      </c>
      <c r="Y161" s="12">
        <f>IF(Tableau4[[#This Row],[sdom]]="2EST",1,0)</f>
        <v>0</v>
      </c>
      <c r="Z161" s="12">
        <f>VLOOKUP(Tableau4[[#This Row],[essence]],Tableau6[],9,FALSE)</f>
        <v>0</v>
      </c>
      <c r="AA161" s="12">
        <f>IF(Tableau4[[#This Row],[sdom]]="2OUEST",1,0)</f>
        <v>0</v>
      </c>
      <c r="AB161" s="12">
        <f>VLOOKUP(Tableau4[[#This Row],[essence]],Tableau6[],10,FALSE)</f>
        <v>0</v>
      </c>
      <c r="AC161" s="12">
        <f>IF(Tableau4[[#This Row],[sdom]]="3EST",1,0)</f>
        <v>0</v>
      </c>
      <c r="AD161" s="12">
        <f>VLOOKUP(Tableau4[[#This Row],[essence]],Tableau6[],11,FALSE)</f>
        <v>0</v>
      </c>
      <c r="AE161" s="12">
        <f>IF(Tableau4[[#This Row],[sdom]]="3OUEST",1,0)</f>
        <v>0</v>
      </c>
      <c r="AF161" s="12">
        <f>VLOOKUP(Tableau4[[#This Row],[essence]],Tableau6[],12,FALSE)</f>
        <v>0</v>
      </c>
      <c r="AG161" s="12">
        <f>IF(Tableau4[[#This Row],[sdom]]="4EST",1,0)</f>
        <v>0</v>
      </c>
      <c r="AH161" s="12">
        <f>VLOOKUP(Tableau4[[#This Row],[essence]],Tableau6[],13,FALSE)</f>
        <v>0</v>
      </c>
      <c r="AI161" s="12">
        <f>IF(Tableau4[[#This Row],[sdom]]="4OUEST",1,0)</f>
        <v>1</v>
      </c>
      <c r="AJ161" s="12">
        <f>VLOOKUP(Tableau4[[#This Row],[essence]],Tableau6[],14,FALSE)</f>
        <v>0</v>
      </c>
      <c r="AK161" s="12">
        <f>IF(Tableau4[[#This Row],[sdom]]="5EST",1,0)</f>
        <v>0</v>
      </c>
      <c r="AL161" s="12">
        <f>VLOOKUP(Tableau4[[#This Row],[essence]],Tableau6[],17,FALSE)</f>
        <v>0</v>
      </c>
      <c r="AM161" s="12">
        <f>IF(Tableau4[[#This Row],[priorecol]]="C",1,0)</f>
        <v>1</v>
      </c>
      <c r="AN161" s="12">
        <f>VLOOKUP(Tableau4[[#This Row],[essence]],Tableau6[],18,FALSE)</f>
        <v>0</v>
      </c>
      <c r="AO161" s="12">
        <f>IF(Tableau4[[#This Row],[priorecol]]="R",1,0)</f>
        <v>0</v>
      </c>
      <c r="AP161" s="12">
        <f>VLOOKUP(Tableau4[[#This Row],[essence]],Tableau6[],19,FALSE)</f>
        <v>0</v>
      </c>
      <c r="AQ161" s="12">
        <f>IF(Tableau4[[#This Row],[priorecol]]="S",1,0)</f>
        <v>0</v>
      </c>
      <c r="AR161" s="12">
        <f>VLOOKUP(Tableau4[[#This Row],[essence]],Tableau6[],21,FALSE)</f>
        <v>0</v>
      </c>
      <c r="AS161" s="12">
        <f>IF(Tableau4[[#This Row],[priorecol]]="C",1,0)</f>
        <v>1</v>
      </c>
      <c r="AT161" s="12">
        <f>VLOOKUP(Tableau4[[#This Row],[essence]],Tableau6[],22,FALSE)</f>
        <v>0</v>
      </c>
      <c r="AU161" s="12">
        <f>IF(Tableau4[[#This Row],[priorecol]]="R",1,0)</f>
        <v>0</v>
      </c>
      <c r="AV161" s="12">
        <f>VLOOKUP(Tableau4[[#This Row],[essence]],Tableau6[],23,FALSE)</f>
        <v>0</v>
      </c>
      <c r="AW161" s="12">
        <f>IF(Tableau4[[#This Row],[priorecol]]="S",1,0)</f>
        <v>0</v>
      </c>
      <c r="AX161" s="12">
        <f>VLOOKUP(Tableau4[[#This Row],[essence]],Tableau6[],24,FALSE)</f>
        <v>0</v>
      </c>
      <c r="AY161" s="12">
        <f>VLOOKUP(Tableau4[[#This Row],[essence]],Tableau6[],25,FALSE)</f>
        <v>0</v>
      </c>
      <c r="AZ161" s="12">
        <f>VLOOKUP(Tableau4[[#This Row],[essence]],Tableau6[],26,FALSE)</f>
        <v>0</v>
      </c>
      <c r="BA161" s="12">
        <f>VLOOKUP(Tableau4[[#This Row],[essence]],Tableau6[],27,FALSE)</f>
        <v>0</v>
      </c>
      <c r="BB161" s="12">
        <f>VLOOKUP(Tableau4[[#This Row],[essence]],Tableau6[],16,FALSE)</f>
        <v>-2.0699999999999998E-3</v>
      </c>
      <c r="BC16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161" s="12">
        <f>Tableau4[[#This Row],[xb_]]+Tableau4[[#This Row],[b_intercept_C]]+Tableau4[[#This Row],[b_dhpcm_x_intercept_C]]*Tableau4[[#This Row],[dhpcm]]</f>
        <v>3.4938000000000007</v>
      </c>
      <c r="BE161" s="12">
        <f>Tableau4[[#This Row],[xb_]]+Tableau4[[#This Row],[b_intercept_B]]+Tableau4[[#This Row],[b_dhpcm_x_intercept_B]]*Tableau4[[#This Row],[dhpcm]]</f>
        <v>2.0259000000000005</v>
      </c>
      <c r="BF161" s="12">
        <f>Tableau4[[#This Row],[xb_]]+Tableau4[[#This Row],[b_intercept_A]]+Tableau4[[#This Row],[b_dhpcm_x_intercept_A]]*Tableau4[[#This Row],[dhpcm]]</f>
        <v>1.1567000000000005</v>
      </c>
      <c r="BG161" s="12">
        <f>1/(1+EXP(-Tableau4[[#This Row],[xb_c]]))</f>
        <v>0.97051084475492644</v>
      </c>
      <c r="BH161" s="12">
        <f>1/(1+EXP(-Tableau4[[#This Row],[xb_b]]))</f>
        <v>0.88348970489981093</v>
      </c>
      <c r="BI161" s="12">
        <f>1/(1+EXP(-Tableau4[[#This Row],[xb_a]]))</f>
        <v>0.76073257062428778</v>
      </c>
      <c r="BJ161" s="12">
        <f>Tableau4[[#This Row],[prob_a]]</f>
        <v>0.76073257062428778</v>
      </c>
      <c r="BK161" s="12">
        <f>Tableau4[[#This Row],[prob_b]]-Tableau4[[#This Row],[prob_a]]</f>
        <v>0.12275713427552315</v>
      </c>
      <c r="BL161" s="12">
        <f>Tableau4[[#This Row],[prob_c]]-Tableau4[[#This Row],[prob_b]]</f>
        <v>8.7021139855115504E-2</v>
      </c>
      <c r="BM161" s="12">
        <f>1-Tableau4[[#This Row],[prob_c]]</f>
        <v>2.9489155245073562E-2</v>
      </c>
    </row>
    <row r="162" spans="1:65" x14ac:dyDescent="0.25">
      <c r="A162" s="12">
        <v>7</v>
      </c>
      <c r="B162" s="12" t="s">
        <v>15</v>
      </c>
      <c r="C162" s="12">
        <v>2.1</v>
      </c>
      <c r="D162" s="12">
        <v>700</v>
      </c>
      <c r="E162" s="12">
        <v>20</v>
      </c>
      <c r="F162" s="12">
        <v>1</v>
      </c>
      <c r="G162" s="12">
        <v>65</v>
      </c>
      <c r="H162" s="12">
        <v>200</v>
      </c>
      <c r="I162" s="12" t="s">
        <v>24</v>
      </c>
      <c r="J162" s="12" t="s">
        <v>28</v>
      </c>
      <c r="K162" s="12">
        <f>VLOOKUP(Tableau4[[#This Row],[essence]],Tableau6[],2,FALSE)</f>
        <v>0.5262</v>
      </c>
      <c r="L162" s="12">
        <f>VLOOKUP(Tableau4[[#This Row],[essence]],Tableau6[],3,FALSE)</f>
        <v>1.3954</v>
      </c>
      <c r="M162" s="12">
        <f>VLOOKUP(Tableau4[[#This Row],[essence]],Tableau6[],4,FALSE)</f>
        <v>2.8633000000000002</v>
      </c>
      <c r="N162" s="12">
        <f>VLOOKUP(Tableau4[[#This Row],[essence]],Tableau6[],5,FALSE)</f>
        <v>1.4995000000000001</v>
      </c>
      <c r="O162" s="12">
        <f>IF(Tableau4[[#This Row],[priorecol]]="C",1,0)</f>
        <v>0</v>
      </c>
      <c r="P162" s="12">
        <f>VLOOKUP(Tableau4[[#This Row],[essence]],Tableau6[],6,FALSE)</f>
        <v>2.5129000000000001</v>
      </c>
      <c r="Q162" s="12">
        <f>IF(Tableau4[[#This Row],[priorecol]]="R",1,0)</f>
        <v>1</v>
      </c>
      <c r="R162" s="12">
        <f>VLOOKUP(Tableau4[[#This Row],[essence]],Tableau6[],7,FALSE)</f>
        <v>0.88009999999999999</v>
      </c>
      <c r="S162" s="12">
        <f>IF(Tableau4[[#This Row],[priorecol]]="S",1,0)</f>
        <v>0</v>
      </c>
      <c r="T162" s="12">
        <f>VLOOKUP(Tableau4[[#This Row],[essence]],Tableau6[],20,FALSE)</f>
        <v>0</v>
      </c>
      <c r="U162" s="12">
        <f>VLOOKUP(Tableau4[[#This Row],[essence]],Tableau6[],15,FALSE)</f>
        <v>2.9000000000000001E-2</v>
      </c>
      <c r="V162" s="12">
        <f>VLOOKUP(Tableau4[[#This Row],[essence]],Tableau6[],28,FALSE)</f>
        <v>-0.43919999999999998</v>
      </c>
      <c r="W162" s="12">
        <f>IF(Tableau4[[#This Row],[sdom]]=1,1,0)</f>
        <v>0</v>
      </c>
      <c r="X162" s="12">
        <f>VLOOKUP(Tableau4[[#This Row],[essence]],Tableau6[],8,FALSE)</f>
        <v>-0.32929999999999998</v>
      </c>
      <c r="Y162" s="12">
        <f>IF(Tableau4[[#This Row],[sdom]]="2EST",1,0)</f>
        <v>0</v>
      </c>
      <c r="Z162" s="12">
        <f>VLOOKUP(Tableau4[[#This Row],[essence]],Tableau6[],9,FALSE)</f>
        <v>0</v>
      </c>
      <c r="AA162" s="12">
        <f>IF(Tableau4[[#This Row],[sdom]]="2OUEST",1,0)</f>
        <v>0</v>
      </c>
      <c r="AB162" s="12">
        <f>VLOOKUP(Tableau4[[#This Row],[essence]],Tableau6[],10,FALSE)</f>
        <v>0</v>
      </c>
      <c r="AC162" s="12">
        <f>IF(Tableau4[[#This Row],[sdom]]="3EST",1,0)</f>
        <v>0</v>
      </c>
      <c r="AD162" s="12">
        <f>VLOOKUP(Tableau4[[#This Row],[essence]],Tableau6[],11,FALSE)</f>
        <v>0</v>
      </c>
      <c r="AE162" s="12">
        <f>IF(Tableau4[[#This Row],[sdom]]="3OUEST",1,0)</f>
        <v>0</v>
      </c>
      <c r="AF162" s="12">
        <f>VLOOKUP(Tableau4[[#This Row],[essence]],Tableau6[],12,FALSE)</f>
        <v>0</v>
      </c>
      <c r="AG162" s="12">
        <f>IF(Tableau4[[#This Row],[sdom]]="4EST",1,0)</f>
        <v>0</v>
      </c>
      <c r="AH162" s="12">
        <f>VLOOKUP(Tableau4[[#This Row],[essence]],Tableau6[],13,FALSE)</f>
        <v>0</v>
      </c>
      <c r="AI162" s="12">
        <f>IF(Tableau4[[#This Row],[sdom]]="4OUEST",1,0)</f>
        <v>1</v>
      </c>
      <c r="AJ162" s="12">
        <f>VLOOKUP(Tableau4[[#This Row],[essence]],Tableau6[],14,FALSE)</f>
        <v>0</v>
      </c>
      <c r="AK162" s="12">
        <f>IF(Tableau4[[#This Row],[sdom]]="5EST",1,0)</f>
        <v>0</v>
      </c>
      <c r="AL162" s="12">
        <f>VLOOKUP(Tableau4[[#This Row],[essence]],Tableau6[],17,FALSE)</f>
        <v>0</v>
      </c>
      <c r="AM162" s="12">
        <f>IF(Tableau4[[#This Row],[priorecol]]="C",1,0)</f>
        <v>0</v>
      </c>
      <c r="AN162" s="12">
        <f>VLOOKUP(Tableau4[[#This Row],[essence]],Tableau6[],18,FALSE)</f>
        <v>0</v>
      </c>
      <c r="AO162" s="12">
        <f>IF(Tableau4[[#This Row],[priorecol]]="R",1,0)</f>
        <v>1</v>
      </c>
      <c r="AP162" s="12">
        <f>VLOOKUP(Tableau4[[#This Row],[essence]],Tableau6[],19,FALSE)</f>
        <v>0</v>
      </c>
      <c r="AQ162" s="12">
        <f>IF(Tableau4[[#This Row],[priorecol]]="S",1,0)</f>
        <v>0</v>
      </c>
      <c r="AR162" s="12">
        <f>VLOOKUP(Tableau4[[#This Row],[essence]],Tableau6[],21,FALSE)</f>
        <v>0</v>
      </c>
      <c r="AS162" s="12">
        <f>IF(Tableau4[[#This Row],[priorecol]]="C",1,0)</f>
        <v>0</v>
      </c>
      <c r="AT162" s="12">
        <f>VLOOKUP(Tableau4[[#This Row],[essence]],Tableau6[],22,FALSE)</f>
        <v>0</v>
      </c>
      <c r="AU162" s="12">
        <f>IF(Tableau4[[#This Row],[priorecol]]="R",1,0)</f>
        <v>1</v>
      </c>
      <c r="AV162" s="12">
        <f>VLOOKUP(Tableau4[[#This Row],[essence]],Tableau6[],23,FALSE)</f>
        <v>0</v>
      </c>
      <c r="AW162" s="12">
        <f>IF(Tableau4[[#This Row],[priorecol]]="S",1,0)</f>
        <v>0</v>
      </c>
      <c r="AX162" s="12">
        <f>VLOOKUP(Tableau4[[#This Row],[essence]],Tableau6[],24,FALSE)</f>
        <v>0</v>
      </c>
      <c r="AY162" s="12">
        <f>VLOOKUP(Tableau4[[#This Row],[essence]],Tableau6[],25,FALSE)</f>
        <v>0</v>
      </c>
      <c r="AZ162" s="12">
        <f>VLOOKUP(Tableau4[[#This Row],[essence]],Tableau6[],26,FALSE)</f>
        <v>0</v>
      </c>
      <c r="BA162" s="12">
        <f>VLOOKUP(Tableau4[[#This Row],[essence]],Tableau6[],27,FALSE)</f>
        <v>0</v>
      </c>
      <c r="BB162" s="12">
        <f>VLOOKUP(Tableau4[[#This Row],[essence]],Tableau6[],16,FALSE)</f>
        <v>-2.0699999999999998E-3</v>
      </c>
      <c r="BC16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162" s="12">
        <f>Tableau4[[#This Row],[xb_]]+Tableau4[[#This Row],[b_intercept_C]]+Tableau4[[#This Row],[b_dhpcm_x_intercept_C]]*Tableau4[[#This Row],[dhpcm]]</f>
        <v>4.507200000000001</v>
      </c>
      <c r="BE162" s="12">
        <f>Tableau4[[#This Row],[xb_]]+Tableau4[[#This Row],[b_intercept_B]]+Tableau4[[#This Row],[b_dhpcm_x_intercept_B]]*Tableau4[[#This Row],[dhpcm]]</f>
        <v>3.0393000000000003</v>
      </c>
      <c r="BF162" s="12">
        <f>Tableau4[[#This Row],[xb_]]+Tableau4[[#This Row],[b_intercept_A]]+Tableau4[[#This Row],[b_dhpcm_x_intercept_A]]*Tableau4[[#This Row],[dhpcm]]</f>
        <v>2.1701000000000006</v>
      </c>
      <c r="BG162" s="12">
        <f>1/(1+EXP(-Tableau4[[#This Row],[xb_c]]))</f>
        <v>0.9890910193905974</v>
      </c>
      <c r="BH162" s="12">
        <f>1/(1+EXP(-Tableau4[[#This Row],[xb_b]]))</f>
        <v>0.95431832251535009</v>
      </c>
      <c r="BI162" s="12">
        <f>1/(1+EXP(-Tableau4[[#This Row],[xb_a]]))</f>
        <v>0.89753216373939204</v>
      </c>
      <c r="BJ162" s="12">
        <f>Tableau4[[#This Row],[prob_a]]</f>
        <v>0.89753216373939204</v>
      </c>
      <c r="BK162" s="12">
        <f>Tableau4[[#This Row],[prob_b]]-Tableau4[[#This Row],[prob_a]]</f>
        <v>5.6786158775958051E-2</v>
      </c>
      <c r="BL162" s="12">
        <f>Tableau4[[#This Row],[prob_c]]-Tableau4[[#This Row],[prob_b]]</f>
        <v>3.4772696875247311E-2</v>
      </c>
      <c r="BM162" s="12">
        <f>1-Tableau4[[#This Row],[prob_c]]</f>
        <v>1.0908980609402597E-2</v>
      </c>
    </row>
    <row r="163" spans="1:65" x14ac:dyDescent="0.25">
      <c r="A163" s="12">
        <v>7</v>
      </c>
      <c r="B163" s="12" t="s">
        <v>15</v>
      </c>
      <c r="C163" s="12">
        <v>2.1</v>
      </c>
      <c r="D163" s="12">
        <v>700</v>
      </c>
      <c r="E163" s="12">
        <v>20</v>
      </c>
      <c r="F163" s="12">
        <v>1</v>
      </c>
      <c r="G163" s="12">
        <v>66</v>
      </c>
      <c r="H163" s="12">
        <v>201</v>
      </c>
      <c r="I163" s="12" t="s">
        <v>24</v>
      </c>
      <c r="J163" s="12" t="s">
        <v>29</v>
      </c>
      <c r="K163" s="12">
        <f>VLOOKUP(Tableau4[[#This Row],[essence]],Tableau6[],2,FALSE)</f>
        <v>0.5262</v>
      </c>
      <c r="L163" s="12">
        <f>VLOOKUP(Tableau4[[#This Row],[essence]],Tableau6[],3,FALSE)</f>
        <v>1.3954</v>
      </c>
      <c r="M163" s="12">
        <f>VLOOKUP(Tableau4[[#This Row],[essence]],Tableau6[],4,FALSE)</f>
        <v>2.8633000000000002</v>
      </c>
      <c r="N163" s="12">
        <f>VLOOKUP(Tableau4[[#This Row],[essence]],Tableau6[],5,FALSE)</f>
        <v>1.4995000000000001</v>
      </c>
      <c r="O163" s="12">
        <f>IF(Tableau4[[#This Row],[priorecol]]="C",1,0)</f>
        <v>0</v>
      </c>
      <c r="P163" s="12">
        <f>VLOOKUP(Tableau4[[#This Row],[essence]],Tableau6[],6,FALSE)</f>
        <v>2.5129000000000001</v>
      </c>
      <c r="Q163" s="12">
        <f>IF(Tableau4[[#This Row],[priorecol]]="R",1,0)</f>
        <v>0</v>
      </c>
      <c r="R163" s="12">
        <f>VLOOKUP(Tableau4[[#This Row],[essence]],Tableau6[],7,FALSE)</f>
        <v>0.88009999999999999</v>
      </c>
      <c r="S163" s="12">
        <f>IF(Tableau4[[#This Row],[priorecol]]="S",1,0)</f>
        <v>1</v>
      </c>
      <c r="T163" s="12">
        <f>VLOOKUP(Tableau4[[#This Row],[essence]],Tableau6[],20,FALSE)</f>
        <v>0</v>
      </c>
      <c r="U163" s="12">
        <f>VLOOKUP(Tableau4[[#This Row],[essence]],Tableau6[],15,FALSE)</f>
        <v>2.9000000000000001E-2</v>
      </c>
      <c r="V163" s="12">
        <f>VLOOKUP(Tableau4[[#This Row],[essence]],Tableau6[],28,FALSE)</f>
        <v>-0.43919999999999998</v>
      </c>
      <c r="W163" s="12">
        <f>IF(Tableau4[[#This Row],[sdom]]=1,1,0)</f>
        <v>0</v>
      </c>
      <c r="X163" s="12">
        <f>VLOOKUP(Tableau4[[#This Row],[essence]],Tableau6[],8,FALSE)</f>
        <v>-0.32929999999999998</v>
      </c>
      <c r="Y163" s="12">
        <f>IF(Tableau4[[#This Row],[sdom]]="2EST",1,0)</f>
        <v>0</v>
      </c>
      <c r="Z163" s="12">
        <f>VLOOKUP(Tableau4[[#This Row],[essence]],Tableau6[],9,FALSE)</f>
        <v>0</v>
      </c>
      <c r="AA163" s="12">
        <f>IF(Tableau4[[#This Row],[sdom]]="2OUEST",1,0)</f>
        <v>0</v>
      </c>
      <c r="AB163" s="12">
        <f>VLOOKUP(Tableau4[[#This Row],[essence]],Tableau6[],10,FALSE)</f>
        <v>0</v>
      </c>
      <c r="AC163" s="12">
        <f>IF(Tableau4[[#This Row],[sdom]]="3EST",1,0)</f>
        <v>0</v>
      </c>
      <c r="AD163" s="12">
        <f>VLOOKUP(Tableau4[[#This Row],[essence]],Tableau6[],11,FALSE)</f>
        <v>0</v>
      </c>
      <c r="AE163" s="12">
        <f>IF(Tableau4[[#This Row],[sdom]]="3OUEST",1,0)</f>
        <v>0</v>
      </c>
      <c r="AF163" s="12">
        <f>VLOOKUP(Tableau4[[#This Row],[essence]],Tableau6[],12,FALSE)</f>
        <v>0</v>
      </c>
      <c r="AG163" s="12">
        <f>IF(Tableau4[[#This Row],[sdom]]="4EST",1,0)</f>
        <v>0</v>
      </c>
      <c r="AH163" s="12">
        <f>VLOOKUP(Tableau4[[#This Row],[essence]],Tableau6[],13,FALSE)</f>
        <v>0</v>
      </c>
      <c r="AI163" s="12">
        <f>IF(Tableau4[[#This Row],[sdom]]="4OUEST",1,0)</f>
        <v>1</v>
      </c>
      <c r="AJ163" s="12">
        <f>VLOOKUP(Tableau4[[#This Row],[essence]],Tableau6[],14,FALSE)</f>
        <v>0</v>
      </c>
      <c r="AK163" s="12">
        <f>IF(Tableau4[[#This Row],[sdom]]="5EST",1,0)</f>
        <v>0</v>
      </c>
      <c r="AL163" s="12">
        <f>VLOOKUP(Tableau4[[#This Row],[essence]],Tableau6[],17,FALSE)</f>
        <v>0</v>
      </c>
      <c r="AM163" s="12">
        <f>IF(Tableau4[[#This Row],[priorecol]]="C",1,0)</f>
        <v>0</v>
      </c>
      <c r="AN163" s="12">
        <f>VLOOKUP(Tableau4[[#This Row],[essence]],Tableau6[],18,FALSE)</f>
        <v>0</v>
      </c>
      <c r="AO163" s="12">
        <f>IF(Tableau4[[#This Row],[priorecol]]="R",1,0)</f>
        <v>0</v>
      </c>
      <c r="AP163" s="12">
        <f>VLOOKUP(Tableau4[[#This Row],[essence]],Tableau6[],19,FALSE)</f>
        <v>0</v>
      </c>
      <c r="AQ163" s="12">
        <f>IF(Tableau4[[#This Row],[priorecol]]="S",1,0)</f>
        <v>1</v>
      </c>
      <c r="AR163" s="12">
        <f>VLOOKUP(Tableau4[[#This Row],[essence]],Tableau6[],21,FALSE)</f>
        <v>0</v>
      </c>
      <c r="AS163" s="12">
        <f>IF(Tableau4[[#This Row],[priorecol]]="C",1,0)</f>
        <v>0</v>
      </c>
      <c r="AT163" s="12">
        <f>VLOOKUP(Tableau4[[#This Row],[essence]],Tableau6[],22,FALSE)</f>
        <v>0</v>
      </c>
      <c r="AU163" s="12">
        <f>IF(Tableau4[[#This Row],[priorecol]]="R",1,0)</f>
        <v>0</v>
      </c>
      <c r="AV163" s="12">
        <f>VLOOKUP(Tableau4[[#This Row],[essence]],Tableau6[],23,FALSE)</f>
        <v>0</v>
      </c>
      <c r="AW163" s="12">
        <f>IF(Tableau4[[#This Row],[priorecol]]="S",1,0)</f>
        <v>1</v>
      </c>
      <c r="AX163" s="12">
        <f>VLOOKUP(Tableau4[[#This Row],[essence]],Tableau6[],24,FALSE)</f>
        <v>0</v>
      </c>
      <c r="AY163" s="12">
        <f>VLOOKUP(Tableau4[[#This Row],[essence]],Tableau6[],25,FALSE)</f>
        <v>0</v>
      </c>
      <c r="AZ163" s="12">
        <f>VLOOKUP(Tableau4[[#This Row],[essence]],Tableau6[],26,FALSE)</f>
        <v>0</v>
      </c>
      <c r="BA163" s="12">
        <f>VLOOKUP(Tableau4[[#This Row],[essence]],Tableau6[],27,FALSE)</f>
        <v>0</v>
      </c>
      <c r="BB163" s="12">
        <f>VLOOKUP(Tableau4[[#This Row],[essence]],Tableau6[],16,FALSE)</f>
        <v>-2.0699999999999998E-3</v>
      </c>
      <c r="BC16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163" s="12">
        <f>Tableau4[[#This Row],[xb_]]+Tableau4[[#This Row],[b_intercept_C]]+Tableau4[[#This Row],[b_dhpcm_x_intercept_C]]*Tableau4[[#This Row],[dhpcm]]</f>
        <v>2.8744000000000005</v>
      </c>
      <c r="BE163" s="12">
        <f>Tableau4[[#This Row],[xb_]]+Tableau4[[#This Row],[b_intercept_B]]+Tableau4[[#This Row],[b_dhpcm_x_intercept_B]]*Tableau4[[#This Row],[dhpcm]]</f>
        <v>1.4065000000000003</v>
      </c>
      <c r="BF163" s="12">
        <f>Tableau4[[#This Row],[xb_]]+Tableau4[[#This Row],[b_intercept_A]]+Tableau4[[#This Row],[b_dhpcm_x_intercept_A]]*Tableau4[[#This Row],[dhpcm]]</f>
        <v>0.53730000000000033</v>
      </c>
      <c r="BG163" s="12">
        <f>1/(1+EXP(-Tableau4[[#This Row],[xb_c]]))</f>
        <v>0.94656633122301448</v>
      </c>
      <c r="BH163" s="12">
        <f>1/(1+EXP(-Tableau4[[#This Row],[xb_b]]))</f>
        <v>0.80321331477375935</v>
      </c>
      <c r="BI163" s="12">
        <f>1/(1+EXP(-Tableau4[[#This Row],[xb_a]]))</f>
        <v>0.63118410569197869</v>
      </c>
      <c r="BJ163" s="12">
        <f>Tableau4[[#This Row],[prob_a]]</f>
        <v>0.63118410569197869</v>
      </c>
      <c r="BK163" s="12">
        <f>Tableau4[[#This Row],[prob_b]]-Tableau4[[#This Row],[prob_a]]</f>
        <v>0.17202920908178065</v>
      </c>
      <c r="BL163" s="12">
        <f>Tableau4[[#This Row],[prob_c]]-Tableau4[[#This Row],[prob_b]]</f>
        <v>0.14335301644925513</v>
      </c>
      <c r="BM163" s="12">
        <f>1-Tableau4[[#This Row],[prob_c]]</f>
        <v>5.3433668776985521E-2</v>
      </c>
    </row>
    <row r="164" spans="1:65" x14ac:dyDescent="0.25">
      <c r="A164" s="12">
        <v>7</v>
      </c>
      <c r="B164" s="12" t="s">
        <v>15</v>
      </c>
      <c r="C164" s="12">
        <v>2.1</v>
      </c>
      <c r="D164" s="12">
        <v>700</v>
      </c>
      <c r="E164" s="12">
        <v>20</v>
      </c>
      <c r="F164" s="12">
        <v>1</v>
      </c>
      <c r="G164" s="12">
        <v>67</v>
      </c>
      <c r="H164" s="12">
        <v>202</v>
      </c>
      <c r="I164" s="12" t="s">
        <v>25</v>
      </c>
      <c r="J164" s="12" t="s">
        <v>27</v>
      </c>
      <c r="K164" s="12">
        <f>VLOOKUP(Tableau4[[#This Row],[essence]],Tableau6[],2,FALSE)</f>
        <v>-4.3875000000000002</v>
      </c>
      <c r="L164" s="12">
        <f>VLOOKUP(Tableau4[[#This Row],[essence]],Tableau6[],3,FALSE)</f>
        <v>-3.0411999999999999</v>
      </c>
      <c r="M164" s="12">
        <f>VLOOKUP(Tableau4[[#This Row],[essence]],Tableau6[],4,FALSE)</f>
        <v>-1.2259</v>
      </c>
      <c r="N164" s="12">
        <f>VLOOKUP(Tableau4[[#This Row],[essence]],Tableau6[],5,FALSE)</f>
        <v>1.7715000000000001</v>
      </c>
      <c r="O164" s="12">
        <f>IF(Tableau4[[#This Row],[priorecol]]="C",1,0)</f>
        <v>1</v>
      </c>
      <c r="P164" s="12">
        <f>VLOOKUP(Tableau4[[#This Row],[essence]],Tableau6[],6,FALSE)</f>
        <v>2.6688000000000001</v>
      </c>
      <c r="Q164" s="12">
        <f>IF(Tableau4[[#This Row],[priorecol]]="R",1,0)</f>
        <v>0</v>
      </c>
      <c r="R164" s="12">
        <f>VLOOKUP(Tableau4[[#This Row],[essence]],Tableau6[],7,FALSE)</f>
        <v>1.5728</v>
      </c>
      <c r="S164" s="12">
        <f>IF(Tableau4[[#This Row],[priorecol]]="S",1,0)</f>
        <v>0</v>
      </c>
      <c r="T164" s="12">
        <f>VLOOKUP(Tableau4[[#This Row],[essence]],Tableau6[],20,FALSE)</f>
        <v>0</v>
      </c>
      <c r="U164" s="12">
        <f>VLOOKUP(Tableau4[[#This Row],[essence]],Tableau6[],15,FALSE)</f>
        <v>0</v>
      </c>
      <c r="V164" s="12">
        <f>VLOOKUP(Tableau4[[#This Row],[essence]],Tableau6[],28,FALSE)</f>
        <v>0</v>
      </c>
      <c r="W164" s="12">
        <f>IF(Tableau4[[#This Row],[sdom]]=1,1,0)</f>
        <v>0</v>
      </c>
      <c r="X164" s="12">
        <f>VLOOKUP(Tableau4[[#This Row],[essence]],Tableau6[],8,FALSE)</f>
        <v>0.86129999999999995</v>
      </c>
      <c r="Y164" s="12">
        <f>IF(Tableau4[[#This Row],[sdom]]="2EST",1,0)</f>
        <v>0</v>
      </c>
      <c r="Z164" s="12">
        <f>VLOOKUP(Tableau4[[#This Row],[essence]],Tableau6[],9,FALSE)</f>
        <v>0.39550000000000002</v>
      </c>
      <c r="AA164" s="12">
        <f>IF(Tableau4[[#This Row],[sdom]]="2OUEST",1,0)</f>
        <v>0</v>
      </c>
      <c r="AB164" s="12">
        <f>VLOOKUP(Tableau4[[#This Row],[essence]],Tableau6[],10,FALSE)</f>
        <v>0.58989999999999998</v>
      </c>
      <c r="AC164" s="12">
        <f>IF(Tableau4[[#This Row],[sdom]]="3EST",1,0)</f>
        <v>0</v>
      </c>
      <c r="AD164" s="12">
        <f>VLOOKUP(Tableau4[[#This Row],[essence]],Tableau6[],11,FALSE)</f>
        <v>0.52759999999999996</v>
      </c>
      <c r="AE164" s="12">
        <f>IF(Tableau4[[#This Row],[sdom]]="3OUEST",1,0)</f>
        <v>0</v>
      </c>
      <c r="AF164" s="12">
        <f>VLOOKUP(Tableau4[[#This Row],[essence]],Tableau6[],12,FALSE)</f>
        <v>0</v>
      </c>
      <c r="AG164" s="12">
        <f>IF(Tableau4[[#This Row],[sdom]]="4EST",1,0)</f>
        <v>0</v>
      </c>
      <c r="AH164" s="12">
        <f>VLOOKUP(Tableau4[[#This Row],[essence]],Tableau6[],13,FALSE)</f>
        <v>0</v>
      </c>
      <c r="AI164" s="12">
        <f>IF(Tableau4[[#This Row],[sdom]]="4OUEST",1,0)</f>
        <v>1</v>
      </c>
      <c r="AJ164" s="12">
        <f>VLOOKUP(Tableau4[[#This Row],[essence]],Tableau6[],14,FALSE)</f>
        <v>0</v>
      </c>
      <c r="AK164" s="12">
        <f>IF(Tableau4[[#This Row],[sdom]]="5EST",1,0)</f>
        <v>0</v>
      </c>
      <c r="AL164" s="12">
        <f>VLOOKUP(Tableau4[[#This Row],[essence]],Tableau6[],17,FALSE)</f>
        <v>0</v>
      </c>
      <c r="AM164" s="12">
        <f>IF(Tableau4[[#This Row],[priorecol]]="C",1,0)</f>
        <v>1</v>
      </c>
      <c r="AN164" s="12">
        <f>VLOOKUP(Tableau4[[#This Row],[essence]],Tableau6[],18,FALSE)</f>
        <v>0</v>
      </c>
      <c r="AO164" s="12">
        <f>IF(Tableau4[[#This Row],[priorecol]]="R",1,0)</f>
        <v>0</v>
      </c>
      <c r="AP164" s="12">
        <f>VLOOKUP(Tableau4[[#This Row],[essence]],Tableau6[],19,FALSE)</f>
        <v>0</v>
      </c>
      <c r="AQ164" s="12">
        <f>IF(Tableau4[[#This Row],[priorecol]]="S",1,0)</f>
        <v>0</v>
      </c>
      <c r="AR164" s="12">
        <f>VLOOKUP(Tableau4[[#This Row],[essence]],Tableau6[],21,FALSE)</f>
        <v>0</v>
      </c>
      <c r="AS164" s="12">
        <f>IF(Tableau4[[#This Row],[priorecol]]="C",1,0)</f>
        <v>1</v>
      </c>
      <c r="AT164" s="12">
        <f>VLOOKUP(Tableau4[[#This Row],[essence]],Tableau6[],22,FALSE)</f>
        <v>0</v>
      </c>
      <c r="AU164" s="12">
        <f>IF(Tableau4[[#This Row],[priorecol]]="R",1,0)</f>
        <v>0</v>
      </c>
      <c r="AV164" s="12">
        <f>VLOOKUP(Tableau4[[#This Row],[essence]],Tableau6[],23,FALSE)</f>
        <v>0</v>
      </c>
      <c r="AW164" s="12">
        <f>IF(Tableau4[[#This Row],[priorecol]]="S",1,0)</f>
        <v>0</v>
      </c>
      <c r="AX164" s="12">
        <f>VLOOKUP(Tableau4[[#This Row],[essence]],Tableau6[],24,FALSE)</f>
        <v>0</v>
      </c>
      <c r="AY164" s="12">
        <f>VLOOKUP(Tableau4[[#This Row],[essence]],Tableau6[],25,FALSE)</f>
        <v>0</v>
      </c>
      <c r="AZ164" s="12">
        <f>VLOOKUP(Tableau4[[#This Row],[essence]],Tableau6[],26,FALSE)</f>
        <v>0</v>
      </c>
      <c r="BA164" s="12">
        <f>VLOOKUP(Tableau4[[#This Row],[essence]],Tableau6[],27,FALSE)</f>
        <v>0</v>
      </c>
      <c r="BB164" s="12">
        <f>VLOOKUP(Tableau4[[#This Row],[essence]],Tableau6[],16,FALSE)</f>
        <v>0</v>
      </c>
      <c r="BC16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164" s="12">
        <f>Tableau4[[#This Row],[xb_]]+Tableau4[[#This Row],[b_intercept_C]]+Tableau4[[#This Row],[b_dhpcm_x_intercept_C]]*Tableau4[[#This Row],[dhpcm]]</f>
        <v>0.54560000000000008</v>
      </c>
      <c r="BE164" s="12">
        <f>Tableau4[[#This Row],[xb_]]+Tableau4[[#This Row],[b_intercept_B]]+Tableau4[[#This Row],[b_dhpcm_x_intercept_B]]*Tableau4[[#This Row],[dhpcm]]</f>
        <v>-1.2696999999999998</v>
      </c>
      <c r="BF164" s="12">
        <f>Tableau4[[#This Row],[xb_]]+Tableau4[[#This Row],[b_intercept_A]]+Tableau4[[#This Row],[b_dhpcm_x_intercept_A]]*Tableau4[[#This Row],[dhpcm]]</f>
        <v>-2.6160000000000001</v>
      </c>
      <c r="BG164" s="12">
        <f>1/(1+EXP(-Tableau4[[#This Row],[xb_c]]))</f>
        <v>0.63311415618116451</v>
      </c>
      <c r="BH164" s="12">
        <f>1/(1+EXP(-Tableau4[[#This Row],[xb_b]]))</f>
        <v>0.21930861146596689</v>
      </c>
      <c r="BI164" s="12">
        <f>1/(1+EXP(-Tableau4[[#This Row],[xb_a]]))</f>
        <v>6.8115759378310187E-2</v>
      </c>
      <c r="BJ164" s="12">
        <f>Tableau4[[#This Row],[prob_a]]</f>
        <v>6.8115759378310187E-2</v>
      </c>
      <c r="BK164" s="12">
        <f>Tableau4[[#This Row],[prob_b]]-Tableau4[[#This Row],[prob_a]]</f>
        <v>0.1511928520876567</v>
      </c>
      <c r="BL164" s="12">
        <f>Tableau4[[#This Row],[prob_c]]-Tableau4[[#This Row],[prob_b]]</f>
        <v>0.41380554471519759</v>
      </c>
      <c r="BM164" s="12">
        <f>1-Tableau4[[#This Row],[prob_c]]</f>
        <v>0.36688584381883549</v>
      </c>
    </row>
    <row r="165" spans="1:65" x14ac:dyDescent="0.25">
      <c r="A165" s="12">
        <v>7</v>
      </c>
      <c r="B165" s="12" t="s">
        <v>15</v>
      </c>
      <c r="C165" s="12">
        <v>2.1</v>
      </c>
      <c r="D165" s="12">
        <v>700</v>
      </c>
      <c r="E165" s="12">
        <v>20</v>
      </c>
      <c r="F165" s="12">
        <v>1</v>
      </c>
      <c r="G165" s="12">
        <v>68</v>
      </c>
      <c r="H165" s="12">
        <v>203</v>
      </c>
      <c r="I165" s="12" t="s">
        <v>25</v>
      </c>
      <c r="J165" s="12" t="s">
        <v>28</v>
      </c>
      <c r="K165" s="12">
        <f>VLOOKUP(Tableau4[[#This Row],[essence]],Tableau6[],2,FALSE)</f>
        <v>-4.3875000000000002</v>
      </c>
      <c r="L165" s="12">
        <f>VLOOKUP(Tableau4[[#This Row],[essence]],Tableau6[],3,FALSE)</f>
        <v>-3.0411999999999999</v>
      </c>
      <c r="M165" s="12">
        <f>VLOOKUP(Tableau4[[#This Row],[essence]],Tableau6[],4,FALSE)</f>
        <v>-1.2259</v>
      </c>
      <c r="N165" s="12">
        <f>VLOOKUP(Tableau4[[#This Row],[essence]],Tableau6[],5,FALSE)</f>
        <v>1.7715000000000001</v>
      </c>
      <c r="O165" s="12">
        <f>IF(Tableau4[[#This Row],[priorecol]]="C",1,0)</f>
        <v>0</v>
      </c>
      <c r="P165" s="12">
        <f>VLOOKUP(Tableau4[[#This Row],[essence]],Tableau6[],6,FALSE)</f>
        <v>2.6688000000000001</v>
      </c>
      <c r="Q165" s="12">
        <f>IF(Tableau4[[#This Row],[priorecol]]="R",1,0)</f>
        <v>1</v>
      </c>
      <c r="R165" s="12">
        <f>VLOOKUP(Tableau4[[#This Row],[essence]],Tableau6[],7,FALSE)</f>
        <v>1.5728</v>
      </c>
      <c r="S165" s="12">
        <f>IF(Tableau4[[#This Row],[priorecol]]="S",1,0)</f>
        <v>0</v>
      </c>
      <c r="T165" s="12">
        <f>VLOOKUP(Tableau4[[#This Row],[essence]],Tableau6[],20,FALSE)</f>
        <v>0</v>
      </c>
      <c r="U165" s="12">
        <f>VLOOKUP(Tableau4[[#This Row],[essence]],Tableau6[],15,FALSE)</f>
        <v>0</v>
      </c>
      <c r="V165" s="12">
        <f>VLOOKUP(Tableau4[[#This Row],[essence]],Tableau6[],28,FALSE)</f>
        <v>0</v>
      </c>
      <c r="W165" s="12">
        <f>IF(Tableau4[[#This Row],[sdom]]=1,1,0)</f>
        <v>0</v>
      </c>
      <c r="X165" s="12">
        <f>VLOOKUP(Tableau4[[#This Row],[essence]],Tableau6[],8,FALSE)</f>
        <v>0.86129999999999995</v>
      </c>
      <c r="Y165" s="12">
        <f>IF(Tableau4[[#This Row],[sdom]]="2EST",1,0)</f>
        <v>0</v>
      </c>
      <c r="Z165" s="12">
        <f>VLOOKUP(Tableau4[[#This Row],[essence]],Tableau6[],9,FALSE)</f>
        <v>0.39550000000000002</v>
      </c>
      <c r="AA165" s="12">
        <f>IF(Tableau4[[#This Row],[sdom]]="2OUEST",1,0)</f>
        <v>0</v>
      </c>
      <c r="AB165" s="12">
        <f>VLOOKUP(Tableau4[[#This Row],[essence]],Tableau6[],10,FALSE)</f>
        <v>0.58989999999999998</v>
      </c>
      <c r="AC165" s="12">
        <f>IF(Tableau4[[#This Row],[sdom]]="3EST",1,0)</f>
        <v>0</v>
      </c>
      <c r="AD165" s="12">
        <f>VLOOKUP(Tableau4[[#This Row],[essence]],Tableau6[],11,FALSE)</f>
        <v>0.52759999999999996</v>
      </c>
      <c r="AE165" s="12">
        <f>IF(Tableau4[[#This Row],[sdom]]="3OUEST",1,0)</f>
        <v>0</v>
      </c>
      <c r="AF165" s="12">
        <f>VLOOKUP(Tableau4[[#This Row],[essence]],Tableau6[],12,FALSE)</f>
        <v>0</v>
      </c>
      <c r="AG165" s="12">
        <f>IF(Tableau4[[#This Row],[sdom]]="4EST",1,0)</f>
        <v>0</v>
      </c>
      <c r="AH165" s="12">
        <f>VLOOKUP(Tableau4[[#This Row],[essence]],Tableau6[],13,FALSE)</f>
        <v>0</v>
      </c>
      <c r="AI165" s="12">
        <f>IF(Tableau4[[#This Row],[sdom]]="4OUEST",1,0)</f>
        <v>1</v>
      </c>
      <c r="AJ165" s="12">
        <f>VLOOKUP(Tableau4[[#This Row],[essence]],Tableau6[],14,FALSE)</f>
        <v>0</v>
      </c>
      <c r="AK165" s="12">
        <f>IF(Tableau4[[#This Row],[sdom]]="5EST",1,0)</f>
        <v>0</v>
      </c>
      <c r="AL165" s="12">
        <f>VLOOKUP(Tableau4[[#This Row],[essence]],Tableau6[],17,FALSE)</f>
        <v>0</v>
      </c>
      <c r="AM165" s="12">
        <f>IF(Tableau4[[#This Row],[priorecol]]="C",1,0)</f>
        <v>0</v>
      </c>
      <c r="AN165" s="12">
        <f>VLOOKUP(Tableau4[[#This Row],[essence]],Tableau6[],18,FALSE)</f>
        <v>0</v>
      </c>
      <c r="AO165" s="12">
        <f>IF(Tableau4[[#This Row],[priorecol]]="R",1,0)</f>
        <v>1</v>
      </c>
      <c r="AP165" s="12">
        <f>VLOOKUP(Tableau4[[#This Row],[essence]],Tableau6[],19,FALSE)</f>
        <v>0</v>
      </c>
      <c r="AQ165" s="12">
        <f>IF(Tableau4[[#This Row],[priorecol]]="S",1,0)</f>
        <v>0</v>
      </c>
      <c r="AR165" s="12">
        <f>VLOOKUP(Tableau4[[#This Row],[essence]],Tableau6[],21,FALSE)</f>
        <v>0</v>
      </c>
      <c r="AS165" s="12">
        <f>IF(Tableau4[[#This Row],[priorecol]]="C",1,0)</f>
        <v>0</v>
      </c>
      <c r="AT165" s="12">
        <f>VLOOKUP(Tableau4[[#This Row],[essence]],Tableau6[],22,FALSE)</f>
        <v>0</v>
      </c>
      <c r="AU165" s="12">
        <f>IF(Tableau4[[#This Row],[priorecol]]="R",1,0)</f>
        <v>1</v>
      </c>
      <c r="AV165" s="12">
        <f>VLOOKUP(Tableau4[[#This Row],[essence]],Tableau6[],23,FALSE)</f>
        <v>0</v>
      </c>
      <c r="AW165" s="12">
        <f>IF(Tableau4[[#This Row],[priorecol]]="S",1,0)</f>
        <v>0</v>
      </c>
      <c r="AX165" s="12">
        <f>VLOOKUP(Tableau4[[#This Row],[essence]],Tableau6[],24,FALSE)</f>
        <v>0</v>
      </c>
      <c r="AY165" s="12">
        <f>VLOOKUP(Tableau4[[#This Row],[essence]],Tableau6[],25,FALSE)</f>
        <v>0</v>
      </c>
      <c r="AZ165" s="12">
        <f>VLOOKUP(Tableau4[[#This Row],[essence]],Tableau6[],26,FALSE)</f>
        <v>0</v>
      </c>
      <c r="BA165" s="12">
        <f>VLOOKUP(Tableau4[[#This Row],[essence]],Tableau6[],27,FALSE)</f>
        <v>0</v>
      </c>
      <c r="BB165" s="12">
        <f>VLOOKUP(Tableau4[[#This Row],[essence]],Tableau6[],16,FALSE)</f>
        <v>0</v>
      </c>
      <c r="BC16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165" s="12">
        <f>Tableau4[[#This Row],[xb_]]+Tableau4[[#This Row],[b_intercept_C]]+Tableau4[[#This Row],[b_dhpcm_x_intercept_C]]*Tableau4[[#This Row],[dhpcm]]</f>
        <v>1.4429000000000001</v>
      </c>
      <c r="BE165" s="12">
        <f>Tableau4[[#This Row],[xb_]]+Tableau4[[#This Row],[b_intercept_B]]+Tableau4[[#This Row],[b_dhpcm_x_intercept_B]]*Tableau4[[#This Row],[dhpcm]]</f>
        <v>-0.37239999999999984</v>
      </c>
      <c r="BF165" s="12">
        <f>Tableau4[[#This Row],[xb_]]+Tableau4[[#This Row],[b_intercept_A]]+Tableau4[[#This Row],[b_dhpcm_x_intercept_A]]*Tableau4[[#This Row],[dhpcm]]</f>
        <v>-1.7187000000000001</v>
      </c>
      <c r="BG165" s="12">
        <f>1/(1+EXP(-Tableau4[[#This Row],[xb_c]]))</f>
        <v>0.80890333138279402</v>
      </c>
      <c r="BH165" s="12">
        <f>1/(1+EXP(-Tableau4[[#This Row],[xb_b]]))</f>
        <v>0.40796122449924294</v>
      </c>
      <c r="BI165" s="12">
        <f>1/(1+EXP(-Tableau4[[#This Row],[xb_a]]))</f>
        <v>0.15203868765627995</v>
      </c>
      <c r="BJ165" s="12">
        <f>Tableau4[[#This Row],[prob_a]]</f>
        <v>0.15203868765627995</v>
      </c>
      <c r="BK165" s="12">
        <f>Tableau4[[#This Row],[prob_b]]-Tableau4[[#This Row],[prob_a]]</f>
        <v>0.25592253684296296</v>
      </c>
      <c r="BL165" s="12">
        <f>Tableau4[[#This Row],[prob_c]]-Tableau4[[#This Row],[prob_b]]</f>
        <v>0.40094210688355109</v>
      </c>
      <c r="BM165" s="12">
        <f>1-Tableau4[[#This Row],[prob_c]]</f>
        <v>0.19109666861720598</v>
      </c>
    </row>
    <row r="166" spans="1:65" x14ac:dyDescent="0.25">
      <c r="A166" s="12">
        <v>7</v>
      </c>
      <c r="B166" s="12" t="s">
        <v>15</v>
      </c>
      <c r="C166" s="12">
        <v>2.1</v>
      </c>
      <c r="D166" s="12">
        <v>700</v>
      </c>
      <c r="E166" s="12">
        <v>20</v>
      </c>
      <c r="F166" s="12">
        <v>1</v>
      </c>
      <c r="G166" s="12">
        <v>69</v>
      </c>
      <c r="H166" s="12">
        <v>204</v>
      </c>
      <c r="I166" s="12" t="s">
        <v>25</v>
      </c>
      <c r="J166" s="12" t="s">
        <v>29</v>
      </c>
      <c r="K166" s="12">
        <f>VLOOKUP(Tableau4[[#This Row],[essence]],Tableau6[],2,FALSE)</f>
        <v>-4.3875000000000002</v>
      </c>
      <c r="L166" s="12">
        <f>VLOOKUP(Tableau4[[#This Row],[essence]],Tableau6[],3,FALSE)</f>
        <v>-3.0411999999999999</v>
      </c>
      <c r="M166" s="12">
        <f>VLOOKUP(Tableau4[[#This Row],[essence]],Tableau6[],4,FALSE)</f>
        <v>-1.2259</v>
      </c>
      <c r="N166" s="12">
        <f>VLOOKUP(Tableau4[[#This Row],[essence]],Tableau6[],5,FALSE)</f>
        <v>1.7715000000000001</v>
      </c>
      <c r="O166" s="12">
        <f>IF(Tableau4[[#This Row],[priorecol]]="C",1,0)</f>
        <v>0</v>
      </c>
      <c r="P166" s="12">
        <f>VLOOKUP(Tableau4[[#This Row],[essence]],Tableau6[],6,FALSE)</f>
        <v>2.6688000000000001</v>
      </c>
      <c r="Q166" s="12">
        <f>IF(Tableau4[[#This Row],[priorecol]]="R",1,0)</f>
        <v>0</v>
      </c>
      <c r="R166" s="12">
        <f>VLOOKUP(Tableau4[[#This Row],[essence]],Tableau6[],7,FALSE)</f>
        <v>1.5728</v>
      </c>
      <c r="S166" s="12">
        <f>IF(Tableau4[[#This Row],[priorecol]]="S",1,0)</f>
        <v>1</v>
      </c>
      <c r="T166" s="12">
        <f>VLOOKUP(Tableau4[[#This Row],[essence]],Tableau6[],20,FALSE)</f>
        <v>0</v>
      </c>
      <c r="U166" s="12">
        <f>VLOOKUP(Tableau4[[#This Row],[essence]],Tableau6[],15,FALSE)</f>
        <v>0</v>
      </c>
      <c r="V166" s="12">
        <f>VLOOKUP(Tableau4[[#This Row],[essence]],Tableau6[],28,FALSE)</f>
        <v>0</v>
      </c>
      <c r="W166" s="12">
        <f>IF(Tableau4[[#This Row],[sdom]]=1,1,0)</f>
        <v>0</v>
      </c>
      <c r="X166" s="12">
        <f>VLOOKUP(Tableau4[[#This Row],[essence]],Tableau6[],8,FALSE)</f>
        <v>0.86129999999999995</v>
      </c>
      <c r="Y166" s="12">
        <f>IF(Tableau4[[#This Row],[sdom]]="2EST",1,0)</f>
        <v>0</v>
      </c>
      <c r="Z166" s="12">
        <f>VLOOKUP(Tableau4[[#This Row],[essence]],Tableau6[],9,FALSE)</f>
        <v>0.39550000000000002</v>
      </c>
      <c r="AA166" s="12">
        <f>IF(Tableau4[[#This Row],[sdom]]="2OUEST",1,0)</f>
        <v>0</v>
      </c>
      <c r="AB166" s="12">
        <f>VLOOKUP(Tableau4[[#This Row],[essence]],Tableau6[],10,FALSE)</f>
        <v>0.58989999999999998</v>
      </c>
      <c r="AC166" s="12">
        <f>IF(Tableau4[[#This Row],[sdom]]="3EST",1,0)</f>
        <v>0</v>
      </c>
      <c r="AD166" s="12">
        <f>VLOOKUP(Tableau4[[#This Row],[essence]],Tableau6[],11,FALSE)</f>
        <v>0.52759999999999996</v>
      </c>
      <c r="AE166" s="12">
        <f>IF(Tableau4[[#This Row],[sdom]]="3OUEST",1,0)</f>
        <v>0</v>
      </c>
      <c r="AF166" s="12">
        <f>VLOOKUP(Tableau4[[#This Row],[essence]],Tableau6[],12,FALSE)</f>
        <v>0</v>
      </c>
      <c r="AG166" s="12">
        <f>IF(Tableau4[[#This Row],[sdom]]="4EST",1,0)</f>
        <v>0</v>
      </c>
      <c r="AH166" s="12">
        <f>VLOOKUP(Tableau4[[#This Row],[essence]],Tableau6[],13,FALSE)</f>
        <v>0</v>
      </c>
      <c r="AI166" s="12">
        <f>IF(Tableau4[[#This Row],[sdom]]="4OUEST",1,0)</f>
        <v>1</v>
      </c>
      <c r="AJ166" s="12">
        <f>VLOOKUP(Tableau4[[#This Row],[essence]],Tableau6[],14,FALSE)</f>
        <v>0</v>
      </c>
      <c r="AK166" s="12">
        <f>IF(Tableau4[[#This Row],[sdom]]="5EST",1,0)</f>
        <v>0</v>
      </c>
      <c r="AL166" s="12">
        <f>VLOOKUP(Tableau4[[#This Row],[essence]],Tableau6[],17,FALSE)</f>
        <v>0</v>
      </c>
      <c r="AM166" s="12">
        <f>IF(Tableau4[[#This Row],[priorecol]]="C",1,0)</f>
        <v>0</v>
      </c>
      <c r="AN166" s="12">
        <f>VLOOKUP(Tableau4[[#This Row],[essence]],Tableau6[],18,FALSE)</f>
        <v>0</v>
      </c>
      <c r="AO166" s="12">
        <f>IF(Tableau4[[#This Row],[priorecol]]="R",1,0)</f>
        <v>0</v>
      </c>
      <c r="AP166" s="12">
        <f>VLOOKUP(Tableau4[[#This Row],[essence]],Tableau6[],19,FALSE)</f>
        <v>0</v>
      </c>
      <c r="AQ166" s="12">
        <f>IF(Tableau4[[#This Row],[priorecol]]="S",1,0)</f>
        <v>1</v>
      </c>
      <c r="AR166" s="12">
        <f>VLOOKUP(Tableau4[[#This Row],[essence]],Tableau6[],21,FALSE)</f>
        <v>0</v>
      </c>
      <c r="AS166" s="12">
        <f>IF(Tableau4[[#This Row],[priorecol]]="C",1,0)</f>
        <v>0</v>
      </c>
      <c r="AT166" s="12">
        <f>VLOOKUP(Tableau4[[#This Row],[essence]],Tableau6[],22,FALSE)</f>
        <v>0</v>
      </c>
      <c r="AU166" s="12">
        <f>IF(Tableau4[[#This Row],[priorecol]]="R",1,0)</f>
        <v>0</v>
      </c>
      <c r="AV166" s="12">
        <f>VLOOKUP(Tableau4[[#This Row],[essence]],Tableau6[],23,FALSE)</f>
        <v>0</v>
      </c>
      <c r="AW166" s="12">
        <f>IF(Tableau4[[#This Row],[priorecol]]="S",1,0)</f>
        <v>1</v>
      </c>
      <c r="AX166" s="12">
        <f>VLOOKUP(Tableau4[[#This Row],[essence]],Tableau6[],24,FALSE)</f>
        <v>0</v>
      </c>
      <c r="AY166" s="12">
        <f>VLOOKUP(Tableau4[[#This Row],[essence]],Tableau6[],25,FALSE)</f>
        <v>0</v>
      </c>
      <c r="AZ166" s="12">
        <f>VLOOKUP(Tableau4[[#This Row],[essence]],Tableau6[],26,FALSE)</f>
        <v>0</v>
      </c>
      <c r="BA166" s="12">
        <f>VLOOKUP(Tableau4[[#This Row],[essence]],Tableau6[],27,FALSE)</f>
        <v>0</v>
      </c>
      <c r="BB166" s="12">
        <f>VLOOKUP(Tableau4[[#This Row],[essence]],Tableau6[],16,FALSE)</f>
        <v>0</v>
      </c>
      <c r="BC16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166" s="12">
        <f>Tableau4[[#This Row],[xb_]]+Tableau4[[#This Row],[b_intercept_C]]+Tableau4[[#This Row],[b_dhpcm_x_intercept_C]]*Tableau4[[#This Row],[dhpcm]]</f>
        <v>0.34689999999999999</v>
      </c>
      <c r="BE166" s="12">
        <f>Tableau4[[#This Row],[xb_]]+Tableau4[[#This Row],[b_intercept_B]]+Tableau4[[#This Row],[b_dhpcm_x_intercept_B]]*Tableau4[[#This Row],[dhpcm]]</f>
        <v>-1.4683999999999999</v>
      </c>
      <c r="BF166" s="12">
        <f>Tableau4[[#This Row],[xb_]]+Tableau4[[#This Row],[b_intercept_A]]+Tableau4[[#This Row],[b_dhpcm_x_intercept_A]]*Tableau4[[#This Row],[dhpcm]]</f>
        <v>-2.8147000000000002</v>
      </c>
      <c r="BG166" s="12">
        <f>1/(1+EXP(-Tableau4[[#This Row],[xb_c]]))</f>
        <v>0.585865635687285</v>
      </c>
      <c r="BH166" s="12">
        <f>1/(1+EXP(-Tableau4[[#This Row],[xb_b]]))</f>
        <v>0.18718592790698188</v>
      </c>
      <c r="BI166" s="12">
        <f>1/(1+EXP(-Tableau4[[#This Row],[xb_a]]))</f>
        <v>5.6534965479882744E-2</v>
      </c>
      <c r="BJ166" s="12">
        <f>Tableau4[[#This Row],[prob_a]]</f>
        <v>5.6534965479882744E-2</v>
      </c>
      <c r="BK166" s="12">
        <f>Tableau4[[#This Row],[prob_b]]-Tableau4[[#This Row],[prob_a]]</f>
        <v>0.13065096242709914</v>
      </c>
      <c r="BL166" s="12">
        <f>Tableau4[[#This Row],[prob_c]]-Tableau4[[#This Row],[prob_b]]</f>
        <v>0.39867970778030315</v>
      </c>
      <c r="BM166" s="12">
        <f>1-Tableau4[[#This Row],[prob_c]]</f>
        <v>0.414134364312715</v>
      </c>
    </row>
    <row r="167" spans="1:65" x14ac:dyDescent="0.25">
      <c r="A167" s="12">
        <v>7</v>
      </c>
      <c r="B167" s="12" t="s">
        <v>15</v>
      </c>
      <c r="C167" s="12">
        <v>2.1</v>
      </c>
      <c r="D167" s="12">
        <v>700</v>
      </c>
      <c r="E167" s="12">
        <v>20</v>
      </c>
      <c r="F167" s="12">
        <v>1</v>
      </c>
      <c r="G167" s="12">
        <v>70</v>
      </c>
      <c r="H167" s="12">
        <v>205</v>
      </c>
      <c r="I167" s="12" t="s">
        <v>26</v>
      </c>
      <c r="J167" s="12" t="s">
        <v>27</v>
      </c>
      <c r="K167" s="12">
        <f>VLOOKUP(Tableau4[[#This Row],[essence]],Tableau6[],2,FALSE)</f>
        <v>0.71340000000000003</v>
      </c>
      <c r="L167" s="12">
        <f>VLOOKUP(Tableau4[[#This Row],[essence]],Tableau6[],3,FALSE)</f>
        <v>1.7461</v>
      </c>
      <c r="M167" s="12">
        <f>VLOOKUP(Tableau4[[#This Row],[essence]],Tableau6[],4,FALSE)</f>
        <v>2.9828999999999999</v>
      </c>
      <c r="N167" s="12">
        <f>VLOOKUP(Tableau4[[#This Row],[essence]],Tableau6[],5,FALSE)</f>
        <v>1.5659000000000001</v>
      </c>
      <c r="O167" s="12">
        <f>IF(Tableau4[[#This Row],[priorecol]]="C",1,0)</f>
        <v>1</v>
      </c>
      <c r="P167" s="12">
        <f>VLOOKUP(Tableau4[[#This Row],[essence]],Tableau6[],6,FALSE)</f>
        <v>1.9651000000000001</v>
      </c>
      <c r="Q167" s="12">
        <f>IF(Tableau4[[#This Row],[priorecol]]="R",1,0)</f>
        <v>0</v>
      </c>
      <c r="R167" s="12">
        <f>VLOOKUP(Tableau4[[#This Row],[essence]],Tableau6[],7,FALSE)</f>
        <v>1.1892</v>
      </c>
      <c r="S167" s="12">
        <f>IF(Tableau4[[#This Row],[priorecol]]="S",1,0)</f>
        <v>0</v>
      </c>
      <c r="T167" s="12">
        <f>VLOOKUP(Tableau4[[#This Row],[essence]],Tableau6[],20,FALSE)</f>
        <v>0</v>
      </c>
      <c r="U167" s="12">
        <f>VLOOKUP(Tableau4[[#This Row],[essence]],Tableau6[],15,FALSE)</f>
        <v>0</v>
      </c>
      <c r="V167" s="12">
        <f>VLOOKUP(Tableau4[[#This Row],[essence]],Tableau6[],28,FALSE)</f>
        <v>0</v>
      </c>
      <c r="W167" s="12">
        <f>IF(Tableau4[[#This Row],[sdom]]=1,1,0)</f>
        <v>0</v>
      </c>
      <c r="X167" s="12">
        <f>VLOOKUP(Tableau4[[#This Row],[essence]],Tableau6[],8,FALSE)</f>
        <v>0</v>
      </c>
      <c r="Y167" s="12">
        <f>IF(Tableau4[[#This Row],[sdom]]="2EST",1,0)</f>
        <v>0</v>
      </c>
      <c r="Z167" s="12">
        <f>VLOOKUP(Tableau4[[#This Row],[essence]],Tableau6[],9,FALSE)</f>
        <v>0</v>
      </c>
      <c r="AA167" s="12">
        <f>IF(Tableau4[[#This Row],[sdom]]="2OUEST",1,0)</f>
        <v>0</v>
      </c>
      <c r="AB167" s="12">
        <f>VLOOKUP(Tableau4[[#This Row],[essence]],Tableau6[],10,FALSE)</f>
        <v>0</v>
      </c>
      <c r="AC167" s="12">
        <f>IF(Tableau4[[#This Row],[sdom]]="3EST",1,0)</f>
        <v>0</v>
      </c>
      <c r="AD167" s="12">
        <f>VLOOKUP(Tableau4[[#This Row],[essence]],Tableau6[],11,FALSE)</f>
        <v>0.71960000000000002</v>
      </c>
      <c r="AE167" s="12">
        <f>IF(Tableau4[[#This Row],[sdom]]="3OUEST",1,0)</f>
        <v>0</v>
      </c>
      <c r="AF167" s="12">
        <f>VLOOKUP(Tableau4[[#This Row],[essence]],Tableau6[],12,FALSE)</f>
        <v>-2.81E-2</v>
      </c>
      <c r="AG167" s="12">
        <f>IF(Tableau4[[#This Row],[sdom]]="4EST",1,0)</f>
        <v>0</v>
      </c>
      <c r="AH167" s="12">
        <f>VLOOKUP(Tableau4[[#This Row],[essence]],Tableau6[],13,FALSE)</f>
        <v>0.23519999999999999</v>
      </c>
      <c r="AI167" s="12">
        <f>IF(Tableau4[[#This Row],[sdom]]="4OUEST",1,0)</f>
        <v>1</v>
      </c>
      <c r="AJ167" s="12">
        <f>VLOOKUP(Tableau4[[#This Row],[essence]],Tableau6[],14,FALSE)</f>
        <v>0.24660000000000001</v>
      </c>
      <c r="AK167" s="12">
        <f>IF(Tableau4[[#This Row],[sdom]]="5EST",1,0)</f>
        <v>0</v>
      </c>
      <c r="AL167" s="12">
        <f>VLOOKUP(Tableau4[[#This Row],[essence]],Tableau6[],17,FALSE)</f>
        <v>0</v>
      </c>
      <c r="AM167" s="12">
        <f>IF(Tableau4[[#This Row],[priorecol]]="C",1,0)</f>
        <v>1</v>
      </c>
      <c r="AN167" s="12">
        <f>VLOOKUP(Tableau4[[#This Row],[essence]],Tableau6[],18,FALSE)</f>
        <v>0</v>
      </c>
      <c r="AO167" s="12">
        <f>IF(Tableau4[[#This Row],[priorecol]]="R",1,0)</f>
        <v>0</v>
      </c>
      <c r="AP167" s="12">
        <f>VLOOKUP(Tableau4[[#This Row],[essence]],Tableau6[],19,FALSE)</f>
        <v>0</v>
      </c>
      <c r="AQ167" s="12">
        <f>IF(Tableau4[[#This Row],[priorecol]]="S",1,0)</f>
        <v>0</v>
      </c>
      <c r="AR167" s="12">
        <f>VLOOKUP(Tableau4[[#This Row],[essence]],Tableau6[],21,FALSE)</f>
        <v>0</v>
      </c>
      <c r="AS167" s="12">
        <f>IF(Tableau4[[#This Row],[priorecol]]="C",1,0)</f>
        <v>1</v>
      </c>
      <c r="AT167" s="12">
        <f>VLOOKUP(Tableau4[[#This Row],[essence]],Tableau6[],22,FALSE)</f>
        <v>0</v>
      </c>
      <c r="AU167" s="12">
        <f>IF(Tableau4[[#This Row],[priorecol]]="R",1,0)</f>
        <v>0</v>
      </c>
      <c r="AV167" s="12">
        <f>VLOOKUP(Tableau4[[#This Row],[essence]],Tableau6[],23,FALSE)</f>
        <v>0</v>
      </c>
      <c r="AW167" s="12">
        <f>IF(Tableau4[[#This Row],[priorecol]]="S",1,0)</f>
        <v>0</v>
      </c>
      <c r="AX167" s="12">
        <f>VLOOKUP(Tableau4[[#This Row],[essence]],Tableau6[],24,FALSE)</f>
        <v>0</v>
      </c>
      <c r="AY167" s="12">
        <f>VLOOKUP(Tableau4[[#This Row],[essence]],Tableau6[],25,FALSE)</f>
        <v>0</v>
      </c>
      <c r="AZ167" s="12">
        <f>VLOOKUP(Tableau4[[#This Row],[essence]],Tableau6[],26,FALSE)</f>
        <v>0</v>
      </c>
      <c r="BA167" s="12">
        <f>VLOOKUP(Tableau4[[#This Row],[essence]],Tableau6[],27,FALSE)</f>
        <v>0</v>
      </c>
      <c r="BB167" s="12">
        <f>VLOOKUP(Tableau4[[#This Row],[essence]],Tableau6[],16,FALSE)</f>
        <v>-2.6700000000000001E-3</v>
      </c>
      <c r="BC16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-6.7899999999999849E-2</v>
      </c>
      <c r="BD167" s="12">
        <f>Tableau4[[#This Row],[xb_]]+Tableau4[[#This Row],[b_intercept_C]]+Tableau4[[#This Row],[b_dhpcm_x_intercept_C]]*Tableau4[[#This Row],[dhpcm]]</f>
        <v>2.915</v>
      </c>
      <c r="BE167" s="12">
        <f>Tableau4[[#This Row],[xb_]]+Tableau4[[#This Row],[b_intercept_B]]+Tableau4[[#This Row],[b_dhpcm_x_intercept_B]]*Tableau4[[#This Row],[dhpcm]]</f>
        <v>1.6782000000000001</v>
      </c>
      <c r="BF167" s="12">
        <f>Tableau4[[#This Row],[xb_]]+Tableau4[[#This Row],[b_intercept_A]]+Tableau4[[#This Row],[b_dhpcm_x_intercept_A]]*Tableau4[[#This Row],[dhpcm]]</f>
        <v>0.64550000000000018</v>
      </c>
      <c r="BG167" s="12">
        <f>1/(1+EXP(-Tableau4[[#This Row],[xb_c]]))</f>
        <v>0.94858297878081432</v>
      </c>
      <c r="BH167" s="12">
        <f>1/(1+EXP(-Tableau4[[#This Row],[xb_b]]))</f>
        <v>0.84266603430342046</v>
      </c>
      <c r="BI167" s="12">
        <f>1/(1+EXP(-Tableau4[[#This Row],[xb_a]]))</f>
        <v>0.65599568268034669</v>
      </c>
      <c r="BJ167" s="12">
        <f>Tableau4[[#This Row],[prob_a]]</f>
        <v>0.65599568268034669</v>
      </c>
      <c r="BK167" s="12">
        <f>Tableau4[[#This Row],[prob_b]]-Tableau4[[#This Row],[prob_a]]</f>
        <v>0.18667035162307377</v>
      </c>
      <c r="BL167" s="12">
        <f>Tableau4[[#This Row],[prob_c]]-Tableau4[[#This Row],[prob_b]]</f>
        <v>0.10591694447739386</v>
      </c>
      <c r="BM167" s="12">
        <f>1-Tableau4[[#This Row],[prob_c]]</f>
        <v>5.1417021219185677E-2</v>
      </c>
    </row>
    <row r="168" spans="1:65" x14ac:dyDescent="0.25">
      <c r="A168" s="12">
        <v>7</v>
      </c>
      <c r="B168" s="12" t="s">
        <v>15</v>
      </c>
      <c r="C168" s="12">
        <v>2.1</v>
      </c>
      <c r="D168" s="12">
        <v>700</v>
      </c>
      <c r="E168" s="12">
        <v>20</v>
      </c>
      <c r="F168" s="12">
        <v>1</v>
      </c>
      <c r="G168" s="12">
        <v>71</v>
      </c>
      <c r="H168" s="12">
        <v>206</v>
      </c>
      <c r="I168" s="12" t="s">
        <v>26</v>
      </c>
      <c r="J168" s="12" t="s">
        <v>28</v>
      </c>
      <c r="K168" s="12">
        <f>VLOOKUP(Tableau4[[#This Row],[essence]],Tableau6[],2,FALSE)</f>
        <v>0.71340000000000003</v>
      </c>
      <c r="L168" s="12">
        <f>VLOOKUP(Tableau4[[#This Row],[essence]],Tableau6[],3,FALSE)</f>
        <v>1.7461</v>
      </c>
      <c r="M168" s="12">
        <f>VLOOKUP(Tableau4[[#This Row],[essence]],Tableau6[],4,FALSE)</f>
        <v>2.9828999999999999</v>
      </c>
      <c r="N168" s="12">
        <f>VLOOKUP(Tableau4[[#This Row],[essence]],Tableau6[],5,FALSE)</f>
        <v>1.5659000000000001</v>
      </c>
      <c r="O168" s="12">
        <f>IF(Tableau4[[#This Row],[priorecol]]="C",1,0)</f>
        <v>0</v>
      </c>
      <c r="P168" s="12">
        <f>VLOOKUP(Tableau4[[#This Row],[essence]],Tableau6[],6,FALSE)</f>
        <v>1.9651000000000001</v>
      </c>
      <c r="Q168" s="12">
        <f>IF(Tableau4[[#This Row],[priorecol]]="R",1,0)</f>
        <v>1</v>
      </c>
      <c r="R168" s="12">
        <f>VLOOKUP(Tableau4[[#This Row],[essence]],Tableau6[],7,FALSE)</f>
        <v>1.1892</v>
      </c>
      <c r="S168" s="12">
        <f>IF(Tableau4[[#This Row],[priorecol]]="S",1,0)</f>
        <v>0</v>
      </c>
      <c r="T168" s="12">
        <f>VLOOKUP(Tableau4[[#This Row],[essence]],Tableau6[],20,FALSE)</f>
        <v>0</v>
      </c>
      <c r="U168" s="12">
        <f>VLOOKUP(Tableau4[[#This Row],[essence]],Tableau6[],15,FALSE)</f>
        <v>0</v>
      </c>
      <c r="V168" s="12">
        <f>VLOOKUP(Tableau4[[#This Row],[essence]],Tableau6[],28,FALSE)</f>
        <v>0</v>
      </c>
      <c r="W168" s="12">
        <f>IF(Tableau4[[#This Row],[sdom]]=1,1,0)</f>
        <v>0</v>
      </c>
      <c r="X168" s="12">
        <f>VLOOKUP(Tableau4[[#This Row],[essence]],Tableau6[],8,FALSE)</f>
        <v>0</v>
      </c>
      <c r="Y168" s="12">
        <f>IF(Tableau4[[#This Row],[sdom]]="2EST",1,0)</f>
        <v>0</v>
      </c>
      <c r="Z168" s="12">
        <f>VLOOKUP(Tableau4[[#This Row],[essence]],Tableau6[],9,FALSE)</f>
        <v>0</v>
      </c>
      <c r="AA168" s="12">
        <f>IF(Tableau4[[#This Row],[sdom]]="2OUEST",1,0)</f>
        <v>0</v>
      </c>
      <c r="AB168" s="12">
        <f>VLOOKUP(Tableau4[[#This Row],[essence]],Tableau6[],10,FALSE)</f>
        <v>0</v>
      </c>
      <c r="AC168" s="12">
        <f>IF(Tableau4[[#This Row],[sdom]]="3EST",1,0)</f>
        <v>0</v>
      </c>
      <c r="AD168" s="12">
        <f>VLOOKUP(Tableau4[[#This Row],[essence]],Tableau6[],11,FALSE)</f>
        <v>0.71960000000000002</v>
      </c>
      <c r="AE168" s="12">
        <f>IF(Tableau4[[#This Row],[sdom]]="3OUEST",1,0)</f>
        <v>0</v>
      </c>
      <c r="AF168" s="12">
        <f>VLOOKUP(Tableau4[[#This Row],[essence]],Tableau6[],12,FALSE)</f>
        <v>-2.81E-2</v>
      </c>
      <c r="AG168" s="12">
        <f>IF(Tableau4[[#This Row],[sdom]]="4EST",1,0)</f>
        <v>0</v>
      </c>
      <c r="AH168" s="12">
        <f>VLOOKUP(Tableau4[[#This Row],[essence]],Tableau6[],13,FALSE)</f>
        <v>0.23519999999999999</v>
      </c>
      <c r="AI168" s="12">
        <f>IF(Tableau4[[#This Row],[sdom]]="4OUEST",1,0)</f>
        <v>1</v>
      </c>
      <c r="AJ168" s="12">
        <f>VLOOKUP(Tableau4[[#This Row],[essence]],Tableau6[],14,FALSE)</f>
        <v>0.24660000000000001</v>
      </c>
      <c r="AK168" s="12">
        <f>IF(Tableau4[[#This Row],[sdom]]="5EST",1,0)</f>
        <v>0</v>
      </c>
      <c r="AL168" s="12">
        <f>VLOOKUP(Tableau4[[#This Row],[essence]],Tableau6[],17,FALSE)</f>
        <v>0</v>
      </c>
      <c r="AM168" s="12">
        <f>IF(Tableau4[[#This Row],[priorecol]]="C",1,0)</f>
        <v>0</v>
      </c>
      <c r="AN168" s="12">
        <f>VLOOKUP(Tableau4[[#This Row],[essence]],Tableau6[],18,FALSE)</f>
        <v>0</v>
      </c>
      <c r="AO168" s="12">
        <f>IF(Tableau4[[#This Row],[priorecol]]="R",1,0)</f>
        <v>1</v>
      </c>
      <c r="AP168" s="12">
        <f>VLOOKUP(Tableau4[[#This Row],[essence]],Tableau6[],19,FALSE)</f>
        <v>0</v>
      </c>
      <c r="AQ168" s="12">
        <f>IF(Tableau4[[#This Row],[priorecol]]="S",1,0)</f>
        <v>0</v>
      </c>
      <c r="AR168" s="12">
        <f>VLOOKUP(Tableau4[[#This Row],[essence]],Tableau6[],21,FALSE)</f>
        <v>0</v>
      </c>
      <c r="AS168" s="12">
        <f>IF(Tableau4[[#This Row],[priorecol]]="C",1,0)</f>
        <v>0</v>
      </c>
      <c r="AT168" s="12">
        <f>VLOOKUP(Tableau4[[#This Row],[essence]],Tableau6[],22,FALSE)</f>
        <v>0</v>
      </c>
      <c r="AU168" s="12">
        <f>IF(Tableau4[[#This Row],[priorecol]]="R",1,0)</f>
        <v>1</v>
      </c>
      <c r="AV168" s="12">
        <f>VLOOKUP(Tableau4[[#This Row],[essence]],Tableau6[],23,FALSE)</f>
        <v>0</v>
      </c>
      <c r="AW168" s="12">
        <f>IF(Tableau4[[#This Row],[priorecol]]="S",1,0)</f>
        <v>0</v>
      </c>
      <c r="AX168" s="12">
        <f>VLOOKUP(Tableau4[[#This Row],[essence]],Tableau6[],24,FALSE)</f>
        <v>0</v>
      </c>
      <c r="AY168" s="12">
        <f>VLOOKUP(Tableau4[[#This Row],[essence]],Tableau6[],25,FALSE)</f>
        <v>0</v>
      </c>
      <c r="AZ168" s="12">
        <f>VLOOKUP(Tableau4[[#This Row],[essence]],Tableau6[],26,FALSE)</f>
        <v>0</v>
      </c>
      <c r="BA168" s="12">
        <f>VLOOKUP(Tableau4[[#This Row],[essence]],Tableau6[],27,FALSE)</f>
        <v>0</v>
      </c>
      <c r="BB168" s="12">
        <f>VLOOKUP(Tableau4[[#This Row],[essence]],Tableau6[],16,FALSE)</f>
        <v>-2.6700000000000001E-3</v>
      </c>
      <c r="BC16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0.33129999999999993</v>
      </c>
      <c r="BD168" s="12">
        <f>Tableau4[[#This Row],[xb_]]+Tableau4[[#This Row],[b_intercept_C]]+Tableau4[[#This Row],[b_dhpcm_x_intercept_C]]*Tableau4[[#This Row],[dhpcm]]</f>
        <v>3.3141999999999996</v>
      </c>
      <c r="BE168" s="12">
        <f>Tableau4[[#This Row],[xb_]]+Tableau4[[#This Row],[b_intercept_B]]+Tableau4[[#This Row],[b_dhpcm_x_intercept_B]]*Tableau4[[#This Row],[dhpcm]]</f>
        <v>2.0773999999999999</v>
      </c>
      <c r="BF168" s="12">
        <f>Tableau4[[#This Row],[xb_]]+Tableau4[[#This Row],[b_intercept_A]]+Tableau4[[#This Row],[b_dhpcm_x_intercept_A]]*Tableau4[[#This Row],[dhpcm]]</f>
        <v>1.0447</v>
      </c>
      <c r="BG168" s="12">
        <f>1/(1+EXP(-Tableau4[[#This Row],[xb_c]]))</f>
        <v>0.96491275453247316</v>
      </c>
      <c r="BH168" s="12">
        <f>1/(1+EXP(-Tableau4[[#This Row],[xb_b]]))</f>
        <v>0.88868709500201926</v>
      </c>
      <c r="BI168" s="12">
        <f>1/(1+EXP(-Tableau4[[#This Row],[xb_a]]))</f>
        <v>0.73975585568506252</v>
      </c>
      <c r="BJ168" s="12">
        <f>Tableau4[[#This Row],[prob_a]]</f>
        <v>0.73975585568506252</v>
      </c>
      <c r="BK168" s="12">
        <f>Tableau4[[#This Row],[prob_b]]-Tableau4[[#This Row],[prob_a]]</f>
        <v>0.14893123931695673</v>
      </c>
      <c r="BL168" s="12">
        <f>Tableau4[[#This Row],[prob_c]]-Tableau4[[#This Row],[prob_b]]</f>
        <v>7.6225659530453904E-2</v>
      </c>
      <c r="BM168" s="12">
        <f>1-Tableau4[[#This Row],[prob_c]]</f>
        <v>3.508724546752684E-2</v>
      </c>
    </row>
    <row r="169" spans="1:65" x14ac:dyDescent="0.25">
      <c r="A169" s="12">
        <v>7</v>
      </c>
      <c r="B169" s="12" t="s">
        <v>15</v>
      </c>
      <c r="C169" s="12">
        <v>2.1</v>
      </c>
      <c r="D169" s="12">
        <v>700</v>
      </c>
      <c r="E169" s="12">
        <v>20</v>
      </c>
      <c r="F169" s="12">
        <v>1</v>
      </c>
      <c r="G169" s="12">
        <v>72</v>
      </c>
      <c r="H169" s="12">
        <v>207</v>
      </c>
      <c r="I169" s="12" t="s">
        <v>26</v>
      </c>
      <c r="J169" s="12" t="s">
        <v>29</v>
      </c>
      <c r="K169" s="12">
        <f>VLOOKUP(Tableau4[[#This Row],[essence]],Tableau6[],2,FALSE)</f>
        <v>0.71340000000000003</v>
      </c>
      <c r="L169" s="12">
        <f>VLOOKUP(Tableau4[[#This Row],[essence]],Tableau6[],3,FALSE)</f>
        <v>1.7461</v>
      </c>
      <c r="M169" s="12">
        <f>VLOOKUP(Tableau4[[#This Row],[essence]],Tableau6[],4,FALSE)</f>
        <v>2.9828999999999999</v>
      </c>
      <c r="N169" s="12">
        <f>VLOOKUP(Tableau4[[#This Row],[essence]],Tableau6[],5,FALSE)</f>
        <v>1.5659000000000001</v>
      </c>
      <c r="O169" s="12">
        <f>IF(Tableau4[[#This Row],[priorecol]]="C",1,0)</f>
        <v>0</v>
      </c>
      <c r="P169" s="12">
        <f>VLOOKUP(Tableau4[[#This Row],[essence]],Tableau6[],6,FALSE)</f>
        <v>1.9651000000000001</v>
      </c>
      <c r="Q169" s="12">
        <f>IF(Tableau4[[#This Row],[priorecol]]="R",1,0)</f>
        <v>0</v>
      </c>
      <c r="R169" s="12">
        <f>VLOOKUP(Tableau4[[#This Row],[essence]],Tableau6[],7,FALSE)</f>
        <v>1.1892</v>
      </c>
      <c r="S169" s="12">
        <f>IF(Tableau4[[#This Row],[priorecol]]="S",1,0)</f>
        <v>1</v>
      </c>
      <c r="T169" s="12">
        <f>VLOOKUP(Tableau4[[#This Row],[essence]],Tableau6[],20,FALSE)</f>
        <v>0</v>
      </c>
      <c r="U169" s="12">
        <f>VLOOKUP(Tableau4[[#This Row],[essence]],Tableau6[],15,FALSE)</f>
        <v>0</v>
      </c>
      <c r="V169" s="12">
        <f>VLOOKUP(Tableau4[[#This Row],[essence]],Tableau6[],28,FALSE)</f>
        <v>0</v>
      </c>
      <c r="W169" s="12">
        <f>IF(Tableau4[[#This Row],[sdom]]=1,1,0)</f>
        <v>0</v>
      </c>
      <c r="X169" s="12">
        <f>VLOOKUP(Tableau4[[#This Row],[essence]],Tableau6[],8,FALSE)</f>
        <v>0</v>
      </c>
      <c r="Y169" s="12">
        <f>IF(Tableau4[[#This Row],[sdom]]="2EST",1,0)</f>
        <v>0</v>
      </c>
      <c r="Z169" s="12">
        <f>VLOOKUP(Tableau4[[#This Row],[essence]],Tableau6[],9,FALSE)</f>
        <v>0</v>
      </c>
      <c r="AA169" s="12">
        <f>IF(Tableau4[[#This Row],[sdom]]="2OUEST",1,0)</f>
        <v>0</v>
      </c>
      <c r="AB169" s="12">
        <f>VLOOKUP(Tableau4[[#This Row],[essence]],Tableau6[],10,FALSE)</f>
        <v>0</v>
      </c>
      <c r="AC169" s="12">
        <f>IF(Tableau4[[#This Row],[sdom]]="3EST",1,0)</f>
        <v>0</v>
      </c>
      <c r="AD169" s="12">
        <f>VLOOKUP(Tableau4[[#This Row],[essence]],Tableau6[],11,FALSE)</f>
        <v>0.71960000000000002</v>
      </c>
      <c r="AE169" s="12">
        <f>IF(Tableau4[[#This Row],[sdom]]="3OUEST",1,0)</f>
        <v>0</v>
      </c>
      <c r="AF169" s="12">
        <f>VLOOKUP(Tableau4[[#This Row],[essence]],Tableau6[],12,FALSE)</f>
        <v>-2.81E-2</v>
      </c>
      <c r="AG169" s="12">
        <f>IF(Tableau4[[#This Row],[sdom]]="4EST",1,0)</f>
        <v>0</v>
      </c>
      <c r="AH169" s="12">
        <f>VLOOKUP(Tableau4[[#This Row],[essence]],Tableau6[],13,FALSE)</f>
        <v>0.23519999999999999</v>
      </c>
      <c r="AI169" s="12">
        <f>IF(Tableau4[[#This Row],[sdom]]="4OUEST",1,0)</f>
        <v>1</v>
      </c>
      <c r="AJ169" s="12">
        <f>VLOOKUP(Tableau4[[#This Row],[essence]],Tableau6[],14,FALSE)</f>
        <v>0.24660000000000001</v>
      </c>
      <c r="AK169" s="12">
        <f>IF(Tableau4[[#This Row],[sdom]]="5EST",1,0)</f>
        <v>0</v>
      </c>
      <c r="AL169" s="12">
        <f>VLOOKUP(Tableau4[[#This Row],[essence]],Tableau6[],17,FALSE)</f>
        <v>0</v>
      </c>
      <c r="AM169" s="12">
        <f>IF(Tableau4[[#This Row],[priorecol]]="C",1,0)</f>
        <v>0</v>
      </c>
      <c r="AN169" s="12">
        <f>VLOOKUP(Tableau4[[#This Row],[essence]],Tableau6[],18,FALSE)</f>
        <v>0</v>
      </c>
      <c r="AO169" s="12">
        <f>IF(Tableau4[[#This Row],[priorecol]]="R",1,0)</f>
        <v>0</v>
      </c>
      <c r="AP169" s="12">
        <f>VLOOKUP(Tableau4[[#This Row],[essence]],Tableau6[],19,FALSE)</f>
        <v>0</v>
      </c>
      <c r="AQ169" s="12">
        <f>IF(Tableau4[[#This Row],[priorecol]]="S",1,0)</f>
        <v>1</v>
      </c>
      <c r="AR169" s="12">
        <f>VLOOKUP(Tableau4[[#This Row],[essence]],Tableau6[],21,FALSE)</f>
        <v>0</v>
      </c>
      <c r="AS169" s="12">
        <f>IF(Tableau4[[#This Row],[priorecol]]="C",1,0)</f>
        <v>0</v>
      </c>
      <c r="AT169" s="12">
        <f>VLOOKUP(Tableau4[[#This Row],[essence]],Tableau6[],22,FALSE)</f>
        <v>0</v>
      </c>
      <c r="AU169" s="12">
        <f>IF(Tableau4[[#This Row],[priorecol]]="R",1,0)</f>
        <v>0</v>
      </c>
      <c r="AV169" s="12">
        <f>VLOOKUP(Tableau4[[#This Row],[essence]],Tableau6[],23,FALSE)</f>
        <v>0</v>
      </c>
      <c r="AW169" s="12">
        <f>IF(Tableau4[[#This Row],[priorecol]]="S",1,0)</f>
        <v>1</v>
      </c>
      <c r="AX169" s="12">
        <f>VLOOKUP(Tableau4[[#This Row],[essence]],Tableau6[],24,FALSE)</f>
        <v>0</v>
      </c>
      <c r="AY169" s="12">
        <f>VLOOKUP(Tableau4[[#This Row],[essence]],Tableau6[],25,FALSE)</f>
        <v>0</v>
      </c>
      <c r="AZ169" s="12">
        <f>VLOOKUP(Tableau4[[#This Row],[essence]],Tableau6[],26,FALSE)</f>
        <v>0</v>
      </c>
      <c r="BA169" s="12">
        <f>VLOOKUP(Tableau4[[#This Row],[essence]],Tableau6[],27,FALSE)</f>
        <v>0</v>
      </c>
      <c r="BB169" s="12">
        <f>VLOOKUP(Tableau4[[#This Row],[essence]],Tableau6[],16,FALSE)</f>
        <v>-2.6700000000000001E-3</v>
      </c>
      <c r="BC16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-0.44459999999999988</v>
      </c>
      <c r="BD169" s="12">
        <f>Tableau4[[#This Row],[xb_]]+Tableau4[[#This Row],[b_intercept_C]]+Tableau4[[#This Row],[b_dhpcm_x_intercept_C]]*Tableau4[[#This Row],[dhpcm]]</f>
        <v>2.5383</v>
      </c>
      <c r="BE169" s="12">
        <f>Tableau4[[#This Row],[xb_]]+Tableau4[[#This Row],[b_intercept_B]]+Tableau4[[#This Row],[b_dhpcm_x_intercept_B]]*Tableau4[[#This Row],[dhpcm]]</f>
        <v>1.3015000000000001</v>
      </c>
      <c r="BF169" s="12">
        <f>Tableau4[[#This Row],[xb_]]+Tableau4[[#This Row],[b_intercept_A]]+Tableau4[[#This Row],[b_dhpcm_x_intercept_A]]*Tableau4[[#This Row],[dhpcm]]</f>
        <v>0.26880000000000015</v>
      </c>
      <c r="BG169" s="12">
        <f>1/(1+EXP(-Tableau4[[#This Row],[xb_c]]))</f>
        <v>0.92678355538367607</v>
      </c>
      <c r="BH169" s="12">
        <f>1/(1+EXP(-Tableau4[[#This Row],[xb_b]]))</f>
        <v>0.78608732234784706</v>
      </c>
      <c r="BI169" s="12">
        <f>1/(1+EXP(-Tableau4[[#This Row],[xb_a]]))</f>
        <v>0.56679828302983526</v>
      </c>
      <c r="BJ169" s="12">
        <f>Tableau4[[#This Row],[prob_a]]</f>
        <v>0.56679828302983526</v>
      </c>
      <c r="BK169" s="12">
        <f>Tableau4[[#This Row],[prob_b]]-Tableau4[[#This Row],[prob_a]]</f>
        <v>0.2192890393180118</v>
      </c>
      <c r="BL169" s="12">
        <f>Tableau4[[#This Row],[prob_c]]-Tableau4[[#This Row],[prob_b]]</f>
        <v>0.14069623303582901</v>
      </c>
      <c r="BM169" s="12">
        <f>1-Tableau4[[#This Row],[prob_c]]</f>
        <v>7.3216444616323928E-2</v>
      </c>
    </row>
    <row r="170" spans="1:65" x14ac:dyDescent="0.25">
      <c r="A170" s="12">
        <v>8</v>
      </c>
      <c r="B170" s="12" t="s">
        <v>16</v>
      </c>
      <c r="C170" s="12">
        <v>2.1</v>
      </c>
      <c r="D170" s="12">
        <v>700</v>
      </c>
      <c r="E170" s="12">
        <v>20</v>
      </c>
      <c r="F170" s="12">
        <v>1</v>
      </c>
      <c r="G170" s="12">
        <v>49</v>
      </c>
      <c r="H170" s="12">
        <v>208</v>
      </c>
      <c r="I170" s="12" t="s">
        <v>19</v>
      </c>
      <c r="J170" s="12" t="s">
        <v>27</v>
      </c>
      <c r="K170" s="12">
        <f>VLOOKUP(Tableau4[[#This Row],[essence]],Tableau6[],2,FALSE)</f>
        <v>-1.7937000000000001</v>
      </c>
      <c r="L170" s="12">
        <f>VLOOKUP(Tableau4[[#This Row],[essence]],Tableau6[],3,FALSE)</f>
        <v>-0.68110000000000004</v>
      </c>
      <c r="M170" s="12">
        <f>VLOOKUP(Tableau4[[#This Row],[essence]],Tableau6[],4,FALSE)</f>
        <v>0.82179999999999997</v>
      </c>
      <c r="N170" s="12">
        <f>VLOOKUP(Tableau4[[#This Row],[essence]],Tableau6[],5,FALSE)</f>
        <v>1.5014000000000001</v>
      </c>
      <c r="O170" s="12">
        <f>IF(Tableau4[[#This Row],[priorecol]]="C",1,0)</f>
        <v>1</v>
      </c>
      <c r="P170" s="12">
        <f>VLOOKUP(Tableau4[[#This Row],[essence]],Tableau6[],6,FALSE)</f>
        <v>2.3875000000000002</v>
      </c>
      <c r="Q170" s="12">
        <f>IF(Tableau4[[#This Row],[priorecol]]="R",1,0)</f>
        <v>0</v>
      </c>
      <c r="R170" s="12">
        <f>VLOOKUP(Tableau4[[#This Row],[essence]],Tableau6[],7,FALSE)</f>
        <v>0.94669999999999999</v>
      </c>
      <c r="S170" s="12">
        <f>IF(Tableau4[[#This Row],[priorecol]]="S",1,0)</f>
        <v>0</v>
      </c>
      <c r="T170" s="12">
        <f>VLOOKUP(Tableau4[[#This Row],[essence]],Tableau6[],20,FALSE)</f>
        <v>0</v>
      </c>
      <c r="U170" s="12">
        <f>VLOOKUP(Tableau4[[#This Row],[essence]],Tableau6[],15,FALSE)</f>
        <v>6.4000000000000003E-3</v>
      </c>
      <c r="V170" s="12">
        <f>VLOOKUP(Tableau4[[#This Row],[essence]],Tableau6[],28,FALSE)</f>
        <v>0</v>
      </c>
      <c r="W170" s="12">
        <f>IF(Tableau4[[#This Row],[sdom]]=1,1,0)</f>
        <v>0</v>
      </c>
      <c r="X170" s="12">
        <f>VLOOKUP(Tableau4[[#This Row],[essence]],Tableau6[],8,FALSE)</f>
        <v>9.4399999999999998E-2</v>
      </c>
      <c r="Y170" s="12">
        <f>IF(Tableau4[[#This Row],[sdom]]="2EST",1,0)</f>
        <v>0</v>
      </c>
      <c r="Z170" s="12">
        <f>VLOOKUP(Tableau4[[#This Row],[essence]],Tableau6[],9,FALSE)</f>
        <v>-0.40260000000000001</v>
      </c>
      <c r="AA170" s="12">
        <f>IF(Tableau4[[#This Row],[sdom]]="2OUEST",1,0)</f>
        <v>0</v>
      </c>
      <c r="AB170" s="12">
        <f>VLOOKUP(Tableau4[[#This Row],[essence]],Tableau6[],10,FALSE)</f>
        <v>-3.5699999999999998E-3</v>
      </c>
      <c r="AC170" s="12">
        <f>IF(Tableau4[[#This Row],[sdom]]="3EST",1,0)</f>
        <v>0</v>
      </c>
      <c r="AD170" s="12">
        <f>VLOOKUP(Tableau4[[#This Row],[essence]],Tableau6[],11,FALSE)</f>
        <v>0.14949999999999999</v>
      </c>
      <c r="AE170" s="12">
        <f>IF(Tableau4[[#This Row],[sdom]]="3OUEST",1,0)</f>
        <v>0</v>
      </c>
      <c r="AF170" s="12">
        <f>VLOOKUP(Tableau4[[#This Row],[essence]],Tableau6[],12,FALSE)</f>
        <v>-0.1822</v>
      </c>
      <c r="AG170" s="12">
        <f>IF(Tableau4[[#This Row],[sdom]]="4EST",1,0)</f>
        <v>0</v>
      </c>
      <c r="AH170" s="12">
        <f>VLOOKUP(Tableau4[[#This Row],[essence]],Tableau6[],13,FALSE)</f>
        <v>-0.1013</v>
      </c>
      <c r="AI170" s="12">
        <f>IF(Tableau4[[#This Row],[sdom]]="4OUEST",1,0)</f>
        <v>0</v>
      </c>
      <c r="AJ170" s="12">
        <f>VLOOKUP(Tableau4[[#This Row],[essence]],Tableau6[],14,FALSE)</f>
        <v>-0.33779999999999999</v>
      </c>
      <c r="AK170" s="12">
        <f>IF(Tableau4[[#This Row],[sdom]]="5EST",1,0)</f>
        <v>1</v>
      </c>
      <c r="AL170" s="12">
        <f>VLOOKUP(Tableau4[[#This Row],[essence]],Tableau6[],17,FALSE)</f>
        <v>1.03E-2</v>
      </c>
      <c r="AM170" s="12">
        <f>IF(Tableau4[[#This Row],[priorecol]]="C",1,0)</f>
        <v>1</v>
      </c>
      <c r="AN170" s="12">
        <f>VLOOKUP(Tableau4[[#This Row],[essence]],Tableau6[],18,FALSE)</f>
        <v>1.23E-2</v>
      </c>
      <c r="AO170" s="12">
        <f>IF(Tableau4[[#This Row],[priorecol]]="R",1,0)</f>
        <v>0</v>
      </c>
      <c r="AP170" s="12">
        <f>VLOOKUP(Tableau4[[#This Row],[essence]],Tableau6[],19,FALSE)</f>
        <v>1.2800000000000001E-2</v>
      </c>
      <c r="AQ170" s="12">
        <f>IF(Tableau4[[#This Row],[priorecol]]="S",1,0)</f>
        <v>0</v>
      </c>
      <c r="AR170" s="12">
        <f>VLOOKUP(Tableau4[[#This Row],[essence]],Tableau6[],21,FALSE)</f>
        <v>0</v>
      </c>
      <c r="AS170" s="12">
        <f>IF(Tableau4[[#This Row],[priorecol]]="C",1,0)</f>
        <v>1</v>
      </c>
      <c r="AT170" s="12">
        <f>VLOOKUP(Tableau4[[#This Row],[essence]],Tableau6[],22,FALSE)</f>
        <v>0</v>
      </c>
      <c r="AU170" s="12">
        <f>IF(Tableau4[[#This Row],[priorecol]]="R",1,0)</f>
        <v>0</v>
      </c>
      <c r="AV170" s="12">
        <f>VLOOKUP(Tableau4[[#This Row],[essence]],Tableau6[],23,FALSE)</f>
        <v>0</v>
      </c>
      <c r="AW170" s="12">
        <f>IF(Tableau4[[#This Row],[priorecol]]="S",1,0)</f>
        <v>0</v>
      </c>
      <c r="AX170" s="12">
        <f>VLOOKUP(Tableau4[[#This Row],[essence]],Tableau6[],24,FALSE)</f>
        <v>0</v>
      </c>
      <c r="AY170" s="12">
        <f>VLOOKUP(Tableau4[[#This Row],[essence]],Tableau6[],25,FALSE)</f>
        <v>0</v>
      </c>
      <c r="AZ170" s="12">
        <f>VLOOKUP(Tableau4[[#This Row],[essence]],Tableau6[],26,FALSE)</f>
        <v>0</v>
      </c>
      <c r="BA170" s="12">
        <f>VLOOKUP(Tableau4[[#This Row],[essence]],Tableau6[],27,FALSE)</f>
        <v>0</v>
      </c>
      <c r="BB170" s="12">
        <f>VLOOKUP(Tableau4[[#This Row],[essence]],Tableau6[],16,FALSE)</f>
        <v>-4.8999999999999998E-4</v>
      </c>
      <c r="BC17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1.1545999999999998</v>
      </c>
      <c r="BD170" s="12">
        <f>Tableau4[[#This Row],[xb_]]+Tableau4[[#This Row],[b_intercept_C]]+Tableau4[[#This Row],[b_dhpcm_x_intercept_C]]*Tableau4[[#This Row],[dhpcm]]</f>
        <v>1.9763999999999999</v>
      </c>
      <c r="BE170" s="12">
        <f>Tableau4[[#This Row],[xb_]]+Tableau4[[#This Row],[b_intercept_B]]+Tableau4[[#This Row],[b_dhpcm_x_intercept_B]]*Tableau4[[#This Row],[dhpcm]]</f>
        <v>0.47349999999999981</v>
      </c>
      <c r="BF170" s="12">
        <f>Tableau4[[#This Row],[xb_]]+Tableau4[[#This Row],[b_intercept_A]]+Tableau4[[#This Row],[b_dhpcm_x_intercept_A]]*Tableau4[[#This Row],[dhpcm]]</f>
        <v>-0.63910000000000022</v>
      </c>
      <c r="BG170" s="12">
        <f>1/(1+EXP(-Tableau4[[#This Row],[xb_c]]))</f>
        <v>0.87829687656631572</v>
      </c>
      <c r="BH170" s="12">
        <f>1/(1+EXP(-Tableau4[[#This Row],[xb_b]]))</f>
        <v>0.61621182419701792</v>
      </c>
      <c r="BI170" s="12">
        <f>1/(1+EXP(-Tableau4[[#This Row],[xb_a]]))</f>
        <v>0.34545001394928598</v>
      </c>
      <c r="BJ170" s="12">
        <f>Tableau4[[#This Row],[prob_a]]</f>
        <v>0.34545001394928598</v>
      </c>
      <c r="BK170" s="12">
        <f>Tableau4[[#This Row],[prob_b]]-Tableau4[[#This Row],[prob_a]]</f>
        <v>0.27076181024773194</v>
      </c>
      <c r="BL170" s="12">
        <f>Tableau4[[#This Row],[prob_c]]-Tableau4[[#This Row],[prob_b]]</f>
        <v>0.2620850523692978</v>
      </c>
      <c r="BM170" s="12">
        <f>1-Tableau4[[#This Row],[prob_c]]</f>
        <v>0.12170312343368428</v>
      </c>
    </row>
    <row r="171" spans="1:65" x14ac:dyDescent="0.25">
      <c r="A171" s="12">
        <v>8</v>
      </c>
      <c r="B171" s="12" t="s">
        <v>16</v>
      </c>
      <c r="C171" s="12">
        <v>2.1</v>
      </c>
      <c r="D171" s="12">
        <v>700</v>
      </c>
      <c r="E171" s="12">
        <v>20</v>
      </c>
      <c r="F171" s="12">
        <v>1</v>
      </c>
      <c r="G171" s="12">
        <v>50</v>
      </c>
      <c r="H171" s="12">
        <v>209</v>
      </c>
      <c r="I171" s="12" t="s">
        <v>19</v>
      </c>
      <c r="J171" s="12" t="s">
        <v>28</v>
      </c>
      <c r="K171" s="12">
        <f>VLOOKUP(Tableau4[[#This Row],[essence]],Tableau6[],2,FALSE)</f>
        <v>-1.7937000000000001</v>
      </c>
      <c r="L171" s="12">
        <f>VLOOKUP(Tableau4[[#This Row],[essence]],Tableau6[],3,FALSE)</f>
        <v>-0.68110000000000004</v>
      </c>
      <c r="M171" s="12">
        <f>VLOOKUP(Tableau4[[#This Row],[essence]],Tableau6[],4,FALSE)</f>
        <v>0.82179999999999997</v>
      </c>
      <c r="N171" s="12">
        <f>VLOOKUP(Tableau4[[#This Row],[essence]],Tableau6[],5,FALSE)</f>
        <v>1.5014000000000001</v>
      </c>
      <c r="O171" s="12">
        <f>IF(Tableau4[[#This Row],[priorecol]]="C",1,0)</f>
        <v>0</v>
      </c>
      <c r="P171" s="12">
        <f>VLOOKUP(Tableau4[[#This Row],[essence]],Tableau6[],6,FALSE)</f>
        <v>2.3875000000000002</v>
      </c>
      <c r="Q171" s="12">
        <f>IF(Tableau4[[#This Row],[priorecol]]="R",1,0)</f>
        <v>1</v>
      </c>
      <c r="R171" s="12">
        <f>VLOOKUP(Tableau4[[#This Row],[essence]],Tableau6[],7,FALSE)</f>
        <v>0.94669999999999999</v>
      </c>
      <c r="S171" s="12">
        <f>IF(Tableau4[[#This Row],[priorecol]]="S",1,0)</f>
        <v>0</v>
      </c>
      <c r="T171" s="12">
        <f>VLOOKUP(Tableau4[[#This Row],[essence]],Tableau6[],20,FALSE)</f>
        <v>0</v>
      </c>
      <c r="U171" s="12">
        <f>VLOOKUP(Tableau4[[#This Row],[essence]],Tableau6[],15,FALSE)</f>
        <v>6.4000000000000003E-3</v>
      </c>
      <c r="V171" s="12">
        <f>VLOOKUP(Tableau4[[#This Row],[essence]],Tableau6[],28,FALSE)</f>
        <v>0</v>
      </c>
      <c r="W171" s="12">
        <f>IF(Tableau4[[#This Row],[sdom]]=1,1,0)</f>
        <v>0</v>
      </c>
      <c r="X171" s="12">
        <f>VLOOKUP(Tableau4[[#This Row],[essence]],Tableau6[],8,FALSE)</f>
        <v>9.4399999999999998E-2</v>
      </c>
      <c r="Y171" s="12">
        <f>IF(Tableau4[[#This Row],[sdom]]="2EST",1,0)</f>
        <v>0</v>
      </c>
      <c r="Z171" s="12">
        <f>VLOOKUP(Tableau4[[#This Row],[essence]],Tableau6[],9,FALSE)</f>
        <v>-0.40260000000000001</v>
      </c>
      <c r="AA171" s="12">
        <f>IF(Tableau4[[#This Row],[sdom]]="2OUEST",1,0)</f>
        <v>0</v>
      </c>
      <c r="AB171" s="12">
        <f>VLOOKUP(Tableau4[[#This Row],[essence]],Tableau6[],10,FALSE)</f>
        <v>-3.5699999999999998E-3</v>
      </c>
      <c r="AC171" s="12">
        <f>IF(Tableau4[[#This Row],[sdom]]="3EST",1,0)</f>
        <v>0</v>
      </c>
      <c r="AD171" s="12">
        <f>VLOOKUP(Tableau4[[#This Row],[essence]],Tableau6[],11,FALSE)</f>
        <v>0.14949999999999999</v>
      </c>
      <c r="AE171" s="12">
        <f>IF(Tableau4[[#This Row],[sdom]]="3OUEST",1,0)</f>
        <v>0</v>
      </c>
      <c r="AF171" s="12">
        <f>VLOOKUP(Tableau4[[#This Row],[essence]],Tableau6[],12,FALSE)</f>
        <v>-0.1822</v>
      </c>
      <c r="AG171" s="12">
        <f>IF(Tableau4[[#This Row],[sdom]]="4EST",1,0)</f>
        <v>0</v>
      </c>
      <c r="AH171" s="12">
        <f>VLOOKUP(Tableau4[[#This Row],[essence]],Tableau6[],13,FALSE)</f>
        <v>-0.1013</v>
      </c>
      <c r="AI171" s="12">
        <f>IF(Tableau4[[#This Row],[sdom]]="4OUEST",1,0)</f>
        <v>0</v>
      </c>
      <c r="AJ171" s="12">
        <f>VLOOKUP(Tableau4[[#This Row],[essence]],Tableau6[],14,FALSE)</f>
        <v>-0.33779999999999999</v>
      </c>
      <c r="AK171" s="12">
        <f>IF(Tableau4[[#This Row],[sdom]]="5EST",1,0)</f>
        <v>1</v>
      </c>
      <c r="AL171" s="12">
        <f>VLOOKUP(Tableau4[[#This Row],[essence]],Tableau6[],17,FALSE)</f>
        <v>1.03E-2</v>
      </c>
      <c r="AM171" s="12">
        <f>IF(Tableau4[[#This Row],[priorecol]]="C",1,0)</f>
        <v>0</v>
      </c>
      <c r="AN171" s="12">
        <f>VLOOKUP(Tableau4[[#This Row],[essence]],Tableau6[],18,FALSE)</f>
        <v>1.23E-2</v>
      </c>
      <c r="AO171" s="12">
        <f>IF(Tableau4[[#This Row],[priorecol]]="R",1,0)</f>
        <v>1</v>
      </c>
      <c r="AP171" s="12">
        <f>VLOOKUP(Tableau4[[#This Row],[essence]],Tableau6[],19,FALSE)</f>
        <v>1.2800000000000001E-2</v>
      </c>
      <c r="AQ171" s="12">
        <f>IF(Tableau4[[#This Row],[priorecol]]="S",1,0)</f>
        <v>0</v>
      </c>
      <c r="AR171" s="12">
        <f>VLOOKUP(Tableau4[[#This Row],[essence]],Tableau6[],21,FALSE)</f>
        <v>0</v>
      </c>
      <c r="AS171" s="12">
        <f>IF(Tableau4[[#This Row],[priorecol]]="C",1,0)</f>
        <v>0</v>
      </c>
      <c r="AT171" s="12">
        <f>VLOOKUP(Tableau4[[#This Row],[essence]],Tableau6[],22,FALSE)</f>
        <v>0</v>
      </c>
      <c r="AU171" s="12">
        <f>IF(Tableau4[[#This Row],[priorecol]]="R",1,0)</f>
        <v>1</v>
      </c>
      <c r="AV171" s="12">
        <f>VLOOKUP(Tableau4[[#This Row],[essence]],Tableau6[],23,FALSE)</f>
        <v>0</v>
      </c>
      <c r="AW171" s="12">
        <f>IF(Tableau4[[#This Row],[priorecol]]="S",1,0)</f>
        <v>0</v>
      </c>
      <c r="AX171" s="12">
        <f>VLOOKUP(Tableau4[[#This Row],[essence]],Tableau6[],24,FALSE)</f>
        <v>0</v>
      </c>
      <c r="AY171" s="12">
        <f>VLOOKUP(Tableau4[[#This Row],[essence]],Tableau6[],25,FALSE)</f>
        <v>0</v>
      </c>
      <c r="AZ171" s="12">
        <f>VLOOKUP(Tableau4[[#This Row],[essence]],Tableau6[],26,FALSE)</f>
        <v>0</v>
      </c>
      <c r="BA171" s="12">
        <f>VLOOKUP(Tableau4[[#This Row],[essence]],Tableau6[],27,FALSE)</f>
        <v>0</v>
      </c>
      <c r="BB171" s="12">
        <f>VLOOKUP(Tableau4[[#This Row],[essence]],Tableau6[],16,FALSE)</f>
        <v>-4.8999999999999998E-4</v>
      </c>
      <c r="BC17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2.0807000000000002</v>
      </c>
      <c r="BD171" s="12">
        <f>Tableau4[[#This Row],[xb_]]+Tableau4[[#This Row],[b_intercept_C]]+Tableau4[[#This Row],[b_dhpcm_x_intercept_C]]*Tableau4[[#This Row],[dhpcm]]</f>
        <v>2.9025000000000003</v>
      </c>
      <c r="BE171" s="12">
        <f>Tableau4[[#This Row],[xb_]]+Tableau4[[#This Row],[b_intercept_B]]+Tableau4[[#This Row],[b_dhpcm_x_intercept_B]]*Tableau4[[#This Row],[dhpcm]]</f>
        <v>1.3996000000000002</v>
      </c>
      <c r="BF171" s="12">
        <f>Tableau4[[#This Row],[xb_]]+Tableau4[[#This Row],[b_intercept_A]]+Tableau4[[#This Row],[b_dhpcm_x_intercept_A]]*Tableau4[[#This Row],[dhpcm]]</f>
        <v>0.28700000000000014</v>
      </c>
      <c r="BG171" s="12">
        <f>1/(1+EXP(-Tableau4[[#This Row],[xb_c]]))</f>
        <v>0.94796988256789705</v>
      </c>
      <c r="BH171" s="12">
        <f>1/(1+EXP(-Tableau4[[#This Row],[xb_b]]))</f>
        <v>0.80212040692717956</v>
      </c>
      <c r="BI171" s="12">
        <f>1/(1+EXP(-Tableau4[[#This Row],[xb_a]]))</f>
        <v>0.57126152514518613</v>
      </c>
      <c r="BJ171" s="12">
        <f>Tableau4[[#This Row],[prob_a]]</f>
        <v>0.57126152514518613</v>
      </c>
      <c r="BK171" s="12">
        <f>Tableau4[[#This Row],[prob_b]]-Tableau4[[#This Row],[prob_a]]</f>
        <v>0.23085888178199343</v>
      </c>
      <c r="BL171" s="12">
        <f>Tableau4[[#This Row],[prob_c]]-Tableau4[[#This Row],[prob_b]]</f>
        <v>0.14584947564071749</v>
      </c>
      <c r="BM171" s="12">
        <f>1-Tableau4[[#This Row],[prob_c]]</f>
        <v>5.2030117432102951E-2</v>
      </c>
    </row>
    <row r="172" spans="1:65" x14ac:dyDescent="0.25">
      <c r="A172" s="12">
        <v>8</v>
      </c>
      <c r="B172" s="12" t="s">
        <v>16</v>
      </c>
      <c r="C172" s="12">
        <v>2.1</v>
      </c>
      <c r="D172" s="12">
        <v>700</v>
      </c>
      <c r="E172" s="12">
        <v>20</v>
      </c>
      <c r="F172" s="12">
        <v>1</v>
      </c>
      <c r="G172" s="12">
        <v>51</v>
      </c>
      <c r="H172" s="12">
        <v>210</v>
      </c>
      <c r="I172" s="12" t="s">
        <v>19</v>
      </c>
      <c r="J172" s="12" t="s">
        <v>29</v>
      </c>
      <c r="K172" s="12">
        <f>VLOOKUP(Tableau4[[#This Row],[essence]],Tableau6[],2,FALSE)</f>
        <v>-1.7937000000000001</v>
      </c>
      <c r="L172" s="12">
        <f>VLOOKUP(Tableau4[[#This Row],[essence]],Tableau6[],3,FALSE)</f>
        <v>-0.68110000000000004</v>
      </c>
      <c r="M172" s="12">
        <f>VLOOKUP(Tableau4[[#This Row],[essence]],Tableau6[],4,FALSE)</f>
        <v>0.82179999999999997</v>
      </c>
      <c r="N172" s="12">
        <f>VLOOKUP(Tableau4[[#This Row],[essence]],Tableau6[],5,FALSE)</f>
        <v>1.5014000000000001</v>
      </c>
      <c r="O172" s="12">
        <f>IF(Tableau4[[#This Row],[priorecol]]="C",1,0)</f>
        <v>0</v>
      </c>
      <c r="P172" s="12">
        <f>VLOOKUP(Tableau4[[#This Row],[essence]],Tableau6[],6,FALSE)</f>
        <v>2.3875000000000002</v>
      </c>
      <c r="Q172" s="12">
        <f>IF(Tableau4[[#This Row],[priorecol]]="R",1,0)</f>
        <v>0</v>
      </c>
      <c r="R172" s="12">
        <f>VLOOKUP(Tableau4[[#This Row],[essence]],Tableau6[],7,FALSE)</f>
        <v>0.94669999999999999</v>
      </c>
      <c r="S172" s="12">
        <f>IF(Tableau4[[#This Row],[priorecol]]="S",1,0)</f>
        <v>1</v>
      </c>
      <c r="T172" s="12">
        <f>VLOOKUP(Tableau4[[#This Row],[essence]],Tableau6[],20,FALSE)</f>
        <v>0</v>
      </c>
      <c r="U172" s="12">
        <f>VLOOKUP(Tableau4[[#This Row],[essence]],Tableau6[],15,FALSE)</f>
        <v>6.4000000000000003E-3</v>
      </c>
      <c r="V172" s="12">
        <f>VLOOKUP(Tableau4[[#This Row],[essence]],Tableau6[],28,FALSE)</f>
        <v>0</v>
      </c>
      <c r="W172" s="12">
        <f>IF(Tableau4[[#This Row],[sdom]]=1,1,0)</f>
        <v>0</v>
      </c>
      <c r="X172" s="12">
        <f>VLOOKUP(Tableau4[[#This Row],[essence]],Tableau6[],8,FALSE)</f>
        <v>9.4399999999999998E-2</v>
      </c>
      <c r="Y172" s="12">
        <f>IF(Tableau4[[#This Row],[sdom]]="2EST",1,0)</f>
        <v>0</v>
      </c>
      <c r="Z172" s="12">
        <f>VLOOKUP(Tableau4[[#This Row],[essence]],Tableau6[],9,FALSE)</f>
        <v>-0.40260000000000001</v>
      </c>
      <c r="AA172" s="12">
        <f>IF(Tableau4[[#This Row],[sdom]]="2OUEST",1,0)</f>
        <v>0</v>
      </c>
      <c r="AB172" s="12">
        <f>VLOOKUP(Tableau4[[#This Row],[essence]],Tableau6[],10,FALSE)</f>
        <v>-3.5699999999999998E-3</v>
      </c>
      <c r="AC172" s="12">
        <f>IF(Tableau4[[#This Row],[sdom]]="3EST",1,0)</f>
        <v>0</v>
      </c>
      <c r="AD172" s="12">
        <f>VLOOKUP(Tableau4[[#This Row],[essence]],Tableau6[],11,FALSE)</f>
        <v>0.14949999999999999</v>
      </c>
      <c r="AE172" s="12">
        <f>IF(Tableau4[[#This Row],[sdom]]="3OUEST",1,0)</f>
        <v>0</v>
      </c>
      <c r="AF172" s="12">
        <f>VLOOKUP(Tableau4[[#This Row],[essence]],Tableau6[],12,FALSE)</f>
        <v>-0.1822</v>
      </c>
      <c r="AG172" s="12">
        <f>IF(Tableau4[[#This Row],[sdom]]="4EST",1,0)</f>
        <v>0</v>
      </c>
      <c r="AH172" s="12">
        <f>VLOOKUP(Tableau4[[#This Row],[essence]],Tableau6[],13,FALSE)</f>
        <v>-0.1013</v>
      </c>
      <c r="AI172" s="12">
        <f>IF(Tableau4[[#This Row],[sdom]]="4OUEST",1,0)</f>
        <v>0</v>
      </c>
      <c r="AJ172" s="12">
        <f>VLOOKUP(Tableau4[[#This Row],[essence]],Tableau6[],14,FALSE)</f>
        <v>-0.33779999999999999</v>
      </c>
      <c r="AK172" s="12">
        <f>IF(Tableau4[[#This Row],[sdom]]="5EST",1,0)</f>
        <v>1</v>
      </c>
      <c r="AL172" s="12">
        <f>VLOOKUP(Tableau4[[#This Row],[essence]],Tableau6[],17,FALSE)</f>
        <v>1.03E-2</v>
      </c>
      <c r="AM172" s="12">
        <f>IF(Tableau4[[#This Row],[priorecol]]="C",1,0)</f>
        <v>0</v>
      </c>
      <c r="AN172" s="12">
        <f>VLOOKUP(Tableau4[[#This Row],[essence]],Tableau6[],18,FALSE)</f>
        <v>1.23E-2</v>
      </c>
      <c r="AO172" s="12">
        <f>IF(Tableau4[[#This Row],[priorecol]]="R",1,0)</f>
        <v>0</v>
      </c>
      <c r="AP172" s="12">
        <f>VLOOKUP(Tableau4[[#This Row],[essence]],Tableau6[],19,FALSE)</f>
        <v>1.2800000000000001E-2</v>
      </c>
      <c r="AQ172" s="12">
        <f>IF(Tableau4[[#This Row],[priorecol]]="S",1,0)</f>
        <v>1</v>
      </c>
      <c r="AR172" s="12">
        <f>VLOOKUP(Tableau4[[#This Row],[essence]],Tableau6[],21,FALSE)</f>
        <v>0</v>
      </c>
      <c r="AS172" s="12">
        <f>IF(Tableau4[[#This Row],[priorecol]]="C",1,0)</f>
        <v>0</v>
      </c>
      <c r="AT172" s="12">
        <f>VLOOKUP(Tableau4[[#This Row],[essence]],Tableau6[],22,FALSE)</f>
        <v>0</v>
      </c>
      <c r="AU172" s="12">
        <f>IF(Tableau4[[#This Row],[priorecol]]="R",1,0)</f>
        <v>0</v>
      </c>
      <c r="AV172" s="12">
        <f>VLOOKUP(Tableau4[[#This Row],[essence]],Tableau6[],23,FALSE)</f>
        <v>0</v>
      </c>
      <c r="AW172" s="12">
        <f>IF(Tableau4[[#This Row],[priorecol]]="S",1,0)</f>
        <v>1</v>
      </c>
      <c r="AX172" s="12">
        <f>VLOOKUP(Tableau4[[#This Row],[essence]],Tableau6[],24,FALSE)</f>
        <v>0</v>
      </c>
      <c r="AY172" s="12">
        <f>VLOOKUP(Tableau4[[#This Row],[essence]],Tableau6[],25,FALSE)</f>
        <v>0</v>
      </c>
      <c r="AZ172" s="12">
        <f>VLOOKUP(Tableau4[[#This Row],[essence]],Tableau6[],26,FALSE)</f>
        <v>0</v>
      </c>
      <c r="BA172" s="12">
        <f>VLOOKUP(Tableau4[[#This Row],[essence]],Tableau6[],27,FALSE)</f>
        <v>0</v>
      </c>
      <c r="BB172" s="12">
        <f>VLOOKUP(Tableau4[[#This Row],[essence]],Tableau6[],16,FALSE)</f>
        <v>-4.8999999999999998E-4</v>
      </c>
      <c r="BC17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0.64990000000000003</v>
      </c>
      <c r="BD172" s="12">
        <f>Tableau4[[#This Row],[xb_]]+Tableau4[[#This Row],[b_intercept_C]]+Tableau4[[#This Row],[b_dhpcm_x_intercept_C]]*Tableau4[[#This Row],[dhpcm]]</f>
        <v>1.4717</v>
      </c>
      <c r="BE172" s="12">
        <f>Tableau4[[#This Row],[xb_]]+Tableau4[[#This Row],[b_intercept_B]]+Tableau4[[#This Row],[b_dhpcm_x_intercept_B]]*Tableau4[[#This Row],[dhpcm]]</f>
        <v>-3.1200000000000006E-2</v>
      </c>
      <c r="BF172" s="12">
        <f>Tableau4[[#This Row],[xb_]]+Tableau4[[#This Row],[b_intercept_A]]+Tableau4[[#This Row],[b_dhpcm_x_intercept_A]]*Tableau4[[#This Row],[dhpcm]]</f>
        <v>-1.1438000000000001</v>
      </c>
      <c r="BG172" s="12">
        <f>1/(1+EXP(-Tableau4[[#This Row],[xb_c]]))</f>
        <v>0.81331564015173241</v>
      </c>
      <c r="BH172" s="12">
        <f>1/(1+EXP(-Tableau4[[#This Row],[xb_b]]))</f>
        <v>0.49220063267441305</v>
      </c>
      <c r="BI172" s="12">
        <f>1/(1+EXP(-Tableau4[[#This Row],[xb_a]]))</f>
        <v>0.2416233597526862</v>
      </c>
      <c r="BJ172" s="12">
        <f>Tableau4[[#This Row],[prob_a]]</f>
        <v>0.2416233597526862</v>
      </c>
      <c r="BK172" s="12">
        <f>Tableau4[[#This Row],[prob_b]]-Tableau4[[#This Row],[prob_a]]</f>
        <v>0.25057727292172682</v>
      </c>
      <c r="BL172" s="12">
        <f>Tableau4[[#This Row],[prob_c]]-Tableau4[[#This Row],[prob_b]]</f>
        <v>0.32111500747731936</v>
      </c>
      <c r="BM172" s="12">
        <f>1-Tableau4[[#This Row],[prob_c]]</f>
        <v>0.18668435984826759</v>
      </c>
    </row>
    <row r="173" spans="1:65" x14ac:dyDescent="0.25">
      <c r="A173" s="12">
        <v>8</v>
      </c>
      <c r="B173" s="12" t="s">
        <v>16</v>
      </c>
      <c r="C173" s="12">
        <v>2.1</v>
      </c>
      <c r="D173" s="12">
        <v>700</v>
      </c>
      <c r="E173" s="12">
        <v>20</v>
      </c>
      <c r="F173" s="12">
        <v>1</v>
      </c>
      <c r="G173" s="12">
        <v>52</v>
      </c>
      <c r="H173" s="12">
        <v>211</v>
      </c>
      <c r="I173" s="12" t="s">
        <v>20</v>
      </c>
      <c r="J173" s="12" t="s">
        <v>27</v>
      </c>
      <c r="K173" s="12">
        <f>VLOOKUP(Tableau4[[#This Row],[essence]],Tableau6[],2,FALSE)</f>
        <v>1.0688</v>
      </c>
      <c r="L173" s="12">
        <f>VLOOKUP(Tableau4[[#This Row],[essence]],Tableau6[],3,FALSE)</f>
        <v>2.0478000000000001</v>
      </c>
      <c r="M173" s="12">
        <f>VLOOKUP(Tableau4[[#This Row],[essence]],Tableau6[],4,FALSE)</f>
        <v>3.3382999999999998</v>
      </c>
      <c r="N173" s="12">
        <f>VLOOKUP(Tableau4[[#This Row],[essence]],Tableau6[],5,FALSE)</f>
        <v>-1.2143999999999999</v>
      </c>
      <c r="O173" s="12">
        <f>IF(Tableau4[[#This Row],[priorecol]]="C",1,0)</f>
        <v>1</v>
      </c>
      <c r="P173" s="12">
        <f>VLOOKUP(Tableau4[[#This Row],[essence]],Tableau6[],6,FALSE)</f>
        <v>-1.2690999999999999</v>
      </c>
      <c r="Q173" s="12">
        <f>IF(Tableau4[[#This Row],[priorecol]]="R",1,0)</f>
        <v>0</v>
      </c>
      <c r="R173" s="12">
        <f>VLOOKUP(Tableau4[[#This Row],[essence]],Tableau6[],7,FALSE)</f>
        <v>-7.1900000000000006E-2</v>
      </c>
      <c r="S173" s="12">
        <f>IF(Tableau4[[#This Row],[priorecol]]="S",1,0)</f>
        <v>0</v>
      </c>
      <c r="T173" s="12">
        <f>VLOOKUP(Tableau4[[#This Row],[essence]],Tableau6[],20,FALSE)</f>
        <v>-3.04E-2</v>
      </c>
      <c r="U173" s="12">
        <f>VLOOKUP(Tableau4[[#This Row],[essence]],Tableau6[],15,FALSE)</f>
        <v>1.4200000000000001E-2</v>
      </c>
      <c r="V173" s="12">
        <f>VLOOKUP(Tableau4[[#This Row],[essence]],Tableau6[],28,FALSE)</f>
        <v>0</v>
      </c>
      <c r="W173" s="12">
        <f>IF(Tableau4[[#This Row],[sdom]]=1,1,0)</f>
        <v>0</v>
      </c>
      <c r="X173" s="12">
        <f>VLOOKUP(Tableau4[[#This Row],[essence]],Tableau6[],8,FALSE)</f>
        <v>0</v>
      </c>
      <c r="Y173" s="12">
        <f>IF(Tableau4[[#This Row],[sdom]]="2EST",1,0)</f>
        <v>0</v>
      </c>
      <c r="Z173" s="12">
        <f>VLOOKUP(Tableau4[[#This Row],[essence]],Tableau6[],9,FALSE)</f>
        <v>0</v>
      </c>
      <c r="AA173" s="12">
        <f>IF(Tableau4[[#This Row],[sdom]]="2OUEST",1,0)</f>
        <v>0</v>
      </c>
      <c r="AB173" s="12">
        <f>VLOOKUP(Tableau4[[#This Row],[essence]],Tableau6[],10,FALSE)</f>
        <v>0</v>
      </c>
      <c r="AC173" s="12">
        <f>IF(Tableau4[[#This Row],[sdom]]="3EST",1,0)</f>
        <v>0</v>
      </c>
      <c r="AD173" s="12">
        <f>VLOOKUP(Tableau4[[#This Row],[essence]],Tableau6[],11,FALSE)</f>
        <v>0</v>
      </c>
      <c r="AE173" s="12">
        <f>IF(Tableau4[[#This Row],[sdom]]="3OUEST",1,0)</f>
        <v>0</v>
      </c>
      <c r="AF173" s="12">
        <f>VLOOKUP(Tableau4[[#This Row],[essence]],Tableau6[],12,FALSE)</f>
        <v>0</v>
      </c>
      <c r="AG173" s="12">
        <f>IF(Tableau4[[#This Row],[sdom]]="4EST",1,0)</f>
        <v>0</v>
      </c>
      <c r="AH173" s="12">
        <f>VLOOKUP(Tableau4[[#This Row],[essence]],Tableau6[],13,FALSE)</f>
        <v>0</v>
      </c>
      <c r="AI173" s="12">
        <f>IF(Tableau4[[#This Row],[sdom]]="4OUEST",1,0)</f>
        <v>0</v>
      </c>
      <c r="AJ173" s="12">
        <f>VLOOKUP(Tableau4[[#This Row],[essence]],Tableau6[],14,FALSE)</f>
        <v>0</v>
      </c>
      <c r="AK173" s="12">
        <f>IF(Tableau4[[#This Row],[sdom]]="5EST",1,0)</f>
        <v>1</v>
      </c>
      <c r="AL173" s="12">
        <f>VLOOKUP(Tableau4[[#This Row],[essence]],Tableau6[],17,FALSE)</f>
        <v>0</v>
      </c>
      <c r="AM173" s="12">
        <f>IF(Tableau4[[#This Row],[priorecol]]="C",1,0)</f>
        <v>1</v>
      </c>
      <c r="AN173" s="12">
        <f>VLOOKUP(Tableau4[[#This Row],[essence]],Tableau6[],18,FALSE)</f>
        <v>0</v>
      </c>
      <c r="AO173" s="12">
        <f>IF(Tableau4[[#This Row],[priorecol]]="R",1,0)</f>
        <v>0</v>
      </c>
      <c r="AP173" s="12">
        <f>VLOOKUP(Tableau4[[#This Row],[essence]],Tableau6[],19,FALSE)</f>
        <v>0</v>
      </c>
      <c r="AQ173" s="12">
        <f>IF(Tableau4[[#This Row],[priorecol]]="S",1,0)</f>
        <v>0</v>
      </c>
      <c r="AR173" s="12">
        <f>VLOOKUP(Tableau4[[#This Row],[essence]],Tableau6[],21,FALSE)</f>
        <v>5.4600000000000003E-2</v>
      </c>
      <c r="AS173" s="12">
        <f>IF(Tableau4[[#This Row],[priorecol]]="C",1,0)</f>
        <v>1</v>
      </c>
      <c r="AT173" s="12">
        <f>VLOOKUP(Tableau4[[#This Row],[essence]],Tableau6[],22,FALSE)</f>
        <v>6.7900000000000002E-2</v>
      </c>
      <c r="AU173" s="12">
        <f>IF(Tableau4[[#This Row],[priorecol]]="R",1,0)</f>
        <v>0</v>
      </c>
      <c r="AV173" s="12">
        <f>VLOOKUP(Tableau4[[#This Row],[essence]],Tableau6[],23,FALSE)</f>
        <v>1.8700000000000001E-2</v>
      </c>
      <c r="AW173" s="12">
        <f>IF(Tableau4[[#This Row],[priorecol]]="S",1,0)</f>
        <v>0</v>
      </c>
      <c r="AX173" s="12">
        <f>VLOOKUP(Tableau4[[#This Row],[essence]],Tableau6[],24,FALSE)</f>
        <v>0</v>
      </c>
      <c r="AY173" s="12">
        <f>VLOOKUP(Tableau4[[#This Row],[essence]],Tableau6[],25,FALSE)</f>
        <v>0</v>
      </c>
      <c r="AZ173" s="12">
        <f>VLOOKUP(Tableau4[[#This Row],[essence]],Tableau6[],26,FALSE)</f>
        <v>0</v>
      </c>
      <c r="BA173" s="12">
        <f>VLOOKUP(Tableau4[[#This Row],[essence]],Tableau6[],27,FALSE)</f>
        <v>0</v>
      </c>
      <c r="BB173" s="12">
        <f>VLOOKUP(Tableau4[[#This Row],[essence]],Tableau6[],16,FALSE)</f>
        <v>-1.33E-3</v>
      </c>
      <c r="BC17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3.2447999999999997</v>
      </c>
      <c r="BD173" s="12">
        <f>Tableau4[[#This Row],[xb_]]+Tableau4[[#This Row],[b_intercept_C]]+Tableau4[[#This Row],[b_dhpcm_x_intercept_C]]*Tableau4[[#This Row],[dhpcm]]</f>
        <v>6.5831</v>
      </c>
      <c r="BE173" s="12">
        <f>Tableau4[[#This Row],[xb_]]+Tableau4[[#This Row],[b_intercept_B]]+Tableau4[[#This Row],[b_dhpcm_x_intercept_B]]*Tableau4[[#This Row],[dhpcm]]</f>
        <v>5.2926000000000002</v>
      </c>
      <c r="BF173" s="12">
        <f>Tableau4[[#This Row],[xb_]]+Tableau4[[#This Row],[b_intercept_A]]+Tableau4[[#This Row],[b_dhpcm_x_intercept_A]]*Tableau4[[#This Row],[dhpcm]]</f>
        <v>4.3135999999999992</v>
      </c>
      <c r="BG173" s="12">
        <f>1/(1+EXP(-Tableau4[[#This Row],[xb_c]]))</f>
        <v>0.99861835795210974</v>
      </c>
      <c r="BH173" s="12">
        <f>1/(1+EXP(-Tableau4[[#This Row],[xb_b]]))</f>
        <v>0.9949964922733362</v>
      </c>
      <c r="BI173" s="12">
        <f>1/(1+EXP(-Tableau4[[#This Row],[xb_a]]))</f>
        <v>0.98679152334170861</v>
      </c>
      <c r="BJ173" s="12">
        <f>Tableau4[[#This Row],[prob_a]]</f>
        <v>0.98679152334170861</v>
      </c>
      <c r="BK173" s="12">
        <f>Tableau4[[#This Row],[prob_b]]-Tableau4[[#This Row],[prob_a]]</f>
        <v>8.2049689316275876E-3</v>
      </c>
      <c r="BL173" s="12">
        <f>Tableau4[[#This Row],[prob_c]]-Tableau4[[#This Row],[prob_b]]</f>
        <v>3.6218656787735393E-3</v>
      </c>
      <c r="BM173" s="12">
        <f>1-Tableau4[[#This Row],[prob_c]]</f>
        <v>1.3816420478902636E-3</v>
      </c>
    </row>
    <row r="174" spans="1:65" x14ac:dyDescent="0.25">
      <c r="A174" s="12">
        <v>8</v>
      </c>
      <c r="B174" s="12" t="s">
        <v>16</v>
      </c>
      <c r="C174" s="12">
        <v>2.1</v>
      </c>
      <c r="D174" s="12">
        <v>700</v>
      </c>
      <c r="E174" s="12">
        <v>20</v>
      </c>
      <c r="F174" s="12">
        <v>1</v>
      </c>
      <c r="G174" s="12">
        <v>53</v>
      </c>
      <c r="H174" s="12">
        <v>212</v>
      </c>
      <c r="I174" s="12" t="s">
        <v>20</v>
      </c>
      <c r="J174" s="12" t="s">
        <v>28</v>
      </c>
      <c r="K174" s="12">
        <f>VLOOKUP(Tableau4[[#This Row],[essence]],Tableau6[],2,FALSE)</f>
        <v>1.0688</v>
      </c>
      <c r="L174" s="12">
        <f>VLOOKUP(Tableau4[[#This Row],[essence]],Tableau6[],3,FALSE)</f>
        <v>2.0478000000000001</v>
      </c>
      <c r="M174" s="12">
        <f>VLOOKUP(Tableau4[[#This Row],[essence]],Tableau6[],4,FALSE)</f>
        <v>3.3382999999999998</v>
      </c>
      <c r="N174" s="12">
        <f>VLOOKUP(Tableau4[[#This Row],[essence]],Tableau6[],5,FALSE)</f>
        <v>-1.2143999999999999</v>
      </c>
      <c r="O174" s="12">
        <f>IF(Tableau4[[#This Row],[priorecol]]="C",1,0)</f>
        <v>0</v>
      </c>
      <c r="P174" s="12">
        <f>VLOOKUP(Tableau4[[#This Row],[essence]],Tableau6[],6,FALSE)</f>
        <v>-1.2690999999999999</v>
      </c>
      <c r="Q174" s="12">
        <f>IF(Tableau4[[#This Row],[priorecol]]="R",1,0)</f>
        <v>1</v>
      </c>
      <c r="R174" s="12">
        <f>VLOOKUP(Tableau4[[#This Row],[essence]],Tableau6[],7,FALSE)</f>
        <v>-7.1900000000000006E-2</v>
      </c>
      <c r="S174" s="12">
        <f>IF(Tableau4[[#This Row],[priorecol]]="S",1,0)</f>
        <v>0</v>
      </c>
      <c r="T174" s="12">
        <f>VLOOKUP(Tableau4[[#This Row],[essence]],Tableau6[],20,FALSE)</f>
        <v>-3.04E-2</v>
      </c>
      <c r="U174" s="12">
        <f>VLOOKUP(Tableau4[[#This Row],[essence]],Tableau6[],15,FALSE)</f>
        <v>1.4200000000000001E-2</v>
      </c>
      <c r="V174" s="12">
        <f>VLOOKUP(Tableau4[[#This Row],[essence]],Tableau6[],28,FALSE)</f>
        <v>0</v>
      </c>
      <c r="W174" s="12">
        <f>IF(Tableau4[[#This Row],[sdom]]=1,1,0)</f>
        <v>0</v>
      </c>
      <c r="X174" s="12">
        <f>VLOOKUP(Tableau4[[#This Row],[essence]],Tableau6[],8,FALSE)</f>
        <v>0</v>
      </c>
      <c r="Y174" s="12">
        <f>IF(Tableau4[[#This Row],[sdom]]="2EST",1,0)</f>
        <v>0</v>
      </c>
      <c r="Z174" s="12">
        <f>VLOOKUP(Tableau4[[#This Row],[essence]],Tableau6[],9,FALSE)</f>
        <v>0</v>
      </c>
      <c r="AA174" s="12">
        <f>IF(Tableau4[[#This Row],[sdom]]="2OUEST",1,0)</f>
        <v>0</v>
      </c>
      <c r="AB174" s="12">
        <f>VLOOKUP(Tableau4[[#This Row],[essence]],Tableau6[],10,FALSE)</f>
        <v>0</v>
      </c>
      <c r="AC174" s="12">
        <f>IF(Tableau4[[#This Row],[sdom]]="3EST",1,0)</f>
        <v>0</v>
      </c>
      <c r="AD174" s="12">
        <f>VLOOKUP(Tableau4[[#This Row],[essence]],Tableau6[],11,FALSE)</f>
        <v>0</v>
      </c>
      <c r="AE174" s="12">
        <f>IF(Tableau4[[#This Row],[sdom]]="3OUEST",1,0)</f>
        <v>0</v>
      </c>
      <c r="AF174" s="12">
        <f>VLOOKUP(Tableau4[[#This Row],[essence]],Tableau6[],12,FALSE)</f>
        <v>0</v>
      </c>
      <c r="AG174" s="12">
        <f>IF(Tableau4[[#This Row],[sdom]]="4EST",1,0)</f>
        <v>0</v>
      </c>
      <c r="AH174" s="12">
        <f>VLOOKUP(Tableau4[[#This Row],[essence]],Tableau6[],13,FALSE)</f>
        <v>0</v>
      </c>
      <c r="AI174" s="12">
        <f>IF(Tableau4[[#This Row],[sdom]]="4OUEST",1,0)</f>
        <v>0</v>
      </c>
      <c r="AJ174" s="12">
        <f>VLOOKUP(Tableau4[[#This Row],[essence]],Tableau6[],14,FALSE)</f>
        <v>0</v>
      </c>
      <c r="AK174" s="12">
        <f>IF(Tableau4[[#This Row],[sdom]]="5EST",1,0)</f>
        <v>1</v>
      </c>
      <c r="AL174" s="12">
        <f>VLOOKUP(Tableau4[[#This Row],[essence]],Tableau6[],17,FALSE)</f>
        <v>0</v>
      </c>
      <c r="AM174" s="12">
        <f>IF(Tableau4[[#This Row],[priorecol]]="C",1,0)</f>
        <v>0</v>
      </c>
      <c r="AN174" s="12">
        <f>VLOOKUP(Tableau4[[#This Row],[essence]],Tableau6[],18,FALSE)</f>
        <v>0</v>
      </c>
      <c r="AO174" s="12">
        <f>IF(Tableau4[[#This Row],[priorecol]]="R",1,0)</f>
        <v>1</v>
      </c>
      <c r="AP174" s="12">
        <f>VLOOKUP(Tableau4[[#This Row],[essence]],Tableau6[],19,FALSE)</f>
        <v>0</v>
      </c>
      <c r="AQ174" s="12">
        <f>IF(Tableau4[[#This Row],[priorecol]]="S",1,0)</f>
        <v>0</v>
      </c>
      <c r="AR174" s="12">
        <f>VLOOKUP(Tableau4[[#This Row],[essence]],Tableau6[],21,FALSE)</f>
        <v>5.4600000000000003E-2</v>
      </c>
      <c r="AS174" s="12">
        <f>IF(Tableau4[[#This Row],[priorecol]]="C",1,0)</f>
        <v>0</v>
      </c>
      <c r="AT174" s="12">
        <f>VLOOKUP(Tableau4[[#This Row],[essence]],Tableau6[],22,FALSE)</f>
        <v>6.7900000000000002E-2</v>
      </c>
      <c r="AU174" s="12">
        <f>IF(Tableau4[[#This Row],[priorecol]]="R",1,0)</f>
        <v>1</v>
      </c>
      <c r="AV174" s="12">
        <f>VLOOKUP(Tableau4[[#This Row],[essence]],Tableau6[],23,FALSE)</f>
        <v>1.8700000000000001E-2</v>
      </c>
      <c r="AW174" s="12">
        <f>IF(Tableau4[[#This Row],[priorecol]]="S",1,0)</f>
        <v>0</v>
      </c>
      <c r="AX174" s="12">
        <f>VLOOKUP(Tableau4[[#This Row],[essence]],Tableau6[],24,FALSE)</f>
        <v>0</v>
      </c>
      <c r="AY174" s="12">
        <f>VLOOKUP(Tableau4[[#This Row],[essence]],Tableau6[],25,FALSE)</f>
        <v>0</v>
      </c>
      <c r="AZ174" s="12">
        <f>VLOOKUP(Tableau4[[#This Row],[essence]],Tableau6[],26,FALSE)</f>
        <v>0</v>
      </c>
      <c r="BA174" s="12">
        <f>VLOOKUP(Tableau4[[#This Row],[essence]],Tableau6[],27,FALSE)</f>
        <v>0</v>
      </c>
      <c r="BB174" s="12">
        <f>VLOOKUP(Tableau4[[#This Row],[essence]],Tableau6[],16,FALSE)</f>
        <v>-1.33E-3</v>
      </c>
      <c r="BC17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6.0339</v>
      </c>
      <c r="BD174" s="12">
        <f>Tableau4[[#This Row],[xb_]]+Tableau4[[#This Row],[b_intercept_C]]+Tableau4[[#This Row],[b_dhpcm_x_intercept_C]]*Tableau4[[#This Row],[dhpcm]]</f>
        <v>9.3721999999999994</v>
      </c>
      <c r="BE174" s="12">
        <f>Tableau4[[#This Row],[xb_]]+Tableau4[[#This Row],[b_intercept_B]]+Tableau4[[#This Row],[b_dhpcm_x_intercept_B]]*Tableau4[[#This Row],[dhpcm]]</f>
        <v>8.0816999999999997</v>
      </c>
      <c r="BF174" s="12">
        <f>Tableau4[[#This Row],[xb_]]+Tableau4[[#This Row],[b_intercept_A]]+Tableau4[[#This Row],[b_dhpcm_x_intercept_A]]*Tableau4[[#This Row],[dhpcm]]</f>
        <v>7.1027000000000005</v>
      </c>
      <c r="BG174" s="12">
        <f>1/(1+EXP(-Tableau4[[#This Row],[xb_c]]))</f>
        <v>0.99991495117481466</v>
      </c>
      <c r="BH174" s="12">
        <f>1/(1+EXP(-Tableau4[[#This Row],[xb_b]]))</f>
        <v>0.99969095049924139</v>
      </c>
      <c r="BI174" s="12">
        <f>1/(1+EXP(-Tableau4[[#This Row],[xb_a]]))</f>
        <v>0.99917779643021698</v>
      </c>
      <c r="BJ174" s="12">
        <f>Tableau4[[#This Row],[prob_a]]</f>
        <v>0.99917779643021698</v>
      </c>
      <c r="BK174" s="12">
        <f>Tableau4[[#This Row],[prob_b]]-Tableau4[[#This Row],[prob_a]]</f>
        <v>5.1315406902441296E-4</v>
      </c>
      <c r="BL174" s="12">
        <f>Tableau4[[#This Row],[prob_c]]-Tableau4[[#This Row],[prob_b]]</f>
        <v>2.2400067557326597E-4</v>
      </c>
      <c r="BM174" s="12">
        <f>1-Tableau4[[#This Row],[prob_c]]</f>
        <v>8.5048825185340959E-5</v>
      </c>
    </row>
    <row r="175" spans="1:65" x14ac:dyDescent="0.25">
      <c r="A175" s="12">
        <v>8</v>
      </c>
      <c r="B175" s="12" t="s">
        <v>16</v>
      </c>
      <c r="C175" s="12">
        <v>2.1</v>
      </c>
      <c r="D175" s="12">
        <v>700</v>
      </c>
      <c r="E175" s="12">
        <v>20</v>
      </c>
      <c r="F175" s="12">
        <v>1</v>
      </c>
      <c r="G175" s="12">
        <v>54</v>
      </c>
      <c r="H175" s="12">
        <v>213</v>
      </c>
      <c r="I175" s="12" t="s">
        <v>20</v>
      </c>
      <c r="J175" s="12" t="s">
        <v>29</v>
      </c>
      <c r="K175" s="12">
        <f>VLOOKUP(Tableau4[[#This Row],[essence]],Tableau6[],2,FALSE)</f>
        <v>1.0688</v>
      </c>
      <c r="L175" s="12">
        <f>VLOOKUP(Tableau4[[#This Row],[essence]],Tableau6[],3,FALSE)</f>
        <v>2.0478000000000001</v>
      </c>
      <c r="M175" s="12">
        <f>VLOOKUP(Tableau4[[#This Row],[essence]],Tableau6[],4,FALSE)</f>
        <v>3.3382999999999998</v>
      </c>
      <c r="N175" s="12">
        <f>VLOOKUP(Tableau4[[#This Row],[essence]],Tableau6[],5,FALSE)</f>
        <v>-1.2143999999999999</v>
      </c>
      <c r="O175" s="12">
        <f>IF(Tableau4[[#This Row],[priorecol]]="C",1,0)</f>
        <v>0</v>
      </c>
      <c r="P175" s="12">
        <f>VLOOKUP(Tableau4[[#This Row],[essence]],Tableau6[],6,FALSE)</f>
        <v>-1.2690999999999999</v>
      </c>
      <c r="Q175" s="12">
        <f>IF(Tableau4[[#This Row],[priorecol]]="R",1,0)</f>
        <v>0</v>
      </c>
      <c r="R175" s="12">
        <f>VLOOKUP(Tableau4[[#This Row],[essence]],Tableau6[],7,FALSE)</f>
        <v>-7.1900000000000006E-2</v>
      </c>
      <c r="S175" s="12">
        <f>IF(Tableau4[[#This Row],[priorecol]]="S",1,0)</f>
        <v>1</v>
      </c>
      <c r="T175" s="12">
        <f>VLOOKUP(Tableau4[[#This Row],[essence]],Tableau6[],20,FALSE)</f>
        <v>-3.04E-2</v>
      </c>
      <c r="U175" s="12">
        <f>VLOOKUP(Tableau4[[#This Row],[essence]],Tableau6[],15,FALSE)</f>
        <v>1.4200000000000001E-2</v>
      </c>
      <c r="V175" s="12">
        <f>VLOOKUP(Tableau4[[#This Row],[essence]],Tableau6[],28,FALSE)</f>
        <v>0</v>
      </c>
      <c r="W175" s="12">
        <f>IF(Tableau4[[#This Row],[sdom]]=1,1,0)</f>
        <v>0</v>
      </c>
      <c r="X175" s="12">
        <f>VLOOKUP(Tableau4[[#This Row],[essence]],Tableau6[],8,FALSE)</f>
        <v>0</v>
      </c>
      <c r="Y175" s="12">
        <f>IF(Tableau4[[#This Row],[sdom]]="2EST",1,0)</f>
        <v>0</v>
      </c>
      <c r="Z175" s="12">
        <f>VLOOKUP(Tableau4[[#This Row],[essence]],Tableau6[],9,FALSE)</f>
        <v>0</v>
      </c>
      <c r="AA175" s="12">
        <f>IF(Tableau4[[#This Row],[sdom]]="2OUEST",1,0)</f>
        <v>0</v>
      </c>
      <c r="AB175" s="12">
        <f>VLOOKUP(Tableau4[[#This Row],[essence]],Tableau6[],10,FALSE)</f>
        <v>0</v>
      </c>
      <c r="AC175" s="12">
        <f>IF(Tableau4[[#This Row],[sdom]]="3EST",1,0)</f>
        <v>0</v>
      </c>
      <c r="AD175" s="12">
        <f>VLOOKUP(Tableau4[[#This Row],[essence]],Tableau6[],11,FALSE)</f>
        <v>0</v>
      </c>
      <c r="AE175" s="12">
        <f>IF(Tableau4[[#This Row],[sdom]]="3OUEST",1,0)</f>
        <v>0</v>
      </c>
      <c r="AF175" s="12">
        <f>VLOOKUP(Tableau4[[#This Row],[essence]],Tableau6[],12,FALSE)</f>
        <v>0</v>
      </c>
      <c r="AG175" s="12">
        <f>IF(Tableau4[[#This Row],[sdom]]="4EST",1,0)</f>
        <v>0</v>
      </c>
      <c r="AH175" s="12">
        <f>VLOOKUP(Tableau4[[#This Row],[essence]],Tableau6[],13,FALSE)</f>
        <v>0</v>
      </c>
      <c r="AI175" s="12">
        <f>IF(Tableau4[[#This Row],[sdom]]="4OUEST",1,0)</f>
        <v>0</v>
      </c>
      <c r="AJ175" s="12">
        <f>VLOOKUP(Tableau4[[#This Row],[essence]],Tableau6[],14,FALSE)</f>
        <v>0</v>
      </c>
      <c r="AK175" s="12">
        <f>IF(Tableau4[[#This Row],[sdom]]="5EST",1,0)</f>
        <v>1</v>
      </c>
      <c r="AL175" s="12">
        <f>VLOOKUP(Tableau4[[#This Row],[essence]],Tableau6[],17,FALSE)</f>
        <v>0</v>
      </c>
      <c r="AM175" s="12">
        <f>IF(Tableau4[[#This Row],[priorecol]]="C",1,0)</f>
        <v>0</v>
      </c>
      <c r="AN175" s="12">
        <f>VLOOKUP(Tableau4[[#This Row],[essence]],Tableau6[],18,FALSE)</f>
        <v>0</v>
      </c>
      <c r="AO175" s="12">
        <f>IF(Tableau4[[#This Row],[priorecol]]="R",1,0)</f>
        <v>0</v>
      </c>
      <c r="AP175" s="12">
        <f>VLOOKUP(Tableau4[[#This Row],[essence]],Tableau6[],19,FALSE)</f>
        <v>0</v>
      </c>
      <c r="AQ175" s="12">
        <f>IF(Tableau4[[#This Row],[priorecol]]="S",1,0)</f>
        <v>1</v>
      </c>
      <c r="AR175" s="12">
        <f>VLOOKUP(Tableau4[[#This Row],[essence]],Tableau6[],21,FALSE)</f>
        <v>5.4600000000000003E-2</v>
      </c>
      <c r="AS175" s="12">
        <f>IF(Tableau4[[#This Row],[priorecol]]="C",1,0)</f>
        <v>0</v>
      </c>
      <c r="AT175" s="12">
        <f>VLOOKUP(Tableau4[[#This Row],[essence]],Tableau6[],22,FALSE)</f>
        <v>6.7900000000000002E-2</v>
      </c>
      <c r="AU175" s="12">
        <f>IF(Tableau4[[#This Row],[priorecol]]="R",1,0)</f>
        <v>0</v>
      </c>
      <c r="AV175" s="12">
        <f>VLOOKUP(Tableau4[[#This Row],[essence]],Tableau6[],23,FALSE)</f>
        <v>1.8700000000000001E-2</v>
      </c>
      <c r="AW175" s="12">
        <f>IF(Tableau4[[#This Row],[priorecol]]="S",1,0)</f>
        <v>1</v>
      </c>
      <c r="AX175" s="12">
        <f>VLOOKUP(Tableau4[[#This Row],[essence]],Tableau6[],24,FALSE)</f>
        <v>0</v>
      </c>
      <c r="AY175" s="12">
        <f>VLOOKUP(Tableau4[[#This Row],[essence]],Tableau6[],25,FALSE)</f>
        <v>0</v>
      </c>
      <c r="AZ175" s="12">
        <f>VLOOKUP(Tableau4[[#This Row],[essence]],Tableau6[],26,FALSE)</f>
        <v>0</v>
      </c>
      <c r="BA175" s="12">
        <f>VLOOKUP(Tableau4[[#This Row],[essence]],Tableau6[],27,FALSE)</f>
        <v>0</v>
      </c>
      <c r="BB175" s="12">
        <f>VLOOKUP(Tableau4[[#This Row],[essence]],Tableau6[],16,FALSE)</f>
        <v>-1.33E-3</v>
      </c>
      <c r="BC17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-3.2110000000000003</v>
      </c>
      <c r="BD175" s="12">
        <f>Tableau4[[#This Row],[xb_]]+Tableau4[[#This Row],[b_intercept_C]]+Tableau4[[#This Row],[b_dhpcm_x_intercept_C]]*Tableau4[[#This Row],[dhpcm]]</f>
        <v>0.12729999999999952</v>
      </c>
      <c r="BE175" s="12">
        <f>Tableau4[[#This Row],[xb_]]+Tableau4[[#This Row],[b_intercept_B]]+Tableau4[[#This Row],[b_dhpcm_x_intercept_B]]*Tableau4[[#This Row],[dhpcm]]</f>
        <v>-1.1632000000000002</v>
      </c>
      <c r="BF175" s="12">
        <f>Tableau4[[#This Row],[xb_]]+Tableau4[[#This Row],[b_intercept_A]]+Tableau4[[#This Row],[b_dhpcm_x_intercept_A]]*Tableau4[[#This Row],[dhpcm]]</f>
        <v>-2.1422000000000003</v>
      </c>
      <c r="BG175" s="12">
        <f>1/(1+EXP(-Tableau4[[#This Row],[xb_c]]))</f>
        <v>0.53178209175319613</v>
      </c>
      <c r="BH175" s="12">
        <f>1/(1+EXP(-Tableau4[[#This Row],[xb_b]]))</f>
        <v>0.23808631481894002</v>
      </c>
      <c r="BI175" s="12">
        <f>1/(1+EXP(-Tableau4[[#This Row],[xb_a]]))</f>
        <v>0.1050623563558008</v>
      </c>
      <c r="BJ175" s="12">
        <f>Tableau4[[#This Row],[prob_a]]</f>
        <v>0.1050623563558008</v>
      </c>
      <c r="BK175" s="12">
        <f>Tableau4[[#This Row],[prob_b]]-Tableau4[[#This Row],[prob_a]]</f>
        <v>0.13302395846313922</v>
      </c>
      <c r="BL175" s="12">
        <f>Tableau4[[#This Row],[prob_c]]-Tableau4[[#This Row],[prob_b]]</f>
        <v>0.29369577693425608</v>
      </c>
      <c r="BM175" s="12">
        <f>1-Tableau4[[#This Row],[prob_c]]</f>
        <v>0.46821790824680387</v>
      </c>
    </row>
    <row r="176" spans="1:65" x14ac:dyDescent="0.25">
      <c r="A176" s="12">
        <v>8</v>
      </c>
      <c r="B176" s="12" t="s">
        <v>16</v>
      </c>
      <c r="C176" s="12">
        <v>2.1</v>
      </c>
      <c r="D176" s="12">
        <v>700</v>
      </c>
      <c r="E176" s="12">
        <v>20</v>
      </c>
      <c r="F176" s="12">
        <v>1</v>
      </c>
      <c r="G176" s="12">
        <v>55</v>
      </c>
      <c r="H176" s="12">
        <v>214</v>
      </c>
      <c r="I176" s="12" t="s">
        <v>21</v>
      </c>
      <c r="J176" s="12" t="s">
        <v>27</v>
      </c>
      <c r="K176" s="12">
        <f>VLOOKUP(Tableau4[[#This Row],[essence]],Tableau6[],2,FALSE)</f>
        <v>-2.4091999999999998</v>
      </c>
      <c r="L176" s="12">
        <f>VLOOKUP(Tableau4[[#This Row],[essence]],Tableau6[],3,FALSE)</f>
        <v>-1.3315999999999999</v>
      </c>
      <c r="M176" s="12">
        <f>VLOOKUP(Tableau4[[#This Row],[essence]],Tableau6[],4,FALSE)</f>
        <v>0.2475</v>
      </c>
      <c r="N176" s="12">
        <f>VLOOKUP(Tableau4[[#This Row],[essence]],Tableau6[],5,FALSE)</f>
        <v>1.9658</v>
      </c>
      <c r="O176" s="12">
        <f>IF(Tableau4[[#This Row],[priorecol]]="C",1,0)</f>
        <v>1</v>
      </c>
      <c r="P176" s="12">
        <f>VLOOKUP(Tableau4[[#This Row],[essence]],Tableau6[],6,FALSE)</f>
        <v>2.8807</v>
      </c>
      <c r="Q176" s="12">
        <f>IF(Tableau4[[#This Row],[priorecol]]="R",1,0)</f>
        <v>0</v>
      </c>
      <c r="R176" s="12">
        <f>VLOOKUP(Tableau4[[#This Row],[essence]],Tableau6[],7,FALSE)</f>
        <v>1.1791</v>
      </c>
      <c r="S176" s="12">
        <f>IF(Tableau4[[#This Row],[priorecol]]="S",1,0)</f>
        <v>0</v>
      </c>
      <c r="T176" s="12">
        <f>VLOOKUP(Tableau4[[#This Row],[essence]],Tableau6[],20,FALSE)</f>
        <v>0</v>
      </c>
      <c r="U176" s="12">
        <f>VLOOKUP(Tableau4[[#This Row],[essence]],Tableau6[],15,FALSE)</f>
        <v>2.4500000000000001E-2</v>
      </c>
      <c r="V176" s="12">
        <f>VLOOKUP(Tableau4[[#This Row],[essence]],Tableau6[],28,FALSE)</f>
        <v>0</v>
      </c>
      <c r="W176" s="12">
        <f>IF(Tableau4[[#This Row],[sdom]]=1,1,0)</f>
        <v>0</v>
      </c>
      <c r="X176" s="12">
        <f>VLOOKUP(Tableau4[[#This Row],[essence]],Tableau6[],8,FALSE)</f>
        <v>0</v>
      </c>
      <c r="Y176" s="12">
        <f>IF(Tableau4[[#This Row],[sdom]]="2EST",1,0)</f>
        <v>0</v>
      </c>
      <c r="Z176" s="12">
        <f>VLOOKUP(Tableau4[[#This Row],[essence]],Tableau6[],9,FALSE)</f>
        <v>0</v>
      </c>
      <c r="AA176" s="12">
        <f>IF(Tableau4[[#This Row],[sdom]]="2OUEST",1,0)</f>
        <v>0</v>
      </c>
      <c r="AB176" s="12">
        <f>VLOOKUP(Tableau4[[#This Row],[essence]],Tableau6[],10,FALSE)</f>
        <v>0</v>
      </c>
      <c r="AC176" s="12">
        <f>IF(Tableau4[[#This Row],[sdom]]="3EST",1,0)</f>
        <v>0</v>
      </c>
      <c r="AD176" s="12">
        <f>VLOOKUP(Tableau4[[#This Row],[essence]],Tableau6[],11,FALSE)</f>
        <v>0</v>
      </c>
      <c r="AE176" s="12">
        <f>IF(Tableau4[[#This Row],[sdom]]="3OUEST",1,0)</f>
        <v>0</v>
      </c>
      <c r="AF176" s="12">
        <f>VLOOKUP(Tableau4[[#This Row],[essence]],Tableau6[],12,FALSE)</f>
        <v>0</v>
      </c>
      <c r="AG176" s="12">
        <f>IF(Tableau4[[#This Row],[sdom]]="4EST",1,0)</f>
        <v>0</v>
      </c>
      <c r="AH176" s="12">
        <f>VLOOKUP(Tableau4[[#This Row],[essence]],Tableau6[],13,FALSE)</f>
        <v>0</v>
      </c>
      <c r="AI176" s="12">
        <f>IF(Tableau4[[#This Row],[sdom]]="4OUEST",1,0)</f>
        <v>0</v>
      </c>
      <c r="AJ176" s="12">
        <f>VLOOKUP(Tableau4[[#This Row],[essence]],Tableau6[],14,FALSE)</f>
        <v>0</v>
      </c>
      <c r="AK176" s="12">
        <f>IF(Tableau4[[#This Row],[sdom]]="5EST",1,0)</f>
        <v>1</v>
      </c>
      <c r="AL176" s="12">
        <f>VLOOKUP(Tableau4[[#This Row],[essence]],Tableau6[],17,FALSE)</f>
        <v>0</v>
      </c>
      <c r="AM176" s="12">
        <f>IF(Tableau4[[#This Row],[priorecol]]="C",1,0)</f>
        <v>1</v>
      </c>
      <c r="AN176" s="12">
        <f>VLOOKUP(Tableau4[[#This Row],[essence]],Tableau6[],18,FALSE)</f>
        <v>0</v>
      </c>
      <c r="AO176" s="12">
        <f>IF(Tableau4[[#This Row],[priorecol]]="R",1,0)</f>
        <v>0</v>
      </c>
      <c r="AP176" s="12">
        <f>VLOOKUP(Tableau4[[#This Row],[essence]],Tableau6[],19,FALSE)</f>
        <v>0</v>
      </c>
      <c r="AQ176" s="12">
        <f>IF(Tableau4[[#This Row],[priorecol]]="S",1,0)</f>
        <v>0</v>
      </c>
      <c r="AR176" s="12">
        <f>VLOOKUP(Tableau4[[#This Row],[essence]],Tableau6[],21,FALSE)</f>
        <v>0</v>
      </c>
      <c r="AS176" s="12">
        <f>IF(Tableau4[[#This Row],[priorecol]]="C",1,0)</f>
        <v>1</v>
      </c>
      <c r="AT176" s="12">
        <f>VLOOKUP(Tableau4[[#This Row],[essence]],Tableau6[],22,FALSE)</f>
        <v>0</v>
      </c>
      <c r="AU176" s="12">
        <f>IF(Tableau4[[#This Row],[priorecol]]="R",1,0)</f>
        <v>0</v>
      </c>
      <c r="AV176" s="12">
        <f>VLOOKUP(Tableau4[[#This Row],[essence]],Tableau6[],23,FALSE)</f>
        <v>0</v>
      </c>
      <c r="AW176" s="12">
        <f>IF(Tableau4[[#This Row],[priorecol]]="S",1,0)</f>
        <v>0</v>
      </c>
      <c r="AX176" s="12">
        <f>VLOOKUP(Tableau4[[#This Row],[essence]],Tableau6[],24,FALSE)</f>
        <v>0</v>
      </c>
      <c r="AY176" s="12">
        <f>VLOOKUP(Tableau4[[#This Row],[essence]],Tableau6[],25,FALSE)</f>
        <v>0</v>
      </c>
      <c r="AZ176" s="12">
        <f>VLOOKUP(Tableau4[[#This Row],[essence]],Tableau6[],26,FALSE)</f>
        <v>0</v>
      </c>
      <c r="BA176" s="12">
        <f>VLOOKUP(Tableau4[[#This Row],[essence]],Tableau6[],27,FALSE)</f>
        <v>0</v>
      </c>
      <c r="BB176" s="12">
        <f>VLOOKUP(Tableau4[[#This Row],[essence]],Tableau6[],16,FALSE)</f>
        <v>0</v>
      </c>
      <c r="BC17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2.4558</v>
      </c>
      <c r="BD176" s="12">
        <f>Tableau4[[#This Row],[xb_]]+Tableau4[[#This Row],[b_intercept_C]]+Tableau4[[#This Row],[b_dhpcm_x_intercept_C]]*Tableau4[[#This Row],[dhpcm]]</f>
        <v>2.7033</v>
      </c>
      <c r="BE176" s="12">
        <f>Tableau4[[#This Row],[xb_]]+Tableau4[[#This Row],[b_intercept_B]]+Tableau4[[#This Row],[b_dhpcm_x_intercept_B]]*Tableau4[[#This Row],[dhpcm]]</f>
        <v>1.1242000000000001</v>
      </c>
      <c r="BF176" s="12">
        <f>Tableau4[[#This Row],[xb_]]+Tableau4[[#This Row],[b_intercept_A]]+Tableau4[[#This Row],[b_dhpcm_x_intercept_A]]*Tableau4[[#This Row],[dhpcm]]</f>
        <v>4.6600000000000197E-2</v>
      </c>
      <c r="BG176" s="12">
        <f>1/(1+EXP(-Tableau4[[#This Row],[xb_c]]))</f>
        <v>0.93722108879172883</v>
      </c>
      <c r="BH176" s="12">
        <f>1/(1+EXP(-Tableau4[[#This Row],[xb_b]]))</f>
        <v>0.75476694200486438</v>
      </c>
      <c r="BI176" s="12">
        <f>1/(1+EXP(-Tableau4[[#This Row],[xb_a]]))</f>
        <v>0.51164789223487939</v>
      </c>
      <c r="BJ176" s="12">
        <f>Tableau4[[#This Row],[prob_a]]</f>
        <v>0.51164789223487939</v>
      </c>
      <c r="BK176" s="12">
        <f>Tableau4[[#This Row],[prob_b]]-Tableau4[[#This Row],[prob_a]]</f>
        <v>0.243119049769985</v>
      </c>
      <c r="BL176" s="12">
        <f>Tableau4[[#This Row],[prob_c]]-Tableau4[[#This Row],[prob_b]]</f>
        <v>0.18245414678686445</v>
      </c>
      <c r="BM176" s="12">
        <f>1-Tableau4[[#This Row],[prob_c]]</f>
        <v>6.2778911208271171E-2</v>
      </c>
    </row>
    <row r="177" spans="1:65" x14ac:dyDescent="0.25">
      <c r="A177" s="12">
        <v>8</v>
      </c>
      <c r="B177" s="12" t="s">
        <v>16</v>
      </c>
      <c r="C177" s="12">
        <v>2.1</v>
      </c>
      <c r="D177" s="12">
        <v>700</v>
      </c>
      <c r="E177" s="12">
        <v>20</v>
      </c>
      <c r="F177" s="12">
        <v>1</v>
      </c>
      <c r="G177" s="12">
        <v>56</v>
      </c>
      <c r="H177" s="12">
        <v>215</v>
      </c>
      <c r="I177" s="12" t="s">
        <v>21</v>
      </c>
      <c r="J177" s="12" t="s">
        <v>28</v>
      </c>
      <c r="K177" s="12">
        <f>VLOOKUP(Tableau4[[#This Row],[essence]],Tableau6[],2,FALSE)</f>
        <v>-2.4091999999999998</v>
      </c>
      <c r="L177" s="12">
        <f>VLOOKUP(Tableau4[[#This Row],[essence]],Tableau6[],3,FALSE)</f>
        <v>-1.3315999999999999</v>
      </c>
      <c r="M177" s="12">
        <f>VLOOKUP(Tableau4[[#This Row],[essence]],Tableau6[],4,FALSE)</f>
        <v>0.2475</v>
      </c>
      <c r="N177" s="12">
        <f>VLOOKUP(Tableau4[[#This Row],[essence]],Tableau6[],5,FALSE)</f>
        <v>1.9658</v>
      </c>
      <c r="O177" s="12">
        <f>IF(Tableau4[[#This Row],[priorecol]]="C",1,0)</f>
        <v>0</v>
      </c>
      <c r="P177" s="12">
        <f>VLOOKUP(Tableau4[[#This Row],[essence]],Tableau6[],6,FALSE)</f>
        <v>2.8807</v>
      </c>
      <c r="Q177" s="12">
        <f>IF(Tableau4[[#This Row],[priorecol]]="R",1,0)</f>
        <v>1</v>
      </c>
      <c r="R177" s="12">
        <f>VLOOKUP(Tableau4[[#This Row],[essence]],Tableau6[],7,FALSE)</f>
        <v>1.1791</v>
      </c>
      <c r="S177" s="12">
        <f>IF(Tableau4[[#This Row],[priorecol]]="S",1,0)</f>
        <v>0</v>
      </c>
      <c r="T177" s="12">
        <f>VLOOKUP(Tableau4[[#This Row],[essence]],Tableau6[],20,FALSE)</f>
        <v>0</v>
      </c>
      <c r="U177" s="12">
        <f>VLOOKUP(Tableau4[[#This Row],[essence]],Tableau6[],15,FALSE)</f>
        <v>2.4500000000000001E-2</v>
      </c>
      <c r="V177" s="12">
        <f>VLOOKUP(Tableau4[[#This Row],[essence]],Tableau6[],28,FALSE)</f>
        <v>0</v>
      </c>
      <c r="W177" s="12">
        <f>IF(Tableau4[[#This Row],[sdom]]=1,1,0)</f>
        <v>0</v>
      </c>
      <c r="X177" s="12">
        <f>VLOOKUP(Tableau4[[#This Row],[essence]],Tableau6[],8,FALSE)</f>
        <v>0</v>
      </c>
      <c r="Y177" s="12">
        <f>IF(Tableau4[[#This Row],[sdom]]="2EST",1,0)</f>
        <v>0</v>
      </c>
      <c r="Z177" s="12">
        <f>VLOOKUP(Tableau4[[#This Row],[essence]],Tableau6[],9,FALSE)</f>
        <v>0</v>
      </c>
      <c r="AA177" s="12">
        <f>IF(Tableau4[[#This Row],[sdom]]="2OUEST",1,0)</f>
        <v>0</v>
      </c>
      <c r="AB177" s="12">
        <f>VLOOKUP(Tableau4[[#This Row],[essence]],Tableau6[],10,FALSE)</f>
        <v>0</v>
      </c>
      <c r="AC177" s="12">
        <f>IF(Tableau4[[#This Row],[sdom]]="3EST",1,0)</f>
        <v>0</v>
      </c>
      <c r="AD177" s="12">
        <f>VLOOKUP(Tableau4[[#This Row],[essence]],Tableau6[],11,FALSE)</f>
        <v>0</v>
      </c>
      <c r="AE177" s="12">
        <f>IF(Tableau4[[#This Row],[sdom]]="3OUEST",1,0)</f>
        <v>0</v>
      </c>
      <c r="AF177" s="12">
        <f>VLOOKUP(Tableau4[[#This Row],[essence]],Tableau6[],12,FALSE)</f>
        <v>0</v>
      </c>
      <c r="AG177" s="12">
        <f>IF(Tableau4[[#This Row],[sdom]]="4EST",1,0)</f>
        <v>0</v>
      </c>
      <c r="AH177" s="12">
        <f>VLOOKUP(Tableau4[[#This Row],[essence]],Tableau6[],13,FALSE)</f>
        <v>0</v>
      </c>
      <c r="AI177" s="12">
        <f>IF(Tableau4[[#This Row],[sdom]]="4OUEST",1,0)</f>
        <v>0</v>
      </c>
      <c r="AJ177" s="12">
        <f>VLOOKUP(Tableau4[[#This Row],[essence]],Tableau6[],14,FALSE)</f>
        <v>0</v>
      </c>
      <c r="AK177" s="12">
        <f>IF(Tableau4[[#This Row],[sdom]]="5EST",1,0)</f>
        <v>1</v>
      </c>
      <c r="AL177" s="12">
        <f>VLOOKUP(Tableau4[[#This Row],[essence]],Tableau6[],17,FALSE)</f>
        <v>0</v>
      </c>
      <c r="AM177" s="12">
        <f>IF(Tableau4[[#This Row],[priorecol]]="C",1,0)</f>
        <v>0</v>
      </c>
      <c r="AN177" s="12">
        <f>VLOOKUP(Tableau4[[#This Row],[essence]],Tableau6[],18,FALSE)</f>
        <v>0</v>
      </c>
      <c r="AO177" s="12">
        <f>IF(Tableau4[[#This Row],[priorecol]]="R",1,0)</f>
        <v>1</v>
      </c>
      <c r="AP177" s="12">
        <f>VLOOKUP(Tableau4[[#This Row],[essence]],Tableau6[],19,FALSE)</f>
        <v>0</v>
      </c>
      <c r="AQ177" s="12">
        <f>IF(Tableau4[[#This Row],[priorecol]]="S",1,0)</f>
        <v>0</v>
      </c>
      <c r="AR177" s="12">
        <f>VLOOKUP(Tableau4[[#This Row],[essence]],Tableau6[],21,FALSE)</f>
        <v>0</v>
      </c>
      <c r="AS177" s="12">
        <f>IF(Tableau4[[#This Row],[priorecol]]="C",1,0)</f>
        <v>0</v>
      </c>
      <c r="AT177" s="12">
        <f>VLOOKUP(Tableau4[[#This Row],[essence]],Tableau6[],22,FALSE)</f>
        <v>0</v>
      </c>
      <c r="AU177" s="12">
        <f>IF(Tableau4[[#This Row],[priorecol]]="R",1,0)</f>
        <v>1</v>
      </c>
      <c r="AV177" s="12">
        <f>VLOOKUP(Tableau4[[#This Row],[essence]],Tableau6[],23,FALSE)</f>
        <v>0</v>
      </c>
      <c r="AW177" s="12">
        <f>IF(Tableau4[[#This Row],[priorecol]]="S",1,0)</f>
        <v>0</v>
      </c>
      <c r="AX177" s="12">
        <f>VLOOKUP(Tableau4[[#This Row],[essence]],Tableau6[],24,FALSE)</f>
        <v>0</v>
      </c>
      <c r="AY177" s="12">
        <f>VLOOKUP(Tableau4[[#This Row],[essence]],Tableau6[],25,FALSE)</f>
        <v>0</v>
      </c>
      <c r="AZ177" s="12">
        <f>VLOOKUP(Tableau4[[#This Row],[essence]],Tableau6[],26,FALSE)</f>
        <v>0</v>
      </c>
      <c r="BA177" s="12">
        <f>VLOOKUP(Tableau4[[#This Row],[essence]],Tableau6[],27,FALSE)</f>
        <v>0</v>
      </c>
      <c r="BB177" s="12">
        <f>VLOOKUP(Tableau4[[#This Row],[essence]],Tableau6[],16,FALSE)</f>
        <v>0</v>
      </c>
      <c r="BC17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3.3707000000000003</v>
      </c>
      <c r="BD177" s="12">
        <f>Tableau4[[#This Row],[xb_]]+Tableau4[[#This Row],[b_intercept_C]]+Tableau4[[#This Row],[b_dhpcm_x_intercept_C]]*Tableau4[[#This Row],[dhpcm]]</f>
        <v>3.6182000000000003</v>
      </c>
      <c r="BE177" s="12">
        <f>Tableau4[[#This Row],[xb_]]+Tableau4[[#This Row],[b_intercept_B]]+Tableau4[[#This Row],[b_dhpcm_x_intercept_B]]*Tableau4[[#This Row],[dhpcm]]</f>
        <v>2.0391000000000004</v>
      </c>
      <c r="BF177" s="12">
        <f>Tableau4[[#This Row],[xb_]]+Tableau4[[#This Row],[b_intercept_A]]+Tableau4[[#This Row],[b_dhpcm_x_intercept_A]]*Tableau4[[#This Row],[dhpcm]]</f>
        <v>0.96150000000000047</v>
      </c>
      <c r="BG177" s="12">
        <f>1/(1+EXP(-Tableau4[[#This Row],[xb_c]]))</f>
        <v>0.97387015917251429</v>
      </c>
      <c r="BH177" s="12">
        <f>1/(1+EXP(-Tableau4[[#This Row],[xb_b]]))</f>
        <v>0.88484159245928551</v>
      </c>
      <c r="BI177" s="12">
        <f>1/(1+EXP(-Tableau4[[#This Row],[xb_a]]))</f>
        <v>0.72342202957828172</v>
      </c>
      <c r="BJ177" s="12">
        <f>Tableau4[[#This Row],[prob_a]]</f>
        <v>0.72342202957828172</v>
      </c>
      <c r="BK177" s="12">
        <f>Tableau4[[#This Row],[prob_b]]-Tableau4[[#This Row],[prob_a]]</f>
        <v>0.16141956288100379</v>
      </c>
      <c r="BL177" s="12">
        <f>Tableau4[[#This Row],[prob_c]]-Tableau4[[#This Row],[prob_b]]</f>
        <v>8.9028566713228785E-2</v>
      </c>
      <c r="BM177" s="12">
        <f>1-Tableau4[[#This Row],[prob_c]]</f>
        <v>2.6129840827485706E-2</v>
      </c>
    </row>
    <row r="178" spans="1:65" x14ac:dyDescent="0.25">
      <c r="A178" s="12">
        <v>8</v>
      </c>
      <c r="B178" s="12" t="s">
        <v>16</v>
      </c>
      <c r="C178" s="12">
        <v>2.1</v>
      </c>
      <c r="D178" s="12">
        <v>700</v>
      </c>
      <c r="E178" s="12">
        <v>20</v>
      </c>
      <c r="F178" s="12">
        <v>1</v>
      </c>
      <c r="G178" s="12">
        <v>57</v>
      </c>
      <c r="H178" s="12">
        <v>216</v>
      </c>
      <c r="I178" s="12" t="s">
        <v>21</v>
      </c>
      <c r="J178" s="12" t="s">
        <v>29</v>
      </c>
      <c r="K178" s="12">
        <f>VLOOKUP(Tableau4[[#This Row],[essence]],Tableau6[],2,FALSE)</f>
        <v>-2.4091999999999998</v>
      </c>
      <c r="L178" s="12">
        <f>VLOOKUP(Tableau4[[#This Row],[essence]],Tableau6[],3,FALSE)</f>
        <v>-1.3315999999999999</v>
      </c>
      <c r="M178" s="12">
        <f>VLOOKUP(Tableau4[[#This Row],[essence]],Tableau6[],4,FALSE)</f>
        <v>0.2475</v>
      </c>
      <c r="N178" s="12">
        <f>VLOOKUP(Tableau4[[#This Row],[essence]],Tableau6[],5,FALSE)</f>
        <v>1.9658</v>
      </c>
      <c r="O178" s="12">
        <f>IF(Tableau4[[#This Row],[priorecol]]="C",1,0)</f>
        <v>0</v>
      </c>
      <c r="P178" s="12">
        <f>VLOOKUP(Tableau4[[#This Row],[essence]],Tableau6[],6,FALSE)</f>
        <v>2.8807</v>
      </c>
      <c r="Q178" s="12">
        <f>IF(Tableau4[[#This Row],[priorecol]]="R",1,0)</f>
        <v>0</v>
      </c>
      <c r="R178" s="12">
        <f>VLOOKUP(Tableau4[[#This Row],[essence]],Tableau6[],7,FALSE)</f>
        <v>1.1791</v>
      </c>
      <c r="S178" s="12">
        <f>IF(Tableau4[[#This Row],[priorecol]]="S",1,0)</f>
        <v>1</v>
      </c>
      <c r="T178" s="12">
        <f>VLOOKUP(Tableau4[[#This Row],[essence]],Tableau6[],20,FALSE)</f>
        <v>0</v>
      </c>
      <c r="U178" s="12">
        <f>VLOOKUP(Tableau4[[#This Row],[essence]],Tableau6[],15,FALSE)</f>
        <v>2.4500000000000001E-2</v>
      </c>
      <c r="V178" s="12">
        <f>VLOOKUP(Tableau4[[#This Row],[essence]],Tableau6[],28,FALSE)</f>
        <v>0</v>
      </c>
      <c r="W178" s="12">
        <f>IF(Tableau4[[#This Row],[sdom]]=1,1,0)</f>
        <v>0</v>
      </c>
      <c r="X178" s="12">
        <f>VLOOKUP(Tableau4[[#This Row],[essence]],Tableau6[],8,FALSE)</f>
        <v>0</v>
      </c>
      <c r="Y178" s="12">
        <f>IF(Tableau4[[#This Row],[sdom]]="2EST",1,0)</f>
        <v>0</v>
      </c>
      <c r="Z178" s="12">
        <f>VLOOKUP(Tableau4[[#This Row],[essence]],Tableau6[],9,FALSE)</f>
        <v>0</v>
      </c>
      <c r="AA178" s="12">
        <f>IF(Tableau4[[#This Row],[sdom]]="2OUEST",1,0)</f>
        <v>0</v>
      </c>
      <c r="AB178" s="12">
        <f>VLOOKUP(Tableau4[[#This Row],[essence]],Tableau6[],10,FALSE)</f>
        <v>0</v>
      </c>
      <c r="AC178" s="12">
        <f>IF(Tableau4[[#This Row],[sdom]]="3EST",1,0)</f>
        <v>0</v>
      </c>
      <c r="AD178" s="12">
        <f>VLOOKUP(Tableau4[[#This Row],[essence]],Tableau6[],11,FALSE)</f>
        <v>0</v>
      </c>
      <c r="AE178" s="12">
        <f>IF(Tableau4[[#This Row],[sdom]]="3OUEST",1,0)</f>
        <v>0</v>
      </c>
      <c r="AF178" s="12">
        <f>VLOOKUP(Tableau4[[#This Row],[essence]],Tableau6[],12,FALSE)</f>
        <v>0</v>
      </c>
      <c r="AG178" s="12">
        <f>IF(Tableau4[[#This Row],[sdom]]="4EST",1,0)</f>
        <v>0</v>
      </c>
      <c r="AH178" s="12">
        <f>VLOOKUP(Tableau4[[#This Row],[essence]],Tableau6[],13,FALSE)</f>
        <v>0</v>
      </c>
      <c r="AI178" s="12">
        <f>IF(Tableau4[[#This Row],[sdom]]="4OUEST",1,0)</f>
        <v>0</v>
      </c>
      <c r="AJ178" s="12">
        <f>VLOOKUP(Tableau4[[#This Row],[essence]],Tableau6[],14,FALSE)</f>
        <v>0</v>
      </c>
      <c r="AK178" s="12">
        <f>IF(Tableau4[[#This Row],[sdom]]="5EST",1,0)</f>
        <v>1</v>
      </c>
      <c r="AL178" s="12">
        <f>VLOOKUP(Tableau4[[#This Row],[essence]],Tableau6[],17,FALSE)</f>
        <v>0</v>
      </c>
      <c r="AM178" s="12">
        <f>IF(Tableau4[[#This Row],[priorecol]]="C",1,0)</f>
        <v>0</v>
      </c>
      <c r="AN178" s="12">
        <f>VLOOKUP(Tableau4[[#This Row],[essence]],Tableau6[],18,FALSE)</f>
        <v>0</v>
      </c>
      <c r="AO178" s="12">
        <f>IF(Tableau4[[#This Row],[priorecol]]="R",1,0)</f>
        <v>0</v>
      </c>
      <c r="AP178" s="12">
        <f>VLOOKUP(Tableau4[[#This Row],[essence]],Tableau6[],19,FALSE)</f>
        <v>0</v>
      </c>
      <c r="AQ178" s="12">
        <f>IF(Tableau4[[#This Row],[priorecol]]="S",1,0)</f>
        <v>1</v>
      </c>
      <c r="AR178" s="12">
        <f>VLOOKUP(Tableau4[[#This Row],[essence]],Tableau6[],21,FALSE)</f>
        <v>0</v>
      </c>
      <c r="AS178" s="12">
        <f>IF(Tableau4[[#This Row],[priorecol]]="C",1,0)</f>
        <v>0</v>
      </c>
      <c r="AT178" s="12">
        <f>VLOOKUP(Tableau4[[#This Row],[essence]],Tableau6[],22,FALSE)</f>
        <v>0</v>
      </c>
      <c r="AU178" s="12">
        <f>IF(Tableau4[[#This Row],[priorecol]]="R",1,0)</f>
        <v>0</v>
      </c>
      <c r="AV178" s="12">
        <f>VLOOKUP(Tableau4[[#This Row],[essence]],Tableau6[],23,FALSE)</f>
        <v>0</v>
      </c>
      <c r="AW178" s="12">
        <f>IF(Tableau4[[#This Row],[priorecol]]="S",1,0)</f>
        <v>1</v>
      </c>
      <c r="AX178" s="12">
        <f>VLOOKUP(Tableau4[[#This Row],[essence]],Tableau6[],24,FALSE)</f>
        <v>0</v>
      </c>
      <c r="AY178" s="12">
        <f>VLOOKUP(Tableau4[[#This Row],[essence]],Tableau6[],25,FALSE)</f>
        <v>0</v>
      </c>
      <c r="AZ178" s="12">
        <f>VLOOKUP(Tableau4[[#This Row],[essence]],Tableau6[],26,FALSE)</f>
        <v>0</v>
      </c>
      <c r="BA178" s="12">
        <f>VLOOKUP(Tableau4[[#This Row],[essence]],Tableau6[],27,FALSE)</f>
        <v>0</v>
      </c>
      <c r="BB178" s="12">
        <f>VLOOKUP(Tableau4[[#This Row],[essence]],Tableau6[],16,FALSE)</f>
        <v>0</v>
      </c>
      <c r="BC17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1.6691</v>
      </c>
      <c r="BD178" s="12">
        <f>Tableau4[[#This Row],[xb_]]+Tableau4[[#This Row],[b_intercept_C]]+Tableau4[[#This Row],[b_dhpcm_x_intercept_C]]*Tableau4[[#This Row],[dhpcm]]</f>
        <v>1.9166000000000001</v>
      </c>
      <c r="BE178" s="12">
        <f>Tableau4[[#This Row],[xb_]]+Tableau4[[#This Row],[b_intercept_B]]+Tableau4[[#This Row],[b_dhpcm_x_intercept_B]]*Tableau4[[#This Row],[dhpcm]]</f>
        <v>0.33750000000000013</v>
      </c>
      <c r="BF178" s="12">
        <f>Tableau4[[#This Row],[xb_]]+Tableau4[[#This Row],[b_intercept_A]]+Tableau4[[#This Row],[b_dhpcm_x_intercept_A]]*Tableau4[[#This Row],[dhpcm]]</f>
        <v>-0.74009999999999976</v>
      </c>
      <c r="BG178" s="12">
        <f>1/(1+EXP(-Tableau4[[#This Row],[xb_c]]))</f>
        <v>0.87175880956636009</v>
      </c>
      <c r="BH178" s="12">
        <f>1/(1+EXP(-Tableau4[[#This Row],[xb_b]]))</f>
        <v>0.58358311551727526</v>
      </c>
      <c r="BI178" s="12">
        <f>1/(1+EXP(-Tableau4[[#This Row],[xb_a]]))</f>
        <v>0.32298227690184222</v>
      </c>
      <c r="BJ178" s="12">
        <f>Tableau4[[#This Row],[prob_a]]</f>
        <v>0.32298227690184222</v>
      </c>
      <c r="BK178" s="12">
        <f>Tableau4[[#This Row],[prob_b]]-Tableau4[[#This Row],[prob_a]]</f>
        <v>0.26060083861543304</v>
      </c>
      <c r="BL178" s="12">
        <f>Tableau4[[#This Row],[prob_c]]-Tableau4[[#This Row],[prob_b]]</f>
        <v>0.28817569404908483</v>
      </c>
      <c r="BM178" s="12">
        <f>1-Tableau4[[#This Row],[prob_c]]</f>
        <v>0.12824119043363991</v>
      </c>
    </row>
    <row r="179" spans="1:65" x14ac:dyDescent="0.25">
      <c r="A179" s="12">
        <v>8</v>
      </c>
      <c r="B179" s="12" t="s">
        <v>16</v>
      </c>
      <c r="C179" s="12">
        <v>2.1</v>
      </c>
      <c r="D179" s="12">
        <v>700</v>
      </c>
      <c r="E179" s="12">
        <v>20</v>
      </c>
      <c r="F179" s="12">
        <v>1</v>
      </c>
      <c r="G179" s="12">
        <v>58</v>
      </c>
      <c r="H179" s="12">
        <v>217</v>
      </c>
      <c r="I179" s="12" t="s">
        <v>22</v>
      </c>
      <c r="J179" s="12" t="s">
        <v>27</v>
      </c>
      <c r="K179" s="12">
        <f>VLOOKUP(Tableau4[[#This Row],[essence]],Tableau6[],2,FALSE)</f>
        <v>-3.5731999999999999</v>
      </c>
      <c r="L179" s="12">
        <f>VLOOKUP(Tableau4[[#This Row],[essence]],Tableau6[],3,FALSE)</f>
        <v>-1.9289000000000001</v>
      </c>
      <c r="M179" s="12">
        <f>VLOOKUP(Tableau4[[#This Row],[essence]],Tableau6[],4,FALSE)</f>
        <v>0.40949999999999998</v>
      </c>
      <c r="N179" s="12">
        <f>VLOOKUP(Tableau4[[#This Row],[essence]],Tableau6[],5,FALSE)</f>
        <v>2.0705</v>
      </c>
      <c r="O179" s="12">
        <f>IF(Tableau4[[#This Row],[priorecol]]="C",1,0)</f>
        <v>1</v>
      </c>
      <c r="P179" s="12">
        <f>VLOOKUP(Tableau4[[#This Row],[essence]],Tableau6[],6,FALSE)</f>
        <v>2.9992999999999999</v>
      </c>
      <c r="Q179" s="12">
        <f>IF(Tableau4[[#This Row],[priorecol]]="R",1,0)</f>
        <v>0</v>
      </c>
      <c r="R179" s="12">
        <f>VLOOKUP(Tableau4[[#This Row],[essence]],Tableau6[],7,FALSE)</f>
        <v>1.3050999999999999</v>
      </c>
      <c r="S179" s="12">
        <f>IF(Tableau4[[#This Row],[priorecol]]="S",1,0)</f>
        <v>0</v>
      </c>
      <c r="T179" s="12">
        <f>VLOOKUP(Tableau4[[#This Row],[essence]],Tableau6[],20,FALSE)</f>
        <v>0</v>
      </c>
      <c r="U179" s="12">
        <f>VLOOKUP(Tableau4[[#This Row],[essence]],Tableau6[],15,FALSE)</f>
        <v>0</v>
      </c>
      <c r="V179" s="12">
        <f>VLOOKUP(Tableau4[[#This Row],[essence]],Tableau6[],28,FALSE)</f>
        <v>0</v>
      </c>
      <c r="W179" s="12">
        <f>IF(Tableau4[[#This Row],[sdom]]=1,1,0)</f>
        <v>0</v>
      </c>
      <c r="X179" s="12">
        <f>VLOOKUP(Tableau4[[#This Row],[essence]],Tableau6[],8,FALSE)</f>
        <v>0</v>
      </c>
      <c r="Y179" s="12">
        <f>IF(Tableau4[[#This Row],[sdom]]="2EST",1,0)</f>
        <v>0</v>
      </c>
      <c r="Z179" s="12">
        <f>VLOOKUP(Tableau4[[#This Row],[essence]],Tableau6[],9,FALSE)</f>
        <v>0</v>
      </c>
      <c r="AA179" s="12">
        <f>IF(Tableau4[[#This Row],[sdom]]="2OUEST",1,0)</f>
        <v>0</v>
      </c>
      <c r="AB179" s="12">
        <f>VLOOKUP(Tableau4[[#This Row],[essence]],Tableau6[],10,FALSE)</f>
        <v>0</v>
      </c>
      <c r="AC179" s="12">
        <f>IF(Tableau4[[#This Row],[sdom]]="3EST",1,0)</f>
        <v>0</v>
      </c>
      <c r="AD179" s="12">
        <f>VLOOKUP(Tableau4[[#This Row],[essence]],Tableau6[],11,FALSE)</f>
        <v>0</v>
      </c>
      <c r="AE179" s="12">
        <f>IF(Tableau4[[#This Row],[sdom]]="3OUEST",1,0)</f>
        <v>0</v>
      </c>
      <c r="AF179" s="12">
        <f>VLOOKUP(Tableau4[[#This Row],[essence]],Tableau6[],12,FALSE)</f>
        <v>0</v>
      </c>
      <c r="AG179" s="12">
        <f>IF(Tableau4[[#This Row],[sdom]]="4EST",1,0)</f>
        <v>0</v>
      </c>
      <c r="AH179" s="12">
        <f>VLOOKUP(Tableau4[[#This Row],[essence]],Tableau6[],13,FALSE)</f>
        <v>0</v>
      </c>
      <c r="AI179" s="12">
        <f>IF(Tableau4[[#This Row],[sdom]]="4OUEST",1,0)</f>
        <v>0</v>
      </c>
      <c r="AJ179" s="12">
        <f>VLOOKUP(Tableau4[[#This Row],[essence]],Tableau6[],14,FALSE)</f>
        <v>0</v>
      </c>
      <c r="AK179" s="12">
        <f>IF(Tableau4[[#This Row],[sdom]]="5EST",1,0)</f>
        <v>1</v>
      </c>
      <c r="AL179" s="12">
        <f>VLOOKUP(Tableau4[[#This Row],[essence]],Tableau6[],17,FALSE)</f>
        <v>0</v>
      </c>
      <c r="AM179" s="12">
        <f>IF(Tableau4[[#This Row],[priorecol]]="C",1,0)</f>
        <v>1</v>
      </c>
      <c r="AN179" s="12">
        <f>VLOOKUP(Tableau4[[#This Row],[essence]],Tableau6[],18,FALSE)</f>
        <v>0</v>
      </c>
      <c r="AO179" s="12">
        <f>IF(Tableau4[[#This Row],[priorecol]]="R",1,0)</f>
        <v>0</v>
      </c>
      <c r="AP179" s="12">
        <f>VLOOKUP(Tableau4[[#This Row],[essence]],Tableau6[],19,FALSE)</f>
        <v>0</v>
      </c>
      <c r="AQ179" s="12">
        <f>IF(Tableau4[[#This Row],[priorecol]]="S",1,0)</f>
        <v>0</v>
      </c>
      <c r="AR179" s="12">
        <f>VLOOKUP(Tableau4[[#This Row],[essence]],Tableau6[],21,FALSE)</f>
        <v>0</v>
      </c>
      <c r="AS179" s="12">
        <f>IF(Tableau4[[#This Row],[priorecol]]="C",1,0)</f>
        <v>1</v>
      </c>
      <c r="AT179" s="12">
        <f>VLOOKUP(Tableau4[[#This Row],[essence]],Tableau6[],22,FALSE)</f>
        <v>0</v>
      </c>
      <c r="AU179" s="12">
        <f>IF(Tableau4[[#This Row],[priorecol]]="R",1,0)</f>
        <v>0</v>
      </c>
      <c r="AV179" s="12">
        <f>VLOOKUP(Tableau4[[#This Row],[essence]],Tableau6[],23,FALSE)</f>
        <v>0</v>
      </c>
      <c r="AW179" s="12">
        <f>IF(Tableau4[[#This Row],[priorecol]]="S",1,0)</f>
        <v>0</v>
      </c>
      <c r="AX179" s="12">
        <f>VLOOKUP(Tableau4[[#This Row],[essence]],Tableau6[],24,FALSE)</f>
        <v>-2.1000000000000001E-4</v>
      </c>
      <c r="AY179" s="12">
        <f>VLOOKUP(Tableau4[[#This Row],[essence]],Tableau6[],25,FALSE)</f>
        <v>-1.34E-2</v>
      </c>
      <c r="AZ179" s="12">
        <f>VLOOKUP(Tableau4[[#This Row],[essence]],Tableau6[],26,FALSE)</f>
        <v>-2.8899999999999999E-2</v>
      </c>
      <c r="BA179" s="12">
        <f>VLOOKUP(Tableau4[[#This Row],[essence]],Tableau6[],27,FALSE)</f>
        <v>0.2873</v>
      </c>
      <c r="BB179" s="12">
        <f>VLOOKUP(Tableau4[[#This Row],[essence]],Tableau6[],16,FALSE)</f>
        <v>0</v>
      </c>
      <c r="BC17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2.6738300000000002</v>
      </c>
      <c r="BD179" s="12">
        <f>Tableau4[[#This Row],[xb_]]+Tableau4[[#This Row],[b_intercept_C]]+Tableau4[[#This Row],[b_dhpcm_x_intercept_C]]*Tableau4[[#This Row],[dhpcm]]</f>
        <v>-3.18797</v>
      </c>
      <c r="BE179" s="12">
        <f>Tableau4[[#This Row],[xb_]]+Tableau4[[#This Row],[b_intercept_B]]+Tableau4[[#This Row],[b_dhpcm_x_intercept_B]]*Tableau4[[#This Row],[dhpcm]]</f>
        <v>-2.1628699999999998</v>
      </c>
      <c r="BF179" s="12">
        <f>Tableau4[[#This Row],[xb_]]+Tableau4[[#This Row],[b_intercept_A]]+Tableau4[[#This Row],[b_dhpcm_x_intercept_A]]*Tableau4[[#This Row],[dhpcm]]</f>
        <v>-0.94493999999999978</v>
      </c>
      <c r="BG179" s="12">
        <f>1/(1+EXP(-Tableau4[[#This Row],[xb_c]]))</f>
        <v>3.9620951198978335E-2</v>
      </c>
      <c r="BH179" s="12">
        <f>1/(1+EXP(-Tableau4[[#This Row],[xb_b]]))</f>
        <v>0.1031346799021437</v>
      </c>
      <c r="BI179" s="12">
        <f>1/(1+EXP(-Tableau4[[#This Row],[xb_a]]))</f>
        <v>0.27990356649340098</v>
      </c>
      <c r="BJ179" s="12">
        <f>Tableau4[[#This Row],[prob_a]]</f>
        <v>0.27990356649340098</v>
      </c>
      <c r="BK179" s="12">
        <f>Tableau4[[#This Row],[prob_b]]-Tableau4[[#This Row],[prob_a]]</f>
        <v>-0.17676888659125728</v>
      </c>
      <c r="BL179" s="12">
        <f>Tableau4[[#This Row],[prob_c]]-Tableau4[[#This Row],[prob_b]]</f>
        <v>-6.3513728703165365E-2</v>
      </c>
      <c r="BM179" s="12">
        <f>1-Tableau4[[#This Row],[prob_c]]</f>
        <v>0.96037904880102165</v>
      </c>
    </row>
    <row r="180" spans="1:65" x14ac:dyDescent="0.25">
      <c r="A180" s="12">
        <v>8</v>
      </c>
      <c r="B180" s="12" t="s">
        <v>16</v>
      </c>
      <c r="C180" s="12">
        <v>2.1</v>
      </c>
      <c r="D180" s="12">
        <v>700</v>
      </c>
      <c r="E180" s="12">
        <v>20</v>
      </c>
      <c r="F180" s="12">
        <v>1</v>
      </c>
      <c r="G180" s="12">
        <v>59</v>
      </c>
      <c r="H180" s="12">
        <v>218</v>
      </c>
      <c r="I180" s="12" t="s">
        <v>22</v>
      </c>
      <c r="J180" s="12" t="s">
        <v>28</v>
      </c>
      <c r="K180" s="12">
        <f>VLOOKUP(Tableau4[[#This Row],[essence]],Tableau6[],2,FALSE)</f>
        <v>-3.5731999999999999</v>
      </c>
      <c r="L180" s="12">
        <f>VLOOKUP(Tableau4[[#This Row],[essence]],Tableau6[],3,FALSE)</f>
        <v>-1.9289000000000001</v>
      </c>
      <c r="M180" s="12">
        <f>VLOOKUP(Tableau4[[#This Row],[essence]],Tableau6[],4,FALSE)</f>
        <v>0.40949999999999998</v>
      </c>
      <c r="N180" s="12">
        <f>VLOOKUP(Tableau4[[#This Row],[essence]],Tableau6[],5,FALSE)</f>
        <v>2.0705</v>
      </c>
      <c r="O180" s="12">
        <f>IF(Tableau4[[#This Row],[priorecol]]="C",1,0)</f>
        <v>0</v>
      </c>
      <c r="P180" s="12">
        <f>VLOOKUP(Tableau4[[#This Row],[essence]],Tableau6[],6,FALSE)</f>
        <v>2.9992999999999999</v>
      </c>
      <c r="Q180" s="12">
        <f>IF(Tableau4[[#This Row],[priorecol]]="R",1,0)</f>
        <v>1</v>
      </c>
      <c r="R180" s="12">
        <f>VLOOKUP(Tableau4[[#This Row],[essence]],Tableau6[],7,FALSE)</f>
        <v>1.3050999999999999</v>
      </c>
      <c r="S180" s="12">
        <f>IF(Tableau4[[#This Row],[priorecol]]="S",1,0)</f>
        <v>0</v>
      </c>
      <c r="T180" s="12">
        <f>VLOOKUP(Tableau4[[#This Row],[essence]],Tableau6[],20,FALSE)</f>
        <v>0</v>
      </c>
      <c r="U180" s="12">
        <f>VLOOKUP(Tableau4[[#This Row],[essence]],Tableau6[],15,FALSE)</f>
        <v>0</v>
      </c>
      <c r="V180" s="12">
        <f>VLOOKUP(Tableau4[[#This Row],[essence]],Tableau6[],28,FALSE)</f>
        <v>0</v>
      </c>
      <c r="W180" s="12">
        <f>IF(Tableau4[[#This Row],[sdom]]=1,1,0)</f>
        <v>0</v>
      </c>
      <c r="X180" s="12">
        <f>VLOOKUP(Tableau4[[#This Row],[essence]],Tableau6[],8,FALSE)</f>
        <v>0</v>
      </c>
      <c r="Y180" s="12">
        <f>IF(Tableau4[[#This Row],[sdom]]="2EST",1,0)</f>
        <v>0</v>
      </c>
      <c r="Z180" s="12">
        <f>VLOOKUP(Tableau4[[#This Row],[essence]],Tableau6[],9,FALSE)</f>
        <v>0</v>
      </c>
      <c r="AA180" s="12">
        <f>IF(Tableau4[[#This Row],[sdom]]="2OUEST",1,0)</f>
        <v>0</v>
      </c>
      <c r="AB180" s="12">
        <f>VLOOKUP(Tableau4[[#This Row],[essence]],Tableau6[],10,FALSE)</f>
        <v>0</v>
      </c>
      <c r="AC180" s="12">
        <f>IF(Tableau4[[#This Row],[sdom]]="3EST",1,0)</f>
        <v>0</v>
      </c>
      <c r="AD180" s="12">
        <f>VLOOKUP(Tableau4[[#This Row],[essence]],Tableau6[],11,FALSE)</f>
        <v>0</v>
      </c>
      <c r="AE180" s="12">
        <f>IF(Tableau4[[#This Row],[sdom]]="3OUEST",1,0)</f>
        <v>0</v>
      </c>
      <c r="AF180" s="12">
        <f>VLOOKUP(Tableau4[[#This Row],[essence]],Tableau6[],12,FALSE)</f>
        <v>0</v>
      </c>
      <c r="AG180" s="12">
        <f>IF(Tableau4[[#This Row],[sdom]]="4EST",1,0)</f>
        <v>0</v>
      </c>
      <c r="AH180" s="12">
        <f>VLOOKUP(Tableau4[[#This Row],[essence]],Tableau6[],13,FALSE)</f>
        <v>0</v>
      </c>
      <c r="AI180" s="12">
        <f>IF(Tableau4[[#This Row],[sdom]]="4OUEST",1,0)</f>
        <v>0</v>
      </c>
      <c r="AJ180" s="12">
        <f>VLOOKUP(Tableau4[[#This Row],[essence]],Tableau6[],14,FALSE)</f>
        <v>0</v>
      </c>
      <c r="AK180" s="12">
        <f>IF(Tableau4[[#This Row],[sdom]]="5EST",1,0)</f>
        <v>1</v>
      </c>
      <c r="AL180" s="12">
        <f>VLOOKUP(Tableau4[[#This Row],[essence]],Tableau6[],17,FALSE)</f>
        <v>0</v>
      </c>
      <c r="AM180" s="12">
        <f>IF(Tableau4[[#This Row],[priorecol]]="C",1,0)</f>
        <v>0</v>
      </c>
      <c r="AN180" s="12">
        <f>VLOOKUP(Tableau4[[#This Row],[essence]],Tableau6[],18,FALSE)</f>
        <v>0</v>
      </c>
      <c r="AO180" s="12">
        <f>IF(Tableau4[[#This Row],[priorecol]]="R",1,0)</f>
        <v>1</v>
      </c>
      <c r="AP180" s="12">
        <f>VLOOKUP(Tableau4[[#This Row],[essence]],Tableau6[],19,FALSE)</f>
        <v>0</v>
      </c>
      <c r="AQ180" s="12">
        <f>IF(Tableau4[[#This Row],[priorecol]]="S",1,0)</f>
        <v>0</v>
      </c>
      <c r="AR180" s="12">
        <f>VLOOKUP(Tableau4[[#This Row],[essence]],Tableau6[],21,FALSE)</f>
        <v>0</v>
      </c>
      <c r="AS180" s="12">
        <f>IF(Tableau4[[#This Row],[priorecol]]="C",1,0)</f>
        <v>0</v>
      </c>
      <c r="AT180" s="12">
        <f>VLOOKUP(Tableau4[[#This Row],[essence]],Tableau6[],22,FALSE)</f>
        <v>0</v>
      </c>
      <c r="AU180" s="12">
        <f>IF(Tableau4[[#This Row],[priorecol]]="R",1,0)</f>
        <v>1</v>
      </c>
      <c r="AV180" s="12">
        <f>VLOOKUP(Tableau4[[#This Row],[essence]],Tableau6[],23,FALSE)</f>
        <v>0</v>
      </c>
      <c r="AW180" s="12">
        <f>IF(Tableau4[[#This Row],[priorecol]]="S",1,0)</f>
        <v>0</v>
      </c>
      <c r="AX180" s="12">
        <f>VLOOKUP(Tableau4[[#This Row],[essence]],Tableau6[],24,FALSE)</f>
        <v>-2.1000000000000001E-4</v>
      </c>
      <c r="AY180" s="12">
        <f>VLOOKUP(Tableau4[[#This Row],[essence]],Tableau6[],25,FALSE)</f>
        <v>-1.34E-2</v>
      </c>
      <c r="AZ180" s="12">
        <f>VLOOKUP(Tableau4[[#This Row],[essence]],Tableau6[],26,FALSE)</f>
        <v>-2.8899999999999999E-2</v>
      </c>
      <c r="BA180" s="12">
        <f>VLOOKUP(Tableau4[[#This Row],[essence]],Tableau6[],27,FALSE)</f>
        <v>0.2873</v>
      </c>
      <c r="BB180" s="12">
        <f>VLOOKUP(Tableau4[[#This Row],[essence]],Tableau6[],16,FALSE)</f>
        <v>0</v>
      </c>
      <c r="BC18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3.60263</v>
      </c>
      <c r="BD180" s="12">
        <f>Tableau4[[#This Row],[xb_]]+Tableau4[[#This Row],[b_intercept_C]]+Tableau4[[#This Row],[b_dhpcm_x_intercept_C]]*Tableau4[[#This Row],[dhpcm]]</f>
        <v>-2.2880699999999994</v>
      </c>
      <c r="BE180" s="12">
        <f>Tableau4[[#This Row],[xb_]]+Tableau4[[#This Row],[b_intercept_B]]+Tableau4[[#This Row],[b_dhpcm_x_intercept_B]]*Tableau4[[#This Row],[dhpcm]]</f>
        <v>-1.2474700000000003</v>
      </c>
      <c r="BF180" s="12">
        <f>Tableau4[[#This Row],[xb_]]+Tableau4[[#This Row],[b_intercept_A]]+Tableau4[[#This Row],[b_dhpcm_x_intercept_A]]*Tableau4[[#This Row],[dhpcm]]</f>
        <v>-1.6349999999999934E-2</v>
      </c>
      <c r="BG180" s="12">
        <f>1/(1+EXP(-Tableau4[[#This Row],[xb_c]]))</f>
        <v>9.2115829790910445E-2</v>
      </c>
      <c r="BH180" s="12">
        <f>1/(1+EXP(-Tableau4[[#This Row],[xb_b]]))</f>
        <v>0.22313840117375064</v>
      </c>
      <c r="BI180" s="12">
        <f>1/(1+EXP(-Tableau4[[#This Row],[xb_a]]))</f>
        <v>0.49591259105429253</v>
      </c>
      <c r="BJ180" s="12">
        <f>Tableau4[[#This Row],[prob_a]]</f>
        <v>0.49591259105429253</v>
      </c>
      <c r="BK180" s="12">
        <f>Tableau4[[#This Row],[prob_b]]-Tableau4[[#This Row],[prob_a]]</f>
        <v>-0.27277418988054192</v>
      </c>
      <c r="BL180" s="12">
        <f>Tableau4[[#This Row],[prob_c]]-Tableau4[[#This Row],[prob_b]]</f>
        <v>-0.13102257138284018</v>
      </c>
      <c r="BM180" s="12">
        <f>1-Tableau4[[#This Row],[prob_c]]</f>
        <v>0.90788417020908951</v>
      </c>
    </row>
    <row r="181" spans="1:65" x14ac:dyDescent="0.25">
      <c r="A181" s="12">
        <v>8</v>
      </c>
      <c r="B181" s="12" t="s">
        <v>16</v>
      </c>
      <c r="C181" s="12">
        <v>2.1</v>
      </c>
      <c r="D181" s="12">
        <v>700</v>
      </c>
      <c r="E181" s="12">
        <v>20</v>
      </c>
      <c r="F181" s="12">
        <v>1</v>
      </c>
      <c r="G181" s="12">
        <v>60</v>
      </c>
      <c r="H181" s="12">
        <v>219</v>
      </c>
      <c r="I181" s="12" t="s">
        <v>22</v>
      </c>
      <c r="J181" s="12" t="s">
        <v>29</v>
      </c>
      <c r="K181" s="12">
        <f>VLOOKUP(Tableau4[[#This Row],[essence]],Tableau6[],2,FALSE)</f>
        <v>-3.5731999999999999</v>
      </c>
      <c r="L181" s="12">
        <f>VLOOKUP(Tableau4[[#This Row],[essence]],Tableau6[],3,FALSE)</f>
        <v>-1.9289000000000001</v>
      </c>
      <c r="M181" s="12">
        <f>VLOOKUP(Tableau4[[#This Row],[essence]],Tableau6[],4,FALSE)</f>
        <v>0.40949999999999998</v>
      </c>
      <c r="N181" s="12">
        <f>VLOOKUP(Tableau4[[#This Row],[essence]],Tableau6[],5,FALSE)</f>
        <v>2.0705</v>
      </c>
      <c r="O181" s="12">
        <f>IF(Tableau4[[#This Row],[priorecol]]="C",1,0)</f>
        <v>0</v>
      </c>
      <c r="P181" s="12">
        <f>VLOOKUP(Tableau4[[#This Row],[essence]],Tableau6[],6,FALSE)</f>
        <v>2.9992999999999999</v>
      </c>
      <c r="Q181" s="12">
        <f>IF(Tableau4[[#This Row],[priorecol]]="R",1,0)</f>
        <v>0</v>
      </c>
      <c r="R181" s="12">
        <f>VLOOKUP(Tableau4[[#This Row],[essence]],Tableau6[],7,FALSE)</f>
        <v>1.3050999999999999</v>
      </c>
      <c r="S181" s="12">
        <f>IF(Tableau4[[#This Row],[priorecol]]="S",1,0)</f>
        <v>1</v>
      </c>
      <c r="T181" s="12">
        <f>VLOOKUP(Tableau4[[#This Row],[essence]],Tableau6[],20,FALSE)</f>
        <v>0</v>
      </c>
      <c r="U181" s="12">
        <f>VLOOKUP(Tableau4[[#This Row],[essence]],Tableau6[],15,FALSE)</f>
        <v>0</v>
      </c>
      <c r="V181" s="12">
        <f>VLOOKUP(Tableau4[[#This Row],[essence]],Tableau6[],28,FALSE)</f>
        <v>0</v>
      </c>
      <c r="W181" s="12">
        <f>IF(Tableau4[[#This Row],[sdom]]=1,1,0)</f>
        <v>0</v>
      </c>
      <c r="X181" s="12">
        <f>VLOOKUP(Tableau4[[#This Row],[essence]],Tableau6[],8,FALSE)</f>
        <v>0</v>
      </c>
      <c r="Y181" s="12">
        <f>IF(Tableau4[[#This Row],[sdom]]="2EST",1,0)</f>
        <v>0</v>
      </c>
      <c r="Z181" s="12">
        <f>VLOOKUP(Tableau4[[#This Row],[essence]],Tableau6[],9,FALSE)</f>
        <v>0</v>
      </c>
      <c r="AA181" s="12">
        <f>IF(Tableau4[[#This Row],[sdom]]="2OUEST",1,0)</f>
        <v>0</v>
      </c>
      <c r="AB181" s="12">
        <f>VLOOKUP(Tableau4[[#This Row],[essence]],Tableau6[],10,FALSE)</f>
        <v>0</v>
      </c>
      <c r="AC181" s="12">
        <f>IF(Tableau4[[#This Row],[sdom]]="3EST",1,0)</f>
        <v>0</v>
      </c>
      <c r="AD181" s="12">
        <f>VLOOKUP(Tableau4[[#This Row],[essence]],Tableau6[],11,FALSE)</f>
        <v>0</v>
      </c>
      <c r="AE181" s="12">
        <f>IF(Tableau4[[#This Row],[sdom]]="3OUEST",1,0)</f>
        <v>0</v>
      </c>
      <c r="AF181" s="12">
        <f>VLOOKUP(Tableau4[[#This Row],[essence]],Tableau6[],12,FALSE)</f>
        <v>0</v>
      </c>
      <c r="AG181" s="12">
        <f>IF(Tableau4[[#This Row],[sdom]]="4EST",1,0)</f>
        <v>0</v>
      </c>
      <c r="AH181" s="12">
        <f>VLOOKUP(Tableau4[[#This Row],[essence]],Tableau6[],13,FALSE)</f>
        <v>0</v>
      </c>
      <c r="AI181" s="12">
        <f>IF(Tableau4[[#This Row],[sdom]]="4OUEST",1,0)</f>
        <v>0</v>
      </c>
      <c r="AJ181" s="12">
        <f>VLOOKUP(Tableau4[[#This Row],[essence]],Tableau6[],14,FALSE)</f>
        <v>0</v>
      </c>
      <c r="AK181" s="12">
        <f>IF(Tableau4[[#This Row],[sdom]]="5EST",1,0)</f>
        <v>1</v>
      </c>
      <c r="AL181" s="12">
        <f>VLOOKUP(Tableau4[[#This Row],[essence]],Tableau6[],17,FALSE)</f>
        <v>0</v>
      </c>
      <c r="AM181" s="12">
        <f>IF(Tableau4[[#This Row],[priorecol]]="C",1,0)</f>
        <v>0</v>
      </c>
      <c r="AN181" s="12">
        <f>VLOOKUP(Tableau4[[#This Row],[essence]],Tableau6[],18,FALSE)</f>
        <v>0</v>
      </c>
      <c r="AO181" s="12">
        <f>IF(Tableau4[[#This Row],[priorecol]]="R",1,0)</f>
        <v>0</v>
      </c>
      <c r="AP181" s="12">
        <f>VLOOKUP(Tableau4[[#This Row],[essence]],Tableau6[],19,FALSE)</f>
        <v>0</v>
      </c>
      <c r="AQ181" s="12">
        <f>IF(Tableau4[[#This Row],[priorecol]]="S",1,0)</f>
        <v>1</v>
      </c>
      <c r="AR181" s="12">
        <f>VLOOKUP(Tableau4[[#This Row],[essence]],Tableau6[],21,FALSE)</f>
        <v>0</v>
      </c>
      <c r="AS181" s="12">
        <f>IF(Tableau4[[#This Row],[priorecol]]="C",1,0)</f>
        <v>0</v>
      </c>
      <c r="AT181" s="12">
        <f>VLOOKUP(Tableau4[[#This Row],[essence]],Tableau6[],22,FALSE)</f>
        <v>0</v>
      </c>
      <c r="AU181" s="12">
        <f>IF(Tableau4[[#This Row],[priorecol]]="R",1,0)</f>
        <v>0</v>
      </c>
      <c r="AV181" s="12">
        <f>VLOOKUP(Tableau4[[#This Row],[essence]],Tableau6[],23,FALSE)</f>
        <v>0</v>
      </c>
      <c r="AW181" s="12">
        <f>IF(Tableau4[[#This Row],[priorecol]]="S",1,0)</f>
        <v>1</v>
      </c>
      <c r="AX181" s="12">
        <f>VLOOKUP(Tableau4[[#This Row],[essence]],Tableau6[],24,FALSE)</f>
        <v>-2.1000000000000001E-4</v>
      </c>
      <c r="AY181" s="12">
        <f>VLOOKUP(Tableau4[[#This Row],[essence]],Tableau6[],25,FALSE)</f>
        <v>-1.34E-2</v>
      </c>
      <c r="AZ181" s="12">
        <f>VLOOKUP(Tableau4[[#This Row],[essence]],Tableau6[],26,FALSE)</f>
        <v>-2.8899999999999999E-2</v>
      </c>
      <c r="BA181" s="12">
        <f>VLOOKUP(Tableau4[[#This Row],[essence]],Tableau6[],27,FALSE)</f>
        <v>0.2873</v>
      </c>
      <c r="BB181" s="12">
        <f>VLOOKUP(Tableau4[[#This Row],[essence]],Tableau6[],16,FALSE)</f>
        <v>0</v>
      </c>
      <c r="BC18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1.9084300000000001</v>
      </c>
      <c r="BD181" s="12">
        <f>Tableau4[[#This Row],[xb_]]+Tableau4[[#This Row],[b_intercept_C]]+Tableau4[[#This Row],[b_dhpcm_x_intercept_C]]*Tableau4[[#This Row],[dhpcm]]</f>
        <v>-4.0111699999999999</v>
      </c>
      <c r="BE181" s="12">
        <f>Tableau4[[#This Row],[xb_]]+Tableau4[[#This Row],[b_intercept_B]]+Tableau4[[#This Row],[b_dhpcm_x_intercept_B]]*Tableau4[[#This Row],[dhpcm]]</f>
        <v>-2.9550700000000001</v>
      </c>
      <c r="BF181" s="12">
        <f>Tableau4[[#This Row],[xb_]]+Tableau4[[#This Row],[b_intercept_A]]+Tableau4[[#This Row],[b_dhpcm_x_intercept_A]]*Tableau4[[#This Row],[dhpcm]]</f>
        <v>-1.7107599999999998</v>
      </c>
      <c r="BG181" s="12">
        <f>1/(1+EXP(-Tableau4[[#This Row],[xb_c]]))</f>
        <v>1.7789976115491178E-2</v>
      </c>
      <c r="BH181" s="12">
        <f>1/(1+EXP(-Tableau4[[#This Row],[xb_b]]))</f>
        <v>4.9497435491848957E-2</v>
      </c>
      <c r="BI181" s="12">
        <f>1/(1+EXP(-Tableau4[[#This Row],[xb_a]]))</f>
        <v>0.15306516625717106</v>
      </c>
      <c r="BJ181" s="12">
        <f>Tableau4[[#This Row],[prob_a]]</f>
        <v>0.15306516625717106</v>
      </c>
      <c r="BK181" s="12">
        <f>Tableau4[[#This Row],[prob_b]]-Tableau4[[#This Row],[prob_a]]</f>
        <v>-0.10356773076532211</v>
      </c>
      <c r="BL181" s="12">
        <f>Tableau4[[#This Row],[prob_c]]-Tableau4[[#This Row],[prob_b]]</f>
        <v>-3.1707459376357779E-2</v>
      </c>
      <c r="BM181" s="12">
        <f>1-Tableau4[[#This Row],[prob_c]]</f>
        <v>0.98221002388450884</v>
      </c>
    </row>
    <row r="182" spans="1:65" x14ac:dyDescent="0.25">
      <c r="A182" s="12">
        <v>8</v>
      </c>
      <c r="B182" s="12" t="s">
        <v>16</v>
      </c>
      <c r="C182" s="12">
        <v>2.1</v>
      </c>
      <c r="D182" s="12">
        <v>700</v>
      </c>
      <c r="E182" s="12">
        <v>20</v>
      </c>
      <c r="F182" s="12">
        <v>1</v>
      </c>
      <c r="G182" s="12">
        <v>61</v>
      </c>
      <c r="H182" s="12">
        <v>220</v>
      </c>
      <c r="I182" s="12" t="s">
        <v>23</v>
      </c>
      <c r="J182" s="12" t="s">
        <v>27</v>
      </c>
      <c r="K182" s="12">
        <f>VLOOKUP(Tableau4[[#This Row],[essence]],Tableau6[],2,FALSE)</f>
        <v>-1.6034999999999999</v>
      </c>
      <c r="L182" s="12">
        <f>VLOOKUP(Tableau4[[#This Row],[essence]],Tableau6[],3,FALSE)</f>
        <v>-0.41120000000000001</v>
      </c>
      <c r="M182" s="12">
        <f>VLOOKUP(Tableau4[[#This Row],[essence]],Tableau6[],4,FALSE)</f>
        <v>1.1791</v>
      </c>
      <c r="N182" s="12">
        <f>VLOOKUP(Tableau4[[#This Row],[essence]],Tableau6[],5,FALSE)</f>
        <v>-0.48980000000000001</v>
      </c>
      <c r="O182" s="12">
        <f>IF(Tableau4[[#This Row],[priorecol]]="C",1,0)</f>
        <v>1</v>
      </c>
      <c r="P182" s="12">
        <f>VLOOKUP(Tableau4[[#This Row],[essence]],Tableau6[],6,FALSE)</f>
        <v>-3.5700000000000003E-2</v>
      </c>
      <c r="Q182" s="12">
        <f>IF(Tableau4[[#This Row],[priorecol]]="R",1,0)</f>
        <v>0</v>
      </c>
      <c r="R182" s="12">
        <f>VLOOKUP(Tableau4[[#This Row],[essence]],Tableau6[],7,FALSE)</f>
        <v>0.1021</v>
      </c>
      <c r="S182" s="12">
        <f>IF(Tableau4[[#This Row],[priorecol]]="S",1,0)</f>
        <v>0</v>
      </c>
      <c r="T182" s="12">
        <f>VLOOKUP(Tableau4[[#This Row],[essence]],Tableau6[],20,FALSE)</f>
        <v>-3.3500000000000002E-2</v>
      </c>
      <c r="U182" s="12">
        <f>VLOOKUP(Tableau4[[#This Row],[essence]],Tableau6[],15,FALSE)</f>
        <v>7.4200000000000004E-3</v>
      </c>
      <c r="V182" s="12">
        <f>VLOOKUP(Tableau4[[#This Row],[essence]],Tableau6[],28,FALSE)</f>
        <v>1.071</v>
      </c>
      <c r="W182" s="12">
        <f>IF(Tableau4[[#This Row],[sdom]]=1,1,0)</f>
        <v>0</v>
      </c>
      <c r="X182" s="12">
        <f>VLOOKUP(Tableau4[[#This Row],[essence]],Tableau6[],8,FALSE)</f>
        <v>0.83450000000000002</v>
      </c>
      <c r="Y182" s="12">
        <f>IF(Tableau4[[#This Row],[sdom]]="2EST",1,0)</f>
        <v>0</v>
      </c>
      <c r="Z182" s="12">
        <f>VLOOKUP(Tableau4[[#This Row],[essence]],Tableau6[],9,FALSE)</f>
        <v>0.94689999999999996</v>
      </c>
      <c r="AA182" s="12">
        <f>IF(Tableau4[[#This Row],[sdom]]="2OUEST",1,0)</f>
        <v>0</v>
      </c>
      <c r="AB182" s="12">
        <f>VLOOKUP(Tableau4[[#This Row],[essence]],Tableau6[],10,FALSE)</f>
        <v>0.62780000000000002</v>
      </c>
      <c r="AC182" s="12">
        <f>IF(Tableau4[[#This Row],[sdom]]="3EST",1,0)</f>
        <v>0</v>
      </c>
      <c r="AD182" s="12">
        <f>VLOOKUP(Tableau4[[#This Row],[essence]],Tableau6[],11,FALSE)</f>
        <v>0.95940000000000003</v>
      </c>
      <c r="AE182" s="12">
        <f>IF(Tableau4[[#This Row],[sdom]]="3OUEST",1,0)</f>
        <v>0</v>
      </c>
      <c r="AF182" s="12">
        <f>VLOOKUP(Tableau4[[#This Row],[essence]],Tableau6[],12,FALSE)</f>
        <v>0.49719999999999998</v>
      </c>
      <c r="AG182" s="12">
        <f>IF(Tableau4[[#This Row],[sdom]]="4EST",1,0)</f>
        <v>0</v>
      </c>
      <c r="AH182" s="12">
        <f>VLOOKUP(Tableau4[[#This Row],[essence]],Tableau6[],13,FALSE)</f>
        <v>0.37669999999999998</v>
      </c>
      <c r="AI182" s="12">
        <f>IF(Tableau4[[#This Row],[sdom]]="4OUEST",1,0)</f>
        <v>0</v>
      </c>
      <c r="AJ182" s="12">
        <f>VLOOKUP(Tableau4[[#This Row],[essence]],Tableau6[],14,FALSE)</f>
        <v>0</v>
      </c>
      <c r="AK182" s="12">
        <f>IF(Tableau4[[#This Row],[sdom]]="5EST",1,0)</f>
        <v>1</v>
      </c>
      <c r="AL182" s="12">
        <f>VLOOKUP(Tableau4[[#This Row],[essence]],Tableau6[],17,FALSE)</f>
        <v>2.8E-3</v>
      </c>
      <c r="AM182" s="12">
        <f>IF(Tableau4[[#This Row],[priorecol]]="C",1,0)</f>
        <v>1</v>
      </c>
      <c r="AN182" s="12">
        <f>VLOOKUP(Tableau4[[#This Row],[essence]],Tableau6[],18,FALSE)</f>
        <v>-2.2499999999999999E-2</v>
      </c>
      <c r="AO182" s="12">
        <f>IF(Tableau4[[#This Row],[priorecol]]="R",1,0)</f>
        <v>0</v>
      </c>
      <c r="AP182" s="12">
        <f>VLOOKUP(Tableau4[[#This Row],[essence]],Tableau6[],19,FALSE)</f>
        <v>3.0699999999999998E-3</v>
      </c>
      <c r="AQ182" s="12">
        <f>IF(Tableau4[[#This Row],[priorecol]]="S",1,0)</f>
        <v>0</v>
      </c>
      <c r="AR182" s="12">
        <f>VLOOKUP(Tableau4[[#This Row],[essence]],Tableau6[],21,FALSE)</f>
        <v>5.2400000000000002E-2</v>
      </c>
      <c r="AS182" s="12">
        <f>IF(Tableau4[[#This Row],[priorecol]]="C",1,0)</f>
        <v>1</v>
      </c>
      <c r="AT182" s="12">
        <f>VLOOKUP(Tableau4[[#This Row],[essence]],Tableau6[],22,FALSE)</f>
        <v>7.7799999999999994E-2</v>
      </c>
      <c r="AU182" s="12">
        <f>IF(Tableau4[[#This Row],[priorecol]]="R",1,0)</f>
        <v>0</v>
      </c>
      <c r="AV182" s="12">
        <f>VLOOKUP(Tableau4[[#This Row],[essence]],Tableau6[],23,FALSE)</f>
        <v>1.9E-2</v>
      </c>
      <c r="AW182" s="12">
        <f>IF(Tableau4[[#This Row],[priorecol]]="S",1,0)</f>
        <v>0</v>
      </c>
      <c r="AX182" s="12">
        <f>VLOOKUP(Tableau4[[#This Row],[essence]],Tableau6[],24,FALSE)</f>
        <v>0</v>
      </c>
      <c r="AY182" s="12">
        <f>VLOOKUP(Tableau4[[#This Row],[essence]],Tableau6[],25,FALSE)</f>
        <v>0</v>
      </c>
      <c r="AZ182" s="12">
        <f>VLOOKUP(Tableau4[[#This Row],[essence]],Tableau6[],26,FALSE)</f>
        <v>0</v>
      </c>
      <c r="BA182" s="12">
        <f>VLOOKUP(Tableau4[[#This Row],[essence]],Tableau6[],27,FALSE)</f>
        <v>0</v>
      </c>
      <c r="BB182" s="12">
        <f>VLOOKUP(Tableau4[[#This Row],[essence]],Tableau6[],16,FALSE)</f>
        <v>0</v>
      </c>
      <c r="BC18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3.8726000000000003</v>
      </c>
      <c r="BD182" s="12">
        <f>Tableau4[[#This Row],[xb_]]+Tableau4[[#This Row],[b_intercept_C]]+Tableau4[[#This Row],[b_dhpcm_x_intercept_C]]*Tableau4[[#This Row],[dhpcm]]</f>
        <v>5.0517000000000003</v>
      </c>
      <c r="BE182" s="12">
        <f>Tableau4[[#This Row],[xb_]]+Tableau4[[#This Row],[b_intercept_B]]+Tableau4[[#This Row],[b_dhpcm_x_intercept_B]]*Tableau4[[#This Row],[dhpcm]]</f>
        <v>3.4614000000000003</v>
      </c>
      <c r="BF182" s="12">
        <f>Tableau4[[#This Row],[xb_]]+Tableau4[[#This Row],[b_intercept_A]]+Tableau4[[#This Row],[b_dhpcm_x_intercept_A]]*Tableau4[[#This Row],[dhpcm]]</f>
        <v>2.2691000000000003</v>
      </c>
      <c r="BG182" s="12">
        <f>1/(1+EXP(-Tableau4[[#This Row],[xb_c]]))</f>
        <v>0.99364223299851373</v>
      </c>
      <c r="BH182" s="12">
        <f>1/(1+EXP(-Tableau4[[#This Row],[xb_b]]))</f>
        <v>0.96956930044217549</v>
      </c>
      <c r="BI182" s="12">
        <f>1/(1+EXP(-Tableau4[[#This Row],[xb_a]]))</f>
        <v>0.90628537673425025</v>
      </c>
      <c r="BJ182" s="12">
        <f>Tableau4[[#This Row],[prob_a]]</f>
        <v>0.90628537673425025</v>
      </c>
      <c r="BK182" s="12">
        <f>Tableau4[[#This Row],[prob_b]]-Tableau4[[#This Row],[prob_a]]</f>
        <v>6.3283923707925238E-2</v>
      </c>
      <c r="BL182" s="12">
        <f>Tableau4[[#This Row],[prob_c]]-Tableau4[[#This Row],[prob_b]]</f>
        <v>2.4072932556338245E-2</v>
      </c>
      <c r="BM182" s="12">
        <f>1-Tableau4[[#This Row],[prob_c]]</f>
        <v>6.3577670014862697E-3</v>
      </c>
    </row>
    <row r="183" spans="1:65" x14ac:dyDescent="0.25">
      <c r="A183" s="12">
        <v>8</v>
      </c>
      <c r="B183" s="12" t="s">
        <v>16</v>
      </c>
      <c r="C183" s="12">
        <v>2.1</v>
      </c>
      <c r="D183" s="12">
        <v>700</v>
      </c>
      <c r="E183" s="12">
        <v>20</v>
      </c>
      <c r="F183" s="12">
        <v>1</v>
      </c>
      <c r="G183" s="12">
        <v>62</v>
      </c>
      <c r="H183" s="12">
        <v>221</v>
      </c>
      <c r="I183" s="12" t="s">
        <v>23</v>
      </c>
      <c r="J183" s="12" t="s">
        <v>28</v>
      </c>
      <c r="K183" s="12">
        <f>VLOOKUP(Tableau4[[#This Row],[essence]],Tableau6[],2,FALSE)</f>
        <v>-1.6034999999999999</v>
      </c>
      <c r="L183" s="12">
        <f>VLOOKUP(Tableau4[[#This Row],[essence]],Tableau6[],3,FALSE)</f>
        <v>-0.41120000000000001</v>
      </c>
      <c r="M183" s="12">
        <f>VLOOKUP(Tableau4[[#This Row],[essence]],Tableau6[],4,FALSE)</f>
        <v>1.1791</v>
      </c>
      <c r="N183" s="12">
        <f>VLOOKUP(Tableau4[[#This Row],[essence]],Tableau6[],5,FALSE)</f>
        <v>-0.48980000000000001</v>
      </c>
      <c r="O183" s="12">
        <f>IF(Tableau4[[#This Row],[priorecol]]="C",1,0)</f>
        <v>0</v>
      </c>
      <c r="P183" s="12">
        <f>VLOOKUP(Tableau4[[#This Row],[essence]],Tableau6[],6,FALSE)</f>
        <v>-3.5700000000000003E-2</v>
      </c>
      <c r="Q183" s="12">
        <f>IF(Tableau4[[#This Row],[priorecol]]="R",1,0)</f>
        <v>1</v>
      </c>
      <c r="R183" s="12">
        <f>VLOOKUP(Tableau4[[#This Row],[essence]],Tableau6[],7,FALSE)</f>
        <v>0.1021</v>
      </c>
      <c r="S183" s="12">
        <f>IF(Tableau4[[#This Row],[priorecol]]="S",1,0)</f>
        <v>0</v>
      </c>
      <c r="T183" s="12">
        <f>VLOOKUP(Tableau4[[#This Row],[essence]],Tableau6[],20,FALSE)</f>
        <v>-3.3500000000000002E-2</v>
      </c>
      <c r="U183" s="12">
        <f>VLOOKUP(Tableau4[[#This Row],[essence]],Tableau6[],15,FALSE)</f>
        <v>7.4200000000000004E-3</v>
      </c>
      <c r="V183" s="12">
        <f>VLOOKUP(Tableau4[[#This Row],[essence]],Tableau6[],28,FALSE)</f>
        <v>1.071</v>
      </c>
      <c r="W183" s="12">
        <f>IF(Tableau4[[#This Row],[sdom]]=1,1,0)</f>
        <v>0</v>
      </c>
      <c r="X183" s="12">
        <f>VLOOKUP(Tableau4[[#This Row],[essence]],Tableau6[],8,FALSE)</f>
        <v>0.83450000000000002</v>
      </c>
      <c r="Y183" s="12">
        <f>IF(Tableau4[[#This Row],[sdom]]="2EST",1,0)</f>
        <v>0</v>
      </c>
      <c r="Z183" s="12">
        <f>VLOOKUP(Tableau4[[#This Row],[essence]],Tableau6[],9,FALSE)</f>
        <v>0.94689999999999996</v>
      </c>
      <c r="AA183" s="12">
        <f>IF(Tableau4[[#This Row],[sdom]]="2OUEST",1,0)</f>
        <v>0</v>
      </c>
      <c r="AB183" s="12">
        <f>VLOOKUP(Tableau4[[#This Row],[essence]],Tableau6[],10,FALSE)</f>
        <v>0.62780000000000002</v>
      </c>
      <c r="AC183" s="12">
        <f>IF(Tableau4[[#This Row],[sdom]]="3EST",1,0)</f>
        <v>0</v>
      </c>
      <c r="AD183" s="12">
        <f>VLOOKUP(Tableau4[[#This Row],[essence]],Tableau6[],11,FALSE)</f>
        <v>0.95940000000000003</v>
      </c>
      <c r="AE183" s="12">
        <f>IF(Tableau4[[#This Row],[sdom]]="3OUEST",1,0)</f>
        <v>0</v>
      </c>
      <c r="AF183" s="12">
        <f>VLOOKUP(Tableau4[[#This Row],[essence]],Tableau6[],12,FALSE)</f>
        <v>0.49719999999999998</v>
      </c>
      <c r="AG183" s="12">
        <f>IF(Tableau4[[#This Row],[sdom]]="4EST",1,0)</f>
        <v>0</v>
      </c>
      <c r="AH183" s="12">
        <f>VLOOKUP(Tableau4[[#This Row],[essence]],Tableau6[],13,FALSE)</f>
        <v>0.37669999999999998</v>
      </c>
      <c r="AI183" s="12">
        <f>IF(Tableau4[[#This Row],[sdom]]="4OUEST",1,0)</f>
        <v>0</v>
      </c>
      <c r="AJ183" s="12">
        <f>VLOOKUP(Tableau4[[#This Row],[essence]],Tableau6[],14,FALSE)</f>
        <v>0</v>
      </c>
      <c r="AK183" s="12">
        <f>IF(Tableau4[[#This Row],[sdom]]="5EST",1,0)</f>
        <v>1</v>
      </c>
      <c r="AL183" s="12">
        <f>VLOOKUP(Tableau4[[#This Row],[essence]],Tableau6[],17,FALSE)</f>
        <v>2.8E-3</v>
      </c>
      <c r="AM183" s="12">
        <f>IF(Tableau4[[#This Row],[priorecol]]="C",1,0)</f>
        <v>0</v>
      </c>
      <c r="AN183" s="12">
        <f>VLOOKUP(Tableau4[[#This Row],[essence]],Tableau6[],18,FALSE)</f>
        <v>-2.2499999999999999E-2</v>
      </c>
      <c r="AO183" s="12">
        <f>IF(Tableau4[[#This Row],[priorecol]]="R",1,0)</f>
        <v>1</v>
      </c>
      <c r="AP183" s="12">
        <f>VLOOKUP(Tableau4[[#This Row],[essence]],Tableau6[],19,FALSE)</f>
        <v>3.0699999999999998E-3</v>
      </c>
      <c r="AQ183" s="12">
        <f>IF(Tableau4[[#This Row],[priorecol]]="S",1,0)</f>
        <v>0</v>
      </c>
      <c r="AR183" s="12">
        <f>VLOOKUP(Tableau4[[#This Row],[essence]],Tableau6[],21,FALSE)</f>
        <v>5.2400000000000002E-2</v>
      </c>
      <c r="AS183" s="12">
        <f>IF(Tableau4[[#This Row],[priorecol]]="C",1,0)</f>
        <v>0</v>
      </c>
      <c r="AT183" s="12">
        <f>VLOOKUP(Tableau4[[#This Row],[essence]],Tableau6[],22,FALSE)</f>
        <v>7.7799999999999994E-2</v>
      </c>
      <c r="AU183" s="12">
        <f>IF(Tableau4[[#This Row],[priorecol]]="R",1,0)</f>
        <v>1</v>
      </c>
      <c r="AV183" s="12">
        <f>VLOOKUP(Tableau4[[#This Row],[essence]],Tableau6[],23,FALSE)</f>
        <v>1.9E-2</v>
      </c>
      <c r="AW183" s="12">
        <f>IF(Tableau4[[#This Row],[priorecol]]="S",1,0)</f>
        <v>0</v>
      </c>
      <c r="AX183" s="12">
        <f>VLOOKUP(Tableau4[[#This Row],[essence]],Tableau6[],24,FALSE)</f>
        <v>0</v>
      </c>
      <c r="AY183" s="12">
        <f>VLOOKUP(Tableau4[[#This Row],[essence]],Tableau6[],25,FALSE)</f>
        <v>0</v>
      </c>
      <c r="AZ183" s="12">
        <f>VLOOKUP(Tableau4[[#This Row],[essence]],Tableau6[],26,FALSE)</f>
        <v>0</v>
      </c>
      <c r="BA183" s="12">
        <f>VLOOKUP(Tableau4[[#This Row],[essence]],Tableau6[],27,FALSE)</f>
        <v>0</v>
      </c>
      <c r="BB183" s="12">
        <f>VLOOKUP(Tableau4[[#This Row],[essence]],Tableau6[],16,FALSE)</f>
        <v>0</v>
      </c>
      <c r="BC18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9.4529999999999994</v>
      </c>
      <c r="BD183" s="12">
        <f>Tableau4[[#This Row],[xb_]]+Tableau4[[#This Row],[b_intercept_C]]+Tableau4[[#This Row],[b_dhpcm_x_intercept_C]]*Tableau4[[#This Row],[dhpcm]]</f>
        <v>10.632099999999999</v>
      </c>
      <c r="BE183" s="12">
        <f>Tableau4[[#This Row],[xb_]]+Tableau4[[#This Row],[b_intercept_B]]+Tableau4[[#This Row],[b_dhpcm_x_intercept_B]]*Tableau4[[#This Row],[dhpcm]]</f>
        <v>9.0417999999999985</v>
      </c>
      <c r="BF183" s="12">
        <f>Tableau4[[#This Row],[xb_]]+Tableau4[[#This Row],[b_intercept_A]]+Tableau4[[#This Row],[b_dhpcm_x_intercept_A]]*Tableau4[[#This Row],[dhpcm]]</f>
        <v>7.849499999999999</v>
      </c>
      <c r="BG183" s="12">
        <f>1/(1+EXP(-Tableau4[[#This Row],[xb_c]]))</f>
        <v>0.99997587167577717</v>
      </c>
      <c r="BH183" s="12">
        <f>1/(1+EXP(-Tableau4[[#This Row],[xb_b]]))</f>
        <v>0.99988165640594562</v>
      </c>
      <c r="BI183" s="12">
        <f>1/(1+EXP(-Tableau4[[#This Row],[xb_a]]))</f>
        <v>0.99961020510634369</v>
      </c>
      <c r="BJ183" s="12">
        <f>Tableau4[[#This Row],[prob_a]]</f>
        <v>0.99961020510634369</v>
      </c>
      <c r="BK183" s="12">
        <f>Tableau4[[#This Row],[prob_b]]-Tableau4[[#This Row],[prob_a]]</f>
        <v>2.7145129960193248E-4</v>
      </c>
      <c r="BL183" s="12">
        <f>Tableau4[[#This Row],[prob_c]]-Tableau4[[#This Row],[prob_b]]</f>
        <v>9.4215269831554593E-5</v>
      </c>
      <c r="BM183" s="12">
        <f>1-Tableau4[[#This Row],[prob_c]]</f>
        <v>2.4128324222827402E-5</v>
      </c>
    </row>
    <row r="184" spans="1:65" x14ac:dyDescent="0.25">
      <c r="A184" s="12">
        <v>8</v>
      </c>
      <c r="B184" s="12" t="s">
        <v>16</v>
      </c>
      <c r="C184" s="12">
        <v>2.1</v>
      </c>
      <c r="D184" s="12">
        <v>700</v>
      </c>
      <c r="E184" s="12">
        <v>20</v>
      </c>
      <c r="F184" s="12">
        <v>1</v>
      </c>
      <c r="G184" s="12">
        <v>63</v>
      </c>
      <c r="H184" s="12">
        <v>222</v>
      </c>
      <c r="I184" s="12" t="s">
        <v>23</v>
      </c>
      <c r="J184" s="12" t="s">
        <v>29</v>
      </c>
      <c r="K184" s="12">
        <f>VLOOKUP(Tableau4[[#This Row],[essence]],Tableau6[],2,FALSE)</f>
        <v>-1.6034999999999999</v>
      </c>
      <c r="L184" s="12">
        <f>VLOOKUP(Tableau4[[#This Row],[essence]],Tableau6[],3,FALSE)</f>
        <v>-0.41120000000000001</v>
      </c>
      <c r="M184" s="12">
        <f>VLOOKUP(Tableau4[[#This Row],[essence]],Tableau6[],4,FALSE)</f>
        <v>1.1791</v>
      </c>
      <c r="N184" s="12">
        <f>VLOOKUP(Tableau4[[#This Row],[essence]],Tableau6[],5,FALSE)</f>
        <v>-0.48980000000000001</v>
      </c>
      <c r="O184" s="12">
        <f>IF(Tableau4[[#This Row],[priorecol]]="C",1,0)</f>
        <v>0</v>
      </c>
      <c r="P184" s="12">
        <f>VLOOKUP(Tableau4[[#This Row],[essence]],Tableau6[],6,FALSE)</f>
        <v>-3.5700000000000003E-2</v>
      </c>
      <c r="Q184" s="12">
        <f>IF(Tableau4[[#This Row],[priorecol]]="R",1,0)</f>
        <v>0</v>
      </c>
      <c r="R184" s="12">
        <f>VLOOKUP(Tableau4[[#This Row],[essence]],Tableau6[],7,FALSE)</f>
        <v>0.1021</v>
      </c>
      <c r="S184" s="12">
        <f>IF(Tableau4[[#This Row],[priorecol]]="S",1,0)</f>
        <v>1</v>
      </c>
      <c r="T184" s="12">
        <f>VLOOKUP(Tableau4[[#This Row],[essence]],Tableau6[],20,FALSE)</f>
        <v>-3.3500000000000002E-2</v>
      </c>
      <c r="U184" s="12">
        <f>VLOOKUP(Tableau4[[#This Row],[essence]],Tableau6[],15,FALSE)</f>
        <v>7.4200000000000004E-3</v>
      </c>
      <c r="V184" s="12">
        <f>VLOOKUP(Tableau4[[#This Row],[essence]],Tableau6[],28,FALSE)</f>
        <v>1.071</v>
      </c>
      <c r="W184" s="12">
        <f>IF(Tableau4[[#This Row],[sdom]]=1,1,0)</f>
        <v>0</v>
      </c>
      <c r="X184" s="12">
        <f>VLOOKUP(Tableau4[[#This Row],[essence]],Tableau6[],8,FALSE)</f>
        <v>0.83450000000000002</v>
      </c>
      <c r="Y184" s="12">
        <f>IF(Tableau4[[#This Row],[sdom]]="2EST",1,0)</f>
        <v>0</v>
      </c>
      <c r="Z184" s="12">
        <f>VLOOKUP(Tableau4[[#This Row],[essence]],Tableau6[],9,FALSE)</f>
        <v>0.94689999999999996</v>
      </c>
      <c r="AA184" s="12">
        <f>IF(Tableau4[[#This Row],[sdom]]="2OUEST",1,0)</f>
        <v>0</v>
      </c>
      <c r="AB184" s="12">
        <f>VLOOKUP(Tableau4[[#This Row],[essence]],Tableau6[],10,FALSE)</f>
        <v>0.62780000000000002</v>
      </c>
      <c r="AC184" s="12">
        <f>IF(Tableau4[[#This Row],[sdom]]="3EST",1,0)</f>
        <v>0</v>
      </c>
      <c r="AD184" s="12">
        <f>VLOOKUP(Tableau4[[#This Row],[essence]],Tableau6[],11,FALSE)</f>
        <v>0.95940000000000003</v>
      </c>
      <c r="AE184" s="12">
        <f>IF(Tableau4[[#This Row],[sdom]]="3OUEST",1,0)</f>
        <v>0</v>
      </c>
      <c r="AF184" s="12">
        <f>VLOOKUP(Tableau4[[#This Row],[essence]],Tableau6[],12,FALSE)</f>
        <v>0.49719999999999998</v>
      </c>
      <c r="AG184" s="12">
        <f>IF(Tableau4[[#This Row],[sdom]]="4EST",1,0)</f>
        <v>0</v>
      </c>
      <c r="AH184" s="12">
        <f>VLOOKUP(Tableau4[[#This Row],[essence]],Tableau6[],13,FALSE)</f>
        <v>0.37669999999999998</v>
      </c>
      <c r="AI184" s="12">
        <f>IF(Tableau4[[#This Row],[sdom]]="4OUEST",1,0)</f>
        <v>0</v>
      </c>
      <c r="AJ184" s="12">
        <f>VLOOKUP(Tableau4[[#This Row],[essence]],Tableau6[],14,FALSE)</f>
        <v>0</v>
      </c>
      <c r="AK184" s="12">
        <f>IF(Tableau4[[#This Row],[sdom]]="5EST",1,0)</f>
        <v>1</v>
      </c>
      <c r="AL184" s="12">
        <f>VLOOKUP(Tableau4[[#This Row],[essence]],Tableau6[],17,FALSE)</f>
        <v>2.8E-3</v>
      </c>
      <c r="AM184" s="12">
        <f>IF(Tableau4[[#This Row],[priorecol]]="C",1,0)</f>
        <v>0</v>
      </c>
      <c r="AN184" s="12">
        <f>VLOOKUP(Tableau4[[#This Row],[essence]],Tableau6[],18,FALSE)</f>
        <v>-2.2499999999999999E-2</v>
      </c>
      <c r="AO184" s="12">
        <f>IF(Tableau4[[#This Row],[priorecol]]="R",1,0)</f>
        <v>0</v>
      </c>
      <c r="AP184" s="12">
        <f>VLOOKUP(Tableau4[[#This Row],[essence]],Tableau6[],19,FALSE)</f>
        <v>3.0699999999999998E-3</v>
      </c>
      <c r="AQ184" s="12">
        <f>IF(Tableau4[[#This Row],[priorecol]]="S",1,0)</f>
        <v>1</v>
      </c>
      <c r="AR184" s="12">
        <f>VLOOKUP(Tableau4[[#This Row],[essence]],Tableau6[],21,FALSE)</f>
        <v>5.2400000000000002E-2</v>
      </c>
      <c r="AS184" s="12">
        <f>IF(Tableau4[[#This Row],[priorecol]]="C",1,0)</f>
        <v>0</v>
      </c>
      <c r="AT184" s="12">
        <f>VLOOKUP(Tableau4[[#This Row],[essence]],Tableau6[],22,FALSE)</f>
        <v>7.7799999999999994E-2</v>
      </c>
      <c r="AU184" s="12">
        <f>IF(Tableau4[[#This Row],[priorecol]]="R",1,0)</f>
        <v>0</v>
      </c>
      <c r="AV184" s="12">
        <f>VLOOKUP(Tableau4[[#This Row],[essence]],Tableau6[],23,FALSE)</f>
        <v>1.9E-2</v>
      </c>
      <c r="AW184" s="12">
        <f>IF(Tableau4[[#This Row],[priorecol]]="S",1,0)</f>
        <v>1</v>
      </c>
      <c r="AX184" s="12">
        <f>VLOOKUP(Tableau4[[#This Row],[essence]],Tableau6[],24,FALSE)</f>
        <v>0</v>
      </c>
      <c r="AY184" s="12">
        <f>VLOOKUP(Tableau4[[#This Row],[essence]],Tableau6[],25,FALSE)</f>
        <v>0</v>
      </c>
      <c r="AZ184" s="12">
        <f>VLOOKUP(Tableau4[[#This Row],[essence]],Tableau6[],26,FALSE)</f>
        <v>0</v>
      </c>
      <c r="BA184" s="12">
        <f>VLOOKUP(Tableau4[[#This Row],[essence]],Tableau6[],27,FALSE)</f>
        <v>0</v>
      </c>
      <c r="BB184" s="12">
        <f>VLOOKUP(Tableau4[[#This Row],[essence]],Tableau6[],16,FALSE)</f>
        <v>0</v>
      </c>
      <c r="BC184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-2.9071000000000007</v>
      </c>
      <c r="BD184" s="12">
        <f>Tableau4[[#This Row],[xb_]]+Tableau4[[#This Row],[b_intercept_C]]+Tableau4[[#This Row],[b_dhpcm_x_intercept_C]]*Tableau4[[#This Row],[dhpcm]]</f>
        <v>-1.7280000000000006</v>
      </c>
      <c r="BE184" s="12">
        <f>Tableau4[[#This Row],[xb_]]+Tableau4[[#This Row],[b_intercept_B]]+Tableau4[[#This Row],[b_dhpcm_x_intercept_B]]*Tableau4[[#This Row],[dhpcm]]</f>
        <v>-3.3183000000000007</v>
      </c>
      <c r="BF184" s="12">
        <f>Tableau4[[#This Row],[xb_]]+Tableau4[[#This Row],[b_intercept_A]]+Tableau4[[#This Row],[b_dhpcm_x_intercept_A]]*Tableau4[[#This Row],[dhpcm]]</f>
        <v>-4.5106000000000002</v>
      </c>
      <c r="BG184" s="12">
        <f>1/(1+EXP(-Tableau4[[#This Row],[xb_c]]))</f>
        <v>0.1508435804813277</v>
      </c>
      <c r="BH184" s="12">
        <f>1/(1+EXP(-Tableau4[[#This Row],[xb_b]]))</f>
        <v>3.4948699613958051E-2</v>
      </c>
      <c r="BI184" s="12">
        <f>1/(1+EXP(-Tableau4[[#This Row],[xb_a]]))</f>
        <v>1.0872355634546898E-2</v>
      </c>
      <c r="BJ184" s="12">
        <f>Tableau4[[#This Row],[prob_a]]</f>
        <v>1.0872355634546898E-2</v>
      </c>
      <c r="BK184" s="12">
        <f>Tableau4[[#This Row],[prob_b]]-Tableau4[[#This Row],[prob_a]]</f>
        <v>2.4076343979411153E-2</v>
      </c>
      <c r="BL184" s="12">
        <f>Tableau4[[#This Row],[prob_c]]-Tableau4[[#This Row],[prob_b]]</f>
        <v>0.11589488086736965</v>
      </c>
      <c r="BM184" s="12">
        <f>1-Tableau4[[#This Row],[prob_c]]</f>
        <v>0.84915641951867227</v>
      </c>
    </row>
    <row r="185" spans="1:65" x14ac:dyDescent="0.25">
      <c r="A185" s="12">
        <v>8</v>
      </c>
      <c r="B185" s="12" t="s">
        <v>16</v>
      </c>
      <c r="C185" s="12">
        <v>2.1</v>
      </c>
      <c r="D185" s="12">
        <v>700</v>
      </c>
      <c r="E185" s="12">
        <v>20</v>
      </c>
      <c r="F185" s="12">
        <v>1</v>
      </c>
      <c r="G185" s="12">
        <v>64</v>
      </c>
      <c r="H185" s="12">
        <v>223</v>
      </c>
      <c r="I185" s="12" t="s">
        <v>24</v>
      </c>
      <c r="J185" s="12" t="s">
        <v>27</v>
      </c>
      <c r="K185" s="12">
        <f>VLOOKUP(Tableau4[[#This Row],[essence]],Tableau6[],2,FALSE)</f>
        <v>0.5262</v>
      </c>
      <c r="L185" s="12">
        <f>VLOOKUP(Tableau4[[#This Row],[essence]],Tableau6[],3,FALSE)</f>
        <v>1.3954</v>
      </c>
      <c r="M185" s="12">
        <f>VLOOKUP(Tableau4[[#This Row],[essence]],Tableau6[],4,FALSE)</f>
        <v>2.8633000000000002</v>
      </c>
      <c r="N185" s="12">
        <f>VLOOKUP(Tableau4[[#This Row],[essence]],Tableau6[],5,FALSE)</f>
        <v>1.4995000000000001</v>
      </c>
      <c r="O185" s="12">
        <f>IF(Tableau4[[#This Row],[priorecol]]="C",1,0)</f>
        <v>1</v>
      </c>
      <c r="P185" s="12">
        <f>VLOOKUP(Tableau4[[#This Row],[essence]],Tableau6[],6,FALSE)</f>
        <v>2.5129000000000001</v>
      </c>
      <c r="Q185" s="12">
        <f>IF(Tableau4[[#This Row],[priorecol]]="R",1,0)</f>
        <v>0</v>
      </c>
      <c r="R185" s="12">
        <f>VLOOKUP(Tableau4[[#This Row],[essence]],Tableau6[],7,FALSE)</f>
        <v>0.88009999999999999</v>
      </c>
      <c r="S185" s="12">
        <f>IF(Tableau4[[#This Row],[priorecol]]="S",1,0)</f>
        <v>0</v>
      </c>
      <c r="T185" s="12">
        <f>VLOOKUP(Tableau4[[#This Row],[essence]],Tableau6[],20,FALSE)</f>
        <v>0</v>
      </c>
      <c r="U185" s="12">
        <f>VLOOKUP(Tableau4[[#This Row],[essence]],Tableau6[],15,FALSE)</f>
        <v>2.9000000000000001E-2</v>
      </c>
      <c r="V185" s="12">
        <f>VLOOKUP(Tableau4[[#This Row],[essence]],Tableau6[],28,FALSE)</f>
        <v>-0.43919999999999998</v>
      </c>
      <c r="W185" s="12">
        <f>IF(Tableau4[[#This Row],[sdom]]=1,1,0)</f>
        <v>0</v>
      </c>
      <c r="X185" s="12">
        <f>VLOOKUP(Tableau4[[#This Row],[essence]],Tableau6[],8,FALSE)</f>
        <v>-0.32929999999999998</v>
      </c>
      <c r="Y185" s="12">
        <f>IF(Tableau4[[#This Row],[sdom]]="2EST",1,0)</f>
        <v>0</v>
      </c>
      <c r="Z185" s="12">
        <f>VLOOKUP(Tableau4[[#This Row],[essence]],Tableau6[],9,FALSE)</f>
        <v>0</v>
      </c>
      <c r="AA185" s="12">
        <f>IF(Tableau4[[#This Row],[sdom]]="2OUEST",1,0)</f>
        <v>0</v>
      </c>
      <c r="AB185" s="12">
        <f>VLOOKUP(Tableau4[[#This Row],[essence]],Tableau6[],10,FALSE)</f>
        <v>0</v>
      </c>
      <c r="AC185" s="12">
        <f>IF(Tableau4[[#This Row],[sdom]]="3EST",1,0)</f>
        <v>0</v>
      </c>
      <c r="AD185" s="12">
        <f>VLOOKUP(Tableau4[[#This Row],[essence]],Tableau6[],11,FALSE)</f>
        <v>0</v>
      </c>
      <c r="AE185" s="12">
        <f>IF(Tableau4[[#This Row],[sdom]]="3OUEST",1,0)</f>
        <v>0</v>
      </c>
      <c r="AF185" s="12">
        <f>VLOOKUP(Tableau4[[#This Row],[essence]],Tableau6[],12,FALSE)</f>
        <v>0</v>
      </c>
      <c r="AG185" s="12">
        <f>IF(Tableau4[[#This Row],[sdom]]="4EST",1,0)</f>
        <v>0</v>
      </c>
      <c r="AH185" s="12">
        <f>VLOOKUP(Tableau4[[#This Row],[essence]],Tableau6[],13,FALSE)</f>
        <v>0</v>
      </c>
      <c r="AI185" s="12">
        <f>IF(Tableau4[[#This Row],[sdom]]="4OUEST",1,0)</f>
        <v>0</v>
      </c>
      <c r="AJ185" s="12">
        <f>VLOOKUP(Tableau4[[#This Row],[essence]],Tableau6[],14,FALSE)</f>
        <v>0</v>
      </c>
      <c r="AK185" s="12">
        <f>IF(Tableau4[[#This Row],[sdom]]="5EST",1,0)</f>
        <v>1</v>
      </c>
      <c r="AL185" s="12">
        <f>VLOOKUP(Tableau4[[#This Row],[essence]],Tableau6[],17,FALSE)</f>
        <v>0</v>
      </c>
      <c r="AM185" s="12">
        <f>IF(Tableau4[[#This Row],[priorecol]]="C",1,0)</f>
        <v>1</v>
      </c>
      <c r="AN185" s="12">
        <f>VLOOKUP(Tableau4[[#This Row],[essence]],Tableau6[],18,FALSE)</f>
        <v>0</v>
      </c>
      <c r="AO185" s="12">
        <f>IF(Tableau4[[#This Row],[priorecol]]="R",1,0)</f>
        <v>0</v>
      </c>
      <c r="AP185" s="12">
        <f>VLOOKUP(Tableau4[[#This Row],[essence]],Tableau6[],19,FALSE)</f>
        <v>0</v>
      </c>
      <c r="AQ185" s="12">
        <f>IF(Tableau4[[#This Row],[priorecol]]="S",1,0)</f>
        <v>0</v>
      </c>
      <c r="AR185" s="12">
        <f>VLOOKUP(Tableau4[[#This Row],[essence]],Tableau6[],21,FALSE)</f>
        <v>0</v>
      </c>
      <c r="AS185" s="12">
        <f>IF(Tableau4[[#This Row],[priorecol]]="C",1,0)</f>
        <v>1</v>
      </c>
      <c r="AT185" s="12">
        <f>VLOOKUP(Tableau4[[#This Row],[essence]],Tableau6[],22,FALSE)</f>
        <v>0</v>
      </c>
      <c r="AU185" s="12">
        <f>IF(Tableau4[[#This Row],[priorecol]]="R",1,0)</f>
        <v>0</v>
      </c>
      <c r="AV185" s="12">
        <f>VLOOKUP(Tableau4[[#This Row],[essence]],Tableau6[],23,FALSE)</f>
        <v>0</v>
      </c>
      <c r="AW185" s="12">
        <f>IF(Tableau4[[#This Row],[priorecol]]="S",1,0)</f>
        <v>0</v>
      </c>
      <c r="AX185" s="12">
        <f>VLOOKUP(Tableau4[[#This Row],[essence]],Tableau6[],24,FALSE)</f>
        <v>0</v>
      </c>
      <c r="AY185" s="12">
        <f>VLOOKUP(Tableau4[[#This Row],[essence]],Tableau6[],25,FALSE)</f>
        <v>0</v>
      </c>
      <c r="AZ185" s="12">
        <f>VLOOKUP(Tableau4[[#This Row],[essence]],Tableau6[],26,FALSE)</f>
        <v>0</v>
      </c>
      <c r="BA185" s="12">
        <f>VLOOKUP(Tableau4[[#This Row],[essence]],Tableau6[],27,FALSE)</f>
        <v>0</v>
      </c>
      <c r="BB185" s="12">
        <f>VLOOKUP(Tableau4[[#This Row],[essence]],Tableau6[],16,FALSE)</f>
        <v>-2.0699999999999998E-3</v>
      </c>
      <c r="BC185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0.6305000000000005</v>
      </c>
      <c r="BD185" s="12">
        <f>Tableau4[[#This Row],[xb_]]+Tableau4[[#This Row],[b_intercept_C]]+Tableau4[[#This Row],[b_dhpcm_x_intercept_C]]*Tableau4[[#This Row],[dhpcm]]</f>
        <v>3.4938000000000007</v>
      </c>
      <c r="BE185" s="12">
        <f>Tableau4[[#This Row],[xb_]]+Tableau4[[#This Row],[b_intercept_B]]+Tableau4[[#This Row],[b_dhpcm_x_intercept_B]]*Tableau4[[#This Row],[dhpcm]]</f>
        <v>2.0259000000000005</v>
      </c>
      <c r="BF185" s="12">
        <f>Tableau4[[#This Row],[xb_]]+Tableau4[[#This Row],[b_intercept_A]]+Tableau4[[#This Row],[b_dhpcm_x_intercept_A]]*Tableau4[[#This Row],[dhpcm]]</f>
        <v>1.1567000000000005</v>
      </c>
      <c r="BG185" s="12">
        <f>1/(1+EXP(-Tableau4[[#This Row],[xb_c]]))</f>
        <v>0.97051084475492644</v>
      </c>
      <c r="BH185" s="12">
        <f>1/(1+EXP(-Tableau4[[#This Row],[xb_b]]))</f>
        <v>0.88348970489981093</v>
      </c>
      <c r="BI185" s="12">
        <f>1/(1+EXP(-Tableau4[[#This Row],[xb_a]]))</f>
        <v>0.76073257062428778</v>
      </c>
      <c r="BJ185" s="12">
        <f>Tableau4[[#This Row],[prob_a]]</f>
        <v>0.76073257062428778</v>
      </c>
      <c r="BK185" s="12">
        <f>Tableau4[[#This Row],[prob_b]]-Tableau4[[#This Row],[prob_a]]</f>
        <v>0.12275713427552315</v>
      </c>
      <c r="BL185" s="12">
        <f>Tableau4[[#This Row],[prob_c]]-Tableau4[[#This Row],[prob_b]]</f>
        <v>8.7021139855115504E-2</v>
      </c>
      <c r="BM185" s="12">
        <f>1-Tableau4[[#This Row],[prob_c]]</f>
        <v>2.9489155245073562E-2</v>
      </c>
    </row>
    <row r="186" spans="1:65" x14ac:dyDescent="0.25">
      <c r="A186" s="12">
        <v>8</v>
      </c>
      <c r="B186" s="12" t="s">
        <v>16</v>
      </c>
      <c r="C186" s="12">
        <v>2.1</v>
      </c>
      <c r="D186" s="12">
        <v>700</v>
      </c>
      <c r="E186" s="12">
        <v>20</v>
      </c>
      <c r="F186" s="12">
        <v>1</v>
      </c>
      <c r="G186" s="12">
        <v>65</v>
      </c>
      <c r="H186" s="12">
        <v>224</v>
      </c>
      <c r="I186" s="12" t="s">
        <v>24</v>
      </c>
      <c r="J186" s="12" t="s">
        <v>28</v>
      </c>
      <c r="K186" s="12">
        <f>VLOOKUP(Tableau4[[#This Row],[essence]],Tableau6[],2,FALSE)</f>
        <v>0.5262</v>
      </c>
      <c r="L186" s="12">
        <f>VLOOKUP(Tableau4[[#This Row],[essence]],Tableau6[],3,FALSE)</f>
        <v>1.3954</v>
      </c>
      <c r="M186" s="12">
        <f>VLOOKUP(Tableau4[[#This Row],[essence]],Tableau6[],4,FALSE)</f>
        <v>2.8633000000000002</v>
      </c>
      <c r="N186" s="12">
        <f>VLOOKUP(Tableau4[[#This Row],[essence]],Tableau6[],5,FALSE)</f>
        <v>1.4995000000000001</v>
      </c>
      <c r="O186" s="12">
        <f>IF(Tableau4[[#This Row],[priorecol]]="C",1,0)</f>
        <v>0</v>
      </c>
      <c r="P186" s="12">
        <f>VLOOKUP(Tableau4[[#This Row],[essence]],Tableau6[],6,FALSE)</f>
        <v>2.5129000000000001</v>
      </c>
      <c r="Q186" s="12">
        <f>IF(Tableau4[[#This Row],[priorecol]]="R",1,0)</f>
        <v>1</v>
      </c>
      <c r="R186" s="12">
        <f>VLOOKUP(Tableau4[[#This Row],[essence]],Tableau6[],7,FALSE)</f>
        <v>0.88009999999999999</v>
      </c>
      <c r="S186" s="12">
        <f>IF(Tableau4[[#This Row],[priorecol]]="S",1,0)</f>
        <v>0</v>
      </c>
      <c r="T186" s="12">
        <f>VLOOKUP(Tableau4[[#This Row],[essence]],Tableau6[],20,FALSE)</f>
        <v>0</v>
      </c>
      <c r="U186" s="12">
        <f>VLOOKUP(Tableau4[[#This Row],[essence]],Tableau6[],15,FALSE)</f>
        <v>2.9000000000000001E-2</v>
      </c>
      <c r="V186" s="12">
        <f>VLOOKUP(Tableau4[[#This Row],[essence]],Tableau6[],28,FALSE)</f>
        <v>-0.43919999999999998</v>
      </c>
      <c r="W186" s="12">
        <f>IF(Tableau4[[#This Row],[sdom]]=1,1,0)</f>
        <v>0</v>
      </c>
      <c r="X186" s="12">
        <f>VLOOKUP(Tableau4[[#This Row],[essence]],Tableau6[],8,FALSE)</f>
        <v>-0.32929999999999998</v>
      </c>
      <c r="Y186" s="12">
        <f>IF(Tableau4[[#This Row],[sdom]]="2EST",1,0)</f>
        <v>0</v>
      </c>
      <c r="Z186" s="12">
        <f>VLOOKUP(Tableau4[[#This Row],[essence]],Tableau6[],9,FALSE)</f>
        <v>0</v>
      </c>
      <c r="AA186" s="12">
        <f>IF(Tableau4[[#This Row],[sdom]]="2OUEST",1,0)</f>
        <v>0</v>
      </c>
      <c r="AB186" s="12">
        <f>VLOOKUP(Tableau4[[#This Row],[essence]],Tableau6[],10,FALSE)</f>
        <v>0</v>
      </c>
      <c r="AC186" s="12">
        <f>IF(Tableau4[[#This Row],[sdom]]="3EST",1,0)</f>
        <v>0</v>
      </c>
      <c r="AD186" s="12">
        <f>VLOOKUP(Tableau4[[#This Row],[essence]],Tableau6[],11,FALSE)</f>
        <v>0</v>
      </c>
      <c r="AE186" s="12">
        <f>IF(Tableau4[[#This Row],[sdom]]="3OUEST",1,0)</f>
        <v>0</v>
      </c>
      <c r="AF186" s="12">
        <f>VLOOKUP(Tableau4[[#This Row],[essence]],Tableau6[],12,FALSE)</f>
        <v>0</v>
      </c>
      <c r="AG186" s="12">
        <f>IF(Tableau4[[#This Row],[sdom]]="4EST",1,0)</f>
        <v>0</v>
      </c>
      <c r="AH186" s="12">
        <f>VLOOKUP(Tableau4[[#This Row],[essence]],Tableau6[],13,FALSE)</f>
        <v>0</v>
      </c>
      <c r="AI186" s="12">
        <f>IF(Tableau4[[#This Row],[sdom]]="4OUEST",1,0)</f>
        <v>0</v>
      </c>
      <c r="AJ186" s="12">
        <f>VLOOKUP(Tableau4[[#This Row],[essence]],Tableau6[],14,FALSE)</f>
        <v>0</v>
      </c>
      <c r="AK186" s="12">
        <f>IF(Tableau4[[#This Row],[sdom]]="5EST",1,0)</f>
        <v>1</v>
      </c>
      <c r="AL186" s="12">
        <f>VLOOKUP(Tableau4[[#This Row],[essence]],Tableau6[],17,FALSE)</f>
        <v>0</v>
      </c>
      <c r="AM186" s="12">
        <f>IF(Tableau4[[#This Row],[priorecol]]="C",1,0)</f>
        <v>0</v>
      </c>
      <c r="AN186" s="12">
        <f>VLOOKUP(Tableau4[[#This Row],[essence]],Tableau6[],18,FALSE)</f>
        <v>0</v>
      </c>
      <c r="AO186" s="12">
        <f>IF(Tableau4[[#This Row],[priorecol]]="R",1,0)</f>
        <v>1</v>
      </c>
      <c r="AP186" s="12">
        <f>VLOOKUP(Tableau4[[#This Row],[essence]],Tableau6[],19,FALSE)</f>
        <v>0</v>
      </c>
      <c r="AQ186" s="12">
        <f>IF(Tableau4[[#This Row],[priorecol]]="S",1,0)</f>
        <v>0</v>
      </c>
      <c r="AR186" s="12">
        <f>VLOOKUP(Tableau4[[#This Row],[essence]],Tableau6[],21,FALSE)</f>
        <v>0</v>
      </c>
      <c r="AS186" s="12">
        <f>IF(Tableau4[[#This Row],[priorecol]]="C",1,0)</f>
        <v>0</v>
      </c>
      <c r="AT186" s="12">
        <f>VLOOKUP(Tableau4[[#This Row],[essence]],Tableau6[],22,FALSE)</f>
        <v>0</v>
      </c>
      <c r="AU186" s="12">
        <f>IF(Tableau4[[#This Row],[priorecol]]="R",1,0)</f>
        <v>1</v>
      </c>
      <c r="AV186" s="12">
        <f>VLOOKUP(Tableau4[[#This Row],[essence]],Tableau6[],23,FALSE)</f>
        <v>0</v>
      </c>
      <c r="AW186" s="12">
        <f>IF(Tableau4[[#This Row],[priorecol]]="S",1,0)</f>
        <v>0</v>
      </c>
      <c r="AX186" s="12">
        <f>VLOOKUP(Tableau4[[#This Row],[essence]],Tableau6[],24,FALSE)</f>
        <v>0</v>
      </c>
      <c r="AY186" s="12">
        <f>VLOOKUP(Tableau4[[#This Row],[essence]],Tableau6[],25,FALSE)</f>
        <v>0</v>
      </c>
      <c r="AZ186" s="12">
        <f>VLOOKUP(Tableau4[[#This Row],[essence]],Tableau6[],26,FALSE)</f>
        <v>0</v>
      </c>
      <c r="BA186" s="12">
        <f>VLOOKUP(Tableau4[[#This Row],[essence]],Tableau6[],27,FALSE)</f>
        <v>0</v>
      </c>
      <c r="BB186" s="12">
        <f>VLOOKUP(Tableau4[[#This Row],[essence]],Tableau6[],16,FALSE)</f>
        <v>-2.0699999999999998E-3</v>
      </c>
      <c r="BC186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1.6439000000000004</v>
      </c>
      <c r="BD186" s="12">
        <f>Tableau4[[#This Row],[xb_]]+Tableau4[[#This Row],[b_intercept_C]]+Tableau4[[#This Row],[b_dhpcm_x_intercept_C]]*Tableau4[[#This Row],[dhpcm]]</f>
        <v>4.507200000000001</v>
      </c>
      <c r="BE186" s="12">
        <f>Tableau4[[#This Row],[xb_]]+Tableau4[[#This Row],[b_intercept_B]]+Tableau4[[#This Row],[b_dhpcm_x_intercept_B]]*Tableau4[[#This Row],[dhpcm]]</f>
        <v>3.0393000000000003</v>
      </c>
      <c r="BF186" s="12">
        <f>Tableau4[[#This Row],[xb_]]+Tableau4[[#This Row],[b_intercept_A]]+Tableau4[[#This Row],[b_dhpcm_x_intercept_A]]*Tableau4[[#This Row],[dhpcm]]</f>
        <v>2.1701000000000006</v>
      </c>
      <c r="BG186" s="12">
        <f>1/(1+EXP(-Tableau4[[#This Row],[xb_c]]))</f>
        <v>0.9890910193905974</v>
      </c>
      <c r="BH186" s="12">
        <f>1/(1+EXP(-Tableau4[[#This Row],[xb_b]]))</f>
        <v>0.95431832251535009</v>
      </c>
      <c r="BI186" s="12">
        <f>1/(1+EXP(-Tableau4[[#This Row],[xb_a]]))</f>
        <v>0.89753216373939204</v>
      </c>
      <c r="BJ186" s="12">
        <f>Tableau4[[#This Row],[prob_a]]</f>
        <v>0.89753216373939204</v>
      </c>
      <c r="BK186" s="12">
        <f>Tableau4[[#This Row],[prob_b]]-Tableau4[[#This Row],[prob_a]]</f>
        <v>5.6786158775958051E-2</v>
      </c>
      <c r="BL186" s="12">
        <f>Tableau4[[#This Row],[prob_c]]-Tableau4[[#This Row],[prob_b]]</f>
        <v>3.4772696875247311E-2</v>
      </c>
      <c r="BM186" s="12">
        <f>1-Tableau4[[#This Row],[prob_c]]</f>
        <v>1.0908980609402597E-2</v>
      </c>
    </row>
    <row r="187" spans="1:65" x14ac:dyDescent="0.25">
      <c r="A187" s="12">
        <v>8</v>
      </c>
      <c r="B187" s="12" t="s">
        <v>16</v>
      </c>
      <c r="C187" s="12">
        <v>2.1</v>
      </c>
      <c r="D187" s="12">
        <v>700</v>
      </c>
      <c r="E187" s="12">
        <v>20</v>
      </c>
      <c r="F187" s="12">
        <v>1</v>
      </c>
      <c r="G187" s="12">
        <v>66</v>
      </c>
      <c r="H187" s="12">
        <v>225</v>
      </c>
      <c r="I187" s="12" t="s">
        <v>24</v>
      </c>
      <c r="J187" s="12" t="s">
        <v>29</v>
      </c>
      <c r="K187" s="12">
        <f>VLOOKUP(Tableau4[[#This Row],[essence]],Tableau6[],2,FALSE)</f>
        <v>0.5262</v>
      </c>
      <c r="L187" s="12">
        <f>VLOOKUP(Tableau4[[#This Row],[essence]],Tableau6[],3,FALSE)</f>
        <v>1.3954</v>
      </c>
      <c r="M187" s="12">
        <f>VLOOKUP(Tableau4[[#This Row],[essence]],Tableau6[],4,FALSE)</f>
        <v>2.8633000000000002</v>
      </c>
      <c r="N187" s="12">
        <f>VLOOKUP(Tableau4[[#This Row],[essence]],Tableau6[],5,FALSE)</f>
        <v>1.4995000000000001</v>
      </c>
      <c r="O187" s="12">
        <f>IF(Tableau4[[#This Row],[priorecol]]="C",1,0)</f>
        <v>0</v>
      </c>
      <c r="P187" s="12">
        <f>VLOOKUP(Tableau4[[#This Row],[essence]],Tableau6[],6,FALSE)</f>
        <v>2.5129000000000001</v>
      </c>
      <c r="Q187" s="12">
        <f>IF(Tableau4[[#This Row],[priorecol]]="R",1,0)</f>
        <v>0</v>
      </c>
      <c r="R187" s="12">
        <f>VLOOKUP(Tableau4[[#This Row],[essence]],Tableau6[],7,FALSE)</f>
        <v>0.88009999999999999</v>
      </c>
      <c r="S187" s="12">
        <f>IF(Tableau4[[#This Row],[priorecol]]="S",1,0)</f>
        <v>1</v>
      </c>
      <c r="T187" s="12">
        <f>VLOOKUP(Tableau4[[#This Row],[essence]],Tableau6[],20,FALSE)</f>
        <v>0</v>
      </c>
      <c r="U187" s="12">
        <f>VLOOKUP(Tableau4[[#This Row],[essence]],Tableau6[],15,FALSE)</f>
        <v>2.9000000000000001E-2</v>
      </c>
      <c r="V187" s="12">
        <f>VLOOKUP(Tableau4[[#This Row],[essence]],Tableau6[],28,FALSE)</f>
        <v>-0.43919999999999998</v>
      </c>
      <c r="W187" s="12">
        <f>IF(Tableau4[[#This Row],[sdom]]=1,1,0)</f>
        <v>0</v>
      </c>
      <c r="X187" s="12">
        <f>VLOOKUP(Tableau4[[#This Row],[essence]],Tableau6[],8,FALSE)</f>
        <v>-0.32929999999999998</v>
      </c>
      <c r="Y187" s="12">
        <f>IF(Tableau4[[#This Row],[sdom]]="2EST",1,0)</f>
        <v>0</v>
      </c>
      <c r="Z187" s="12">
        <f>VLOOKUP(Tableau4[[#This Row],[essence]],Tableau6[],9,FALSE)</f>
        <v>0</v>
      </c>
      <c r="AA187" s="12">
        <f>IF(Tableau4[[#This Row],[sdom]]="2OUEST",1,0)</f>
        <v>0</v>
      </c>
      <c r="AB187" s="12">
        <f>VLOOKUP(Tableau4[[#This Row],[essence]],Tableau6[],10,FALSE)</f>
        <v>0</v>
      </c>
      <c r="AC187" s="12">
        <f>IF(Tableau4[[#This Row],[sdom]]="3EST",1,0)</f>
        <v>0</v>
      </c>
      <c r="AD187" s="12">
        <f>VLOOKUP(Tableau4[[#This Row],[essence]],Tableau6[],11,FALSE)</f>
        <v>0</v>
      </c>
      <c r="AE187" s="12">
        <f>IF(Tableau4[[#This Row],[sdom]]="3OUEST",1,0)</f>
        <v>0</v>
      </c>
      <c r="AF187" s="12">
        <f>VLOOKUP(Tableau4[[#This Row],[essence]],Tableau6[],12,FALSE)</f>
        <v>0</v>
      </c>
      <c r="AG187" s="12">
        <f>IF(Tableau4[[#This Row],[sdom]]="4EST",1,0)</f>
        <v>0</v>
      </c>
      <c r="AH187" s="12">
        <f>VLOOKUP(Tableau4[[#This Row],[essence]],Tableau6[],13,FALSE)</f>
        <v>0</v>
      </c>
      <c r="AI187" s="12">
        <f>IF(Tableau4[[#This Row],[sdom]]="4OUEST",1,0)</f>
        <v>0</v>
      </c>
      <c r="AJ187" s="12">
        <f>VLOOKUP(Tableau4[[#This Row],[essence]],Tableau6[],14,FALSE)</f>
        <v>0</v>
      </c>
      <c r="AK187" s="12">
        <f>IF(Tableau4[[#This Row],[sdom]]="5EST",1,0)</f>
        <v>1</v>
      </c>
      <c r="AL187" s="12">
        <f>VLOOKUP(Tableau4[[#This Row],[essence]],Tableau6[],17,FALSE)</f>
        <v>0</v>
      </c>
      <c r="AM187" s="12">
        <f>IF(Tableau4[[#This Row],[priorecol]]="C",1,0)</f>
        <v>0</v>
      </c>
      <c r="AN187" s="12">
        <f>VLOOKUP(Tableau4[[#This Row],[essence]],Tableau6[],18,FALSE)</f>
        <v>0</v>
      </c>
      <c r="AO187" s="12">
        <f>IF(Tableau4[[#This Row],[priorecol]]="R",1,0)</f>
        <v>0</v>
      </c>
      <c r="AP187" s="12">
        <f>VLOOKUP(Tableau4[[#This Row],[essence]],Tableau6[],19,FALSE)</f>
        <v>0</v>
      </c>
      <c r="AQ187" s="12">
        <f>IF(Tableau4[[#This Row],[priorecol]]="S",1,0)</f>
        <v>1</v>
      </c>
      <c r="AR187" s="12">
        <f>VLOOKUP(Tableau4[[#This Row],[essence]],Tableau6[],21,FALSE)</f>
        <v>0</v>
      </c>
      <c r="AS187" s="12">
        <f>IF(Tableau4[[#This Row],[priorecol]]="C",1,0)</f>
        <v>0</v>
      </c>
      <c r="AT187" s="12">
        <f>VLOOKUP(Tableau4[[#This Row],[essence]],Tableau6[],22,FALSE)</f>
        <v>0</v>
      </c>
      <c r="AU187" s="12">
        <f>IF(Tableau4[[#This Row],[priorecol]]="R",1,0)</f>
        <v>0</v>
      </c>
      <c r="AV187" s="12">
        <f>VLOOKUP(Tableau4[[#This Row],[essence]],Tableau6[],23,FALSE)</f>
        <v>0</v>
      </c>
      <c r="AW187" s="12">
        <f>IF(Tableau4[[#This Row],[priorecol]]="S",1,0)</f>
        <v>1</v>
      </c>
      <c r="AX187" s="12">
        <f>VLOOKUP(Tableau4[[#This Row],[essence]],Tableau6[],24,FALSE)</f>
        <v>0</v>
      </c>
      <c r="AY187" s="12">
        <f>VLOOKUP(Tableau4[[#This Row],[essence]],Tableau6[],25,FALSE)</f>
        <v>0</v>
      </c>
      <c r="AZ187" s="12">
        <f>VLOOKUP(Tableau4[[#This Row],[essence]],Tableau6[],26,FALSE)</f>
        <v>0</v>
      </c>
      <c r="BA187" s="12">
        <f>VLOOKUP(Tableau4[[#This Row],[essence]],Tableau6[],27,FALSE)</f>
        <v>0</v>
      </c>
      <c r="BB187" s="12">
        <f>VLOOKUP(Tableau4[[#This Row],[essence]],Tableau6[],16,FALSE)</f>
        <v>-2.0699999999999998E-3</v>
      </c>
      <c r="BC187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1.1100000000000332E-2</v>
      </c>
      <c r="BD187" s="12">
        <f>Tableau4[[#This Row],[xb_]]+Tableau4[[#This Row],[b_intercept_C]]+Tableau4[[#This Row],[b_dhpcm_x_intercept_C]]*Tableau4[[#This Row],[dhpcm]]</f>
        <v>2.8744000000000005</v>
      </c>
      <c r="BE187" s="12">
        <f>Tableau4[[#This Row],[xb_]]+Tableau4[[#This Row],[b_intercept_B]]+Tableau4[[#This Row],[b_dhpcm_x_intercept_B]]*Tableau4[[#This Row],[dhpcm]]</f>
        <v>1.4065000000000003</v>
      </c>
      <c r="BF187" s="12">
        <f>Tableau4[[#This Row],[xb_]]+Tableau4[[#This Row],[b_intercept_A]]+Tableau4[[#This Row],[b_dhpcm_x_intercept_A]]*Tableau4[[#This Row],[dhpcm]]</f>
        <v>0.53730000000000033</v>
      </c>
      <c r="BG187" s="12">
        <f>1/(1+EXP(-Tableau4[[#This Row],[xb_c]]))</f>
        <v>0.94656633122301448</v>
      </c>
      <c r="BH187" s="12">
        <f>1/(1+EXP(-Tableau4[[#This Row],[xb_b]]))</f>
        <v>0.80321331477375935</v>
      </c>
      <c r="BI187" s="12">
        <f>1/(1+EXP(-Tableau4[[#This Row],[xb_a]]))</f>
        <v>0.63118410569197869</v>
      </c>
      <c r="BJ187" s="12">
        <f>Tableau4[[#This Row],[prob_a]]</f>
        <v>0.63118410569197869</v>
      </c>
      <c r="BK187" s="12">
        <f>Tableau4[[#This Row],[prob_b]]-Tableau4[[#This Row],[prob_a]]</f>
        <v>0.17202920908178065</v>
      </c>
      <c r="BL187" s="12">
        <f>Tableau4[[#This Row],[prob_c]]-Tableau4[[#This Row],[prob_b]]</f>
        <v>0.14335301644925513</v>
      </c>
      <c r="BM187" s="12">
        <f>1-Tableau4[[#This Row],[prob_c]]</f>
        <v>5.3433668776985521E-2</v>
      </c>
    </row>
    <row r="188" spans="1:65" x14ac:dyDescent="0.25">
      <c r="A188" s="12">
        <v>8</v>
      </c>
      <c r="B188" s="12" t="s">
        <v>16</v>
      </c>
      <c r="C188" s="12">
        <v>2.1</v>
      </c>
      <c r="D188" s="12">
        <v>700</v>
      </c>
      <c r="E188" s="12">
        <v>20</v>
      </c>
      <c r="F188" s="12">
        <v>1</v>
      </c>
      <c r="G188" s="12">
        <v>67</v>
      </c>
      <c r="H188" s="12">
        <v>226</v>
      </c>
      <c r="I188" s="12" t="s">
        <v>25</v>
      </c>
      <c r="J188" s="12" t="s">
        <v>27</v>
      </c>
      <c r="K188" s="12">
        <f>VLOOKUP(Tableau4[[#This Row],[essence]],Tableau6[],2,FALSE)</f>
        <v>-4.3875000000000002</v>
      </c>
      <c r="L188" s="12">
        <f>VLOOKUP(Tableau4[[#This Row],[essence]],Tableau6[],3,FALSE)</f>
        <v>-3.0411999999999999</v>
      </c>
      <c r="M188" s="12">
        <f>VLOOKUP(Tableau4[[#This Row],[essence]],Tableau6[],4,FALSE)</f>
        <v>-1.2259</v>
      </c>
      <c r="N188" s="12">
        <f>VLOOKUP(Tableau4[[#This Row],[essence]],Tableau6[],5,FALSE)</f>
        <v>1.7715000000000001</v>
      </c>
      <c r="O188" s="12">
        <f>IF(Tableau4[[#This Row],[priorecol]]="C",1,0)</f>
        <v>1</v>
      </c>
      <c r="P188" s="12">
        <f>VLOOKUP(Tableau4[[#This Row],[essence]],Tableau6[],6,FALSE)</f>
        <v>2.6688000000000001</v>
      </c>
      <c r="Q188" s="12">
        <f>IF(Tableau4[[#This Row],[priorecol]]="R",1,0)</f>
        <v>0</v>
      </c>
      <c r="R188" s="12">
        <f>VLOOKUP(Tableau4[[#This Row],[essence]],Tableau6[],7,FALSE)</f>
        <v>1.5728</v>
      </c>
      <c r="S188" s="12">
        <f>IF(Tableau4[[#This Row],[priorecol]]="S",1,0)</f>
        <v>0</v>
      </c>
      <c r="T188" s="12">
        <f>VLOOKUP(Tableau4[[#This Row],[essence]],Tableau6[],20,FALSE)</f>
        <v>0</v>
      </c>
      <c r="U188" s="12">
        <f>VLOOKUP(Tableau4[[#This Row],[essence]],Tableau6[],15,FALSE)</f>
        <v>0</v>
      </c>
      <c r="V188" s="12">
        <f>VLOOKUP(Tableau4[[#This Row],[essence]],Tableau6[],28,FALSE)</f>
        <v>0</v>
      </c>
      <c r="W188" s="12">
        <f>IF(Tableau4[[#This Row],[sdom]]=1,1,0)</f>
        <v>0</v>
      </c>
      <c r="X188" s="12">
        <f>VLOOKUP(Tableau4[[#This Row],[essence]],Tableau6[],8,FALSE)</f>
        <v>0.86129999999999995</v>
      </c>
      <c r="Y188" s="12">
        <f>IF(Tableau4[[#This Row],[sdom]]="2EST",1,0)</f>
        <v>0</v>
      </c>
      <c r="Z188" s="12">
        <f>VLOOKUP(Tableau4[[#This Row],[essence]],Tableau6[],9,FALSE)</f>
        <v>0.39550000000000002</v>
      </c>
      <c r="AA188" s="12">
        <f>IF(Tableau4[[#This Row],[sdom]]="2OUEST",1,0)</f>
        <v>0</v>
      </c>
      <c r="AB188" s="12">
        <f>VLOOKUP(Tableau4[[#This Row],[essence]],Tableau6[],10,FALSE)</f>
        <v>0.58989999999999998</v>
      </c>
      <c r="AC188" s="12">
        <f>IF(Tableau4[[#This Row],[sdom]]="3EST",1,0)</f>
        <v>0</v>
      </c>
      <c r="AD188" s="12">
        <f>VLOOKUP(Tableau4[[#This Row],[essence]],Tableau6[],11,FALSE)</f>
        <v>0.52759999999999996</v>
      </c>
      <c r="AE188" s="12">
        <f>IF(Tableau4[[#This Row],[sdom]]="3OUEST",1,0)</f>
        <v>0</v>
      </c>
      <c r="AF188" s="12">
        <f>VLOOKUP(Tableau4[[#This Row],[essence]],Tableau6[],12,FALSE)</f>
        <v>0</v>
      </c>
      <c r="AG188" s="12">
        <f>IF(Tableau4[[#This Row],[sdom]]="4EST",1,0)</f>
        <v>0</v>
      </c>
      <c r="AH188" s="12">
        <f>VLOOKUP(Tableau4[[#This Row],[essence]],Tableau6[],13,FALSE)</f>
        <v>0</v>
      </c>
      <c r="AI188" s="12">
        <f>IF(Tableau4[[#This Row],[sdom]]="4OUEST",1,0)</f>
        <v>0</v>
      </c>
      <c r="AJ188" s="12">
        <f>VLOOKUP(Tableau4[[#This Row],[essence]],Tableau6[],14,FALSE)</f>
        <v>0</v>
      </c>
      <c r="AK188" s="12">
        <f>IF(Tableau4[[#This Row],[sdom]]="5EST",1,0)</f>
        <v>1</v>
      </c>
      <c r="AL188" s="12">
        <f>VLOOKUP(Tableau4[[#This Row],[essence]],Tableau6[],17,FALSE)</f>
        <v>0</v>
      </c>
      <c r="AM188" s="12">
        <f>IF(Tableau4[[#This Row],[priorecol]]="C",1,0)</f>
        <v>1</v>
      </c>
      <c r="AN188" s="12">
        <f>VLOOKUP(Tableau4[[#This Row],[essence]],Tableau6[],18,FALSE)</f>
        <v>0</v>
      </c>
      <c r="AO188" s="12">
        <f>IF(Tableau4[[#This Row],[priorecol]]="R",1,0)</f>
        <v>0</v>
      </c>
      <c r="AP188" s="12">
        <f>VLOOKUP(Tableau4[[#This Row],[essence]],Tableau6[],19,FALSE)</f>
        <v>0</v>
      </c>
      <c r="AQ188" s="12">
        <f>IF(Tableau4[[#This Row],[priorecol]]="S",1,0)</f>
        <v>0</v>
      </c>
      <c r="AR188" s="12">
        <f>VLOOKUP(Tableau4[[#This Row],[essence]],Tableau6[],21,FALSE)</f>
        <v>0</v>
      </c>
      <c r="AS188" s="12">
        <f>IF(Tableau4[[#This Row],[priorecol]]="C",1,0)</f>
        <v>1</v>
      </c>
      <c r="AT188" s="12">
        <f>VLOOKUP(Tableau4[[#This Row],[essence]],Tableau6[],22,FALSE)</f>
        <v>0</v>
      </c>
      <c r="AU188" s="12">
        <f>IF(Tableau4[[#This Row],[priorecol]]="R",1,0)</f>
        <v>0</v>
      </c>
      <c r="AV188" s="12">
        <f>VLOOKUP(Tableau4[[#This Row],[essence]],Tableau6[],23,FALSE)</f>
        <v>0</v>
      </c>
      <c r="AW188" s="12">
        <f>IF(Tableau4[[#This Row],[priorecol]]="S",1,0)</f>
        <v>0</v>
      </c>
      <c r="AX188" s="12">
        <f>VLOOKUP(Tableau4[[#This Row],[essence]],Tableau6[],24,FALSE)</f>
        <v>0</v>
      </c>
      <c r="AY188" s="12">
        <f>VLOOKUP(Tableau4[[#This Row],[essence]],Tableau6[],25,FALSE)</f>
        <v>0</v>
      </c>
      <c r="AZ188" s="12">
        <f>VLOOKUP(Tableau4[[#This Row],[essence]],Tableau6[],26,FALSE)</f>
        <v>0</v>
      </c>
      <c r="BA188" s="12">
        <f>VLOOKUP(Tableau4[[#This Row],[essence]],Tableau6[],27,FALSE)</f>
        <v>0</v>
      </c>
      <c r="BB188" s="12">
        <f>VLOOKUP(Tableau4[[#This Row],[essence]],Tableau6[],16,FALSE)</f>
        <v>0</v>
      </c>
      <c r="BC188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1.7715000000000001</v>
      </c>
      <c r="BD188" s="12">
        <f>Tableau4[[#This Row],[xb_]]+Tableau4[[#This Row],[b_intercept_C]]+Tableau4[[#This Row],[b_dhpcm_x_intercept_C]]*Tableau4[[#This Row],[dhpcm]]</f>
        <v>0.54560000000000008</v>
      </c>
      <c r="BE188" s="12">
        <f>Tableau4[[#This Row],[xb_]]+Tableau4[[#This Row],[b_intercept_B]]+Tableau4[[#This Row],[b_dhpcm_x_intercept_B]]*Tableau4[[#This Row],[dhpcm]]</f>
        <v>-1.2696999999999998</v>
      </c>
      <c r="BF188" s="12">
        <f>Tableau4[[#This Row],[xb_]]+Tableau4[[#This Row],[b_intercept_A]]+Tableau4[[#This Row],[b_dhpcm_x_intercept_A]]*Tableau4[[#This Row],[dhpcm]]</f>
        <v>-2.6160000000000001</v>
      </c>
      <c r="BG188" s="12">
        <f>1/(1+EXP(-Tableau4[[#This Row],[xb_c]]))</f>
        <v>0.63311415618116451</v>
      </c>
      <c r="BH188" s="12">
        <f>1/(1+EXP(-Tableau4[[#This Row],[xb_b]]))</f>
        <v>0.21930861146596689</v>
      </c>
      <c r="BI188" s="12">
        <f>1/(1+EXP(-Tableau4[[#This Row],[xb_a]]))</f>
        <v>6.8115759378310187E-2</v>
      </c>
      <c r="BJ188" s="12">
        <f>Tableau4[[#This Row],[prob_a]]</f>
        <v>6.8115759378310187E-2</v>
      </c>
      <c r="BK188" s="12">
        <f>Tableau4[[#This Row],[prob_b]]-Tableau4[[#This Row],[prob_a]]</f>
        <v>0.1511928520876567</v>
      </c>
      <c r="BL188" s="12">
        <f>Tableau4[[#This Row],[prob_c]]-Tableau4[[#This Row],[prob_b]]</f>
        <v>0.41380554471519759</v>
      </c>
      <c r="BM188" s="12">
        <f>1-Tableau4[[#This Row],[prob_c]]</f>
        <v>0.36688584381883549</v>
      </c>
    </row>
    <row r="189" spans="1:65" x14ac:dyDescent="0.25">
      <c r="A189" s="12">
        <v>8</v>
      </c>
      <c r="B189" s="12" t="s">
        <v>16</v>
      </c>
      <c r="C189" s="12">
        <v>2.1</v>
      </c>
      <c r="D189" s="12">
        <v>700</v>
      </c>
      <c r="E189" s="12">
        <v>20</v>
      </c>
      <c r="F189" s="12">
        <v>1</v>
      </c>
      <c r="G189" s="12">
        <v>68</v>
      </c>
      <c r="H189" s="12">
        <v>227</v>
      </c>
      <c r="I189" s="12" t="s">
        <v>25</v>
      </c>
      <c r="J189" s="12" t="s">
        <v>28</v>
      </c>
      <c r="K189" s="12">
        <f>VLOOKUP(Tableau4[[#This Row],[essence]],Tableau6[],2,FALSE)</f>
        <v>-4.3875000000000002</v>
      </c>
      <c r="L189" s="12">
        <f>VLOOKUP(Tableau4[[#This Row],[essence]],Tableau6[],3,FALSE)</f>
        <v>-3.0411999999999999</v>
      </c>
      <c r="M189" s="12">
        <f>VLOOKUP(Tableau4[[#This Row],[essence]],Tableau6[],4,FALSE)</f>
        <v>-1.2259</v>
      </c>
      <c r="N189" s="12">
        <f>VLOOKUP(Tableau4[[#This Row],[essence]],Tableau6[],5,FALSE)</f>
        <v>1.7715000000000001</v>
      </c>
      <c r="O189" s="12">
        <f>IF(Tableau4[[#This Row],[priorecol]]="C",1,0)</f>
        <v>0</v>
      </c>
      <c r="P189" s="12">
        <f>VLOOKUP(Tableau4[[#This Row],[essence]],Tableau6[],6,FALSE)</f>
        <v>2.6688000000000001</v>
      </c>
      <c r="Q189" s="12">
        <f>IF(Tableau4[[#This Row],[priorecol]]="R",1,0)</f>
        <v>1</v>
      </c>
      <c r="R189" s="12">
        <f>VLOOKUP(Tableau4[[#This Row],[essence]],Tableau6[],7,FALSE)</f>
        <v>1.5728</v>
      </c>
      <c r="S189" s="12">
        <f>IF(Tableau4[[#This Row],[priorecol]]="S",1,0)</f>
        <v>0</v>
      </c>
      <c r="T189" s="12">
        <f>VLOOKUP(Tableau4[[#This Row],[essence]],Tableau6[],20,FALSE)</f>
        <v>0</v>
      </c>
      <c r="U189" s="12">
        <f>VLOOKUP(Tableau4[[#This Row],[essence]],Tableau6[],15,FALSE)</f>
        <v>0</v>
      </c>
      <c r="V189" s="12">
        <f>VLOOKUP(Tableau4[[#This Row],[essence]],Tableau6[],28,FALSE)</f>
        <v>0</v>
      </c>
      <c r="W189" s="12">
        <f>IF(Tableau4[[#This Row],[sdom]]=1,1,0)</f>
        <v>0</v>
      </c>
      <c r="X189" s="12">
        <f>VLOOKUP(Tableau4[[#This Row],[essence]],Tableau6[],8,FALSE)</f>
        <v>0.86129999999999995</v>
      </c>
      <c r="Y189" s="12">
        <f>IF(Tableau4[[#This Row],[sdom]]="2EST",1,0)</f>
        <v>0</v>
      </c>
      <c r="Z189" s="12">
        <f>VLOOKUP(Tableau4[[#This Row],[essence]],Tableau6[],9,FALSE)</f>
        <v>0.39550000000000002</v>
      </c>
      <c r="AA189" s="12">
        <f>IF(Tableau4[[#This Row],[sdom]]="2OUEST",1,0)</f>
        <v>0</v>
      </c>
      <c r="AB189" s="12">
        <f>VLOOKUP(Tableau4[[#This Row],[essence]],Tableau6[],10,FALSE)</f>
        <v>0.58989999999999998</v>
      </c>
      <c r="AC189" s="12">
        <f>IF(Tableau4[[#This Row],[sdom]]="3EST",1,0)</f>
        <v>0</v>
      </c>
      <c r="AD189" s="12">
        <f>VLOOKUP(Tableau4[[#This Row],[essence]],Tableau6[],11,FALSE)</f>
        <v>0.52759999999999996</v>
      </c>
      <c r="AE189" s="12">
        <f>IF(Tableau4[[#This Row],[sdom]]="3OUEST",1,0)</f>
        <v>0</v>
      </c>
      <c r="AF189" s="12">
        <f>VLOOKUP(Tableau4[[#This Row],[essence]],Tableau6[],12,FALSE)</f>
        <v>0</v>
      </c>
      <c r="AG189" s="12">
        <f>IF(Tableau4[[#This Row],[sdom]]="4EST",1,0)</f>
        <v>0</v>
      </c>
      <c r="AH189" s="12">
        <f>VLOOKUP(Tableau4[[#This Row],[essence]],Tableau6[],13,FALSE)</f>
        <v>0</v>
      </c>
      <c r="AI189" s="12">
        <f>IF(Tableau4[[#This Row],[sdom]]="4OUEST",1,0)</f>
        <v>0</v>
      </c>
      <c r="AJ189" s="12">
        <f>VLOOKUP(Tableau4[[#This Row],[essence]],Tableau6[],14,FALSE)</f>
        <v>0</v>
      </c>
      <c r="AK189" s="12">
        <f>IF(Tableau4[[#This Row],[sdom]]="5EST",1,0)</f>
        <v>1</v>
      </c>
      <c r="AL189" s="12">
        <f>VLOOKUP(Tableau4[[#This Row],[essence]],Tableau6[],17,FALSE)</f>
        <v>0</v>
      </c>
      <c r="AM189" s="12">
        <f>IF(Tableau4[[#This Row],[priorecol]]="C",1,0)</f>
        <v>0</v>
      </c>
      <c r="AN189" s="12">
        <f>VLOOKUP(Tableau4[[#This Row],[essence]],Tableau6[],18,FALSE)</f>
        <v>0</v>
      </c>
      <c r="AO189" s="12">
        <f>IF(Tableau4[[#This Row],[priorecol]]="R",1,0)</f>
        <v>1</v>
      </c>
      <c r="AP189" s="12">
        <f>VLOOKUP(Tableau4[[#This Row],[essence]],Tableau6[],19,FALSE)</f>
        <v>0</v>
      </c>
      <c r="AQ189" s="12">
        <f>IF(Tableau4[[#This Row],[priorecol]]="S",1,0)</f>
        <v>0</v>
      </c>
      <c r="AR189" s="12">
        <f>VLOOKUP(Tableau4[[#This Row],[essence]],Tableau6[],21,FALSE)</f>
        <v>0</v>
      </c>
      <c r="AS189" s="12">
        <f>IF(Tableau4[[#This Row],[priorecol]]="C",1,0)</f>
        <v>0</v>
      </c>
      <c r="AT189" s="12">
        <f>VLOOKUP(Tableau4[[#This Row],[essence]],Tableau6[],22,FALSE)</f>
        <v>0</v>
      </c>
      <c r="AU189" s="12">
        <f>IF(Tableau4[[#This Row],[priorecol]]="R",1,0)</f>
        <v>1</v>
      </c>
      <c r="AV189" s="12">
        <f>VLOOKUP(Tableau4[[#This Row],[essence]],Tableau6[],23,FALSE)</f>
        <v>0</v>
      </c>
      <c r="AW189" s="12">
        <f>IF(Tableau4[[#This Row],[priorecol]]="S",1,0)</f>
        <v>0</v>
      </c>
      <c r="AX189" s="12">
        <f>VLOOKUP(Tableau4[[#This Row],[essence]],Tableau6[],24,FALSE)</f>
        <v>0</v>
      </c>
      <c r="AY189" s="12">
        <f>VLOOKUP(Tableau4[[#This Row],[essence]],Tableau6[],25,FALSE)</f>
        <v>0</v>
      </c>
      <c r="AZ189" s="12">
        <f>VLOOKUP(Tableau4[[#This Row],[essence]],Tableau6[],26,FALSE)</f>
        <v>0</v>
      </c>
      <c r="BA189" s="12">
        <f>VLOOKUP(Tableau4[[#This Row],[essence]],Tableau6[],27,FALSE)</f>
        <v>0</v>
      </c>
      <c r="BB189" s="12">
        <f>VLOOKUP(Tableau4[[#This Row],[essence]],Tableau6[],16,FALSE)</f>
        <v>0</v>
      </c>
      <c r="BC189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2.6688000000000001</v>
      </c>
      <c r="BD189" s="12">
        <f>Tableau4[[#This Row],[xb_]]+Tableau4[[#This Row],[b_intercept_C]]+Tableau4[[#This Row],[b_dhpcm_x_intercept_C]]*Tableau4[[#This Row],[dhpcm]]</f>
        <v>1.4429000000000001</v>
      </c>
      <c r="BE189" s="12">
        <f>Tableau4[[#This Row],[xb_]]+Tableau4[[#This Row],[b_intercept_B]]+Tableau4[[#This Row],[b_dhpcm_x_intercept_B]]*Tableau4[[#This Row],[dhpcm]]</f>
        <v>-0.37239999999999984</v>
      </c>
      <c r="BF189" s="12">
        <f>Tableau4[[#This Row],[xb_]]+Tableau4[[#This Row],[b_intercept_A]]+Tableau4[[#This Row],[b_dhpcm_x_intercept_A]]*Tableau4[[#This Row],[dhpcm]]</f>
        <v>-1.7187000000000001</v>
      </c>
      <c r="BG189" s="12">
        <f>1/(1+EXP(-Tableau4[[#This Row],[xb_c]]))</f>
        <v>0.80890333138279402</v>
      </c>
      <c r="BH189" s="12">
        <f>1/(1+EXP(-Tableau4[[#This Row],[xb_b]]))</f>
        <v>0.40796122449924294</v>
      </c>
      <c r="BI189" s="12">
        <f>1/(1+EXP(-Tableau4[[#This Row],[xb_a]]))</f>
        <v>0.15203868765627995</v>
      </c>
      <c r="BJ189" s="12">
        <f>Tableau4[[#This Row],[prob_a]]</f>
        <v>0.15203868765627995</v>
      </c>
      <c r="BK189" s="12">
        <f>Tableau4[[#This Row],[prob_b]]-Tableau4[[#This Row],[prob_a]]</f>
        <v>0.25592253684296296</v>
      </c>
      <c r="BL189" s="12">
        <f>Tableau4[[#This Row],[prob_c]]-Tableau4[[#This Row],[prob_b]]</f>
        <v>0.40094210688355109</v>
      </c>
      <c r="BM189" s="12">
        <f>1-Tableau4[[#This Row],[prob_c]]</f>
        <v>0.19109666861720598</v>
      </c>
    </row>
    <row r="190" spans="1:65" x14ac:dyDescent="0.25">
      <c r="A190" s="12">
        <v>8</v>
      </c>
      <c r="B190" s="12" t="s">
        <v>16</v>
      </c>
      <c r="C190" s="12">
        <v>2.1</v>
      </c>
      <c r="D190" s="12">
        <v>700</v>
      </c>
      <c r="E190" s="12">
        <v>20</v>
      </c>
      <c r="F190" s="12">
        <v>1</v>
      </c>
      <c r="G190" s="12">
        <v>69</v>
      </c>
      <c r="H190" s="12">
        <v>228</v>
      </c>
      <c r="I190" s="12" t="s">
        <v>25</v>
      </c>
      <c r="J190" s="12" t="s">
        <v>29</v>
      </c>
      <c r="K190" s="12">
        <f>VLOOKUP(Tableau4[[#This Row],[essence]],Tableau6[],2,FALSE)</f>
        <v>-4.3875000000000002</v>
      </c>
      <c r="L190" s="12">
        <f>VLOOKUP(Tableau4[[#This Row],[essence]],Tableau6[],3,FALSE)</f>
        <v>-3.0411999999999999</v>
      </c>
      <c r="M190" s="12">
        <f>VLOOKUP(Tableau4[[#This Row],[essence]],Tableau6[],4,FALSE)</f>
        <v>-1.2259</v>
      </c>
      <c r="N190" s="12">
        <f>VLOOKUP(Tableau4[[#This Row],[essence]],Tableau6[],5,FALSE)</f>
        <v>1.7715000000000001</v>
      </c>
      <c r="O190" s="12">
        <f>IF(Tableau4[[#This Row],[priorecol]]="C",1,0)</f>
        <v>0</v>
      </c>
      <c r="P190" s="12">
        <f>VLOOKUP(Tableau4[[#This Row],[essence]],Tableau6[],6,FALSE)</f>
        <v>2.6688000000000001</v>
      </c>
      <c r="Q190" s="12">
        <f>IF(Tableau4[[#This Row],[priorecol]]="R",1,0)</f>
        <v>0</v>
      </c>
      <c r="R190" s="12">
        <f>VLOOKUP(Tableau4[[#This Row],[essence]],Tableau6[],7,FALSE)</f>
        <v>1.5728</v>
      </c>
      <c r="S190" s="12">
        <f>IF(Tableau4[[#This Row],[priorecol]]="S",1,0)</f>
        <v>1</v>
      </c>
      <c r="T190" s="12">
        <f>VLOOKUP(Tableau4[[#This Row],[essence]],Tableau6[],20,FALSE)</f>
        <v>0</v>
      </c>
      <c r="U190" s="12">
        <f>VLOOKUP(Tableau4[[#This Row],[essence]],Tableau6[],15,FALSE)</f>
        <v>0</v>
      </c>
      <c r="V190" s="12">
        <f>VLOOKUP(Tableau4[[#This Row],[essence]],Tableau6[],28,FALSE)</f>
        <v>0</v>
      </c>
      <c r="W190" s="12">
        <f>IF(Tableau4[[#This Row],[sdom]]=1,1,0)</f>
        <v>0</v>
      </c>
      <c r="X190" s="12">
        <f>VLOOKUP(Tableau4[[#This Row],[essence]],Tableau6[],8,FALSE)</f>
        <v>0.86129999999999995</v>
      </c>
      <c r="Y190" s="12">
        <f>IF(Tableau4[[#This Row],[sdom]]="2EST",1,0)</f>
        <v>0</v>
      </c>
      <c r="Z190" s="12">
        <f>VLOOKUP(Tableau4[[#This Row],[essence]],Tableau6[],9,FALSE)</f>
        <v>0.39550000000000002</v>
      </c>
      <c r="AA190" s="12">
        <f>IF(Tableau4[[#This Row],[sdom]]="2OUEST",1,0)</f>
        <v>0</v>
      </c>
      <c r="AB190" s="12">
        <f>VLOOKUP(Tableau4[[#This Row],[essence]],Tableau6[],10,FALSE)</f>
        <v>0.58989999999999998</v>
      </c>
      <c r="AC190" s="12">
        <f>IF(Tableau4[[#This Row],[sdom]]="3EST",1,0)</f>
        <v>0</v>
      </c>
      <c r="AD190" s="12">
        <f>VLOOKUP(Tableau4[[#This Row],[essence]],Tableau6[],11,FALSE)</f>
        <v>0.52759999999999996</v>
      </c>
      <c r="AE190" s="12">
        <f>IF(Tableau4[[#This Row],[sdom]]="3OUEST",1,0)</f>
        <v>0</v>
      </c>
      <c r="AF190" s="12">
        <f>VLOOKUP(Tableau4[[#This Row],[essence]],Tableau6[],12,FALSE)</f>
        <v>0</v>
      </c>
      <c r="AG190" s="12">
        <f>IF(Tableau4[[#This Row],[sdom]]="4EST",1,0)</f>
        <v>0</v>
      </c>
      <c r="AH190" s="12">
        <f>VLOOKUP(Tableau4[[#This Row],[essence]],Tableau6[],13,FALSE)</f>
        <v>0</v>
      </c>
      <c r="AI190" s="12">
        <f>IF(Tableau4[[#This Row],[sdom]]="4OUEST",1,0)</f>
        <v>0</v>
      </c>
      <c r="AJ190" s="12">
        <f>VLOOKUP(Tableau4[[#This Row],[essence]],Tableau6[],14,FALSE)</f>
        <v>0</v>
      </c>
      <c r="AK190" s="12">
        <f>IF(Tableau4[[#This Row],[sdom]]="5EST",1,0)</f>
        <v>1</v>
      </c>
      <c r="AL190" s="12">
        <f>VLOOKUP(Tableau4[[#This Row],[essence]],Tableau6[],17,FALSE)</f>
        <v>0</v>
      </c>
      <c r="AM190" s="12">
        <f>IF(Tableau4[[#This Row],[priorecol]]="C",1,0)</f>
        <v>0</v>
      </c>
      <c r="AN190" s="12">
        <f>VLOOKUP(Tableau4[[#This Row],[essence]],Tableau6[],18,FALSE)</f>
        <v>0</v>
      </c>
      <c r="AO190" s="12">
        <f>IF(Tableau4[[#This Row],[priorecol]]="R",1,0)</f>
        <v>0</v>
      </c>
      <c r="AP190" s="12">
        <f>VLOOKUP(Tableau4[[#This Row],[essence]],Tableau6[],19,FALSE)</f>
        <v>0</v>
      </c>
      <c r="AQ190" s="12">
        <f>IF(Tableau4[[#This Row],[priorecol]]="S",1,0)</f>
        <v>1</v>
      </c>
      <c r="AR190" s="12">
        <f>VLOOKUP(Tableau4[[#This Row],[essence]],Tableau6[],21,FALSE)</f>
        <v>0</v>
      </c>
      <c r="AS190" s="12">
        <f>IF(Tableau4[[#This Row],[priorecol]]="C",1,0)</f>
        <v>0</v>
      </c>
      <c r="AT190" s="12">
        <f>VLOOKUP(Tableau4[[#This Row],[essence]],Tableau6[],22,FALSE)</f>
        <v>0</v>
      </c>
      <c r="AU190" s="12">
        <f>IF(Tableau4[[#This Row],[priorecol]]="R",1,0)</f>
        <v>0</v>
      </c>
      <c r="AV190" s="12">
        <f>VLOOKUP(Tableau4[[#This Row],[essence]],Tableau6[],23,FALSE)</f>
        <v>0</v>
      </c>
      <c r="AW190" s="12">
        <f>IF(Tableau4[[#This Row],[priorecol]]="S",1,0)</f>
        <v>1</v>
      </c>
      <c r="AX190" s="12">
        <f>VLOOKUP(Tableau4[[#This Row],[essence]],Tableau6[],24,FALSE)</f>
        <v>0</v>
      </c>
      <c r="AY190" s="12">
        <f>VLOOKUP(Tableau4[[#This Row],[essence]],Tableau6[],25,FALSE)</f>
        <v>0</v>
      </c>
      <c r="AZ190" s="12">
        <f>VLOOKUP(Tableau4[[#This Row],[essence]],Tableau6[],26,FALSE)</f>
        <v>0</v>
      </c>
      <c r="BA190" s="12">
        <f>VLOOKUP(Tableau4[[#This Row],[essence]],Tableau6[],27,FALSE)</f>
        <v>0</v>
      </c>
      <c r="BB190" s="12">
        <f>VLOOKUP(Tableau4[[#This Row],[essence]],Tableau6[],16,FALSE)</f>
        <v>0</v>
      </c>
      <c r="BC190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1.5728</v>
      </c>
      <c r="BD190" s="12">
        <f>Tableau4[[#This Row],[xb_]]+Tableau4[[#This Row],[b_intercept_C]]+Tableau4[[#This Row],[b_dhpcm_x_intercept_C]]*Tableau4[[#This Row],[dhpcm]]</f>
        <v>0.34689999999999999</v>
      </c>
      <c r="BE190" s="12">
        <f>Tableau4[[#This Row],[xb_]]+Tableau4[[#This Row],[b_intercept_B]]+Tableau4[[#This Row],[b_dhpcm_x_intercept_B]]*Tableau4[[#This Row],[dhpcm]]</f>
        <v>-1.4683999999999999</v>
      </c>
      <c r="BF190" s="12">
        <f>Tableau4[[#This Row],[xb_]]+Tableau4[[#This Row],[b_intercept_A]]+Tableau4[[#This Row],[b_dhpcm_x_intercept_A]]*Tableau4[[#This Row],[dhpcm]]</f>
        <v>-2.8147000000000002</v>
      </c>
      <c r="BG190" s="12">
        <f>1/(1+EXP(-Tableau4[[#This Row],[xb_c]]))</f>
        <v>0.585865635687285</v>
      </c>
      <c r="BH190" s="12">
        <f>1/(1+EXP(-Tableau4[[#This Row],[xb_b]]))</f>
        <v>0.18718592790698188</v>
      </c>
      <c r="BI190" s="12">
        <f>1/(1+EXP(-Tableau4[[#This Row],[xb_a]]))</f>
        <v>5.6534965479882744E-2</v>
      </c>
      <c r="BJ190" s="12">
        <f>Tableau4[[#This Row],[prob_a]]</f>
        <v>5.6534965479882744E-2</v>
      </c>
      <c r="BK190" s="12">
        <f>Tableau4[[#This Row],[prob_b]]-Tableau4[[#This Row],[prob_a]]</f>
        <v>0.13065096242709914</v>
      </c>
      <c r="BL190" s="12">
        <f>Tableau4[[#This Row],[prob_c]]-Tableau4[[#This Row],[prob_b]]</f>
        <v>0.39867970778030315</v>
      </c>
      <c r="BM190" s="12">
        <f>1-Tableau4[[#This Row],[prob_c]]</f>
        <v>0.414134364312715</v>
      </c>
    </row>
    <row r="191" spans="1:65" x14ac:dyDescent="0.25">
      <c r="A191" s="12">
        <v>8</v>
      </c>
      <c r="B191" s="12" t="s">
        <v>16</v>
      </c>
      <c r="C191" s="12">
        <v>2.1</v>
      </c>
      <c r="D191" s="12">
        <v>700</v>
      </c>
      <c r="E191" s="12">
        <v>20</v>
      </c>
      <c r="F191" s="12">
        <v>1</v>
      </c>
      <c r="G191" s="12">
        <v>70</v>
      </c>
      <c r="H191" s="12">
        <v>229</v>
      </c>
      <c r="I191" s="12" t="s">
        <v>26</v>
      </c>
      <c r="J191" s="12" t="s">
        <v>27</v>
      </c>
      <c r="K191" s="12">
        <f>VLOOKUP(Tableau4[[#This Row],[essence]],Tableau6[],2,FALSE)</f>
        <v>0.71340000000000003</v>
      </c>
      <c r="L191" s="12">
        <f>VLOOKUP(Tableau4[[#This Row],[essence]],Tableau6[],3,FALSE)</f>
        <v>1.7461</v>
      </c>
      <c r="M191" s="12">
        <f>VLOOKUP(Tableau4[[#This Row],[essence]],Tableau6[],4,FALSE)</f>
        <v>2.9828999999999999</v>
      </c>
      <c r="N191" s="12">
        <f>VLOOKUP(Tableau4[[#This Row],[essence]],Tableau6[],5,FALSE)</f>
        <v>1.5659000000000001</v>
      </c>
      <c r="O191" s="12">
        <f>IF(Tableau4[[#This Row],[priorecol]]="C",1,0)</f>
        <v>1</v>
      </c>
      <c r="P191" s="12">
        <f>VLOOKUP(Tableau4[[#This Row],[essence]],Tableau6[],6,FALSE)</f>
        <v>1.9651000000000001</v>
      </c>
      <c r="Q191" s="12">
        <f>IF(Tableau4[[#This Row],[priorecol]]="R",1,0)</f>
        <v>0</v>
      </c>
      <c r="R191" s="12">
        <f>VLOOKUP(Tableau4[[#This Row],[essence]],Tableau6[],7,FALSE)</f>
        <v>1.1892</v>
      </c>
      <c r="S191" s="12">
        <f>IF(Tableau4[[#This Row],[priorecol]]="S",1,0)</f>
        <v>0</v>
      </c>
      <c r="T191" s="12">
        <f>VLOOKUP(Tableau4[[#This Row],[essence]],Tableau6[],20,FALSE)</f>
        <v>0</v>
      </c>
      <c r="U191" s="12">
        <f>VLOOKUP(Tableau4[[#This Row],[essence]],Tableau6[],15,FALSE)</f>
        <v>0</v>
      </c>
      <c r="V191" s="12">
        <f>VLOOKUP(Tableau4[[#This Row],[essence]],Tableau6[],28,FALSE)</f>
        <v>0</v>
      </c>
      <c r="W191" s="12">
        <f>IF(Tableau4[[#This Row],[sdom]]=1,1,0)</f>
        <v>0</v>
      </c>
      <c r="X191" s="12">
        <f>VLOOKUP(Tableau4[[#This Row],[essence]],Tableau6[],8,FALSE)</f>
        <v>0</v>
      </c>
      <c r="Y191" s="12">
        <f>IF(Tableau4[[#This Row],[sdom]]="2EST",1,0)</f>
        <v>0</v>
      </c>
      <c r="Z191" s="12">
        <f>VLOOKUP(Tableau4[[#This Row],[essence]],Tableau6[],9,FALSE)</f>
        <v>0</v>
      </c>
      <c r="AA191" s="12">
        <f>IF(Tableau4[[#This Row],[sdom]]="2OUEST",1,0)</f>
        <v>0</v>
      </c>
      <c r="AB191" s="12">
        <f>VLOOKUP(Tableau4[[#This Row],[essence]],Tableau6[],10,FALSE)</f>
        <v>0</v>
      </c>
      <c r="AC191" s="12">
        <f>IF(Tableau4[[#This Row],[sdom]]="3EST",1,0)</f>
        <v>0</v>
      </c>
      <c r="AD191" s="12">
        <f>VLOOKUP(Tableau4[[#This Row],[essence]],Tableau6[],11,FALSE)</f>
        <v>0.71960000000000002</v>
      </c>
      <c r="AE191" s="12">
        <f>IF(Tableau4[[#This Row],[sdom]]="3OUEST",1,0)</f>
        <v>0</v>
      </c>
      <c r="AF191" s="12">
        <f>VLOOKUP(Tableau4[[#This Row],[essence]],Tableau6[],12,FALSE)</f>
        <v>-2.81E-2</v>
      </c>
      <c r="AG191" s="12">
        <f>IF(Tableau4[[#This Row],[sdom]]="4EST",1,0)</f>
        <v>0</v>
      </c>
      <c r="AH191" s="12">
        <f>VLOOKUP(Tableau4[[#This Row],[essence]],Tableau6[],13,FALSE)</f>
        <v>0.23519999999999999</v>
      </c>
      <c r="AI191" s="12">
        <f>IF(Tableau4[[#This Row],[sdom]]="4OUEST",1,0)</f>
        <v>0</v>
      </c>
      <c r="AJ191" s="12">
        <f>VLOOKUP(Tableau4[[#This Row],[essence]],Tableau6[],14,FALSE)</f>
        <v>0.24660000000000001</v>
      </c>
      <c r="AK191" s="12">
        <f>IF(Tableau4[[#This Row],[sdom]]="5EST",1,0)</f>
        <v>1</v>
      </c>
      <c r="AL191" s="12">
        <f>VLOOKUP(Tableau4[[#This Row],[essence]],Tableau6[],17,FALSE)</f>
        <v>0</v>
      </c>
      <c r="AM191" s="12">
        <f>IF(Tableau4[[#This Row],[priorecol]]="C",1,0)</f>
        <v>1</v>
      </c>
      <c r="AN191" s="12">
        <f>VLOOKUP(Tableau4[[#This Row],[essence]],Tableau6[],18,FALSE)</f>
        <v>0</v>
      </c>
      <c r="AO191" s="12">
        <f>IF(Tableau4[[#This Row],[priorecol]]="R",1,0)</f>
        <v>0</v>
      </c>
      <c r="AP191" s="12">
        <f>VLOOKUP(Tableau4[[#This Row],[essence]],Tableau6[],19,FALSE)</f>
        <v>0</v>
      </c>
      <c r="AQ191" s="12">
        <f>IF(Tableau4[[#This Row],[priorecol]]="S",1,0)</f>
        <v>0</v>
      </c>
      <c r="AR191" s="12">
        <f>VLOOKUP(Tableau4[[#This Row],[essence]],Tableau6[],21,FALSE)</f>
        <v>0</v>
      </c>
      <c r="AS191" s="12">
        <f>IF(Tableau4[[#This Row],[priorecol]]="C",1,0)</f>
        <v>1</v>
      </c>
      <c r="AT191" s="12">
        <f>VLOOKUP(Tableau4[[#This Row],[essence]],Tableau6[],22,FALSE)</f>
        <v>0</v>
      </c>
      <c r="AU191" s="12">
        <f>IF(Tableau4[[#This Row],[priorecol]]="R",1,0)</f>
        <v>0</v>
      </c>
      <c r="AV191" s="12">
        <f>VLOOKUP(Tableau4[[#This Row],[essence]],Tableau6[],23,FALSE)</f>
        <v>0</v>
      </c>
      <c r="AW191" s="12">
        <f>IF(Tableau4[[#This Row],[priorecol]]="S",1,0)</f>
        <v>0</v>
      </c>
      <c r="AX191" s="12">
        <f>VLOOKUP(Tableau4[[#This Row],[essence]],Tableau6[],24,FALSE)</f>
        <v>0</v>
      </c>
      <c r="AY191" s="12">
        <f>VLOOKUP(Tableau4[[#This Row],[essence]],Tableau6[],25,FALSE)</f>
        <v>0</v>
      </c>
      <c r="AZ191" s="12">
        <f>VLOOKUP(Tableau4[[#This Row],[essence]],Tableau6[],26,FALSE)</f>
        <v>0</v>
      </c>
      <c r="BA191" s="12">
        <f>VLOOKUP(Tableau4[[#This Row],[essence]],Tableau6[],27,FALSE)</f>
        <v>0</v>
      </c>
      <c r="BB191" s="12">
        <f>VLOOKUP(Tableau4[[#This Row],[essence]],Tableau6[],16,FALSE)</f>
        <v>-2.6700000000000001E-3</v>
      </c>
      <c r="BC191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-5.6499999999999995E-2</v>
      </c>
      <c r="BD191" s="12">
        <f>Tableau4[[#This Row],[xb_]]+Tableau4[[#This Row],[b_intercept_C]]+Tableau4[[#This Row],[b_dhpcm_x_intercept_C]]*Tableau4[[#This Row],[dhpcm]]</f>
        <v>2.9264000000000001</v>
      </c>
      <c r="BE191" s="12">
        <f>Tableau4[[#This Row],[xb_]]+Tableau4[[#This Row],[b_intercept_B]]+Tableau4[[#This Row],[b_dhpcm_x_intercept_B]]*Tableau4[[#This Row],[dhpcm]]</f>
        <v>1.6896</v>
      </c>
      <c r="BF191" s="12">
        <f>Tableau4[[#This Row],[xb_]]+Tableau4[[#This Row],[b_intercept_A]]+Tableau4[[#This Row],[b_dhpcm_x_intercept_A]]*Tableau4[[#This Row],[dhpcm]]</f>
        <v>0.65690000000000004</v>
      </c>
      <c r="BG191" s="12">
        <f>1/(1+EXP(-Tableau4[[#This Row],[xb_c]]))</f>
        <v>0.94913615965518872</v>
      </c>
      <c r="BH191" s="12">
        <f>1/(1+EXP(-Tableau4[[#This Row],[xb_b]]))</f>
        <v>0.84417154874184175</v>
      </c>
      <c r="BI191" s="12">
        <f>1/(1+EXP(-Tableau4[[#This Row],[xb_a]]))</f>
        <v>0.658563673037041</v>
      </c>
      <c r="BJ191" s="12">
        <f>Tableau4[[#This Row],[prob_a]]</f>
        <v>0.658563673037041</v>
      </c>
      <c r="BK191" s="12">
        <f>Tableau4[[#This Row],[prob_b]]-Tableau4[[#This Row],[prob_a]]</f>
        <v>0.18560787570480075</v>
      </c>
      <c r="BL191" s="12">
        <f>Tableau4[[#This Row],[prob_c]]-Tableau4[[#This Row],[prob_b]]</f>
        <v>0.10496461091334697</v>
      </c>
      <c r="BM191" s="12">
        <f>1-Tableau4[[#This Row],[prob_c]]</f>
        <v>5.0863840344811284E-2</v>
      </c>
    </row>
    <row r="192" spans="1:65" x14ac:dyDescent="0.25">
      <c r="A192" s="12">
        <v>8</v>
      </c>
      <c r="B192" s="12" t="s">
        <v>16</v>
      </c>
      <c r="C192" s="12">
        <v>2.1</v>
      </c>
      <c r="D192" s="12">
        <v>700</v>
      </c>
      <c r="E192" s="12">
        <v>20</v>
      </c>
      <c r="F192" s="12">
        <v>1</v>
      </c>
      <c r="G192" s="12">
        <v>71</v>
      </c>
      <c r="H192" s="12">
        <v>230</v>
      </c>
      <c r="I192" s="12" t="s">
        <v>26</v>
      </c>
      <c r="J192" s="12" t="s">
        <v>28</v>
      </c>
      <c r="K192" s="12">
        <f>VLOOKUP(Tableau4[[#This Row],[essence]],Tableau6[],2,FALSE)</f>
        <v>0.71340000000000003</v>
      </c>
      <c r="L192" s="12">
        <f>VLOOKUP(Tableau4[[#This Row],[essence]],Tableau6[],3,FALSE)</f>
        <v>1.7461</v>
      </c>
      <c r="M192" s="12">
        <f>VLOOKUP(Tableau4[[#This Row],[essence]],Tableau6[],4,FALSE)</f>
        <v>2.9828999999999999</v>
      </c>
      <c r="N192" s="12">
        <f>VLOOKUP(Tableau4[[#This Row],[essence]],Tableau6[],5,FALSE)</f>
        <v>1.5659000000000001</v>
      </c>
      <c r="O192" s="12">
        <f>IF(Tableau4[[#This Row],[priorecol]]="C",1,0)</f>
        <v>0</v>
      </c>
      <c r="P192" s="12">
        <f>VLOOKUP(Tableau4[[#This Row],[essence]],Tableau6[],6,FALSE)</f>
        <v>1.9651000000000001</v>
      </c>
      <c r="Q192" s="12">
        <f>IF(Tableau4[[#This Row],[priorecol]]="R",1,0)</f>
        <v>1</v>
      </c>
      <c r="R192" s="12">
        <f>VLOOKUP(Tableau4[[#This Row],[essence]],Tableau6[],7,FALSE)</f>
        <v>1.1892</v>
      </c>
      <c r="S192" s="12">
        <f>IF(Tableau4[[#This Row],[priorecol]]="S",1,0)</f>
        <v>0</v>
      </c>
      <c r="T192" s="12">
        <f>VLOOKUP(Tableau4[[#This Row],[essence]],Tableau6[],20,FALSE)</f>
        <v>0</v>
      </c>
      <c r="U192" s="12">
        <f>VLOOKUP(Tableau4[[#This Row],[essence]],Tableau6[],15,FALSE)</f>
        <v>0</v>
      </c>
      <c r="V192" s="12">
        <f>VLOOKUP(Tableau4[[#This Row],[essence]],Tableau6[],28,FALSE)</f>
        <v>0</v>
      </c>
      <c r="W192" s="12">
        <f>IF(Tableau4[[#This Row],[sdom]]=1,1,0)</f>
        <v>0</v>
      </c>
      <c r="X192" s="12">
        <f>VLOOKUP(Tableau4[[#This Row],[essence]],Tableau6[],8,FALSE)</f>
        <v>0</v>
      </c>
      <c r="Y192" s="12">
        <f>IF(Tableau4[[#This Row],[sdom]]="2EST",1,0)</f>
        <v>0</v>
      </c>
      <c r="Z192" s="12">
        <f>VLOOKUP(Tableau4[[#This Row],[essence]],Tableau6[],9,FALSE)</f>
        <v>0</v>
      </c>
      <c r="AA192" s="12">
        <f>IF(Tableau4[[#This Row],[sdom]]="2OUEST",1,0)</f>
        <v>0</v>
      </c>
      <c r="AB192" s="12">
        <f>VLOOKUP(Tableau4[[#This Row],[essence]],Tableau6[],10,FALSE)</f>
        <v>0</v>
      </c>
      <c r="AC192" s="12">
        <f>IF(Tableau4[[#This Row],[sdom]]="3EST",1,0)</f>
        <v>0</v>
      </c>
      <c r="AD192" s="12">
        <f>VLOOKUP(Tableau4[[#This Row],[essence]],Tableau6[],11,FALSE)</f>
        <v>0.71960000000000002</v>
      </c>
      <c r="AE192" s="12">
        <f>IF(Tableau4[[#This Row],[sdom]]="3OUEST",1,0)</f>
        <v>0</v>
      </c>
      <c r="AF192" s="12">
        <f>VLOOKUP(Tableau4[[#This Row],[essence]],Tableau6[],12,FALSE)</f>
        <v>-2.81E-2</v>
      </c>
      <c r="AG192" s="12">
        <f>IF(Tableau4[[#This Row],[sdom]]="4EST",1,0)</f>
        <v>0</v>
      </c>
      <c r="AH192" s="12">
        <f>VLOOKUP(Tableau4[[#This Row],[essence]],Tableau6[],13,FALSE)</f>
        <v>0.23519999999999999</v>
      </c>
      <c r="AI192" s="12">
        <f>IF(Tableau4[[#This Row],[sdom]]="4OUEST",1,0)</f>
        <v>0</v>
      </c>
      <c r="AJ192" s="12">
        <f>VLOOKUP(Tableau4[[#This Row],[essence]],Tableau6[],14,FALSE)</f>
        <v>0.24660000000000001</v>
      </c>
      <c r="AK192" s="12">
        <f>IF(Tableau4[[#This Row],[sdom]]="5EST",1,0)</f>
        <v>1</v>
      </c>
      <c r="AL192" s="12">
        <f>VLOOKUP(Tableau4[[#This Row],[essence]],Tableau6[],17,FALSE)</f>
        <v>0</v>
      </c>
      <c r="AM192" s="12">
        <f>IF(Tableau4[[#This Row],[priorecol]]="C",1,0)</f>
        <v>0</v>
      </c>
      <c r="AN192" s="12">
        <f>VLOOKUP(Tableau4[[#This Row],[essence]],Tableau6[],18,FALSE)</f>
        <v>0</v>
      </c>
      <c r="AO192" s="12">
        <f>IF(Tableau4[[#This Row],[priorecol]]="R",1,0)</f>
        <v>1</v>
      </c>
      <c r="AP192" s="12">
        <f>VLOOKUP(Tableau4[[#This Row],[essence]],Tableau6[],19,FALSE)</f>
        <v>0</v>
      </c>
      <c r="AQ192" s="12">
        <f>IF(Tableau4[[#This Row],[priorecol]]="S",1,0)</f>
        <v>0</v>
      </c>
      <c r="AR192" s="12">
        <f>VLOOKUP(Tableau4[[#This Row],[essence]],Tableau6[],21,FALSE)</f>
        <v>0</v>
      </c>
      <c r="AS192" s="12">
        <f>IF(Tableau4[[#This Row],[priorecol]]="C",1,0)</f>
        <v>0</v>
      </c>
      <c r="AT192" s="12">
        <f>VLOOKUP(Tableau4[[#This Row],[essence]],Tableau6[],22,FALSE)</f>
        <v>0</v>
      </c>
      <c r="AU192" s="12">
        <f>IF(Tableau4[[#This Row],[priorecol]]="R",1,0)</f>
        <v>1</v>
      </c>
      <c r="AV192" s="12">
        <f>VLOOKUP(Tableau4[[#This Row],[essence]],Tableau6[],23,FALSE)</f>
        <v>0</v>
      </c>
      <c r="AW192" s="12">
        <f>IF(Tableau4[[#This Row],[priorecol]]="S",1,0)</f>
        <v>0</v>
      </c>
      <c r="AX192" s="12">
        <f>VLOOKUP(Tableau4[[#This Row],[essence]],Tableau6[],24,FALSE)</f>
        <v>0</v>
      </c>
      <c r="AY192" s="12">
        <f>VLOOKUP(Tableau4[[#This Row],[essence]],Tableau6[],25,FALSE)</f>
        <v>0</v>
      </c>
      <c r="AZ192" s="12">
        <f>VLOOKUP(Tableau4[[#This Row],[essence]],Tableau6[],26,FALSE)</f>
        <v>0</v>
      </c>
      <c r="BA192" s="12">
        <f>VLOOKUP(Tableau4[[#This Row],[essence]],Tableau6[],27,FALSE)</f>
        <v>0</v>
      </c>
      <c r="BB192" s="12">
        <f>VLOOKUP(Tableau4[[#This Row],[essence]],Tableau6[],16,FALSE)</f>
        <v>-2.6700000000000001E-3</v>
      </c>
      <c r="BC192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0.3427</v>
      </c>
      <c r="BD192" s="12">
        <f>Tableau4[[#This Row],[xb_]]+Tableau4[[#This Row],[b_intercept_C]]+Tableau4[[#This Row],[b_dhpcm_x_intercept_C]]*Tableau4[[#This Row],[dhpcm]]</f>
        <v>3.3255999999999997</v>
      </c>
      <c r="BE192" s="12">
        <f>Tableau4[[#This Row],[xb_]]+Tableau4[[#This Row],[b_intercept_B]]+Tableau4[[#This Row],[b_dhpcm_x_intercept_B]]*Tableau4[[#This Row],[dhpcm]]</f>
        <v>2.0888</v>
      </c>
      <c r="BF192" s="12">
        <f>Tableau4[[#This Row],[xb_]]+Tableau4[[#This Row],[b_intercept_A]]+Tableau4[[#This Row],[b_dhpcm_x_intercept_A]]*Tableau4[[#This Row],[dhpcm]]</f>
        <v>1.0561</v>
      </c>
      <c r="BG192" s="12">
        <f>1/(1+EXP(-Tableau4[[#This Row],[xb_c]]))</f>
        <v>0.96529667548118869</v>
      </c>
      <c r="BH192" s="12">
        <f>1/(1+EXP(-Tableau4[[#This Row],[xb_b]]))</f>
        <v>0.88980982270039388</v>
      </c>
      <c r="BI192" s="12">
        <f>1/(1+EXP(-Tableau4[[#This Row],[xb_a]]))</f>
        <v>0.74194454509721308</v>
      </c>
      <c r="BJ192" s="12">
        <f>Tableau4[[#This Row],[prob_a]]</f>
        <v>0.74194454509721308</v>
      </c>
      <c r="BK192" s="12">
        <f>Tableau4[[#This Row],[prob_b]]-Tableau4[[#This Row],[prob_a]]</f>
        <v>0.1478652776031808</v>
      </c>
      <c r="BL192" s="12">
        <f>Tableau4[[#This Row],[prob_c]]-Tableau4[[#This Row],[prob_b]]</f>
        <v>7.5486852780794811E-2</v>
      </c>
      <c r="BM192" s="12">
        <f>1-Tableau4[[#This Row],[prob_c]]</f>
        <v>3.4703324518811307E-2</v>
      </c>
    </row>
    <row r="193" spans="1:65" x14ac:dyDescent="0.25">
      <c r="A193" s="16">
        <v>8</v>
      </c>
      <c r="B193" s="16" t="s">
        <v>16</v>
      </c>
      <c r="C193" s="16">
        <v>2.1</v>
      </c>
      <c r="D193" s="16">
        <v>700</v>
      </c>
      <c r="E193" s="16">
        <v>20</v>
      </c>
      <c r="F193" s="16">
        <v>1</v>
      </c>
      <c r="G193" s="16">
        <v>72</v>
      </c>
      <c r="H193" s="16">
        <v>231</v>
      </c>
      <c r="I193" s="16" t="s">
        <v>26</v>
      </c>
      <c r="J193" s="16" t="s">
        <v>29</v>
      </c>
      <c r="K193" s="16">
        <f>VLOOKUP(Tableau4[[#This Row],[essence]],Tableau6[],2,FALSE)</f>
        <v>0.71340000000000003</v>
      </c>
      <c r="L193" s="12">
        <f>VLOOKUP(Tableau4[[#This Row],[essence]],Tableau6[],3,FALSE)</f>
        <v>1.7461</v>
      </c>
      <c r="M193" s="12">
        <f>VLOOKUP(Tableau4[[#This Row],[essence]],Tableau6[],4,FALSE)</f>
        <v>2.9828999999999999</v>
      </c>
      <c r="N193" s="12">
        <f>VLOOKUP(Tableau4[[#This Row],[essence]],Tableau6[],5,FALSE)</f>
        <v>1.5659000000000001</v>
      </c>
      <c r="O193" s="12">
        <f>IF(Tableau4[[#This Row],[priorecol]]="C",1,0)</f>
        <v>0</v>
      </c>
      <c r="P193" s="12">
        <f>VLOOKUP(Tableau4[[#This Row],[essence]],Tableau6[],6,FALSE)</f>
        <v>1.9651000000000001</v>
      </c>
      <c r="Q193" s="12">
        <f>IF(Tableau4[[#This Row],[priorecol]]="R",1,0)</f>
        <v>0</v>
      </c>
      <c r="R193" s="12">
        <f>VLOOKUP(Tableau4[[#This Row],[essence]],Tableau6[],7,FALSE)</f>
        <v>1.1892</v>
      </c>
      <c r="S193" s="12">
        <f>IF(Tableau4[[#This Row],[priorecol]]="S",1,0)</f>
        <v>1</v>
      </c>
      <c r="T193" s="12">
        <f>VLOOKUP(Tableau4[[#This Row],[essence]],Tableau6[],20,FALSE)</f>
        <v>0</v>
      </c>
      <c r="U193" s="12">
        <f>VLOOKUP(Tableau4[[#This Row],[essence]],Tableau6[],15,FALSE)</f>
        <v>0</v>
      </c>
      <c r="V193" s="12">
        <f>VLOOKUP(Tableau4[[#This Row],[essence]],Tableau6[],28,FALSE)</f>
        <v>0</v>
      </c>
      <c r="W193" s="12">
        <f>IF(Tableau4[[#This Row],[sdom]]=1,1,0)</f>
        <v>0</v>
      </c>
      <c r="X193" s="12">
        <f>VLOOKUP(Tableau4[[#This Row],[essence]],Tableau6[],8,FALSE)</f>
        <v>0</v>
      </c>
      <c r="Y193" s="12">
        <f>IF(Tableau4[[#This Row],[sdom]]="2EST",1,0)</f>
        <v>0</v>
      </c>
      <c r="Z193" s="12">
        <f>VLOOKUP(Tableau4[[#This Row],[essence]],Tableau6[],9,FALSE)</f>
        <v>0</v>
      </c>
      <c r="AA193" s="12">
        <f>IF(Tableau4[[#This Row],[sdom]]="2OUEST",1,0)</f>
        <v>0</v>
      </c>
      <c r="AB193" s="12">
        <f>VLOOKUP(Tableau4[[#This Row],[essence]],Tableau6[],10,FALSE)</f>
        <v>0</v>
      </c>
      <c r="AC193" s="12">
        <f>IF(Tableau4[[#This Row],[sdom]]="3EST",1,0)</f>
        <v>0</v>
      </c>
      <c r="AD193" s="12">
        <f>VLOOKUP(Tableau4[[#This Row],[essence]],Tableau6[],11,FALSE)</f>
        <v>0.71960000000000002</v>
      </c>
      <c r="AE193" s="12">
        <f>IF(Tableau4[[#This Row],[sdom]]="3OUEST",1,0)</f>
        <v>0</v>
      </c>
      <c r="AF193" s="12">
        <f>VLOOKUP(Tableau4[[#This Row],[essence]],Tableau6[],12,FALSE)</f>
        <v>-2.81E-2</v>
      </c>
      <c r="AG193" s="12">
        <f>IF(Tableau4[[#This Row],[sdom]]="4EST",1,0)</f>
        <v>0</v>
      </c>
      <c r="AH193" s="12">
        <f>VLOOKUP(Tableau4[[#This Row],[essence]],Tableau6[],13,FALSE)</f>
        <v>0.23519999999999999</v>
      </c>
      <c r="AI193" s="12">
        <f>IF(Tableau4[[#This Row],[sdom]]="4OUEST",1,0)</f>
        <v>0</v>
      </c>
      <c r="AJ193" s="12">
        <f>VLOOKUP(Tableau4[[#This Row],[essence]],Tableau6[],14,FALSE)</f>
        <v>0.24660000000000001</v>
      </c>
      <c r="AK193" s="12">
        <f>IF(Tableau4[[#This Row],[sdom]]="5EST",1,0)</f>
        <v>1</v>
      </c>
      <c r="AL193" s="12">
        <f>VLOOKUP(Tableau4[[#This Row],[essence]],Tableau6[],17,FALSE)</f>
        <v>0</v>
      </c>
      <c r="AM193" s="12">
        <f>IF(Tableau4[[#This Row],[priorecol]]="C",1,0)</f>
        <v>0</v>
      </c>
      <c r="AN193" s="12">
        <f>VLOOKUP(Tableau4[[#This Row],[essence]],Tableau6[],18,FALSE)</f>
        <v>0</v>
      </c>
      <c r="AO193" s="12">
        <f>IF(Tableau4[[#This Row],[priorecol]]="R",1,0)</f>
        <v>0</v>
      </c>
      <c r="AP193" s="12">
        <f>VLOOKUP(Tableau4[[#This Row],[essence]],Tableau6[],19,FALSE)</f>
        <v>0</v>
      </c>
      <c r="AQ193" s="12">
        <f>IF(Tableau4[[#This Row],[priorecol]]="S",1,0)</f>
        <v>1</v>
      </c>
      <c r="AR193" s="12">
        <f>VLOOKUP(Tableau4[[#This Row],[essence]],Tableau6[],21,FALSE)</f>
        <v>0</v>
      </c>
      <c r="AS193" s="12">
        <f>IF(Tableau4[[#This Row],[priorecol]]="C",1,0)</f>
        <v>0</v>
      </c>
      <c r="AT193" s="12">
        <f>VLOOKUP(Tableau4[[#This Row],[essence]],Tableau6[],22,FALSE)</f>
        <v>0</v>
      </c>
      <c r="AU193" s="12">
        <f>IF(Tableau4[[#This Row],[priorecol]]="R",1,0)</f>
        <v>0</v>
      </c>
      <c r="AV193" s="12">
        <f>VLOOKUP(Tableau4[[#This Row],[essence]],Tableau6[],23,FALSE)</f>
        <v>0</v>
      </c>
      <c r="AW193" s="12">
        <f>IF(Tableau4[[#This Row],[priorecol]]="S",1,0)</f>
        <v>1</v>
      </c>
      <c r="AX193" s="12">
        <f>VLOOKUP(Tableau4[[#This Row],[essence]],Tableau6[],24,FALSE)</f>
        <v>0</v>
      </c>
      <c r="AY193" s="12">
        <f>VLOOKUP(Tableau4[[#This Row],[essence]],Tableau6[],25,FALSE)</f>
        <v>0</v>
      </c>
      <c r="AZ193" s="12">
        <f>VLOOKUP(Tableau4[[#This Row],[essence]],Tableau6[],26,FALSE)</f>
        <v>0</v>
      </c>
      <c r="BA193" s="12">
        <f>VLOOKUP(Tableau4[[#This Row],[essence]],Tableau6[],27,FALSE)</f>
        <v>0</v>
      </c>
      <c r="BB193" s="12">
        <f>VLOOKUP(Tableau4[[#This Row],[essence]],Tableau6[],16,FALSE)</f>
        <v>-2.6700000000000001E-3</v>
      </c>
      <c r="BC193" s="12">
        <f>Tableau4[[#This Row],[b_priorecol_C]]*Tableau4[[#This Row],[uPC]]+Tableau4[[#This Row],[b_priorecol_R]]*Tableau4[[#This Row],[uPR]]+Tableau4[[#This Row],[b_priorecol_S]]*Tableau4[[#This Row],[uPS]]+Tableau4[[#This Row],[b_dhpcm]]*Tableau4[[#This Row],[dhpcm]]+Tableau4[[#This Row],[b_sum_st_ha]]*Tableau4[[#This Row],[sum_st_ha]]+Tableau4[[#This Row],[b_sdom_1]]*Tableau4[[#This Row],[u1]]+Tableau4[[#This Row],[b_sdom_2EST]]*Tableau4[[#This Row],[u2e]]+Tableau4[[#This Row],[b_sdom_2OUEST]]*Tableau4[[#This Row],[u2o]]+Tableau4[[#This Row],[b_sdom_3EST]]*Tableau4[[#This Row],[u3e]]+Tableau4[[#This Row],[b_sdom_3OUEST]]*Tableau4[[#This Row],[u3o]]+Tableau4[[#This Row],[b_sdom_4EST]]*Tableau4[[#This Row],[u4e]]+Tableau4[[#This Row],[b_sdom_4OUEST]]*Tableau4[[#This Row],[u4o]]+Tableau4[[#This Row],[b_sdom_5EST]]*Tableau4[[#This Row],[u5e]]+Tableau4[[#This Row],[b_sum_st_ha*priorecol_C]]*Tableau4[[#This Row],[uspc]]*Tableau4[[#This Row],[sum_st_ha]]+Tableau4[[#This Row],[b_sum_st_ha*priorecol_R]]*Tableau4[[#This Row],[uspr]]*Tableau4[[#This Row],[sum_st_ha]]+Tableau4[[#This Row],[b_sum_st_ha*priorecol_S]]*Tableau4[[#This Row],[usps]]*Tableau4[[#This Row],[sum_st_ha]]+Tableau4[[#This Row],[b_dhpcm*priorecol_C]]*Tableau4[[#This Row],[udpc]]*Tableau4[[#This Row],[dhpcm]]+Tableau4[[#This Row],[b_dhpcm*priorecol_R]]*Tableau4[[#This Row],[udpr]]*Tableau4[[#This Row],[dhpcm]]+Tableau4[[#This Row],[b_dhpcm*priorecol_S]]*Tableau4[[#This Row],[udps]]*Tableau4[[#This Row],[dhpcm]]+Tableau4[[#This Row],[b_tmoy]]*Tableau4[[#This Row],[tmoy]]+Tableau4[[#This Row],[b_ptot]]*Tableau4[[#This Row],[ptot]]</f>
        <v>-0.43320000000000003</v>
      </c>
      <c r="BD193" s="12">
        <f>Tableau4[[#This Row],[xb_]]+Tableau4[[#This Row],[b_intercept_C]]+Tableau4[[#This Row],[b_dhpcm_x_intercept_C]]*Tableau4[[#This Row],[dhpcm]]</f>
        <v>2.5496999999999996</v>
      </c>
      <c r="BE193" s="12">
        <f>Tableau4[[#This Row],[xb_]]+Tableau4[[#This Row],[b_intercept_B]]+Tableau4[[#This Row],[b_dhpcm_x_intercept_B]]*Tableau4[[#This Row],[dhpcm]]</f>
        <v>1.3129</v>
      </c>
      <c r="BF193" s="12">
        <f>Tableau4[[#This Row],[xb_]]+Tableau4[[#This Row],[b_intercept_A]]+Tableau4[[#This Row],[b_dhpcm_x_intercept_A]]*Tableau4[[#This Row],[dhpcm]]</f>
        <v>0.2802</v>
      </c>
      <c r="BG193" s="12">
        <f>1/(1+EXP(-Tableau4[[#This Row],[xb_c]]))</f>
        <v>0.92755335778619863</v>
      </c>
      <c r="BH193" s="12">
        <f>1/(1+EXP(-Tableau4[[#This Row],[xb_b]]))</f>
        <v>0.78799802619559345</v>
      </c>
      <c r="BI193" s="12">
        <f>1/(1+EXP(-Tableau4[[#This Row],[xb_a]]))</f>
        <v>0.56959525592161486</v>
      </c>
      <c r="BJ193" s="12">
        <f>Tableau4[[#This Row],[prob_a]]</f>
        <v>0.56959525592161486</v>
      </c>
      <c r="BK193" s="12">
        <f>Tableau4[[#This Row],[prob_b]]-Tableau4[[#This Row],[prob_a]]</f>
        <v>0.21840277027397859</v>
      </c>
      <c r="BL193" s="12">
        <f>Tableau4[[#This Row],[prob_c]]-Tableau4[[#This Row],[prob_b]]</f>
        <v>0.13955533159060518</v>
      </c>
      <c r="BM193" s="12">
        <f>1-Tableau4[[#This Row],[prob_c]]</f>
        <v>7.2446642213801371E-2</v>
      </c>
    </row>
    <row r="195" spans="1:65" x14ac:dyDescent="0.25">
      <c r="A195" s="16">
        <v>1</v>
      </c>
      <c r="B195" s="16">
        <v>2</v>
      </c>
      <c r="C195" s="16">
        <v>3</v>
      </c>
      <c r="D195" s="16">
        <v>4</v>
      </c>
      <c r="E195" s="16">
        <v>5</v>
      </c>
      <c r="F195" s="16">
        <v>6</v>
      </c>
      <c r="G195" s="16">
        <v>7</v>
      </c>
      <c r="H195" s="16">
        <v>8</v>
      </c>
      <c r="I195" s="16">
        <v>9</v>
      </c>
      <c r="J195" s="16">
        <v>10</v>
      </c>
      <c r="K195" s="16">
        <v>11</v>
      </c>
      <c r="L195" s="16">
        <v>12</v>
      </c>
      <c r="M195" s="16">
        <v>13</v>
      </c>
      <c r="N195" s="16">
        <v>14</v>
      </c>
      <c r="O195" s="16">
        <v>15</v>
      </c>
      <c r="P195" s="16">
        <v>16</v>
      </c>
      <c r="Q195" s="16">
        <v>17</v>
      </c>
      <c r="R195" s="16">
        <v>18</v>
      </c>
      <c r="S195" s="16">
        <v>19</v>
      </c>
      <c r="T195" s="16">
        <v>20</v>
      </c>
      <c r="U195" s="16">
        <v>21</v>
      </c>
      <c r="V195" s="16">
        <v>22</v>
      </c>
      <c r="W195" s="16">
        <v>23</v>
      </c>
      <c r="X195" s="16">
        <v>24</v>
      </c>
      <c r="Y195" s="16">
        <v>25</v>
      </c>
      <c r="Z195" s="16">
        <v>26</v>
      </c>
      <c r="AA195" s="16">
        <v>27</v>
      </c>
      <c r="AB195" s="16">
        <v>28</v>
      </c>
      <c r="AC195" s="16"/>
      <c r="AD195" s="16"/>
    </row>
    <row r="196" spans="1:65" x14ac:dyDescent="0.25">
      <c r="A196" s="6" t="s">
        <v>8</v>
      </c>
      <c r="B196" s="6" t="s">
        <v>87</v>
      </c>
      <c r="C196" s="6" t="s">
        <v>77</v>
      </c>
      <c r="D196" s="6" t="s">
        <v>30</v>
      </c>
      <c r="E196" s="6" t="s">
        <v>31</v>
      </c>
      <c r="F196" s="6" t="s">
        <v>32</v>
      </c>
      <c r="G196" s="6" t="s">
        <v>33</v>
      </c>
      <c r="H196" s="6" t="s">
        <v>37</v>
      </c>
      <c r="I196" s="6" t="s">
        <v>38</v>
      </c>
      <c r="J196" s="6" t="s">
        <v>39</v>
      </c>
      <c r="K196" s="6" t="s">
        <v>40</v>
      </c>
      <c r="L196" s="6" t="s">
        <v>41</v>
      </c>
      <c r="M196" s="6" t="s">
        <v>42</v>
      </c>
      <c r="N196" s="6" t="s">
        <v>43</v>
      </c>
      <c r="O196" s="6" t="s">
        <v>35</v>
      </c>
      <c r="P196" s="6" t="s">
        <v>88</v>
      </c>
      <c r="Q196" s="6" t="s">
        <v>78</v>
      </c>
      <c r="R196" s="6" t="s">
        <v>79</v>
      </c>
      <c r="S196" s="6" t="s">
        <v>80</v>
      </c>
      <c r="T196" s="6" t="s">
        <v>34</v>
      </c>
      <c r="U196" s="6" t="s">
        <v>67</v>
      </c>
      <c r="V196" s="6" t="s">
        <v>68</v>
      </c>
      <c r="W196" s="6" t="s">
        <v>69</v>
      </c>
      <c r="X196" s="6" t="s">
        <v>89</v>
      </c>
      <c r="Y196" s="6" t="s">
        <v>90</v>
      </c>
      <c r="Z196" s="6" t="s">
        <v>91</v>
      </c>
      <c r="AA196" s="6" t="s">
        <v>66</v>
      </c>
      <c r="AB196" s="6" t="s">
        <v>36</v>
      </c>
    </row>
    <row r="197" spans="1:65" x14ac:dyDescent="0.25">
      <c r="A197" s="7" t="s">
        <v>19</v>
      </c>
      <c r="B197" s="8">
        <v>-1.7937000000000001</v>
      </c>
      <c r="C197" s="8">
        <v>-0.68110000000000004</v>
      </c>
      <c r="D197" s="8">
        <v>0.82179999999999997</v>
      </c>
      <c r="E197" s="8">
        <v>1.5014000000000001</v>
      </c>
      <c r="F197" s="8">
        <v>2.3875000000000002</v>
      </c>
      <c r="G197" s="8">
        <v>0.94669999999999999</v>
      </c>
      <c r="H197" s="8">
        <v>9.4399999999999998E-2</v>
      </c>
      <c r="I197" s="8">
        <v>-0.40260000000000001</v>
      </c>
      <c r="J197" s="8">
        <v>-3.5699999999999998E-3</v>
      </c>
      <c r="K197" s="8">
        <v>0.14949999999999999</v>
      </c>
      <c r="L197" s="8">
        <v>-0.1822</v>
      </c>
      <c r="M197" s="8">
        <v>-0.1013</v>
      </c>
      <c r="N197" s="8">
        <v>-0.33779999999999999</v>
      </c>
      <c r="O197" s="8">
        <v>6.4000000000000003E-3</v>
      </c>
      <c r="P197" s="8">
        <v>-4.8999999999999998E-4</v>
      </c>
      <c r="Q197" s="8">
        <v>1.03E-2</v>
      </c>
      <c r="R197" s="8">
        <v>1.23E-2</v>
      </c>
      <c r="S197" s="8">
        <v>1.2800000000000001E-2</v>
      </c>
      <c r="T197" s="10"/>
      <c r="U197" s="10"/>
      <c r="V197" s="10"/>
      <c r="W197" s="10"/>
      <c r="X197" s="9"/>
      <c r="Y197" s="9"/>
      <c r="Z197" s="9"/>
      <c r="AA197" s="9"/>
      <c r="AB197" s="10"/>
    </row>
    <row r="198" spans="1:65" x14ac:dyDescent="0.25">
      <c r="A198" s="7" t="s">
        <v>20</v>
      </c>
      <c r="B198" s="8">
        <v>1.0688</v>
      </c>
      <c r="C198" s="8">
        <v>2.0478000000000001</v>
      </c>
      <c r="D198" s="8">
        <v>3.3382999999999998</v>
      </c>
      <c r="E198" s="8">
        <v>-1.2143999999999999</v>
      </c>
      <c r="F198" s="8">
        <v>-1.2690999999999999</v>
      </c>
      <c r="G198" s="8">
        <v>-7.1900000000000006E-2</v>
      </c>
      <c r="H198" s="10"/>
      <c r="I198" s="10"/>
      <c r="J198" s="10"/>
      <c r="K198" s="10"/>
      <c r="L198" s="10"/>
      <c r="M198" s="10"/>
      <c r="N198" s="10"/>
      <c r="O198" s="8">
        <v>1.4200000000000001E-2</v>
      </c>
      <c r="P198" s="8">
        <v>-1.33E-3</v>
      </c>
      <c r="Q198" s="10"/>
      <c r="R198" s="10"/>
      <c r="S198" s="10"/>
      <c r="T198" s="8">
        <v>-3.04E-2</v>
      </c>
      <c r="U198" s="8">
        <v>5.4600000000000003E-2</v>
      </c>
      <c r="V198" s="8">
        <v>6.7900000000000002E-2</v>
      </c>
      <c r="W198" s="8">
        <v>1.8700000000000001E-2</v>
      </c>
      <c r="X198" s="9"/>
      <c r="Y198" s="9"/>
      <c r="Z198" s="9"/>
      <c r="AA198" s="9"/>
      <c r="AB198" s="10"/>
    </row>
    <row r="199" spans="1:65" x14ac:dyDescent="0.25">
      <c r="A199" s="7" t="s">
        <v>21</v>
      </c>
      <c r="B199" s="8">
        <v>-2.4091999999999998</v>
      </c>
      <c r="C199" s="8">
        <v>-1.3315999999999999</v>
      </c>
      <c r="D199" s="8">
        <v>0.2475</v>
      </c>
      <c r="E199" s="8">
        <v>1.9658</v>
      </c>
      <c r="F199" s="8">
        <v>2.8807</v>
      </c>
      <c r="G199" s="8">
        <v>1.1791</v>
      </c>
      <c r="H199" s="10"/>
      <c r="I199" s="10"/>
      <c r="J199" s="10"/>
      <c r="K199" s="10"/>
      <c r="L199" s="10"/>
      <c r="M199" s="10"/>
      <c r="N199" s="10"/>
      <c r="O199" s="8">
        <v>2.4500000000000001E-2</v>
      </c>
      <c r="P199" s="10"/>
      <c r="Q199" s="10"/>
      <c r="R199" s="10"/>
      <c r="S199" s="10"/>
      <c r="T199" s="10"/>
      <c r="U199" s="10"/>
      <c r="V199" s="10"/>
      <c r="W199" s="10"/>
      <c r="X199" s="9"/>
      <c r="Y199" s="9"/>
      <c r="Z199" s="9"/>
      <c r="AA199" s="9"/>
      <c r="AB199" s="10"/>
    </row>
    <row r="200" spans="1:65" x14ac:dyDescent="0.25">
      <c r="A200" s="7" t="s">
        <v>22</v>
      </c>
      <c r="B200" s="8">
        <v>-3.5731999999999999</v>
      </c>
      <c r="C200" s="8">
        <v>-1.9289000000000001</v>
      </c>
      <c r="D200" s="8">
        <v>0.40949999999999998</v>
      </c>
      <c r="E200" s="8">
        <v>2.0705</v>
      </c>
      <c r="F200" s="8">
        <v>2.9992999999999999</v>
      </c>
      <c r="G200" s="8">
        <v>1.3050999999999999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7">
        <v>-2.1000000000000001E-4</v>
      </c>
      <c r="Y200" s="7">
        <v>-1.34E-2</v>
      </c>
      <c r="Z200" s="7">
        <v>-2.8899999999999999E-2</v>
      </c>
      <c r="AA200" s="7">
        <v>0.2873</v>
      </c>
      <c r="AB200" s="10"/>
    </row>
    <row r="201" spans="1:65" x14ac:dyDescent="0.25">
      <c r="A201" s="7" t="s">
        <v>23</v>
      </c>
      <c r="B201" s="8">
        <v>-1.6034999999999999</v>
      </c>
      <c r="C201" s="8">
        <v>-0.41120000000000001</v>
      </c>
      <c r="D201" s="8">
        <v>1.1791</v>
      </c>
      <c r="E201" s="8">
        <v>-0.48980000000000001</v>
      </c>
      <c r="F201" s="8">
        <v>-3.5700000000000003E-2</v>
      </c>
      <c r="G201" s="8">
        <v>0.1021</v>
      </c>
      <c r="H201" s="8">
        <v>0.83450000000000002</v>
      </c>
      <c r="I201" s="8">
        <v>0.94689999999999996</v>
      </c>
      <c r="J201" s="8">
        <v>0.62780000000000002</v>
      </c>
      <c r="K201" s="8">
        <v>0.95940000000000003</v>
      </c>
      <c r="L201" s="8">
        <v>0.49719999999999998</v>
      </c>
      <c r="M201" s="8">
        <v>0.37669999999999998</v>
      </c>
      <c r="N201" s="10"/>
      <c r="O201" s="8">
        <v>7.4200000000000004E-3</v>
      </c>
      <c r="P201" s="10"/>
      <c r="Q201" s="8">
        <v>2.8E-3</v>
      </c>
      <c r="R201" s="8">
        <v>-2.2499999999999999E-2</v>
      </c>
      <c r="S201" s="8">
        <v>3.0699999999999998E-3</v>
      </c>
      <c r="T201" s="8">
        <v>-3.3500000000000002E-2</v>
      </c>
      <c r="U201" s="8">
        <v>5.2400000000000002E-2</v>
      </c>
      <c r="V201" s="8">
        <v>7.7799999999999994E-2</v>
      </c>
      <c r="W201" s="8">
        <v>1.9E-2</v>
      </c>
      <c r="X201" s="9"/>
      <c r="Y201" s="9"/>
      <c r="Z201" s="9"/>
      <c r="AA201" s="9"/>
      <c r="AB201" s="8">
        <v>1.071</v>
      </c>
    </row>
    <row r="202" spans="1:65" x14ac:dyDescent="0.25">
      <c r="A202" s="7" t="s">
        <v>24</v>
      </c>
      <c r="B202" s="8">
        <v>0.5262</v>
      </c>
      <c r="C202" s="8">
        <v>1.3954</v>
      </c>
      <c r="D202" s="8">
        <v>2.8633000000000002</v>
      </c>
      <c r="E202" s="8">
        <v>1.4995000000000001</v>
      </c>
      <c r="F202" s="8">
        <v>2.5129000000000001</v>
      </c>
      <c r="G202" s="8">
        <v>0.88009999999999999</v>
      </c>
      <c r="H202" s="8">
        <v>-0.32929999999999998</v>
      </c>
      <c r="I202" s="10"/>
      <c r="J202" s="10"/>
      <c r="K202" s="10"/>
      <c r="L202" s="10"/>
      <c r="M202" s="10"/>
      <c r="N202" s="10"/>
      <c r="O202" s="8">
        <v>2.9000000000000001E-2</v>
      </c>
      <c r="P202" s="8">
        <v>-2.0699999999999998E-3</v>
      </c>
      <c r="Q202" s="10"/>
      <c r="R202" s="10"/>
      <c r="S202" s="10"/>
      <c r="T202" s="10"/>
      <c r="U202" s="10"/>
      <c r="V202" s="10"/>
      <c r="W202" s="10"/>
      <c r="X202" s="9"/>
      <c r="Y202" s="9"/>
      <c r="Z202" s="9"/>
      <c r="AA202" s="9"/>
      <c r="AB202" s="8">
        <v>-0.43919999999999998</v>
      </c>
    </row>
    <row r="203" spans="1:65" x14ac:dyDescent="0.25">
      <c r="A203" s="7" t="s">
        <v>25</v>
      </c>
      <c r="B203" s="8">
        <v>-4.3875000000000002</v>
      </c>
      <c r="C203" s="8">
        <v>-3.0411999999999999</v>
      </c>
      <c r="D203" s="8">
        <v>-1.2259</v>
      </c>
      <c r="E203" s="8">
        <v>1.7715000000000001</v>
      </c>
      <c r="F203" s="8">
        <v>2.6688000000000001</v>
      </c>
      <c r="G203" s="8">
        <v>1.5728</v>
      </c>
      <c r="H203" s="8">
        <v>0.86129999999999995</v>
      </c>
      <c r="I203" s="8">
        <v>0.39550000000000002</v>
      </c>
      <c r="J203" s="8">
        <v>0.58989999999999998</v>
      </c>
      <c r="K203" s="8">
        <v>0.52759999999999996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9"/>
      <c r="Y203" s="9"/>
      <c r="Z203" s="9"/>
      <c r="AA203" s="9"/>
      <c r="AB203" s="10"/>
    </row>
    <row r="204" spans="1:65" x14ac:dyDescent="0.25">
      <c r="A204" s="7" t="s">
        <v>26</v>
      </c>
      <c r="B204" s="8">
        <v>0.71340000000000003</v>
      </c>
      <c r="C204" s="8">
        <v>1.7461</v>
      </c>
      <c r="D204" s="8">
        <v>2.9828999999999999</v>
      </c>
      <c r="E204" s="8">
        <v>1.5659000000000001</v>
      </c>
      <c r="F204" s="8">
        <v>1.9651000000000001</v>
      </c>
      <c r="G204" s="8">
        <v>1.1892</v>
      </c>
      <c r="H204" s="10"/>
      <c r="I204" s="10"/>
      <c r="J204" s="10"/>
      <c r="K204" s="8">
        <v>0.71960000000000002</v>
      </c>
      <c r="L204" s="8">
        <v>-2.81E-2</v>
      </c>
      <c r="M204" s="8">
        <v>0.23519999999999999</v>
      </c>
      <c r="N204" s="8">
        <v>0.24660000000000001</v>
      </c>
      <c r="O204" s="10"/>
      <c r="P204" s="8">
        <v>-2.6700000000000001E-3</v>
      </c>
      <c r="Q204" s="10"/>
      <c r="R204" s="10"/>
      <c r="S204" s="10"/>
      <c r="T204" s="10"/>
      <c r="U204" s="10"/>
      <c r="V204" s="10"/>
      <c r="W204" s="10"/>
      <c r="X204" s="9"/>
      <c r="Y204" s="9"/>
      <c r="Z204" s="9"/>
      <c r="AA204" s="9"/>
      <c r="AB204" s="10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DF14-E435-4E65-A618-FFF8831F8CF7}">
  <dimension ref="A1:N625"/>
  <sheetViews>
    <sheetView tabSelected="1" workbookViewId="0">
      <selection activeCell="Q7" sqref="Q7"/>
    </sheetView>
  </sheetViews>
  <sheetFormatPr baseColWidth="10" defaultRowHeight="15" x14ac:dyDescent="0.25"/>
  <cols>
    <col min="5" max="5" width="12.5703125" customWidth="1"/>
  </cols>
  <sheetData>
    <row r="1" spans="1:14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5" t="s">
        <v>76</v>
      </c>
      <c r="L1" s="15" t="s">
        <v>75</v>
      </c>
      <c r="M1" s="15" t="s">
        <v>74</v>
      </c>
      <c r="N1" s="15" t="s">
        <v>73</v>
      </c>
    </row>
    <row r="2" spans="1:14" x14ac:dyDescent="0.25">
      <c r="A2">
        <v>1</v>
      </c>
      <c r="B2">
        <v>1</v>
      </c>
      <c r="C2">
        <v>2.1</v>
      </c>
      <c r="D2">
        <v>700</v>
      </c>
      <c r="E2">
        <v>20</v>
      </c>
      <c r="F2">
        <v>1</v>
      </c>
      <c r="G2">
        <v>1</v>
      </c>
      <c r="H2">
        <v>24</v>
      </c>
      <c r="I2" t="s">
        <v>19</v>
      </c>
      <c r="J2" t="s">
        <v>27</v>
      </c>
      <c r="K2" t="s">
        <v>98</v>
      </c>
      <c r="L2" t="s">
        <v>98</v>
      </c>
      <c r="M2">
        <v>0.88312894629101624</v>
      </c>
      <c r="N2" s="18">
        <v>0.11687105370898376</v>
      </c>
    </row>
    <row r="3" spans="1:14" x14ac:dyDescent="0.25">
      <c r="A3">
        <v>1</v>
      </c>
      <c r="B3">
        <v>1</v>
      </c>
      <c r="C3">
        <v>2.1</v>
      </c>
      <c r="D3">
        <v>700</v>
      </c>
      <c r="E3">
        <v>20</v>
      </c>
      <c r="F3">
        <v>1</v>
      </c>
      <c r="G3">
        <v>2</v>
      </c>
      <c r="H3">
        <v>25</v>
      </c>
      <c r="I3" t="s">
        <v>19</v>
      </c>
      <c r="J3" t="s">
        <v>28</v>
      </c>
      <c r="K3" t="s">
        <v>98</v>
      </c>
      <c r="L3" t="s">
        <v>98</v>
      </c>
      <c r="M3">
        <v>0.9703472751121156</v>
      </c>
      <c r="N3" s="18">
        <v>2.9652724887884396E-2</v>
      </c>
    </row>
    <row r="4" spans="1:14" x14ac:dyDescent="0.25">
      <c r="A4">
        <v>1</v>
      </c>
      <c r="B4">
        <v>1</v>
      </c>
      <c r="C4">
        <v>2.1</v>
      </c>
      <c r="D4">
        <v>700</v>
      </c>
      <c r="E4">
        <v>20</v>
      </c>
      <c r="F4">
        <v>1</v>
      </c>
      <c r="G4">
        <v>3</v>
      </c>
      <c r="H4">
        <v>26</v>
      </c>
      <c r="I4" t="s">
        <v>19</v>
      </c>
      <c r="J4" t="s">
        <v>29</v>
      </c>
      <c r="K4" t="s">
        <v>98</v>
      </c>
      <c r="L4" t="s">
        <v>98</v>
      </c>
      <c r="M4">
        <v>0.8185716319950741</v>
      </c>
      <c r="N4" s="18">
        <v>0.1814283680049259</v>
      </c>
    </row>
    <row r="5" spans="1:14" x14ac:dyDescent="0.25">
      <c r="A5">
        <v>1</v>
      </c>
      <c r="B5">
        <v>1</v>
      </c>
      <c r="C5">
        <v>2.1</v>
      </c>
      <c r="D5">
        <v>700</v>
      </c>
      <c r="E5">
        <v>20</v>
      </c>
      <c r="F5">
        <v>1</v>
      </c>
      <c r="G5">
        <v>4</v>
      </c>
      <c r="H5">
        <v>27</v>
      </c>
      <c r="I5" t="s">
        <v>20</v>
      </c>
      <c r="J5" t="s">
        <v>27</v>
      </c>
      <c r="K5" t="s">
        <v>98</v>
      </c>
      <c r="L5" t="s">
        <v>98</v>
      </c>
      <c r="M5">
        <v>0.85769549835640901</v>
      </c>
      <c r="N5" s="18">
        <v>0.14230450164359099</v>
      </c>
    </row>
    <row r="6" spans="1:14" x14ac:dyDescent="0.25">
      <c r="A6">
        <v>1</v>
      </c>
      <c r="B6">
        <v>1</v>
      </c>
      <c r="C6">
        <v>2.1</v>
      </c>
      <c r="D6">
        <v>700</v>
      </c>
      <c r="E6">
        <v>20</v>
      </c>
      <c r="F6">
        <v>1</v>
      </c>
      <c r="G6">
        <v>5</v>
      </c>
      <c r="H6">
        <v>28</v>
      </c>
      <c r="I6" t="s">
        <v>20</v>
      </c>
      <c r="J6" t="s">
        <v>28</v>
      </c>
      <c r="K6" t="s">
        <v>98</v>
      </c>
      <c r="L6" t="s">
        <v>98</v>
      </c>
      <c r="M6">
        <v>0.93083068128343971</v>
      </c>
      <c r="N6" s="18">
        <v>6.9169318716560291E-2</v>
      </c>
    </row>
    <row r="7" spans="1:14" x14ac:dyDescent="0.25">
      <c r="A7">
        <v>1</v>
      </c>
      <c r="B7">
        <v>1</v>
      </c>
      <c r="C7">
        <v>2.1</v>
      </c>
      <c r="D7">
        <v>700</v>
      </c>
      <c r="E7">
        <v>20</v>
      </c>
      <c r="F7">
        <v>1</v>
      </c>
      <c r="G7">
        <v>6</v>
      </c>
      <c r="H7">
        <v>29</v>
      </c>
      <c r="I7" t="s">
        <v>20</v>
      </c>
      <c r="J7" t="s">
        <v>29</v>
      </c>
      <c r="K7" t="s">
        <v>98</v>
      </c>
      <c r="L7" t="s">
        <v>98</v>
      </c>
      <c r="M7">
        <v>0.85582770508975592</v>
      </c>
      <c r="N7" s="18">
        <v>0.14417229491024408</v>
      </c>
    </row>
    <row r="8" spans="1:14" x14ac:dyDescent="0.25">
      <c r="A8">
        <v>1</v>
      </c>
      <c r="B8">
        <v>1</v>
      </c>
      <c r="C8">
        <v>2.1</v>
      </c>
      <c r="D8">
        <v>700</v>
      </c>
      <c r="E8">
        <v>20</v>
      </c>
      <c r="F8">
        <v>1</v>
      </c>
      <c r="G8">
        <v>7</v>
      </c>
      <c r="H8">
        <v>30</v>
      </c>
      <c r="I8" t="s">
        <v>21</v>
      </c>
      <c r="J8" t="s">
        <v>27</v>
      </c>
      <c r="K8" t="s">
        <v>98</v>
      </c>
      <c r="L8" t="s">
        <v>98</v>
      </c>
      <c r="M8">
        <v>0.96195141318727639</v>
      </c>
      <c r="N8" s="18">
        <v>3.8048586812723606E-2</v>
      </c>
    </row>
    <row r="9" spans="1:14" x14ac:dyDescent="0.25">
      <c r="A9">
        <v>1</v>
      </c>
      <c r="B9">
        <v>1</v>
      </c>
      <c r="C9">
        <v>2.1</v>
      </c>
      <c r="D9">
        <v>700</v>
      </c>
      <c r="E9">
        <v>20</v>
      </c>
      <c r="F9">
        <v>1</v>
      </c>
      <c r="G9">
        <v>8</v>
      </c>
      <c r="H9">
        <v>31</v>
      </c>
      <c r="I9" t="s">
        <v>21</v>
      </c>
      <c r="J9" t="s">
        <v>28</v>
      </c>
      <c r="K9" t="s">
        <v>98</v>
      </c>
      <c r="L9" t="s">
        <v>98</v>
      </c>
      <c r="M9">
        <v>0.99202233610776824</v>
      </c>
      <c r="N9" s="18">
        <v>7.9776638922317566E-3</v>
      </c>
    </row>
    <row r="10" spans="1:14" x14ac:dyDescent="0.25">
      <c r="A10">
        <v>1</v>
      </c>
      <c r="B10">
        <v>1</v>
      </c>
      <c r="C10">
        <v>2.1</v>
      </c>
      <c r="D10">
        <v>700</v>
      </c>
      <c r="E10">
        <v>20</v>
      </c>
      <c r="F10">
        <v>1</v>
      </c>
      <c r="G10">
        <v>9</v>
      </c>
      <c r="H10">
        <v>32</v>
      </c>
      <c r="I10" t="s">
        <v>21</v>
      </c>
      <c r="J10" t="s">
        <v>29</v>
      </c>
      <c r="K10" t="s">
        <v>98</v>
      </c>
      <c r="L10" t="s">
        <v>98</v>
      </c>
      <c r="M10">
        <v>0.88485178176202128</v>
      </c>
      <c r="N10" s="18">
        <v>0.11514821823797872</v>
      </c>
    </row>
    <row r="11" spans="1:14" x14ac:dyDescent="0.25">
      <c r="A11">
        <v>1</v>
      </c>
      <c r="B11">
        <v>1</v>
      </c>
      <c r="C11">
        <v>2.1</v>
      </c>
      <c r="D11">
        <v>700</v>
      </c>
      <c r="E11">
        <v>20</v>
      </c>
      <c r="F11">
        <v>1</v>
      </c>
      <c r="G11">
        <v>10</v>
      </c>
      <c r="H11">
        <v>33</v>
      </c>
      <c r="I11" t="s">
        <v>22</v>
      </c>
      <c r="J11" t="s">
        <v>27</v>
      </c>
      <c r="K11" t="s">
        <v>98</v>
      </c>
      <c r="L11" t="s">
        <v>98</v>
      </c>
      <c r="M11">
        <v>0.91605772338388314</v>
      </c>
      <c r="N11" s="18">
        <v>8.3942276616116862E-2</v>
      </c>
    </row>
    <row r="12" spans="1:14" x14ac:dyDescent="0.25">
      <c r="A12">
        <v>1</v>
      </c>
      <c r="B12">
        <v>1</v>
      </c>
      <c r="C12">
        <v>2.1</v>
      </c>
      <c r="D12">
        <v>700</v>
      </c>
      <c r="E12">
        <v>20</v>
      </c>
      <c r="F12">
        <v>1</v>
      </c>
      <c r="G12">
        <v>11</v>
      </c>
      <c r="H12">
        <v>24</v>
      </c>
      <c r="I12" t="s">
        <v>22</v>
      </c>
      <c r="J12" t="s">
        <v>28</v>
      </c>
      <c r="K12" t="s">
        <v>98</v>
      </c>
      <c r="L12" t="s">
        <v>98</v>
      </c>
      <c r="M12">
        <v>0.95354267363002576</v>
      </c>
      <c r="N12" s="18">
        <v>4.6457326369974239E-2</v>
      </c>
    </row>
    <row r="13" spans="1:14" x14ac:dyDescent="0.25">
      <c r="A13">
        <v>1</v>
      </c>
      <c r="B13">
        <v>1</v>
      </c>
      <c r="C13">
        <v>2.1</v>
      </c>
      <c r="D13">
        <v>700</v>
      </c>
      <c r="E13">
        <v>20</v>
      </c>
      <c r="F13">
        <v>1</v>
      </c>
      <c r="G13">
        <v>12</v>
      </c>
      <c r="H13">
        <v>25</v>
      </c>
      <c r="I13" t="s">
        <v>22</v>
      </c>
      <c r="J13" t="s">
        <v>29</v>
      </c>
      <c r="K13" t="s">
        <v>98</v>
      </c>
      <c r="L13" t="s">
        <v>98</v>
      </c>
      <c r="M13">
        <v>0.83868145344132716</v>
      </c>
      <c r="N13" s="18">
        <v>0.16131854655867284</v>
      </c>
    </row>
    <row r="14" spans="1:14" x14ac:dyDescent="0.25">
      <c r="A14">
        <v>1</v>
      </c>
      <c r="B14">
        <v>1</v>
      </c>
      <c r="C14">
        <v>2.1</v>
      </c>
      <c r="D14">
        <v>700</v>
      </c>
      <c r="E14">
        <v>20</v>
      </c>
      <c r="F14">
        <v>1</v>
      </c>
      <c r="G14">
        <v>13</v>
      </c>
      <c r="H14">
        <v>26</v>
      </c>
      <c r="I14" t="s">
        <v>23</v>
      </c>
      <c r="J14" t="s">
        <v>27</v>
      </c>
      <c r="K14" t="s">
        <v>98</v>
      </c>
      <c r="L14" t="s">
        <v>98</v>
      </c>
      <c r="M14">
        <v>0.93002022099789916</v>
      </c>
      <c r="N14" s="18">
        <v>6.9979779002100839E-2</v>
      </c>
    </row>
    <row r="15" spans="1:14" x14ac:dyDescent="0.25">
      <c r="A15">
        <v>1</v>
      </c>
      <c r="B15">
        <v>1</v>
      </c>
      <c r="C15">
        <v>2.1</v>
      </c>
      <c r="D15">
        <v>700</v>
      </c>
      <c r="E15">
        <v>20</v>
      </c>
      <c r="F15">
        <v>1</v>
      </c>
      <c r="G15">
        <v>14</v>
      </c>
      <c r="H15">
        <v>27</v>
      </c>
      <c r="I15" t="s">
        <v>23</v>
      </c>
      <c r="J15" t="s">
        <v>28</v>
      </c>
      <c r="K15" t="s">
        <v>98</v>
      </c>
      <c r="L15" t="s">
        <v>98</v>
      </c>
      <c r="M15">
        <v>0.98124938333550749</v>
      </c>
      <c r="N15" s="18">
        <v>1.8750616664492514E-2</v>
      </c>
    </row>
    <row r="16" spans="1:14" x14ac:dyDescent="0.25">
      <c r="A16">
        <v>1</v>
      </c>
      <c r="B16">
        <v>1</v>
      </c>
      <c r="C16">
        <v>2.1</v>
      </c>
      <c r="D16">
        <v>700</v>
      </c>
      <c r="E16">
        <v>20</v>
      </c>
      <c r="F16">
        <v>1</v>
      </c>
      <c r="G16">
        <v>15</v>
      </c>
      <c r="H16">
        <v>28</v>
      </c>
      <c r="I16" t="s">
        <v>23</v>
      </c>
      <c r="J16" t="s">
        <v>29</v>
      </c>
      <c r="K16" t="s">
        <v>98</v>
      </c>
      <c r="L16" t="s">
        <v>98</v>
      </c>
      <c r="M16">
        <v>0.86949261214367479</v>
      </c>
      <c r="N16" s="18">
        <v>0.13050738785632521</v>
      </c>
    </row>
    <row r="17" spans="1:14" x14ac:dyDescent="0.25">
      <c r="A17">
        <v>1</v>
      </c>
      <c r="B17">
        <v>1</v>
      </c>
      <c r="C17">
        <v>2.1</v>
      </c>
      <c r="D17">
        <v>700</v>
      </c>
      <c r="E17">
        <v>20</v>
      </c>
      <c r="F17">
        <v>1</v>
      </c>
      <c r="G17">
        <v>16</v>
      </c>
      <c r="H17">
        <v>29</v>
      </c>
      <c r="I17" t="s">
        <v>24</v>
      </c>
      <c r="J17" t="s">
        <v>27</v>
      </c>
      <c r="K17" t="s">
        <v>98</v>
      </c>
      <c r="L17" t="s">
        <v>98</v>
      </c>
      <c r="M17">
        <v>0.92556650873778823</v>
      </c>
      <c r="N17" s="18">
        <v>7.4433491262211771E-2</v>
      </c>
    </row>
    <row r="18" spans="1:14" x14ac:dyDescent="0.25">
      <c r="A18">
        <v>1</v>
      </c>
      <c r="B18">
        <v>1</v>
      </c>
      <c r="C18">
        <v>2.1</v>
      </c>
      <c r="D18">
        <v>700</v>
      </c>
      <c r="E18">
        <v>20</v>
      </c>
      <c r="F18">
        <v>1</v>
      </c>
      <c r="G18">
        <v>17</v>
      </c>
      <c r="H18">
        <v>30</v>
      </c>
      <c r="I18" t="s">
        <v>24</v>
      </c>
      <c r="J18" t="s">
        <v>28</v>
      </c>
      <c r="K18" t="s">
        <v>98</v>
      </c>
      <c r="L18" t="s">
        <v>98</v>
      </c>
      <c r="M18">
        <v>0.98974416826206058</v>
      </c>
      <c r="N18" s="18">
        <v>1.0255831737939425E-2</v>
      </c>
    </row>
    <row r="19" spans="1:14" x14ac:dyDescent="0.25">
      <c r="A19">
        <v>1</v>
      </c>
      <c r="B19">
        <v>1</v>
      </c>
      <c r="C19">
        <v>2.1</v>
      </c>
      <c r="D19">
        <v>700</v>
      </c>
      <c r="E19">
        <v>20</v>
      </c>
      <c r="F19">
        <v>1</v>
      </c>
      <c r="G19">
        <v>18</v>
      </c>
      <c r="H19">
        <v>31</v>
      </c>
      <c r="I19" t="s">
        <v>24</v>
      </c>
      <c r="J19" t="s">
        <v>29</v>
      </c>
      <c r="K19" t="s">
        <v>98</v>
      </c>
      <c r="L19" t="s">
        <v>98</v>
      </c>
      <c r="M19">
        <v>0.94171731015096183</v>
      </c>
      <c r="N19" s="18">
        <v>5.8282689849038172E-2</v>
      </c>
    </row>
    <row r="20" spans="1:14" x14ac:dyDescent="0.25">
      <c r="A20">
        <v>1</v>
      </c>
      <c r="B20">
        <v>1</v>
      </c>
      <c r="C20">
        <v>2.1</v>
      </c>
      <c r="D20">
        <v>700</v>
      </c>
      <c r="E20">
        <v>20</v>
      </c>
      <c r="F20">
        <v>1</v>
      </c>
      <c r="G20">
        <v>19</v>
      </c>
      <c r="H20">
        <v>32</v>
      </c>
      <c r="I20" t="s">
        <v>25</v>
      </c>
      <c r="J20" t="s">
        <v>27</v>
      </c>
      <c r="K20" t="s">
        <v>98</v>
      </c>
      <c r="L20" t="s">
        <v>98</v>
      </c>
      <c r="M20">
        <v>0.64885271530439015</v>
      </c>
      <c r="N20" s="18">
        <v>0.35114728469560985</v>
      </c>
    </row>
    <row r="21" spans="1:14" x14ac:dyDescent="0.25">
      <c r="A21">
        <v>1</v>
      </c>
      <c r="B21">
        <v>1</v>
      </c>
      <c r="C21">
        <v>2.1</v>
      </c>
      <c r="D21">
        <v>700</v>
      </c>
      <c r="E21">
        <v>20</v>
      </c>
      <c r="F21">
        <v>1</v>
      </c>
      <c r="G21">
        <v>20</v>
      </c>
      <c r="H21">
        <v>33</v>
      </c>
      <c r="I21" t="s">
        <v>25</v>
      </c>
      <c r="J21" t="s">
        <v>28</v>
      </c>
      <c r="K21" t="s">
        <v>98</v>
      </c>
      <c r="L21" t="s">
        <v>98</v>
      </c>
      <c r="M21">
        <v>0.83442243013825546</v>
      </c>
      <c r="N21" s="18">
        <v>0.16557756986174454</v>
      </c>
    </row>
    <row r="22" spans="1:14" x14ac:dyDescent="0.25">
      <c r="A22">
        <v>1</v>
      </c>
      <c r="B22">
        <v>1</v>
      </c>
      <c r="C22">
        <v>2.1</v>
      </c>
      <c r="D22">
        <v>700</v>
      </c>
      <c r="E22">
        <v>20</v>
      </c>
      <c r="F22">
        <v>1</v>
      </c>
      <c r="G22">
        <v>21</v>
      </c>
      <c r="H22">
        <v>24</v>
      </c>
      <c r="I22" t="s">
        <v>25</v>
      </c>
      <c r="J22" t="s">
        <v>29</v>
      </c>
      <c r="K22" t="s">
        <v>98</v>
      </c>
      <c r="L22" t="s">
        <v>98</v>
      </c>
      <c r="M22">
        <v>0.60792538825810538</v>
      </c>
      <c r="N22" s="18">
        <v>0.39207461174189462</v>
      </c>
    </row>
    <row r="23" spans="1:14" x14ac:dyDescent="0.25">
      <c r="A23">
        <v>1</v>
      </c>
      <c r="B23">
        <v>1</v>
      </c>
      <c r="C23">
        <v>2.1</v>
      </c>
      <c r="D23">
        <v>700</v>
      </c>
      <c r="E23">
        <v>20</v>
      </c>
      <c r="F23">
        <v>1</v>
      </c>
      <c r="G23">
        <v>22</v>
      </c>
      <c r="H23">
        <v>25</v>
      </c>
      <c r="I23" t="s">
        <v>26</v>
      </c>
      <c r="J23" t="s">
        <v>27</v>
      </c>
      <c r="K23" t="s">
        <v>98</v>
      </c>
      <c r="L23" t="s">
        <v>98</v>
      </c>
      <c r="M23">
        <v>0.86663174457788839</v>
      </c>
      <c r="N23" s="18">
        <v>0.13336825542211161</v>
      </c>
    </row>
    <row r="24" spans="1:14" x14ac:dyDescent="0.25">
      <c r="A24">
        <v>1</v>
      </c>
      <c r="B24">
        <v>1</v>
      </c>
      <c r="C24">
        <v>2.1</v>
      </c>
      <c r="D24">
        <v>700</v>
      </c>
      <c r="E24">
        <v>20</v>
      </c>
      <c r="F24">
        <v>1</v>
      </c>
      <c r="G24">
        <v>23</v>
      </c>
      <c r="H24">
        <v>26</v>
      </c>
      <c r="I24" t="s">
        <v>26</v>
      </c>
      <c r="J24" t="s">
        <v>28</v>
      </c>
      <c r="K24" t="s">
        <v>98</v>
      </c>
      <c r="L24" t="s">
        <v>98</v>
      </c>
      <c r="M24">
        <v>0.92419087801304012</v>
      </c>
      <c r="N24" s="18">
        <v>7.5809121986959882E-2</v>
      </c>
    </row>
    <row r="25" spans="1:14" x14ac:dyDescent="0.25">
      <c r="A25">
        <v>1</v>
      </c>
      <c r="B25">
        <v>1</v>
      </c>
      <c r="C25">
        <v>2.1</v>
      </c>
      <c r="D25">
        <v>700</v>
      </c>
      <c r="E25">
        <v>20</v>
      </c>
      <c r="F25">
        <v>1</v>
      </c>
      <c r="G25">
        <v>24</v>
      </c>
      <c r="H25">
        <v>27</v>
      </c>
      <c r="I25" t="s">
        <v>26</v>
      </c>
      <c r="J25" t="s">
        <v>29</v>
      </c>
      <c r="K25" t="s">
        <v>98</v>
      </c>
      <c r="L25" t="s">
        <v>98</v>
      </c>
      <c r="M25">
        <v>0.79306492595279565</v>
      </c>
      <c r="N25" s="18">
        <v>0.20693507404720435</v>
      </c>
    </row>
    <row r="26" spans="1:14" x14ac:dyDescent="0.25">
      <c r="A26">
        <v>2</v>
      </c>
      <c r="B26" t="s">
        <v>10</v>
      </c>
      <c r="C26">
        <v>2.1</v>
      </c>
      <c r="D26">
        <v>828</v>
      </c>
      <c r="E26">
        <v>29</v>
      </c>
      <c r="F26">
        <v>0</v>
      </c>
      <c r="G26">
        <v>1</v>
      </c>
      <c r="H26">
        <v>28</v>
      </c>
      <c r="I26" t="s">
        <v>19</v>
      </c>
      <c r="J26" t="s">
        <v>27</v>
      </c>
      <c r="K26" t="s">
        <v>98</v>
      </c>
      <c r="L26" t="s">
        <v>98</v>
      </c>
      <c r="M26">
        <v>0.88873654656148704</v>
      </c>
      <c r="N26" s="18">
        <v>0.11126345343851296</v>
      </c>
    </row>
    <row r="27" spans="1:14" x14ac:dyDescent="0.25">
      <c r="A27">
        <v>2</v>
      </c>
      <c r="B27" t="s">
        <v>10</v>
      </c>
      <c r="C27">
        <v>2.1</v>
      </c>
      <c r="D27">
        <v>828</v>
      </c>
      <c r="E27">
        <v>29</v>
      </c>
      <c r="F27">
        <v>0</v>
      </c>
      <c r="G27">
        <v>2</v>
      </c>
      <c r="H27">
        <v>29</v>
      </c>
      <c r="I27" t="s">
        <v>19</v>
      </c>
      <c r="J27" t="s">
        <v>28</v>
      </c>
      <c r="K27" t="s">
        <v>98</v>
      </c>
      <c r="L27" t="s">
        <v>98</v>
      </c>
      <c r="M27">
        <v>0.97190318579545698</v>
      </c>
      <c r="N27" s="18">
        <v>2.8096814204543019E-2</v>
      </c>
    </row>
    <row r="28" spans="1:14" x14ac:dyDescent="0.25">
      <c r="A28">
        <v>2</v>
      </c>
      <c r="B28" t="s">
        <v>10</v>
      </c>
      <c r="C28">
        <v>2.1</v>
      </c>
      <c r="D28">
        <v>828</v>
      </c>
      <c r="E28">
        <v>29</v>
      </c>
      <c r="F28">
        <v>0</v>
      </c>
      <c r="G28">
        <v>3</v>
      </c>
      <c r="H28">
        <v>30</v>
      </c>
      <c r="I28" t="s">
        <v>19</v>
      </c>
      <c r="J28" t="s">
        <v>29</v>
      </c>
      <c r="K28" t="s">
        <v>98</v>
      </c>
      <c r="L28" t="s">
        <v>98</v>
      </c>
      <c r="M28">
        <v>0.82666881203709019</v>
      </c>
      <c r="N28" s="18">
        <v>0.17333118796290981</v>
      </c>
    </row>
    <row r="29" spans="1:14" x14ac:dyDescent="0.25">
      <c r="A29">
        <v>2</v>
      </c>
      <c r="B29" t="s">
        <v>10</v>
      </c>
      <c r="C29">
        <v>2.1</v>
      </c>
      <c r="D29">
        <v>828</v>
      </c>
      <c r="E29">
        <v>29</v>
      </c>
      <c r="F29">
        <v>0</v>
      </c>
      <c r="G29">
        <v>4</v>
      </c>
      <c r="H29">
        <v>31</v>
      </c>
      <c r="I29" t="s">
        <v>20</v>
      </c>
      <c r="J29" t="s">
        <v>27</v>
      </c>
      <c r="K29" t="s">
        <v>98</v>
      </c>
      <c r="L29" t="s">
        <v>98</v>
      </c>
      <c r="M29">
        <v>0.88844351325747906</v>
      </c>
      <c r="N29" s="18">
        <v>0.11155648674252094</v>
      </c>
    </row>
    <row r="30" spans="1:14" x14ac:dyDescent="0.25">
      <c r="A30">
        <v>2</v>
      </c>
      <c r="B30" t="s">
        <v>10</v>
      </c>
      <c r="C30">
        <v>2.1</v>
      </c>
      <c r="D30">
        <v>828</v>
      </c>
      <c r="E30">
        <v>29</v>
      </c>
      <c r="F30">
        <v>0</v>
      </c>
      <c r="G30">
        <v>5</v>
      </c>
      <c r="H30">
        <v>32</v>
      </c>
      <c r="I30" t="s">
        <v>20</v>
      </c>
      <c r="J30" t="s">
        <v>28</v>
      </c>
      <c r="K30" t="s">
        <v>98</v>
      </c>
      <c r="L30" t="s">
        <v>98</v>
      </c>
      <c r="M30">
        <v>0.94459989723738036</v>
      </c>
      <c r="N30" s="18">
        <v>5.5400102762619641E-2</v>
      </c>
    </row>
    <row r="31" spans="1:14" x14ac:dyDescent="0.25">
      <c r="A31">
        <v>2</v>
      </c>
      <c r="B31" t="s">
        <v>10</v>
      </c>
      <c r="C31">
        <v>2.1</v>
      </c>
      <c r="D31">
        <v>828</v>
      </c>
      <c r="E31">
        <v>29</v>
      </c>
      <c r="F31">
        <v>0</v>
      </c>
      <c r="G31">
        <v>6</v>
      </c>
      <c r="H31">
        <v>33</v>
      </c>
      <c r="I31" t="s">
        <v>20</v>
      </c>
      <c r="J31" t="s">
        <v>29</v>
      </c>
      <c r="K31" t="s">
        <v>98</v>
      </c>
      <c r="L31" t="s">
        <v>98</v>
      </c>
      <c r="M31">
        <v>0.88314133118686156</v>
      </c>
      <c r="N31" s="18">
        <v>0.11685866881313844</v>
      </c>
    </row>
    <row r="32" spans="1:14" x14ac:dyDescent="0.25">
      <c r="A32">
        <v>2</v>
      </c>
      <c r="B32" t="s">
        <v>10</v>
      </c>
      <c r="C32">
        <v>2.1</v>
      </c>
      <c r="D32">
        <v>828</v>
      </c>
      <c r="E32">
        <v>29</v>
      </c>
      <c r="F32">
        <v>0</v>
      </c>
      <c r="G32">
        <v>7</v>
      </c>
      <c r="H32">
        <v>24</v>
      </c>
      <c r="I32" t="s">
        <v>21</v>
      </c>
      <c r="J32" t="s">
        <v>27</v>
      </c>
      <c r="K32" t="s">
        <v>98</v>
      </c>
      <c r="L32" t="s">
        <v>98</v>
      </c>
      <c r="M32">
        <v>0.90008775379396655</v>
      </c>
      <c r="N32" s="18">
        <v>9.991224620603345E-2</v>
      </c>
    </row>
    <row r="33" spans="1:14" x14ac:dyDescent="0.25">
      <c r="A33">
        <v>2</v>
      </c>
      <c r="B33" t="s">
        <v>10</v>
      </c>
      <c r="C33">
        <v>2.1</v>
      </c>
      <c r="D33">
        <v>828</v>
      </c>
      <c r="E33">
        <v>29</v>
      </c>
      <c r="F33">
        <v>0</v>
      </c>
      <c r="G33">
        <v>8</v>
      </c>
      <c r="H33">
        <v>25</v>
      </c>
      <c r="I33" t="s">
        <v>21</v>
      </c>
      <c r="J33" t="s">
        <v>28</v>
      </c>
      <c r="K33" t="s">
        <v>98</v>
      </c>
      <c r="L33" t="s">
        <v>98</v>
      </c>
      <c r="M33">
        <v>0.97991514632429044</v>
      </c>
      <c r="N33" s="18">
        <v>2.0084853675709557E-2</v>
      </c>
    </row>
    <row r="34" spans="1:14" x14ac:dyDescent="0.25">
      <c r="A34">
        <v>2</v>
      </c>
      <c r="B34" t="s">
        <v>10</v>
      </c>
      <c r="C34">
        <v>2.1</v>
      </c>
      <c r="D34">
        <v>828</v>
      </c>
      <c r="E34">
        <v>29</v>
      </c>
      <c r="F34">
        <v>0</v>
      </c>
      <c r="G34">
        <v>9</v>
      </c>
      <c r="H34">
        <v>26</v>
      </c>
      <c r="I34" t="s">
        <v>21</v>
      </c>
      <c r="J34" t="s">
        <v>29</v>
      </c>
      <c r="K34" t="s">
        <v>98</v>
      </c>
      <c r="L34" t="s">
        <v>98</v>
      </c>
      <c r="M34">
        <v>0.76850699357726371</v>
      </c>
      <c r="N34" s="18">
        <v>0.23149300642273629</v>
      </c>
    </row>
    <row r="35" spans="1:14" x14ac:dyDescent="0.25">
      <c r="A35">
        <v>2</v>
      </c>
      <c r="B35" t="s">
        <v>10</v>
      </c>
      <c r="C35">
        <v>2.1</v>
      </c>
      <c r="D35">
        <v>828</v>
      </c>
      <c r="E35">
        <v>29</v>
      </c>
      <c r="F35">
        <v>0</v>
      </c>
      <c r="G35">
        <v>10</v>
      </c>
      <c r="H35">
        <v>27</v>
      </c>
      <c r="I35" t="s">
        <v>22</v>
      </c>
      <c r="J35" t="s">
        <v>27</v>
      </c>
      <c r="K35" t="s">
        <v>98</v>
      </c>
      <c r="L35" t="s">
        <v>98</v>
      </c>
      <c r="M35">
        <v>0.8388153504598026</v>
      </c>
      <c r="N35" s="18">
        <v>0.1611846495401974</v>
      </c>
    </row>
    <row r="36" spans="1:14" x14ac:dyDescent="0.25">
      <c r="A36">
        <v>2</v>
      </c>
      <c r="B36" t="s">
        <v>10</v>
      </c>
      <c r="C36">
        <v>2.1</v>
      </c>
      <c r="D36">
        <v>828</v>
      </c>
      <c r="E36">
        <v>29</v>
      </c>
      <c r="F36">
        <v>0</v>
      </c>
      <c r="G36">
        <v>11</v>
      </c>
      <c r="H36">
        <v>28</v>
      </c>
      <c r="I36" t="s">
        <v>22</v>
      </c>
      <c r="J36" t="s">
        <v>28</v>
      </c>
      <c r="K36" t="s">
        <v>98</v>
      </c>
      <c r="L36" t="s">
        <v>98</v>
      </c>
      <c r="M36">
        <v>0.94850048936895215</v>
      </c>
      <c r="N36" s="18">
        <v>5.1499510631047851E-2</v>
      </c>
    </row>
    <row r="37" spans="1:14" x14ac:dyDescent="0.25">
      <c r="A37">
        <v>2</v>
      </c>
      <c r="B37" t="s">
        <v>10</v>
      </c>
      <c r="C37">
        <v>2.1</v>
      </c>
      <c r="D37">
        <v>828</v>
      </c>
      <c r="E37">
        <v>29</v>
      </c>
      <c r="F37">
        <v>0</v>
      </c>
      <c r="G37">
        <v>12</v>
      </c>
      <c r="H37">
        <v>29</v>
      </c>
      <c r="I37" t="s">
        <v>22</v>
      </c>
      <c r="J37" t="s">
        <v>29</v>
      </c>
      <c r="K37" t="s">
        <v>98</v>
      </c>
      <c r="L37" t="s">
        <v>98</v>
      </c>
      <c r="M37">
        <v>0.81639026396477432</v>
      </c>
      <c r="N37" s="18">
        <v>0.18360973603522568</v>
      </c>
    </row>
    <row r="38" spans="1:14" x14ac:dyDescent="0.25">
      <c r="A38">
        <v>2</v>
      </c>
      <c r="B38" t="s">
        <v>10</v>
      </c>
      <c r="C38">
        <v>2.1</v>
      </c>
      <c r="D38">
        <v>828</v>
      </c>
      <c r="E38">
        <v>29</v>
      </c>
      <c r="F38">
        <v>0</v>
      </c>
      <c r="G38">
        <v>13</v>
      </c>
      <c r="H38">
        <v>30</v>
      </c>
      <c r="I38" t="s">
        <v>23</v>
      </c>
      <c r="J38" t="s">
        <v>27</v>
      </c>
      <c r="K38" t="s">
        <v>98</v>
      </c>
      <c r="L38" t="s">
        <v>98</v>
      </c>
      <c r="M38">
        <v>0.92575917983827472</v>
      </c>
      <c r="N38" s="18">
        <v>7.4240820161725285E-2</v>
      </c>
    </row>
    <row r="39" spans="1:14" x14ac:dyDescent="0.25">
      <c r="A39">
        <v>2</v>
      </c>
      <c r="B39" t="s">
        <v>10</v>
      </c>
      <c r="C39">
        <v>2.1</v>
      </c>
      <c r="D39">
        <v>828</v>
      </c>
      <c r="E39">
        <v>29</v>
      </c>
      <c r="F39">
        <v>0</v>
      </c>
      <c r="G39">
        <v>14</v>
      </c>
      <c r="H39">
        <v>31</v>
      </c>
      <c r="I39" t="s">
        <v>23</v>
      </c>
      <c r="J39" t="s">
        <v>28</v>
      </c>
      <c r="K39" t="s">
        <v>98</v>
      </c>
      <c r="L39" t="s">
        <v>98</v>
      </c>
      <c r="M39">
        <v>0.98478138016265093</v>
      </c>
      <c r="N39" s="18">
        <v>1.5218619837349068E-2</v>
      </c>
    </row>
    <row r="40" spans="1:14" x14ac:dyDescent="0.25">
      <c r="A40">
        <v>2</v>
      </c>
      <c r="B40" t="s">
        <v>10</v>
      </c>
      <c r="C40">
        <v>2.1</v>
      </c>
      <c r="D40">
        <v>828</v>
      </c>
      <c r="E40">
        <v>29</v>
      </c>
      <c r="F40">
        <v>0</v>
      </c>
      <c r="G40">
        <v>15</v>
      </c>
      <c r="H40">
        <v>32</v>
      </c>
      <c r="I40" t="s">
        <v>23</v>
      </c>
      <c r="J40" t="s">
        <v>29</v>
      </c>
      <c r="K40" t="s">
        <v>98</v>
      </c>
      <c r="L40" t="s">
        <v>98</v>
      </c>
      <c r="M40">
        <v>0.84319827197548891</v>
      </c>
      <c r="N40" s="18">
        <v>0.15680172802451109</v>
      </c>
    </row>
    <row r="41" spans="1:14" x14ac:dyDescent="0.25">
      <c r="A41">
        <v>2</v>
      </c>
      <c r="B41" t="s">
        <v>10</v>
      </c>
      <c r="C41">
        <v>2.1</v>
      </c>
      <c r="D41">
        <v>828</v>
      </c>
      <c r="E41">
        <v>29</v>
      </c>
      <c r="F41">
        <v>0</v>
      </c>
      <c r="G41">
        <v>16</v>
      </c>
      <c r="H41">
        <v>33</v>
      </c>
      <c r="I41" t="s">
        <v>24</v>
      </c>
      <c r="J41" t="s">
        <v>27</v>
      </c>
      <c r="K41" t="s">
        <v>98</v>
      </c>
      <c r="L41" t="s">
        <v>98</v>
      </c>
      <c r="M41">
        <v>0.93014377696886674</v>
      </c>
      <c r="N41" s="18">
        <v>6.9856223031133258E-2</v>
      </c>
    </row>
    <row r="42" spans="1:14" x14ac:dyDescent="0.25">
      <c r="A42">
        <v>2</v>
      </c>
      <c r="B42" t="s">
        <v>10</v>
      </c>
      <c r="C42">
        <v>2.1</v>
      </c>
      <c r="D42">
        <v>828</v>
      </c>
      <c r="E42">
        <v>29</v>
      </c>
      <c r="F42">
        <v>0</v>
      </c>
      <c r="G42">
        <v>17</v>
      </c>
      <c r="H42">
        <v>24</v>
      </c>
      <c r="I42" t="s">
        <v>24</v>
      </c>
      <c r="J42" t="s">
        <v>28</v>
      </c>
      <c r="K42" t="s">
        <v>98</v>
      </c>
      <c r="L42" t="s">
        <v>98</v>
      </c>
      <c r="M42">
        <v>0.97492770822967634</v>
      </c>
      <c r="N42" s="18">
        <v>2.5072291770323663E-2</v>
      </c>
    </row>
    <row r="43" spans="1:14" x14ac:dyDescent="0.25">
      <c r="A43">
        <v>2</v>
      </c>
      <c r="B43" t="s">
        <v>10</v>
      </c>
      <c r="C43">
        <v>2.1</v>
      </c>
      <c r="D43">
        <v>828</v>
      </c>
      <c r="E43">
        <v>29</v>
      </c>
      <c r="F43">
        <v>0</v>
      </c>
      <c r="G43">
        <v>18</v>
      </c>
      <c r="H43">
        <v>25</v>
      </c>
      <c r="I43" t="s">
        <v>24</v>
      </c>
      <c r="J43" t="s">
        <v>29</v>
      </c>
      <c r="K43" t="s">
        <v>98</v>
      </c>
      <c r="L43" t="s">
        <v>98</v>
      </c>
      <c r="M43">
        <v>0.85275821207577196</v>
      </c>
      <c r="N43" s="18">
        <v>0.14724178792422804</v>
      </c>
    </row>
    <row r="44" spans="1:14" x14ac:dyDescent="0.25">
      <c r="A44">
        <v>2</v>
      </c>
      <c r="B44" t="s">
        <v>10</v>
      </c>
      <c r="C44">
        <v>2.1</v>
      </c>
      <c r="D44">
        <v>828</v>
      </c>
      <c r="E44">
        <v>29</v>
      </c>
      <c r="F44">
        <v>0</v>
      </c>
      <c r="G44">
        <v>19</v>
      </c>
      <c r="H44">
        <v>26</v>
      </c>
      <c r="I44" t="s">
        <v>25</v>
      </c>
      <c r="J44" t="s">
        <v>27</v>
      </c>
      <c r="K44" t="s">
        <v>98</v>
      </c>
      <c r="L44" t="s">
        <v>98</v>
      </c>
      <c r="M44">
        <v>0.69842309201904273</v>
      </c>
      <c r="N44" s="18">
        <v>0.30157690798095727</v>
      </c>
    </row>
    <row r="45" spans="1:14" x14ac:dyDescent="0.25">
      <c r="A45">
        <v>2</v>
      </c>
      <c r="B45" t="s">
        <v>10</v>
      </c>
      <c r="C45">
        <v>2.1</v>
      </c>
      <c r="D45">
        <v>828</v>
      </c>
      <c r="E45">
        <v>29</v>
      </c>
      <c r="F45">
        <v>0</v>
      </c>
      <c r="G45">
        <v>20</v>
      </c>
      <c r="H45">
        <v>27</v>
      </c>
      <c r="I45" t="s">
        <v>25</v>
      </c>
      <c r="J45" t="s">
        <v>28</v>
      </c>
      <c r="K45" t="s">
        <v>98</v>
      </c>
      <c r="L45" t="s">
        <v>98</v>
      </c>
      <c r="M45">
        <v>0.86331492661395182</v>
      </c>
      <c r="N45" s="18">
        <v>0.13668507338604818</v>
      </c>
    </row>
    <row r="46" spans="1:14" x14ac:dyDescent="0.25">
      <c r="A46">
        <v>2</v>
      </c>
      <c r="B46" t="s">
        <v>10</v>
      </c>
      <c r="C46">
        <v>2.1</v>
      </c>
      <c r="D46">
        <v>828</v>
      </c>
      <c r="E46">
        <v>29</v>
      </c>
      <c r="F46">
        <v>0</v>
      </c>
      <c r="G46">
        <v>21</v>
      </c>
      <c r="H46">
        <v>28</v>
      </c>
      <c r="I46" t="s">
        <v>25</v>
      </c>
      <c r="J46" t="s">
        <v>29</v>
      </c>
      <c r="K46" t="s">
        <v>98</v>
      </c>
      <c r="L46" t="s">
        <v>98</v>
      </c>
      <c r="M46">
        <v>0.74845703673144848</v>
      </c>
      <c r="N46" s="18">
        <v>0.25154296326855152</v>
      </c>
    </row>
    <row r="47" spans="1:14" x14ac:dyDescent="0.25">
      <c r="A47">
        <v>2</v>
      </c>
      <c r="B47" t="s">
        <v>10</v>
      </c>
      <c r="C47">
        <v>2.1</v>
      </c>
      <c r="D47">
        <v>828</v>
      </c>
      <c r="E47">
        <v>29</v>
      </c>
      <c r="F47">
        <v>0</v>
      </c>
      <c r="G47">
        <v>22</v>
      </c>
      <c r="H47">
        <v>29</v>
      </c>
      <c r="I47" t="s">
        <v>26</v>
      </c>
      <c r="J47" t="s">
        <v>27</v>
      </c>
      <c r="K47" t="s">
        <v>98</v>
      </c>
      <c r="L47" t="s">
        <v>98</v>
      </c>
      <c r="M47">
        <v>0.90327018174923979</v>
      </c>
      <c r="N47" s="18">
        <v>9.6729818250760213E-2</v>
      </c>
    </row>
    <row r="48" spans="1:14" x14ac:dyDescent="0.25">
      <c r="A48">
        <v>2</v>
      </c>
      <c r="B48" t="s">
        <v>10</v>
      </c>
      <c r="C48">
        <v>2.1</v>
      </c>
      <c r="D48">
        <v>828</v>
      </c>
      <c r="E48">
        <v>29</v>
      </c>
      <c r="F48">
        <v>0</v>
      </c>
      <c r="G48">
        <v>23</v>
      </c>
      <c r="H48">
        <v>30</v>
      </c>
      <c r="I48" t="s">
        <v>26</v>
      </c>
      <c r="J48" t="s">
        <v>28</v>
      </c>
      <c r="K48" t="s">
        <v>98</v>
      </c>
      <c r="L48" t="s">
        <v>98</v>
      </c>
      <c r="M48">
        <v>0.96523297107440698</v>
      </c>
      <c r="N48" s="18">
        <v>3.4767028925593024E-2</v>
      </c>
    </row>
    <row r="49" spans="1:14" x14ac:dyDescent="0.25">
      <c r="A49">
        <v>2</v>
      </c>
      <c r="B49" t="s">
        <v>10</v>
      </c>
      <c r="C49">
        <v>2.1</v>
      </c>
      <c r="D49">
        <v>828</v>
      </c>
      <c r="E49">
        <v>29</v>
      </c>
      <c r="F49">
        <v>0</v>
      </c>
      <c r="G49">
        <v>24</v>
      </c>
      <c r="H49">
        <v>31</v>
      </c>
      <c r="I49" t="s">
        <v>26</v>
      </c>
      <c r="J49" t="s">
        <v>29</v>
      </c>
      <c r="K49" t="s">
        <v>98</v>
      </c>
      <c r="L49" t="s">
        <v>98</v>
      </c>
      <c r="M49">
        <v>0.86981227893987745</v>
      </c>
      <c r="N49" s="18">
        <v>0.13018772106012255</v>
      </c>
    </row>
    <row r="50" spans="1:14" x14ac:dyDescent="0.25">
      <c r="A50">
        <v>3</v>
      </c>
      <c r="B50" t="s">
        <v>11</v>
      </c>
      <c r="C50">
        <v>2.1</v>
      </c>
      <c r="D50">
        <v>700</v>
      </c>
      <c r="E50">
        <v>20</v>
      </c>
      <c r="F50">
        <v>1</v>
      </c>
      <c r="G50">
        <v>1</v>
      </c>
      <c r="H50">
        <v>32</v>
      </c>
      <c r="I50" t="s">
        <v>19</v>
      </c>
      <c r="J50" t="s">
        <v>27</v>
      </c>
      <c r="K50" t="s">
        <v>98</v>
      </c>
      <c r="L50" t="s">
        <v>98</v>
      </c>
      <c r="M50">
        <v>0.86330312595881631</v>
      </c>
      <c r="N50" s="18">
        <v>0.13669687404118369</v>
      </c>
    </row>
    <row r="51" spans="1:14" x14ac:dyDescent="0.25">
      <c r="A51">
        <v>3</v>
      </c>
      <c r="B51" t="s">
        <v>11</v>
      </c>
      <c r="C51">
        <v>2.1</v>
      </c>
      <c r="D51">
        <v>700</v>
      </c>
      <c r="E51">
        <v>20</v>
      </c>
      <c r="F51">
        <v>1</v>
      </c>
      <c r="G51">
        <v>2</v>
      </c>
      <c r="H51">
        <v>33</v>
      </c>
      <c r="I51" t="s">
        <v>19</v>
      </c>
      <c r="J51" t="s">
        <v>28</v>
      </c>
      <c r="K51" t="s">
        <v>98</v>
      </c>
      <c r="L51" t="s">
        <v>98</v>
      </c>
      <c r="M51">
        <v>0.96472606892551582</v>
      </c>
      <c r="N51" s="18">
        <v>3.5273931074484177E-2</v>
      </c>
    </row>
    <row r="52" spans="1:14" x14ac:dyDescent="0.25">
      <c r="A52">
        <v>3</v>
      </c>
      <c r="B52" t="s">
        <v>11</v>
      </c>
      <c r="C52">
        <v>2.1</v>
      </c>
      <c r="D52">
        <v>700</v>
      </c>
      <c r="E52">
        <v>20</v>
      </c>
      <c r="F52">
        <v>1</v>
      </c>
      <c r="G52">
        <v>3</v>
      </c>
      <c r="H52">
        <v>24</v>
      </c>
      <c r="I52" t="s">
        <v>19</v>
      </c>
      <c r="J52" t="s">
        <v>29</v>
      </c>
      <c r="K52" t="s">
        <v>98</v>
      </c>
      <c r="L52" t="s">
        <v>98</v>
      </c>
      <c r="M52">
        <v>0.68141886349205494</v>
      </c>
      <c r="N52" s="18">
        <v>0.31858113650794506</v>
      </c>
    </row>
    <row r="53" spans="1:14" x14ac:dyDescent="0.25">
      <c r="A53">
        <v>3</v>
      </c>
      <c r="B53" t="s">
        <v>11</v>
      </c>
      <c r="C53">
        <v>2.1</v>
      </c>
      <c r="D53">
        <v>700</v>
      </c>
      <c r="E53">
        <v>20</v>
      </c>
      <c r="F53">
        <v>1</v>
      </c>
      <c r="G53">
        <v>4</v>
      </c>
      <c r="H53">
        <v>25</v>
      </c>
      <c r="I53" t="s">
        <v>20</v>
      </c>
      <c r="J53" t="s">
        <v>27</v>
      </c>
      <c r="K53" t="s">
        <v>98</v>
      </c>
      <c r="L53" t="s">
        <v>98</v>
      </c>
      <c r="M53">
        <v>0.89163966700950004</v>
      </c>
      <c r="N53" s="18">
        <v>0.10836033299049996</v>
      </c>
    </row>
    <row r="54" spans="1:14" x14ac:dyDescent="0.25">
      <c r="A54">
        <v>3</v>
      </c>
      <c r="B54" t="s">
        <v>11</v>
      </c>
      <c r="C54">
        <v>2.1</v>
      </c>
      <c r="D54">
        <v>700</v>
      </c>
      <c r="E54">
        <v>20</v>
      </c>
      <c r="F54">
        <v>1</v>
      </c>
      <c r="G54">
        <v>5</v>
      </c>
      <c r="H54">
        <v>26</v>
      </c>
      <c r="I54" t="s">
        <v>20</v>
      </c>
      <c r="J54" t="s">
        <v>28</v>
      </c>
      <c r="K54" t="s">
        <v>98</v>
      </c>
      <c r="L54" t="s">
        <v>98</v>
      </c>
      <c r="M54">
        <v>0.94939814420495472</v>
      </c>
      <c r="N54" s="18">
        <v>5.0601855795045281E-2</v>
      </c>
    </row>
    <row r="55" spans="1:14" x14ac:dyDescent="0.25">
      <c r="A55">
        <v>3</v>
      </c>
      <c r="B55" t="s">
        <v>11</v>
      </c>
      <c r="C55">
        <v>2.1</v>
      </c>
      <c r="D55">
        <v>700</v>
      </c>
      <c r="E55">
        <v>20</v>
      </c>
      <c r="F55">
        <v>1</v>
      </c>
      <c r="G55">
        <v>6</v>
      </c>
      <c r="H55">
        <v>27</v>
      </c>
      <c r="I55" t="s">
        <v>20</v>
      </c>
      <c r="J55" t="s">
        <v>29</v>
      </c>
      <c r="K55" t="s">
        <v>98</v>
      </c>
      <c r="L55" t="s">
        <v>98</v>
      </c>
      <c r="M55">
        <v>0.89196580507107115</v>
      </c>
      <c r="N55" s="18">
        <v>0.10803419492892885</v>
      </c>
    </row>
    <row r="56" spans="1:14" x14ac:dyDescent="0.25">
      <c r="A56">
        <v>3</v>
      </c>
      <c r="B56" t="s">
        <v>11</v>
      </c>
      <c r="C56">
        <v>2.1</v>
      </c>
      <c r="D56">
        <v>700</v>
      </c>
      <c r="E56">
        <v>20</v>
      </c>
      <c r="F56">
        <v>1</v>
      </c>
      <c r="G56">
        <v>7</v>
      </c>
      <c r="H56">
        <v>28</v>
      </c>
      <c r="I56" t="s">
        <v>21</v>
      </c>
      <c r="J56" t="s">
        <v>27</v>
      </c>
      <c r="K56" t="s">
        <v>98</v>
      </c>
      <c r="L56" t="s">
        <v>98</v>
      </c>
      <c r="M56">
        <v>0.96172383658491811</v>
      </c>
      <c r="N56" s="18">
        <v>3.8276163415081887E-2</v>
      </c>
    </row>
    <row r="57" spans="1:14" x14ac:dyDescent="0.25">
      <c r="A57">
        <v>3</v>
      </c>
      <c r="B57" t="s">
        <v>11</v>
      </c>
      <c r="C57">
        <v>2.1</v>
      </c>
      <c r="D57">
        <v>700</v>
      </c>
      <c r="E57">
        <v>20</v>
      </c>
      <c r="F57">
        <v>1</v>
      </c>
      <c r="G57">
        <v>8</v>
      </c>
      <c r="H57">
        <v>29</v>
      </c>
      <c r="I57" t="s">
        <v>21</v>
      </c>
      <c r="J57" t="s">
        <v>28</v>
      </c>
      <c r="K57" t="s">
        <v>98</v>
      </c>
      <c r="L57" t="s">
        <v>98</v>
      </c>
      <c r="M57">
        <v>0.99197311919857023</v>
      </c>
      <c r="N57" s="18">
        <v>8.0268808014297699E-3</v>
      </c>
    </row>
    <row r="58" spans="1:14" x14ac:dyDescent="0.25">
      <c r="A58">
        <v>3</v>
      </c>
      <c r="B58" t="s">
        <v>11</v>
      </c>
      <c r="C58">
        <v>2.1</v>
      </c>
      <c r="D58">
        <v>700</v>
      </c>
      <c r="E58">
        <v>20</v>
      </c>
      <c r="F58">
        <v>1</v>
      </c>
      <c r="G58">
        <v>9</v>
      </c>
      <c r="H58">
        <v>30</v>
      </c>
      <c r="I58" t="s">
        <v>21</v>
      </c>
      <c r="J58" t="s">
        <v>29</v>
      </c>
      <c r="K58" t="s">
        <v>98</v>
      </c>
      <c r="L58" t="s">
        <v>98</v>
      </c>
      <c r="M58">
        <v>0.88421856041532276</v>
      </c>
      <c r="N58" s="18">
        <v>0.11578143958467724</v>
      </c>
    </row>
    <row r="59" spans="1:14" x14ac:dyDescent="0.25">
      <c r="A59">
        <v>3</v>
      </c>
      <c r="B59" t="s">
        <v>11</v>
      </c>
      <c r="C59">
        <v>2.1</v>
      </c>
      <c r="D59">
        <v>700</v>
      </c>
      <c r="E59">
        <v>20</v>
      </c>
      <c r="F59">
        <v>1</v>
      </c>
      <c r="G59">
        <v>10</v>
      </c>
      <c r="H59">
        <v>31</v>
      </c>
      <c r="I59" t="s">
        <v>22</v>
      </c>
      <c r="J59" t="s">
        <v>27</v>
      </c>
      <c r="K59" t="s">
        <v>98</v>
      </c>
      <c r="L59" t="s">
        <v>98</v>
      </c>
      <c r="M59">
        <v>0.90222985048622761</v>
      </c>
      <c r="N59" s="18">
        <v>9.7770149513772386E-2</v>
      </c>
    </row>
    <row r="60" spans="1:14" x14ac:dyDescent="0.25">
      <c r="A60">
        <v>3</v>
      </c>
      <c r="B60" t="s">
        <v>11</v>
      </c>
      <c r="C60">
        <v>2.1</v>
      </c>
      <c r="D60">
        <v>700</v>
      </c>
      <c r="E60">
        <v>20</v>
      </c>
      <c r="F60">
        <v>1</v>
      </c>
      <c r="G60">
        <v>11</v>
      </c>
      <c r="H60">
        <v>32</v>
      </c>
      <c r="I60" t="s">
        <v>22</v>
      </c>
      <c r="J60" t="s">
        <v>28</v>
      </c>
      <c r="K60" t="s">
        <v>98</v>
      </c>
      <c r="L60" t="s">
        <v>98</v>
      </c>
      <c r="M60">
        <v>0.96701464611539933</v>
      </c>
      <c r="N60" s="18">
        <v>3.2985353884600666E-2</v>
      </c>
    </row>
    <row r="61" spans="1:14" x14ac:dyDescent="0.25">
      <c r="A61">
        <v>3</v>
      </c>
      <c r="B61" t="s">
        <v>11</v>
      </c>
      <c r="C61">
        <v>2.1</v>
      </c>
      <c r="D61">
        <v>700</v>
      </c>
      <c r="E61">
        <v>20</v>
      </c>
      <c r="F61">
        <v>1</v>
      </c>
      <c r="G61">
        <v>12</v>
      </c>
      <c r="H61">
        <v>33</v>
      </c>
      <c r="I61" t="s">
        <v>22</v>
      </c>
      <c r="J61" t="s">
        <v>29</v>
      </c>
      <c r="K61" t="s">
        <v>98</v>
      </c>
      <c r="L61" t="s">
        <v>98</v>
      </c>
      <c r="M61">
        <v>0.86735247299396401</v>
      </c>
      <c r="N61" s="18">
        <v>0.13264752700603599</v>
      </c>
    </row>
    <row r="62" spans="1:14" x14ac:dyDescent="0.25">
      <c r="A62">
        <v>3</v>
      </c>
      <c r="B62" t="s">
        <v>11</v>
      </c>
      <c r="C62">
        <v>2.1</v>
      </c>
      <c r="D62">
        <v>700</v>
      </c>
      <c r="E62">
        <v>20</v>
      </c>
      <c r="F62">
        <v>1</v>
      </c>
      <c r="G62">
        <v>13</v>
      </c>
      <c r="H62">
        <v>24</v>
      </c>
      <c r="I62" t="s">
        <v>23</v>
      </c>
      <c r="J62" t="s">
        <v>27</v>
      </c>
      <c r="K62" t="s">
        <v>98</v>
      </c>
      <c r="L62" t="s">
        <v>98</v>
      </c>
      <c r="M62">
        <v>0.88247713824349039</v>
      </c>
      <c r="N62" s="18">
        <v>0.11752286175650961</v>
      </c>
    </row>
    <row r="63" spans="1:14" x14ac:dyDescent="0.25">
      <c r="A63">
        <v>3</v>
      </c>
      <c r="B63" t="s">
        <v>11</v>
      </c>
      <c r="C63">
        <v>2.1</v>
      </c>
      <c r="D63">
        <v>700</v>
      </c>
      <c r="E63">
        <v>20</v>
      </c>
      <c r="F63">
        <v>1</v>
      </c>
      <c r="G63">
        <v>14</v>
      </c>
      <c r="H63">
        <v>25</v>
      </c>
      <c r="I63" t="s">
        <v>23</v>
      </c>
      <c r="J63" t="s">
        <v>28</v>
      </c>
      <c r="K63" t="s">
        <v>98</v>
      </c>
      <c r="L63" t="s">
        <v>98</v>
      </c>
      <c r="M63">
        <v>0.96262637088036884</v>
      </c>
      <c r="N63" s="18">
        <v>3.7373629119631158E-2</v>
      </c>
    </row>
    <row r="64" spans="1:14" x14ac:dyDescent="0.25">
      <c r="A64">
        <v>3</v>
      </c>
      <c r="B64" t="s">
        <v>11</v>
      </c>
      <c r="C64">
        <v>2.1</v>
      </c>
      <c r="D64">
        <v>700</v>
      </c>
      <c r="E64">
        <v>20</v>
      </c>
      <c r="F64">
        <v>1</v>
      </c>
      <c r="G64">
        <v>15</v>
      </c>
      <c r="H64">
        <v>26</v>
      </c>
      <c r="I64" t="s">
        <v>23</v>
      </c>
      <c r="J64" t="s">
        <v>29</v>
      </c>
      <c r="K64" t="s">
        <v>98</v>
      </c>
      <c r="L64" t="s">
        <v>98</v>
      </c>
      <c r="M64">
        <v>0.80232032210592197</v>
      </c>
      <c r="N64" s="18">
        <v>0.19767967789407803</v>
      </c>
    </row>
    <row r="65" spans="1:14" x14ac:dyDescent="0.25">
      <c r="A65">
        <v>3</v>
      </c>
      <c r="B65" t="s">
        <v>11</v>
      </c>
      <c r="C65">
        <v>2.1</v>
      </c>
      <c r="D65">
        <v>700</v>
      </c>
      <c r="E65">
        <v>20</v>
      </c>
      <c r="F65">
        <v>1</v>
      </c>
      <c r="G65">
        <v>16</v>
      </c>
      <c r="H65">
        <v>27</v>
      </c>
      <c r="I65" t="s">
        <v>24</v>
      </c>
      <c r="J65" t="s">
        <v>27</v>
      </c>
      <c r="K65" t="s">
        <v>98</v>
      </c>
      <c r="L65" t="s">
        <v>98</v>
      </c>
      <c r="M65">
        <v>0.92317580088274886</v>
      </c>
      <c r="N65" s="18">
        <v>7.6824199117251135E-2</v>
      </c>
    </row>
    <row r="66" spans="1:14" x14ac:dyDescent="0.25">
      <c r="A66">
        <v>3</v>
      </c>
      <c r="B66" t="s">
        <v>11</v>
      </c>
      <c r="C66">
        <v>2.1</v>
      </c>
      <c r="D66">
        <v>700</v>
      </c>
      <c r="E66">
        <v>20</v>
      </c>
      <c r="F66">
        <v>1</v>
      </c>
      <c r="G66">
        <v>17</v>
      </c>
      <c r="H66">
        <v>28</v>
      </c>
      <c r="I66" t="s">
        <v>24</v>
      </c>
      <c r="J66" t="s">
        <v>28</v>
      </c>
      <c r="K66" t="s">
        <v>98</v>
      </c>
      <c r="L66" t="s">
        <v>98</v>
      </c>
      <c r="M66">
        <v>0.98616469888045699</v>
      </c>
      <c r="N66" s="18">
        <v>1.3835301119543009E-2</v>
      </c>
    </row>
    <row r="67" spans="1:14" x14ac:dyDescent="0.25">
      <c r="A67">
        <v>3</v>
      </c>
      <c r="B67" t="s">
        <v>11</v>
      </c>
      <c r="C67">
        <v>2.1</v>
      </c>
      <c r="D67">
        <v>700</v>
      </c>
      <c r="E67">
        <v>20</v>
      </c>
      <c r="F67">
        <v>1</v>
      </c>
      <c r="G67">
        <v>18</v>
      </c>
      <c r="H67">
        <v>29</v>
      </c>
      <c r="I67" t="s">
        <v>24</v>
      </c>
      <c r="J67" t="s">
        <v>29</v>
      </c>
      <c r="K67" t="s">
        <v>98</v>
      </c>
      <c r="L67" t="s">
        <v>98</v>
      </c>
      <c r="M67">
        <v>0.91985658096051848</v>
      </c>
      <c r="N67" s="18">
        <v>8.0143419039481523E-2</v>
      </c>
    </row>
    <row r="68" spans="1:14" x14ac:dyDescent="0.25">
      <c r="A68">
        <v>3</v>
      </c>
      <c r="B68" t="s">
        <v>11</v>
      </c>
      <c r="C68">
        <v>2.1</v>
      </c>
      <c r="D68">
        <v>700</v>
      </c>
      <c r="E68">
        <v>20</v>
      </c>
      <c r="F68">
        <v>1</v>
      </c>
      <c r="G68">
        <v>19</v>
      </c>
      <c r="H68">
        <v>30</v>
      </c>
      <c r="I68" t="s">
        <v>25</v>
      </c>
      <c r="J68" t="s">
        <v>27</v>
      </c>
      <c r="K68" t="s">
        <v>98</v>
      </c>
      <c r="L68" t="s">
        <v>98</v>
      </c>
      <c r="M68">
        <v>0.69345036884374855</v>
      </c>
      <c r="N68" s="18">
        <v>0.30654963115625145</v>
      </c>
    </row>
    <row r="69" spans="1:14" x14ac:dyDescent="0.25">
      <c r="A69">
        <v>3</v>
      </c>
      <c r="B69" t="s">
        <v>11</v>
      </c>
      <c r="C69">
        <v>2.1</v>
      </c>
      <c r="D69">
        <v>700</v>
      </c>
      <c r="E69">
        <v>20</v>
      </c>
      <c r="F69">
        <v>1</v>
      </c>
      <c r="G69">
        <v>20</v>
      </c>
      <c r="H69">
        <v>31</v>
      </c>
      <c r="I69" t="s">
        <v>25</v>
      </c>
      <c r="J69" t="s">
        <v>28</v>
      </c>
      <c r="K69" t="s">
        <v>98</v>
      </c>
      <c r="L69" t="s">
        <v>98</v>
      </c>
      <c r="M69">
        <v>0.86051812328836641</v>
      </c>
      <c r="N69" s="18">
        <v>0.13948187671163359</v>
      </c>
    </row>
    <row r="70" spans="1:14" x14ac:dyDescent="0.25">
      <c r="A70">
        <v>3</v>
      </c>
      <c r="B70" t="s">
        <v>11</v>
      </c>
      <c r="C70">
        <v>2.1</v>
      </c>
      <c r="D70">
        <v>700</v>
      </c>
      <c r="E70">
        <v>20</v>
      </c>
      <c r="F70">
        <v>1</v>
      </c>
      <c r="G70">
        <v>21</v>
      </c>
      <c r="H70">
        <v>32</v>
      </c>
      <c r="I70" t="s">
        <v>25</v>
      </c>
      <c r="J70" t="s">
        <v>29</v>
      </c>
      <c r="K70" t="s">
        <v>98</v>
      </c>
      <c r="L70" t="s">
        <v>98</v>
      </c>
      <c r="M70">
        <v>0.74400693466529733</v>
      </c>
      <c r="N70" s="18">
        <v>0.25599306533470267</v>
      </c>
    </row>
    <row r="71" spans="1:14" x14ac:dyDescent="0.25">
      <c r="A71">
        <v>3</v>
      </c>
      <c r="B71" t="s">
        <v>11</v>
      </c>
      <c r="C71">
        <v>2.1</v>
      </c>
      <c r="D71">
        <v>700</v>
      </c>
      <c r="E71">
        <v>20</v>
      </c>
      <c r="F71">
        <v>1</v>
      </c>
      <c r="G71">
        <v>22</v>
      </c>
      <c r="H71">
        <v>33</v>
      </c>
      <c r="I71" t="s">
        <v>26</v>
      </c>
      <c r="J71" t="s">
        <v>27</v>
      </c>
      <c r="K71" t="s">
        <v>98</v>
      </c>
      <c r="L71" t="s">
        <v>98</v>
      </c>
      <c r="M71">
        <v>0.9279889335659407</v>
      </c>
      <c r="N71" s="18">
        <v>7.2011066434059301E-2</v>
      </c>
    </row>
    <row r="72" spans="1:14" x14ac:dyDescent="0.25">
      <c r="A72">
        <v>3</v>
      </c>
      <c r="B72" t="s">
        <v>11</v>
      </c>
      <c r="C72">
        <v>2.1</v>
      </c>
      <c r="D72">
        <v>700</v>
      </c>
      <c r="E72">
        <v>20</v>
      </c>
      <c r="F72">
        <v>1</v>
      </c>
      <c r="G72">
        <v>23</v>
      </c>
      <c r="H72">
        <v>24</v>
      </c>
      <c r="I72" t="s">
        <v>26</v>
      </c>
      <c r="J72" t="s">
        <v>28</v>
      </c>
      <c r="K72" t="s">
        <v>98</v>
      </c>
      <c r="L72" t="s">
        <v>98</v>
      </c>
      <c r="M72">
        <v>0.93727402190659337</v>
      </c>
      <c r="N72" s="18">
        <v>6.2725978093406631E-2</v>
      </c>
    </row>
    <row r="73" spans="1:14" x14ac:dyDescent="0.25">
      <c r="A73">
        <v>3</v>
      </c>
      <c r="B73" t="s">
        <v>11</v>
      </c>
      <c r="C73">
        <v>2.1</v>
      </c>
      <c r="D73">
        <v>700</v>
      </c>
      <c r="E73">
        <v>20</v>
      </c>
      <c r="F73">
        <v>1</v>
      </c>
      <c r="G73">
        <v>24</v>
      </c>
      <c r="H73">
        <v>25</v>
      </c>
      <c r="I73" t="s">
        <v>26</v>
      </c>
      <c r="J73" t="s">
        <v>29</v>
      </c>
      <c r="K73" t="s">
        <v>98</v>
      </c>
      <c r="L73" t="s">
        <v>98</v>
      </c>
      <c r="M73">
        <v>0.84298396465881564</v>
      </c>
      <c r="N73" s="18">
        <v>0.15701603534118436</v>
      </c>
    </row>
    <row r="74" spans="1:14" x14ac:dyDescent="0.25">
      <c r="A74">
        <v>4</v>
      </c>
      <c r="B74" t="s">
        <v>12</v>
      </c>
      <c r="C74">
        <v>2.1</v>
      </c>
      <c r="D74">
        <v>700</v>
      </c>
      <c r="E74">
        <v>20</v>
      </c>
      <c r="F74">
        <v>1</v>
      </c>
      <c r="G74">
        <v>1</v>
      </c>
      <c r="H74">
        <v>26</v>
      </c>
      <c r="I74" t="s">
        <v>19</v>
      </c>
      <c r="J74" t="s">
        <v>27</v>
      </c>
      <c r="K74" t="s">
        <v>98</v>
      </c>
      <c r="L74" t="s">
        <v>98</v>
      </c>
      <c r="M74">
        <v>0.85905945512028792</v>
      </c>
      <c r="N74" s="18">
        <v>0.14094054487971208</v>
      </c>
    </row>
    <row r="75" spans="1:14" x14ac:dyDescent="0.25">
      <c r="A75">
        <v>4</v>
      </c>
      <c r="B75" t="s">
        <v>12</v>
      </c>
      <c r="C75">
        <v>2.1</v>
      </c>
      <c r="D75">
        <v>700</v>
      </c>
      <c r="E75">
        <v>20</v>
      </c>
      <c r="F75">
        <v>1</v>
      </c>
      <c r="G75">
        <v>2</v>
      </c>
      <c r="H75">
        <v>27</v>
      </c>
      <c r="I75" t="s">
        <v>19</v>
      </c>
      <c r="J75" t="s">
        <v>28</v>
      </c>
      <c r="K75" t="s">
        <v>98</v>
      </c>
      <c r="L75" t="s">
        <v>98</v>
      </c>
      <c r="M75">
        <v>0.96349788188343966</v>
      </c>
      <c r="N75" s="18">
        <v>3.6502118116560345E-2</v>
      </c>
    </row>
    <row r="76" spans="1:14" x14ac:dyDescent="0.25">
      <c r="A76">
        <v>4</v>
      </c>
      <c r="B76" t="s">
        <v>12</v>
      </c>
      <c r="C76">
        <v>2.1</v>
      </c>
      <c r="D76">
        <v>700</v>
      </c>
      <c r="E76">
        <v>20</v>
      </c>
      <c r="F76">
        <v>1</v>
      </c>
      <c r="G76">
        <v>3</v>
      </c>
      <c r="H76">
        <v>28</v>
      </c>
      <c r="I76" t="s">
        <v>19</v>
      </c>
      <c r="J76" t="s">
        <v>29</v>
      </c>
      <c r="K76" t="s">
        <v>98</v>
      </c>
      <c r="L76" t="s">
        <v>98</v>
      </c>
      <c r="M76">
        <v>0.78445170202241143</v>
      </c>
      <c r="N76" s="18">
        <v>0.21554829797758857</v>
      </c>
    </row>
    <row r="77" spans="1:14" x14ac:dyDescent="0.25">
      <c r="A77">
        <v>4</v>
      </c>
      <c r="B77" t="s">
        <v>12</v>
      </c>
      <c r="C77">
        <v>2.1</v>
      </c>
      <c r="D77">
        <v>700</v>
      </c>
      <c r="E77">
        <v>20</v>
      </c>
      <c r="F77">
        <v>1</v>
      </c>
      <c r="G77">
        <v>4</v>
      </c>
      <c r="H77">
        <v>29</v>
      </c>
      <c r="I77" t="s">
        <v>20</v>
      </c>
      <c r="J77" t="s">
        <v>27</v>
      </c>
      <c r="K77" t="s">
        <v>98</v>
      </c>
      <c r="L77" t="s">
        <v>98</v>
      </c>
      <c r="M77">
        <v>0.92075575399155529</v>
      </c>
      <c r="N77" s="18">
        <v>7.9244246008444708E-2</v>
      </c>
    </row>
    <row r="78" spans="1:14" x14ac:dyDescent="0.25">
      <c r="A78">
        <v>4</v>
      </c>
      <c r="B78" t="s">
        <v>12</v>
      </c>
      <c r="C78">
        <v>2.1</v>
      </c>
      <c r="D78">
        <v>700</v>
      </c>
      <c r="E78">
        <v>20</v>
      </c>
      <c r="F78">
        <v>1</v>
      </c>
      <c r="G78">
        <v>5</v>
      </c>
      <c r="H78">
        <v>30</v>
      </c>
      <c r="I78" t="s">
        <v>20</v>
      </c>
      <c r="J78" t="s">
        <v>28</v>
      </c>
      <c r="K78" t="s">
        <v>98</v>
      </c>
      <c r="L78" t="s">
        <v>98</v>
      </c>
      <c r="M78">
        <v>0.96212670843774462</v>
      </c>
      <c r="N78" s="18">
        <v>3.7873291562255385E-2</v>
      </c>
    </row>
    <row r="79" spans="1:14" x14ac:dyDescent="0.25">
      <c r="A79">
        <v>4</v>
      </c>
      <c r="B79" t="s">
        <v>12</v>
      </c>
      <c r="C79">
        <v>2.1</v>
      </c>
      <c r="D79">
        <v>700</v>
      </c>
      <c r="E79">
        <v>20</v>
      </c>
      <c r="F79">
        <v>1</v>
      </c>
      <c r="G79">
        <v>6</v>
      </c>
      <c r="H79">
        <v>31</v>
      </c>
      <c r="I79" t="s">
        <v>20</v>
      </c>
      <c r="J79" t="s">
        <v>29</v>
      </c>
      <c r="K79" t="s">
        <v>98</v>
      </c>
      <c r="L79" t="s">
        <v>98</v>
      </c>
      <c r="M79">
        <v>0.91825271175796819</v>
      </c>
      <c r="N79" s="18">
        <v>8.1747288242031813E-2</v>
      </c>
    </row>
    <row r="80" spans="1:14" x14ac:dyDescent="0.25">
      <c r="A80">
        <v>4</v>
      </c>
      <c r="B80" t="s">
        <v>12</v>
      </c>
      <c r="C80">
        <v>2.1</v>
      </c>
      <c r="D80">
        <v>700</v>
      </c>
      <c r="E80">
        <v>20</v>
      </c>
      <c r="F80">
        <v>1</v>
      </c>
      <c r="G80">
        <v>7</v>
      </c>
      <c r="H80">
        <v>32</v>
      </c>
      <c r="I80" t="s">
        <v>21</v>
      </c>
      <c r="J80" t="s">
        <v>27</v>
      </c>
      <c r="K80" t="s">
        <v>98</v>
      </c>
      <c r="L80" t="s">
        <v>98</v>
      </c>
      <c r="M80">
        <v>0.96217768991304342</v>
      </c>
      <c r="N80" s="18">
        <v>3.7822310086956579E-2</v>
      </c>
    </row>
    <row r="81" spans="1:14" x14ac:dyDescent="0.25">
      <c r="A81">
        <v>4</v>
      </c>
      <c r="B81" t="s">
        <v>12</v>
      </c>
      <c r="C81">
        <v>2.1</v>
      </c>
      <c r="D81">
        <v>700</v>
      </c>
      <c r="E81">
        <v>20</v>
      </c>
      <c r="F81">
        <v>1</v>
      </c>
      <c r="G81">
        <v>8</v>
      </c>
      <c r="H81">
        <v>33</v>
      </c>
      <c r="I81" t="s">
        <v>21</v>
      </c>
      <c r="J81" t="s">
        <v>28</v>
      </c>
      <c r="K81" t="s">
        <v>98</v>
      </c>
      <c r="L81" t="s">
        <v>98</v>
      </c>
      <c r="M81">
        <v>0.99207125365498938</v>
      </c>
      <c r="N81" s="18">
        <v>7.9287463450106177E-3</v>
      </c>
    </row>
    <row r="82" spans="1:14" x14ac:dyDescent="0.25">
      <c r="A82">
        <v>4</v>
      </c>
      <c r="B82" t="s">
        <v>12</v>
      </c>
      <c r="C82">
        <v>2.1</v>
      </c>
      <c r="D82">
        <v>700</v>
      </c>
      <c r="E82">
        <v>20</v>
      </c>
      <c r="F82">
        <v>1</v>
      </c>
      <c r="G82">
        <v>9</v>
      </c>
      <c r="H82">
        <v>24</v>
      </c>
      <c r="I82" t="s">
        <v>21</v>
      </c>
      <c r="J82" t="s">
        <v>29</v>
      </c>
      <c r="K82" t="s">
        <v>98</v>
      </c>
      <c r="L82" t="s">
        <v>98</v>
      </c>
      <c r="M82">
        <v>0.88230071446744951</v>
      </c>
      <c r="N82" s="18">
        <v>0.11769928553255049</v>
      </c>
    </row>
    <row r="83" spans="1:14" x14ac:dyDescent="0.25">
      <c r="A83">
        <v>4</v>
      </c>
      <c r="B83" t="s">
        <v>12</v>
      </c>
      <c r="C83">
        <v>2.1</v>
      </c>
      <c r="D83">
        <v>700</v>
      </c>
      <c r="E83">
        <v>20</v>
      </c>
      <c r="F83">
        <v>1</v>
      </c>
      <c r="G83">
        <v>10</v>
      </c>
      <c r="H83">
        <v>25</v>
      </c>
      <c r="I83" t="s">
        <v>22</v>
      </c>
      <c r="J83" t="s">
        <v>27</v>
      </c>
      <c r="K83" t="s">
        <v>98</v>
      </c>
      <c r="L83" t="s">
        <v>98</v>
      </c>
      <c r="M83">
        <v>0.82107533294892121</v>
      </c>
      <c r="N83" s="18">
        <v>0.17892466705107879</v>
      </c>
    </row>
    <row r="84" spans="1:14" x14ac:dyDescent="0.25">
      <c r="A84">
        <v>4</v>
      </c>
      <c r="B84" t="s">
        <v>12</v>
      </c>
      <c r="C84">
        <v>2.1</v>
      </c>
      <c r="D84">
        <v>700</v>
      </c>
      <c r="E84">
        <v>20</v>
      </c>
      <c r="F84">
        <v>1</v>
      </c>
      <c r="G84">
        <v>11</v>
      </c>
      <c r="H84">
        <v>26</v>
      </c>
      <c r="I84" t="s">
        <v>22</v>
      </c>
      <c r="J84" t="s">
        <v>28</v>
      </c>
      <c r="K84" t="s">
        <v>98</v>
      </c>
      <c r="L84" t="s">
        <v>98</v>
      </c>
      <c r="M84">
        <v>0.94364877196086783</v>
      </c>
      <c r="N84" s="18">
        <v>5.6351228039132173E-2</v>
      </c>
    </row>
    <row r="85" spans="1:14" x14ac:dyDescent="0.25">
      <c r="A85">
        <v>4</v>
      </c>
      <c r="B85" t="s">
        <v>12</v>
      </c>
      <c r="C85">
        <v>2.1</v>
      </c>
      <c r="D85">
        <v>700</v>
      </c>
      <c r="E85">
        <v>20</v>
      </c>
      <c r="F85">
        <v>1</v>
      </c>
      <c r="G85">
        <v>12</v>
      </c>
      <c r="H85">
        <v>27</v>
      </c>
      <c r="I85" t="s">
        <v>22</v>
      </c>
      <c r="J85" t="s">
        <v>29</v>
      </c>
      <c r="K85" t="s">
        <v>98</v>
      </c>
      <c r="L85" t="s">
        <v>98</v>
      </c>
      <c r="M85">
        <v>0.80426230596536696</v>
      </c>
      <c r="N85" s="18">
        <v>0.19573769403463304</v>
      </c>
    </row>
    <row r="86" spans="1:14" x14ac:dyDescent="0.25">
      <c r="A86">
        <v>4</v>
      </c>
      <c r="B86" t="s">
        <v>12</v>
      </c>
      <c r="C86">
        <v>2.1</v>
      </c>
      <c r="D86">
        <v>700</v>
      </c>
      <c r="E86">
        <v>20</v>
      </c>
      <c r="F86">
        <v>1</v>
      </c>
      <c r="G86">
        <v>13</v>
      </c>
      <c r="H86">
        <v>28</v>
      </c>
      <c r="I86" t="s">
        <v>23</v>
      </c>
      <c r="J86" t="s">
        <v>27</v>
      </c>
      <c r="K86" t="s">
        <v>98</v>
      </c>
      <c r="L86" t="s">
        <v>98</v>
      </c>
      <c r="M86">
        <v>0.92389609244005633</v>
      </c>
      <c r="N86" s="18">
        <v>7.6103907559943673E-2</v>
      </c>
    </row>
    <row r="87" spans="1:14" x14ac:dyDescent="0.25">
      <c r="A87">
        <v>4</v>
      </c>
      <c r="B87" t="s">
        <v>12</v>
      </c>
      <c r="C87">
        <v>2.1</v>
      </c>
      <c r="D87">
        <v>700</v>
      </c>
      <c r="E87">
        <v>20</v>
      </c>
      <c r="F87">
        <v>1</v>
      </c>
      <c r="G87">
        <v>14</v>
      </c>
      <c r="H87">
        <v>29</v>
      </c>
      <c r="I87" t="s">
        <v>23</v>
      </c>
      <c r="J87" t="s">
        <v>28</v>
      </c>
      <c r="K87" t="s">
        <v>98</v>
      </c>
      <c r="L87" t="s">
        <v>98</v>
      </c>
      <c r="M87">
        <v>0.98210364874782707</v>
      </c>
      <c r="N87" s="18">
        <v>1.7896351252172926E-2</v>
      </c>
    </row>
    <row r="88" spans="1:14" x14ac:dyDescent="0.25">
      <c r="A88">
        <v>4</v>
      </c>
      <c r="B88" t="s">
        <v>12</v>
      </c>
      <c r="C88">
        <v>2.1</v>
      </c>
      <c r="D88">
        <v>700</v>
      </c>
      <c r="E88">
        <v>20</v>
      </c>
      <c r="F88">
        <v>1</v>
      </c>
      <c r="G88">
        <v>15</v>
      </c>
      <c r="H88">
        <v>30</v>
      </c>
      <c r="I88" t="s">
        <v>23</v>
      </c>
      <c r="J88" t="s">
        <v>29</v>
      </c>
      <c r="K88" t="s">
        <v>98</v>
      </c>
      <c r="L88" t="s">
        <v>98</v>
      </c>
      <c r="M88">
        <v>0.84950193602835511</v>
      </c>
      <c r="N88" s="18">
        <v>0.15049806397164489</v>
      </c>
    </row>
    <row r="89" spans="1:14" x14ac:dyDescent="0.25">
      <c r="A89">
        <v>4</v>
      </c>
      <c r="B89" t="s">
        <v>12</v>
      </c>
      <c r="C89">
        <v>2.1</v>
      </c>
      <c r="D89">
        <v>700</v>
      </c>
      <c r="E89">
        <v>20</v>
      </c>
      <c r="F89">
        <v>1</v>
      </c>
      <c r="G89">
        <v>16</v>
      </c>
      <c r="H89">
        <v>31</v>
      </c>
      <c r="I89" t="s">
        <v>24</v>
      </c>
      <c r="J89" t="s">
        <v>27</v>
      </c>
      <c r="K89" t="s">
        <v>98</v>
      </c>
      <c r="L89" t="s">
        <v>98</v>
      </c>
      <c r="M89">
        <v>0.92788863098303642</v>
      </c>
      <c r="N89" s="18">
        <v>7.2111369016963578E-2</v>
      </c>
    </row>
    <row r="90" spans="1:14" x14ac:dyDescent="0.25">
      <c r="A90">
        <v>4</v>
      </c>
      <c r="B90" t="s">
        <v>12</v>
      </c>
      <c r="C90">
        <v>2.1</v>
      </c>
      <c r="D90">
        <v>700</v>
      </c>
      <c r="E90">
        <v>20</v>
      </c>
      <c r="F90">
        <v>1</v>
      </c>
      <c r="G90">
        <v>17</v>
      </c>
      <c r="H90">
        <v>32</v>
      </c>
      <c r="I90" t="s">
        <v>24</v>
      </c>
      <c r="J90" t="s">
        <v>28</v>
      </c>
      <c r="K90" t="s">
        <v>98</v>
      </c>
      <c r="L90" t="s">
        <v>98</v>
      </c>
      <c r="M90">
        <v>0.99240468980264895</v>
      </c>
      <c r="N90" s="18">
        <v>7.5953101973510462E-3</v>
      </c>
    </row>
    <row r="91" spans="1:14" x14ac:dyDescent="0.25">
      <c r="A91">
        <v>4</v>
      </c>
      <c r="B91" t="s">
        <v>12</v>
      </c>
      <c r="C91">
        <v>2.1</v>
      </c>
      <c r="D91">
        <v>700</v>
      </c>
      <c r="E91">
        <v>20</v>
      </c>
      <c r="F91">
        <v>1</v>
      </c>
      <c r="G91">
        <v>18</v>
      </c>
      <c r="H91">
        <v>33</v>
      </c>
      <c r="I91" t="s">
        <v>24</v>
      </c>
      <c r="J91" t="s">
        <v>29</v>
      </c>
      <c r="K91" t="s">
        <v>98</v>
      </c>
      <c r="L91" t="s">
        <v>98</v>
      </c>
      <c r="M91">
        <v>0.95788807562654943</v>
      </c>
      <c r="N91" s="18">
        <v>4.2111924373450571E-2</v>
      </c>
    </row>
    <row r="92" spans="1:14" x14ac:dyDescent="0.25">
      <c r="A92">
        <v>4</v>
      </c>
      <c r="B92" t="s">
        <v>12</v>
      </c>
      <c r="C92">
        <v>2.1</v>
      </c>
      <c r="D92">
        <v>700</v>
      </c>
      <c r="E92">
        <v>20</v>
      </c>
      <c r="F92">
        <v>1</v>
      </c>
      <c r="G92">
        <v>19</v>
      </c>
      <c r="H92">
        <v>24</v>
      </c>
      <c r="I92" t="s">
        <v>25</v>
      </c>
      <c r="J92" t="s">
        <v>27</v>
      </c>
      <c r="K92" t="s">
        <v>98</v>
      </c>
      <c r="L92" t="s">
        <v>98</v>
      </c>
      <c r="M92">
        <v>0.70010543872747932</v>
      </c>
      <c r="N92" s="18">
        <v>0.29989456127252068</v>
      </c>
    </row>
    <row r="93" spans="1:14" x14ac:dyDescent="0.25">
      <c r="A93">
        <v>4</v>
      </c>
      <c r="B93" t="s">
        <v>12</v>
      </c>
      <c r="C93">
        <v>2.1</v>
      </c>
      <c r="D93">
        <v>700</v>
      </c>
      <c r="E93">
        <v>20</v>
      </c>
      <c r="F93">
        <v>1</v>
      </c>
      <c r="G93">
        <v>20</v>
      </c>
      <c r="H93">
        <v>25</v>
      </c>
      <c r="I93" t="s">
        <v>25</v>
      </c>
      <c r="J93" t="s">
        <v>28</v>
      </c>
      <c r="K93" t="s">
        <v>98</v>
      </c>
      <c r="L93" t="s">
        <v>98</v>
      </c>
      <c r="M93">
        <v>0.86425620386600177</v>
      </c>
      <c r="N93" s="18">
        <v>0.13574379613399823</v>
      </c>
    </row>
    <row r="94" spans="1:14" x14ac:dyDescent="0.25">
      <c r="A94">
        <v>4</v>
      </c>
      <c r="B94" t="s">
        <v>12</v>
      </c>
      <c r="C94">
        <v>2.1</v>
      </c>
      <c r="D94">
        <v>700</v>
      </c>
      <c r="E94">
        <v>20</v>
      </c>
      <c r="F94">
        <v>1</v>
      </c>
      <c r="G94">
        <v>21</v>
      </c>
      <c r="H94">
        <v>26</v>
      </c>
      <c r="I94" t="s">
        <v>25</v>
      </c>
      <c r="J94" t="s">
        <v>29</v>
      </c>
      <c r="K94" t="s">
        <v>98</v>
      </c>
      <c r="L94" t="s">
        <v>98</v>
      </c>
      <c r="M94">
        <v>0.74996019376227552</v>
      </c>
      <c r="N94" s="18">
        <v>0.25003980623772448</v>
      </c>
    </row>
    <row r="95" spans="1:14" x14ac:dyDescent="0.25">
      <c r="A95">
        <v>4</v>
      </c>
      <c r="B95" t="s">
        <v>12</v>
      </c>
      <c r="C95">
        <v>2.1</v>
      </c>
      <c r="D95">
        <v>700</v>
      </c>
      <c r="E95">
        <v>20</v>
      </c>
      <c r="F95">
        <v>1</v>
      </c>
      <c r="G95">
        <v>22</v>
      </c>
      <c r="H95">
        <v>27</v>
      </c>
      <c r="I95" t="s">
        <v>26</v>
      </c>
      <c r="J95" t="s">
        <v>27</v>
      </c>
      <c r="K95" t="s">
        <v>98</v>
      </c>
      <c r="L95" t="s">
        <v>98</v>
      </c>
      <c r="M95">
        <v>0.85588198671380955</v>
      </c>
      <c r="N95" s="18">
        <v>0.14411801328619045</v>
      </c>
    </row>
    <row r="96" spans="1:14" x14ac:dyDescent="0.25">
      <c r="A96">
        <v>4</v>
      </c>
      <c r="B96" t="s">
        <v>12</v>
      </c>
      <c r="C96">
        <v>2.1</v>
      </c>
      <c r="D96">
        <v>700</v>
      </c>
      <c r="E96">
        <v>20</v>
      </c>
      <c r="F96">
        <v>1</v>
      </c>
      <c r="G96">
        <v>23</v>
      </c>
      <c r="H96">
        <v>28</v>
      </c>
      <c r="I96" t="s">
        <v>26</v>
      </c>
      <c r="J96" t="s">
        <v>28</v>
      </c>
      <c r="K96" t="s">
        <v>98</v>
      </c>
      <c r="L96" t="s">
        <v>98</v>
      </c>
      <c r="M96">
        <v>0.93344789686918384</v>
      </c>
      <c r="N96" s="18">
        <v>6.6552103130816165E-2</v>
      </c>
    </row>
    <row r="97" spans="1:14" x14ac:dyDescent="0.25">
      <c r="A97">
        <v>4</v>
      </c>
      <c r="B97" t="s">
        <v>12</v>
      </c>
      <c r="C97">
        <v>2.1</v>
      </c>
      <c r="D97">
        <v>700</v>
      </c>
      <c r="E97">
        <v>20</v>
      </c>
      <c r="F97">
        <v>1</v>
      </c>
      <c r="G97">
        <v>24</v>
      </c>
      <c r="H97">
        <v>29</v>
      </c>
      <c r="I97" t="s">
        <v>26</v>
      </c>
      <c r="J97" t="s">
        <v>29</v>
      </c>
      <c r="K97" t="s">
        <v>98</v>
      </c>
      <c r="L97" t="s">
        <v>98</v>
      </c>
      <c r="M97">
        <v>0.7941459764943688</v>
      </c>
      <c r="N97" s="18">
        <v>0.2058540235056312</v>
      </c>
    </row>
    <row r="98" spans="1:14" x14ac:dyDescent="0.25">
      <c r="A98">
        <v>5</v>
      </c>
      <c r="B98" t="s">
        <v>13</v>
      </c>
      <c r="C98">
        <v>2.1</v>
      </c>
      <c r="D98">
        <v>700</v>
      </c>
      <c r="E98">
        <v>20</v>
      </c>
      <c r="F98">
        <v>1</v>
      </c>
      <c r="G98">
        <v>1</v>
      </c>
      <c r="H98">
        <v>30</v>
      </c>
      <c r="I98" t="s">
        <v>19</v>
      </c>
      <c r="J98" t="s">
        <v>27</v>
      </c>
      <c r="K98" t="s">
        <v>98</v>
      </c>
      <c r="L98" t="s">
        <v>98</v>
      </c>
      <c r="M98">
        <v>0.877782865127127</v>
      </c>
      <c r="N98" s="18">
        <v>0.122217134872873</v>
      </c>
    </row>
    <row r="99" spans="1:14" x14ac:dyDescent="0.25">
      <c r="A99">
        <v>5</v>
      </c>
      <c r="B99" t="s">
        <v>13</v>
      </c>
      <c r="C99">
        <v>2.1</v>
      </c>
      <c r="D99">
        <v>700</v>
      </c>
      <c r="E99">
        <v>20</v>
      </c>
      <c r="F99">
        <v>1</v>
      </c>
      <c r="G99">
        <v>2</v>
      </c>
      <c r="H99">
        <v>31</v>
      </c>
      <c r="I99" t="s">
        <v>19</v>
      </c>
      <c r="J99" t="s">
        <v>28</v>
      </c>
      <c r="K99" t="s">
        <v>98</v>
      </c>
      <c r="L99" t="s">
        <v>98</v>
      </c>
      <c r="M99">
        <v>0.96885013412082921</v>
      </c>
      <c r="N99" s="18">
        <v>3.1149865879170791E-2</v>
      </c>
    </row>
    <row r="100" spans="1:14" x14ac:dyDescent="0.25">
      <c r="A100">
        <v>5</v>
      </c>
      <c r="B100" t="s">
        <v>13</v>
      </c>
      <c r="C100">
        <v>2.1</v>
      </c>
      <c r="D100">
        <v>700</v>
      </c>
      <c r="E100">
        <v>20</v>
      </c>
      <c r="F100">
        <v>1</v>
      </c>
      <c r="G100">
        <v>3</v>
      </c>
      <c r="H100">
        <v>32</v>
      </c>
      <c r="I100" t="s">
        <v>19</v>
      </c>
      <c r="J100" t="s">
        <v>29</v>
      </c>
      <c r="K100" t="s">
        <v>98</v>
      </c>
      <c r="L100" t="s">
        <v>98</v>
      </c>
      <c r="M100">
        <v>0.81090478936834975</v>
      </c>
      <c r="N100" s="18">
        <v>0.18909521063165025</v>
      </c>
    </row>
    <row r="101" spans="1:14" x14ac:dyDescent="0.25">
      <c r="A101">
        <v>5</v>
      </c>
      <c r="B101" t="s">
        <v>13</v>
      </c>
      <c r="C101">
        <v>2.1</v>
      </c>
      <c r="D101">
        <v>700</v>
      </c>
      <c r="E101">
        <v>20</v>
      </c>
      <c r="F101">
        <v>1</v>
      </c>
      <c r="G101">
        <v>4</v>
      </c>
      <c r="H101">
        <v>33</v>
      </c>
      <c r="I101" t="s">
        <v>20</v>
      </c>
      <c r="J101" t="s">
        <v>27</v>
      </c>
      <c r="K101" t="s">
        <v>98</v>
      </c>
      <c r="L101" t="s">
        <v>98</v>
      </c>
      <c r="M101">
        <v>0.93366004256815227</v>
      </c>
      <c r="N101" s="18">
        <v>6.6339957431847729E-2</v>
      </c>
    </row>
    <row r="102" spans="1:14" x14ac:dyDescent="0.25">
      <c r="A102">
        <v>5</v>
      </c>
      <c r="B102" t="s">
        <v>13</v>
      </c>
      <c r="C102">
        <v>2.1</v>
      </c>
      <c r="D102">
        <v>700</v>
      </c>
      <c r="E102">
        <v>20</v>
      </c>
      <c r="F102">
        <v>1</v>
      </c>
      <c r="G102">
        <v>5</v>
      </c>
      <c r="H102">
        <v>24</v>
      </c>
      <c r="I102" t="s">
        <v>20</v>
      </c>
      <c r="J102" t="s">
        <v>28</v>
      </c>
      <c r="K102" t="s">
        <v>98</v>
      </c>
      <c r="L102" t="s">
        <v>98</v>
      </c>
      <c r="M102">
        <v>0.94859078195052238</v>
      </c>
      <c r="N102" s="18">
        <v>5.1409218049477623E-2</v>
      </c>
    </row>
    <row r="103" spans="1:14" x14ac:dyDescent="0.25">
      <c r="A103">
        <v>5</v>
      </c>
      <c r="B103" t="s">
        <v>13</v>
      </c>
      <c r="C103">
        <v>2.1</v>
      </c>
      <c r="D103">
        <v>700</v>
      </c>
      <c r="E103">
        <v>20</v>
      </c>
      <c r="F103">
        <v>1</v>
      </c>
      <c r="G103">
        <v>6</v>
      </c>
      <c r="H103">
        <v>25</v>
      </c>
      <c r="I103" t="s">
        <v>20</v>
      </c>
      <c r="J103" t="s">
        <v>29</v>
      </c>
      <c r="K103" t="s">
        <v>98</v>
      </c>
      <c r="L103" t="s">
        <v>98</v>
      </c>
      <c r="M103">
        <v>0.89011340534143024</v>
      </c>
      <c r="N103" s="18">
        <v>0.10988659465856976</v>
      </c>
    </row>
    <row r="104" spans="1:14" x14ac:dyDescent="0.25">
      <c r="A104">
        <v>5</v>
      </c>
      <c r="B104" t="s">
        <v>13</v>
      </c>
      <c r="C104">
        <v>2.1</v>
      </c>
      <c r="D104">
        <v>700</v>
      </c>
      <c r="E104">
        <v>20</v>
      </c>
      <c r="F104">
        <v>1</v>
      </c>
      <c r="G104">
        <v>7</v>
      </c>
      <c r="H104">
        <v>26</v>
      </c>
      <c r="I104" t="s">
        <v>21</v>
      </c>
      <c r="J104" t="s">
        <v>27</v>
      </c>
      <c r="K104" t="s">
        <v>98</v>
      </c>
      <c r="L104" t="s">
        <v>98</v>
      </c>
      <c r="M104">
        <v>0.96149495328455703</v>
      </c>
      <c r="N104" s="18">
        <v>3.850504671544297E-2</v>
      </c>
    </row>
    <row r="105" spans="1:14" x14ac:dyDescent="0.25">
      <c r="A105">
        <v>5</v>
      </c>
      <c r="B105" t="s">
        <v>13</v>
      </c>
      <c r="C105">
        <v>2.1</v>
      </c>
      <c r="D105">
        <v>700</v>
      </c>
      <c r="E105">
        <v>20</v>
      </c>
      <c r="F105">
        <v>1</v>
      </c>
      <c r="G105">
        <v>8</v>
      </c>
      <c r="H105">
        <v>27</v>
      </c>
      <c r="I105" t="s">
        <v>21</v>
      </c>
      <c r="J105" t="s">
        <v>28</v>
      </c>
      <c r="K105" t="s">
        <v>98</v>
      </c>
      <c r="L105" t="s">
        <v>98</v>
      </c>
      <c r="M105">
        <v>0.99192360112560252</v>
      </c>
      <c r="N105" s="18">
        <v>8.0763988743974835E-3</v>
      </c>
    </row>
    <row r="106" spans="1:14" x14ac:dyDescent="0.25">
      <c r="A106">
        <v>5</v>
      </c>
      <c r="B106" t="s">
        <v>13</v>
      </c>
      <c r="C106">
        <v>2.1</v>
      </c>
      <c r="D106">
        <v>700</v>
      </c>
      <c r="E106">
        <v>20</v>
      </c>
      <c r="F106">
        <v>1</v>
      </c>
      <c r="G106">
        <v>9</v>
      </c>
      <c r="H106">
        <v>28</v>
      </c>
      <c r="I106" t="s">
        <v>21</v>
      </c>
      <c r="J106" t="s">
        <v>29</v>
      </c>
      <c r="K106" t="s">
        <v>98</v>
      </c>
      <c r="L106" t="s">
        <v>98</v>
      </c>
      <c r="M106">
        <v>0.88358231501164985</v>
      </c>
      <c r="N106" s="18">
        <v>0.11641768498835015</v>
      </c>
    </row>
    <row r="107" spans="1:14" x14ac:dyDescent="0.25">
      <c r="A107">
        <v>5</v>
      </c>
      <c r="B107" t="s">
        <v>13</v>
      </c>
      <c r="C107">
        <v>2.1</v>
      </c>
      <c r="D107">
        <v>700</v>
      </c>
      <c r="E107">
        <v>20</v>
      </c>
      <c r="F107">
        <v>1</v>
      </c>
      <c r="G107">
        <v>10</v>
      </c>
      <c r="H107">
        <v>29</v>
      </c>
      <c r="I107" t="s">
        <v>22</v>
      </c>
      <c r="J107" t="s">
        <v>27</v>
      </c>
      <c r="K107" t="s">
        <v>98</v>
      </c>
      <c r="L107" t="s">
        <v>98</v>
      </c>
      <c r="M107">
        <v>0.81899450729659784</v>
      </c>
      <c r="N107" s="18">
        <v>0.18100549270340216</v>
      </c>
    </row>
    <row r="108" spans="1:14" x14ac:dyDescent="0.25">
      <c r="A108">
        <v>5</v>
      </c>
      <c r="B108" t="s">
        <v>13</v>
      </c>
      <c r="C108">
        <v>2.1</v>
      </c>
      <c r="D108">
        <v>700</v>
      </c>
      <c r="E108">
        <v>20</v>
      </c>
      <c r="F108">
        <v>1</v>
      </c>
      <c r="G108">
        <v>11</v>
      </c>
      <c r="H108">
        <v>30</v>
      </c>
      <c r="I108" t="s">
        <v>22</v>
      </c>
      <c r="J108" t="s">
        <v>28</v>
      </c>
      <c r="K108" t="s">
        <v>98</v>
      </c>
      <c r="L108" t="s">
        <v>98</v>
      </c>
      <c r="M108">
        <v>0.93771059382250954</v>
      </c>
      <c r="N108" s="18">
        <v>6.2289406177490458E-2</v>
      </c>
    </row>
    <row r="109" spans="1:14" x14ac:dyDescent="0.25">
      <c r="A109">
        <v>5</v>
      </c>
      <c r="B109" t="s">
        <v>13</v>
      </c>
      <c r="C109">
        <v>2.1</v>
      </c>
      <c r="D109">
        <v>700</v>
      </c>
      <c r="E109">
        <v>20</v>
      </c>
      <c r="F109">
        <v>1</v>
      </c>
      <c r="G109">
        <v>12</v>
      </c>
      <c r="H109">
        <v>31</v>
      </c>
      <c r="I109" t="s">
        <v>22</v>
      </c>
      <c r="J109" t="s">
        <v>29</v>
      </c>
      <c r="K109" t="s">
        <v>98</v>
      </c>
      <c r="L109" t="s">
        <v>98</v>
      </c>
      <c r="M109">
        <v>0.77609446467590315</v>
      </c>
      <c r="N109" s="18">
        <v>0.22390553532409685</v>
      </c>
    </row>
    <row r="110" spans="1:14" x14ac:dyDescent="0.25">
      <c r="A110">
        <v>5</v>
      </c>
      <c r="B110" t="s">
        <v>13</v>
      </c>
      <c r="C110">
        <v>2.1</v>
      </c>
      <c r="D110">
        <v>700</v>
      </c>
      <c r="E110">
        <v>20</v>
      </c>
      <c r="F110">
        <v>1</v>
      </c>
      <c r="G110">
        <v>13</v>
      </c>
      <c r="H110">
        <v>32</v>
      </c>
      <c r="I110" t="s">
        <v>23</v>
      </c>
      <c r="J110" t="s">
        <v>27</v>
      </c>
      <c r="K110" t="s">
        <v>98</v>
      </c>
      <c r="L110" t="s">
        <v>98</v>
      </c>
      <c r="M110">
        <v>0.93738563286088705</v>
      </c>
      <c r="N110" s="18">
        <v>6.2614367139112947E-2</v>
      </c>
    </row>
    <row r="111" spans="1:14" x14ac:dyDescent="0.25">
      <c r="A111">
        <v>5</v>
      </c>
      <c r="B111" t="s">
        <v>13</v>
      </c>
      <c r="C111">
        <v>2.1</v>
      </c>
      <c r="D111">
        <v>700</v>
      </c>
      <c r="E111">
        <v>20</v>
      </c>
      <c r="F111">
        <v>1</v>
      </c>
      <c r="G111">
        <v>14</v>
      </c>
      <c r="H111">
        <v>33</v>
      </c>
      <c r="I111" t="s">
        <v>23</v>
      </c>
      <c r="J111" t="s">
        <v>28</v>
      </c>
      <c r="K111" t="s">
        <v>98</v>
      </c>
      <c r="L111" t="s">
        <v>98</v>
      </c>
      <c r="M111">
        <v>0.98891154048400465</v>
      </c>
      <c r="N111" s="18">
        <v>1.1088459515995353E-2</v>
      </c>
    </row>
    <row r="112" spans="1:14" x14ac:dyDescent="0.25">
      <c r="A112">
        <v>5</v>
      </c>
      <c r="B112" t="s">
        <v>13</v>
      </c>
      <c r="C112">
        <v>2.1</v>
      </c>
      <c r="D112">
        <v>700</v>
      </c>
      <c r="E112">
        <v>20</v>
      </c>
      <c r="F112">
        <v>1</v>
      </c>
      <c r="G112">
        <v>15</v>
      </c>
      <c r="H112">
        <v>24</v>
      </c>
      <c r="I112" t="s">
        <v>23</v>
      </c>
      <c r="J112" t="s">
        <v>29</v>
      </c>
      <c r="K112" t="s">
        <v>98</v>
      </c>
      <c r="L112" t="s">
        <v>98</v>
      </c>
      <c r="M112">
        <v>0.77905020705873174</v>
      </c>
      <c r="N112" s="18">
        <v>0.22094979294126826</v>
      </c>
    </row>
    <row r="113" spans="1:14" x14ac:dyDescent="0.25">
      <c r="A113">
        <v>5</v>
      </c>
      <c r="B113" t="s">
        <v>13</v>
      </c>
      <c r="C113">
        <v>2.1</v>
      </c>
      <c r="D113">
        <v>700</v>
      </c>
      <c r="E113">
        <v>20</v>
      </c>
      <c r="F113">
        <v>1</v>
      </c>
      <c r="G113">
        <v>16</v>
      </c>
      <c r="H113">
        <v>25</v>
      </c>
      <c r="I113" t="s">
        <v>24</v>
      </c>
      <c r="J113" t="s">
        <v>27</v>
      </c>
      <c r="K113" t="s">
        <v>98</v>
      </c>
      <c r="L113" t="s">
        <v>98</v>
      </c>
      <c r="M113">
        <v>0.92071488418927827</v>
      </c>
      <c r="N113" s="18">
        <v>7.9285115810721729E-2</v>
      </c>
    </row>
    <row r="114" spans="1:14" x14ac:dyDescent="0.25">
      <c r="A114">
        <v>5</v>
      </c>
      <c r="B114" t="s">
        <v>13</v>
      </c>
      <c r="C114">
        <v>2.1</v>
      </c>
      <c r="D114">
        <v>700</v>
      </c>
      <c r="E114">
        <v>20</v>
      </c>
      <c r="F114">
        <v>1</v>
      </c>
      <c r="G114">
        <v>17</v>
      </c>
      <c r="H114">
        <v>26</v>
      </c>
      <c r="I114" t="s">
        <v>24</v>
      </c>
      <c r="J114" t="s">
        <v>28</v>
      </c>
      <c r="K114" t="s">
        <v>98</v>
      </c>
      <c r="L114" t="s">
        <v>98</v>
      </c>
      <c r="M114">
        <v>0.98135945934743762</v>
      </c>
      <c r="N114" s="18">
        <v>1.8640540652562376E-2</v>
      </c>
    </row>
    <row r="115" spans="1:14" x14ac:dyDescent="0.25">
      <c r="A115">
        <v>5</v>
      </c>
      <c r="B115" t="s">
        <v>13</v>
      </c>
      <c r="C115">
        <v>2.1</v>
      </c>
      <c r="D115">
        <v>700</v>
      </c>
      <c r="E115">
        <v>20</v>
      </c>
      <c r="F115">
        <v>1</v>
      </c>
      <c r="G115">
        <v>18</v>
      </c>
      <c r="H115">
        <v>27</v>
      </c>
      <c r="I115" t="s">
        <v>24</v>
      </c>
      <c r="J115" t="s">
        <v>29</v>
      </c>
      <c r="K115" t="s">
        <v>98</v>
      </c>
      <c r="L115" t="s">
        <v>98</v>
      </c>
      <c r="M115">
        <v>0.89074756998513127</v>
      </c>
      <c r="N115" s="18">
        <v>0.10925243001486873</v>
      </c>
    </row>
    <row r="116" spans="1:14" x14ac:dyDescent="0.25">
      <c r="A116">
        <v>5</v>
      </c>
      <c r="B116" t="s">
        <v>13</v>
      </c>
      <c r="C116">
        <v>2.1</v>
      </c>
      <c r="D116">
        <v>700</v>
      </c>
      <c r="E116">
        <v>20</v>
      </c>
      <c r="F116">
        <v>1</v>
      </c>
      <c r="G116">
        <v>19</v>
      </c>
      <c r="H116">
        <v>28</v>
      </c>
      <c r="I116" t="s">
        <v>25</v>
      </c>
      <c r="J116" t="s">
        <v>27</v>
      </c>
      <c r="K116" t="s">
        <v>98</v>
      </c>
      <c r="L116" t="s">
        <v>98</v>
      </c>
      <c r="M116">
        <v>0.69997944891647623</v>
      </c>
      <c r="N116" s="18">
        <v>0.30002055108352377</v>
      </c>
    </row>
    <row r="117" spans="1:14" x14ac:dyDescent="0.25">
      <c r="A117">
        <v>5</v>
      </c>
      <c r="B117" t="s">
        <v>13</v>
      </c>
      <c r="C117">
        <v>2.1</v>
      </c>
      <c r="D117">
        <v>700</v>
      </c>
      <c r="E117">
        <v>20</v>
      </c>
      <c r="F117">
        <v>1</v>
      </c>
      <c r="G117">
        <v>20</v>
      </c>
      <c r="H117">
        <v>29</v>
      </c>
      <c r="I117" t="s">
        <v>25</v>
      </c>
      <c r="J117" t="s">
        <v>28</v>
      </c>
      <c r="K117" t="s">
        <v>98</v>
      </c>
      <c r="L117" t="s">
        <v>98</v>
      </c>
      <c r="M117">
        <v>0.86418579802988937</v>
      </c>
      <c r="N117" s="18">
        <v>0.13581420197011063</v>
      </c>
    </row>
    <row r="118" spans="1:14" x14ac:dyDescent="0.25">
      <c r="A118">
        <v>5</v>
      </c>
      <c r="B118" t="s">
        <v>13</v>
      </c>
      <c r="C118">
        <v>2.1</v>
      </c>
      <c r="D118">
        <v>700</v>
      </c>
      <c r="E118">
        <v>20</v>
      </c>
      <c r="F118">
        <v>1</v>
      </c>
      <c r="G118">
        <v>21</v>
      </c>
      <c r="H118">
        <v>30</v>
      </c>
      <c r="I118" t="s">
        <v>25</v>
      </c>
      <c r="J118" t="s">
        <v>29</v>
      </c>
      <c r="K118" t="s">
        <v>98</v>
      </c>
      <c r="L118" t="s">
        <v>98</v>
      </c>
      <c r="M118">
        <v>0.7498476649480964</v>
      </c>
      <c r="N118" s="18">
        <v>0.2501523350519036</v>
      </c>
    </row>
    <row r="119" spans="1:14" x14ac:dyDescent="0.25">
      <c r="A119">
        <v>5</v>
      </c>
      <c r="B119" t="s">
        <v>13</v>
      </c>
      <c r="C119">
        <v>2.1</v>
      </c>
      <c r="D119">
        <v>700</v>
      </c>
      <c r="E119">
        <v>20</v>
      </c>
      <c r="F119">
        <v>1</v>
      </c>
      <c r="G119">
        <v>22</v>
      </c>
      <c r="H119">
        <v>31</v>
      </c>
      <c r="I119" t="s">
        <v>26</v>
      </c>
      <c r="J119" t="s">
        <v>27</v>
      </c>
      <c r="K119" t="s">
        <v>98</v>
      </c>
      <c r="L119" t="s">
        <v>98</v>
      </c>
      <c r="M119">
        <v>0.93575200666016911</v>
      </c>
      <c r="N119" s="18">
        <v>6.4247993339830889E-2</v>
      </c>
    </row>
    <row r="120" spans="1:14" x14ac:dyDescent="0.25">
      <c r="A120">
        <v>5</v>
      </c>
      <c r="B120" t="s">
        <v>13</v>
      </c>
      <c r="C120">
        <v>2.1</v>
      </c>
      <c r="D120">
        <v>700</v>
      </c>
      <c r="E120">
        <v>20</v>
      </c>
      <c r="F120">
        <v>1</v>
      </c>
      <c r="G120">
        <v>23</v>
      </c>
      <c r="H120">
        <v>32</v>
      </c>
      <c r="I120" t="s">
        <v>26</v>
      </c>
      <c r="J120" t="s">
        <v>28</v>
      </c>
      <c r="K120" t="s">
        <v>98</v>
      </c>
      <c r="L120" t="s">
        <v>98</v>
      </c>
      <c r="M120">
        <v>0.98198550790219352</v>
      </c>
      <c r="N120" s="18">
        <v>1.8014492097806478E-2</v>
      </c>
    </row>
    <row r="121" spans="1:14" x14ac:dyDescent="0.25">
      <c r="A121">
        <v>5</v>
      </c>
      <c r="B121" t="s">
        <v>13</v>
      </c>
      <c r="C121">
        <v>2.1</v>
      </c>
      <c r="D121">
        <v>700</v>
      </c>
      <c r="E121">
        <v>20</v>
      </c>
      <c r="F121">
        <v>1</v>
      </c>
      <c r="G121">
        <v>24</v>
      </c>
      <c r="H121">
        <v>33</v>
      </c>
      <c r="I121" t="s">
        <v>26</v>
      </c>
      <c r="J121" t="s">
        <v>29</v>
      </c>
      <c r="K121" t="s">
        <v>98</v>
      </c>
      <c r="L121" t="s">
        <v>98</v>
      </c>
      <c r="M121">
        <v>0.91985658096051848</v>
      </c>
      <c r="N121" s="18">
        <v>8.0143419039481523E-2</v>
      </c>
    </row>
    <row r="122" spans="1:14" x14ac:dyDescent="0.25">
      <c r="A122">
        <v>6</v>
      </c>
      <c r="B122" t="s">
        <v>14</v>
      </c>
      <c r="C122">
        <v>1.2</v>
      </c>
      <c r="D122">
        <v>1022</v>
      </c>
      <c r="E122">
        <v>25</v>
      </c>
      <c r="F122">
        <v>1</v>
      </c>
      <c r="G122">
        <v>1</v>
      </c>
      <c r="H122">
        <v>24</v>
      </c>
      <c r="I122" t="s">
        <v>19</v>
      </c>
      <c r="J122" t="s">
        <v>27</v>
      </c>
      <c r="K122" t="s">
        <v>98</v>
      </c>
      <c r="L122" t="s">
        <v>98</v>
      </c>
      <c r="M122">
        <v>0.79403151823067752</v>
      </c>
      <c r="N122" s="18">
        <v>0.20596848176932248</v>
      </c>
    </row>
    <row r="123" spans="1:14" x14ac:dyDescent="0.25">
      <c r="A123">
        <v>6</v>
      </c>
      <c r="B123" t="s">
        <v>14</v>
      </c>
      <c r="C123">
        <v>1.2</v>
      </c>
      <c r="D123">
        <v>1022</v>
      </c>
      <c r="E123">
        <v>25</v>
      </c>
      <c r="F123">
        <v>1</v>
      </c>
      <c r="G123">
        <v>2</v>
      </c>
      <c r="H123">
        <v>25</v>
      </c>
      <c r="I123" t="s">
        <v>19</v>
      </c>
      <c r="J123" t="s">
        <v>28</v>
      </c>
      <c r="K123" t="s">
        <v>98</v>
      </c>
      <c r="L123" t="s">
        <v>98</v>
      </c>
      <c r="M123">
        <v>0.94348636624114712</v>
      </c>
      <c r="N123" s="18">
        <v>5.6513633758852877E-2</v>
      </c>
    </row>
    <row r="124" spans="1:14" x14ac:dyDescent="0.25">
      <c r="A124">
        <v>6</v>
      </c>
      <c r="B124" t="s">
        <v>14</v>
      </c>
      <c r="C124">
        <v>1.2</v>
      </c>
      <c r="D124">
        <v>1022</v>
      </c>
      <c r="E124">
        <v>25</v>
      </c>
      <c r="F124">
        <v>1</v>
      </c>
      <c r="G124">
        <v>3</v>
      </c>
      <c r="H124">
        <v>26</v>
      </c>
      <c r="I124" t="s">
        <v>19</v>
      </c>
      <c r="J124" t="s">
        <v>29</v>
      </c>
      <c r="K124" t="s">
        <v>98</v>
      </c>
      <c r="L124" t="s">
        <v>98</v>
      </c>
      <c r="M124">
        <v>0.6971367065045232</v>
      </c>
      <c r="N124" s="18">
        <v>0.3028632934954768</v>
      </c>
    </row>
    <row r="125" spans="1:14" x14ac:dyDescent="0.25">
      <c r="A125">
        <v>6</v>
      </c>
      <c r="B125" t="s">
        <v>14</v>
      </c>
      <c r="C125">
        <v>1.2</v>
      </c>
      <c r="D125">
        <v>1022</v>
      </c>
      <c r="E125">
        <v>25</v>
      </c>
      <c r="F125">
        <v>1</v>
      </c>
      <c r="G125">
        <v>4</v>
      </c>
      <c r="H125">
        <v>27</v>
      </c>
      <c r="I125" t="s">
        <v>20</v>
      </c>
      <c r="J125" t="s">
        <v>27</v>
      </c>
      <c r="K125" t="s">
        <v>98</v>
      </c>
      <c r="L125" t="s">
        <v>98</v>
      </c>
      <c r="M125">
        <v>0.8746243446076567</v>
      </c>
      <c r="N125" s="18">
        <v>0.1253756553923433</v>
      </c>
    </row>
    <row r="126" spans="1:14" x14ac:dyDescent="0.25">
      <c r="A126">
        <v>6</v>
      </c>
      <c r="B126" t="s">
        <v>14</v>
      </c>
      <c r="C126">
        <v>1.2</v>
      </c>
      <c r="D126">
        <v>1022</v>
      </c>
      <c r="E126">
        <v>25</v>
      </c>
      <c r="F126">
        <v>1</v>
      </c>
      <c r="G126">
        <v>5</v>
      </c>
      <c r="H126">
        <v>28</v>
      </c>
      <c r="I126" t="s">
        <v>20</v>
      </c>
      <c r="J126" t="s">
        <v>28</v>
      </c>
      <c r="K126" t="s">
        <v>98</v>
      </c>
      <c r="L126" t="s">
        <v>98</v>
      </c>
      <c r="M126">
        <v>0.93967117589646809</v>
      </c>
      <c r="N126" s="18">
        <v>6.0328824103531908E-2</v>
      </c>
    </row>
    <row r="127" spans="1:14" x14ac:dyDescent="0.25">
      <c r="A127">
        <v>6</v>
      </c>
      <c r="B127" t="s">
        <v>14</v>
      </c>
      <c r="C127">
        <v>1.2</v>
      </c>
      <c r="D127">
        <v>1022</v>
      </c>
      <c r="E127">
        <v>25</v>
      </c>
      <c r="F127">
        <v>1</v>
      </c>
      <c r="G127">
        <v>6</v>
      </c>
      <c r="H127">
        <v>29</v>
      </c>
      <c r="I127" t="s">
        <v>20</v>
      </c>
      <c r="J127" t="s">
        <v>29</v>
      </c>
      <c r="K127" t="s">
        <v>98</v>
      </c>
      <c r="L127" t="s">
        <v>98</v>
      </c>
      <c r="M127">
        <v>0.87294583304316531</v>
      </c>
      <c r="N127" s="18">
        <v>0.12705416695683469</v>
      </c>
    </row>
    <row r="128" spans="1:14" x14ac:dyDescent="0.25">
      <c r="A128">
        <v>6</v>
      </c>
      <c r="B128" t="s">
        <v>14</v>
      </c>
      <c r="C128">
        <v>1.2</v>
      </c>
      <c r="D128">
        <v>1022</v>
      </c>
      <c r="E128">
        <v>25</v>
      </c>
      <c r="F128">
        <v>1</v>
      </c>
      <c r="G128">
        <v>7</v>
      </c>
      <c r="H128">
        <v>30</v>
      </c>
      <c r="I128" t="s">
        <v>21</v>
      </c>
      <c r="J128" t="s">
        <v>27</v>
      </c>
      <c r="K128" t="s">
        <v>98</v>
      </c>
      <c r="L128" t="s">
        <v>98</v>
      </c>
      <c r="M128">
        <v>0.97393116273797642</v>
      </c>
      <c r="N128" s="18">
        <v>2.6068837262023581E-2</v>
      </c>
    </row>
    <row r="129" spans="1:14" x14ac:dyDescent="0.25">
      <c r="A129">
        <v>6</v>
      </c>
      <c r="B129" t="s">
        <v>14</v>
      </c>
      <c r="C129">
        <v>1.2</v>
      </c>
      <c r="D129">
        <v>1022</v>
      </c>
      <c r="E129">
        <v>25</v>
      </c>
      <c r="F129">
        <v>1</v>
      </c>
      <c r="G129">
        <v>8</v>
      </c>
      <c r="H129">
        <v>31</v>
      </c>
      <c r="I129" t="s">
        <v>21</v>
      </c>
      <c r="J129" t="s">
        <v>28</v>
      </c>
      <c r="K129" t="s">
        <v>98</v>
      </c>
      <c r="L129" t="s">
        <v>98</v>
      </c>
      <c r="M129">
        <v>0.99486792536341373</v>
      </c>
      <c r="N129" s="18">
        <v>5.1320746365862702E-3</v>
      </c>
    </row>
    <row r="130" spans="1:14" x14ac:dyDescent="0.25">
      <c r="A130">
        <v>6</v>
      </c>
      <c r="B130" t="s">
        <v>14</v>
      </c>
      <c r="C130">
        <v>1.2</v>
      </c>
      <c r="D130">
        <v>1022</v>
      </c>
      <c r="E130">
        <v>25</v>
      </c>
      <c r="F130">
        <v>1</v>
      </c>
      <c r="G130">
        <v>9</v>
      </c>
      <c r="H130">
        <v>32</v>
      </c>
      <c r="I130" t="s">
        <v>21</v>
      </c>
      <c r="J130" t="s">
        <v>29</v>
      </c>
      <c r="K130" t="s">
        <v>98</v>
      </c>
      <c r="L130" t="s">
        <v>98</v>
      </c>
      <c r="M130">
        <v>0.92667491194431328</v>
      </c>
      <c r="N130" s="18">
        <v>7.3325088055686716E-2</v>
      </c>
    </row>
    <row r="131" spans="1:14" x14ac:dyDescent="0.25">
      <c r="A131">
        <v>6</v>
      </c>
      <c r="B131" t="s">
        <v>14</v>
      </c>
      <c r="C131">
        <v>1.2</v>
      </c>
      <c r="D131">
        <v>1022</v>
      </c>
      <c r="E131">
        <v>25</v>
      </c>
      <c r="F131">
        <v>1</v>
      </c>
      <c r="G131">
        <v>10</v>
      </c>
      <c r="H131">
        <v>33</v>
      </c>
      <c r="I131" t="s">
        <v>22</v>
      </c>
      <c r="J131" t="s">
        <v>27</v>
      </c>
      <c r="K131" t="s">
        <v>98</v>
      </c>
      <c r="L131" t="s">
        <v>98</v>
      </c>
      <c r="M131">
        <v>0.88499943854229535</v>
      </c>
      <c r="N131" s="18">
        <v>0.11500056145770465</v>
      </c>
    </row>
    <row r="132" spans="1:14" x14ac:dyDescent="0.25">
      <c r="A132">
        <v>6</v>
      </c>
      <c r="B132" t="s">
        <v>14</v>
      </c>
      <c r="C132">
        <v>1.2</v>
      </c>
      <c r="D132">
        <v>1022</v>
      </c>
      <c r="E132">
        <v>25</v>
      </c>
      <c r="F132">
        <v>1</v>
      </c>
      <c r="G132">
        <v>11</v>
      </c>
      <c r="H132">
        <v>24</v>
      </c>
      <c r="I132" t="s">
        <v>22</v>
      </c>
      <c r="J132" t="s">
        <v>28</v>
      </c>
      <c r="K132" t="s">
        <v>98</v>
      </c>
      <c r="L132" t="s">
        <v>98</v>
      </c>
      <c r="M132">
        <v>0.93050676909729479</v>
      </c>
      <c r="N132" s="18">
        <v>6.9493230902705205E-2</v>
      </c>
    </row>
    <row r="133" spans="1:14" x14ac:dyDescent="0.25">
      <c r="A133">
        <v>6</v>
      </c>
      <c r="B133" t="s">
        <v>14</v>
      </c>
      <c r="C133">
        <v>1.2</v>
      </c>
      <c r="D133">
        <v>1022</v>
      </c>
      <c r="E133">
        <v>25</v>
      </c>
      <c r="F133">
        <v>1</v>
      </c>
      <c r="G133">
        <v>12</v>
      </c>
      <c r="H133">
        <v>25</v>
      </c>
      <c r="I133" t="s">
        <v>22</v>
      </c>
      <c r="J133" t="s">
        <v>29</v>
      </c>
      <c r="K133" t="s">
        <v>98</v>
      </c>
      <c r="L133" t="s">
        <v>98</v>
      </c>
      <c r="M133">
        <v>0.77380982298022305</v>
      </c>
      <c r="N133" s="18">
        <v>0.22619017701977695</v>
      </c>
    </row>
    <row r="134" spans="1:14" x14ac:dyDescent="0.25">
      <c r="A134">
        <v>6</v>
      </c>
      <c r="B134" t="s">
        <v>14</v>
      </c>
      <c r="C134">
        <v>1.2</v>
      </c>
      <c r="D134">
        <v>1022</v>
      </c>
      <c r="E134">
        <v>25</v>
      </c>
      <c r="F134">
        <v>1</v>
      </c>
      <c r="G134">
        <v>13</v>
      </c>
      <c r="H134">
        <v>26</v>
      </c>
      <c r="I134" t="s">
        <v>23</v>
      </c>
      <c r="J134" t="s">
        <v>27</v>
      </c>
      <c r="K134" t="s">
        <v>98</v>
      </c>
      <c r="L134" t="s">
        <v>98</v>
      </c>
      <c r="M134">
        <v>0.9065059672918131</v>
      </c>
      <c r="N134" s="18">
        <v>9.3494032708186903E-2</v>
      </c>
    </row>
    <row r="135" spans="1:14" x14ac:dyDescent="0.25">
      <c r="A135">
        <v>6</v>
      </c>
      <c r="B135" t="s">
        <v>14</v>
      </c>
      <c r="C135">
        <v>1.2</v>
      </c>
      <c r="D135">
        <v>1022</v>
      </c>
      <c r="E135">
        <v>25</v>
      </c>
      <c r="F135">
        <v>1</v>
      </c>
      <c r="G135">
        <v>14</v>
      </c>
      <c r="H135">
        <v>27</v>
      </c>
      <c r="I135" t="s">
        <v>23</v>
      </c>
      <c r="J135" t="s">
        <v>28</v>
      </c>
      <c r="K135" t="s">
        <v>98</v>
      </c>
      <c r="L135" t="s">
        <v>98</v>
      </c>
      <c r="M135">
        <v>0.97447647992033948</v>
      </c>
      <c r="N135" s="18">
        <v>2.5523520079660522E-2</v>
      </c>
    </row>
    <row r="136" spans="1:14" x14ac:dyDescent="0.25">
      <c r="A136">
        <v>6</v>
      </c>
      <c r="B136" t="s">
        <v>14</v>
      </c>
      <c r="C136">
        <v>1.2</v>
      </c>
      <c r="D136">
        <v>1022</v>
      </c>
      <c r="E136">
        <v>25</v>
      </c>
      <c r="F136">
        <v>1</v>
      </c>
      <c r="G136">
        <v>15</v>
      </c>
      <c r="H136">
        <v>28</v>
      </c>
      <c r="I136" t="s">
        <v>23</v>
      </c>
      <c r="J136" t="s">
        <v>29</v>
      </c>
      <c r="K136" t="s">
        <v>98</v>
      </c>
      <c r="L136" t="s">
        <v>98</v>
      </c>
      <c r="M136">
        <v>0.82937156983975802</v>
      </c>
      <c r="N136" s="18">
        <v>0.17062843016024198</v>
      </c>
    </row>
    <row r="137" spans="1:14" x14ac:dyDescent="0.25">
      <c r="A137">
        <v>6</v>
      </c>
      <c r="B137" t="s">
        <v>14</v>
      </c>
      <c r="C137">
        <v>1.2</v>
      </c>
      <c r="D137">
        <v>1022</v>
      </c>
      <c r="E137">
        <v>25</v>
      </c>
      <c r="F137">
        <v>1</v>
      </c>
      <c r="G137">
        <v>16</v>
      </c>
      <c r="H137">
        <v>29</v>
      </c>
      <c r="I137" t="s">
        <v>24</v>
      </c>
      <c r="J137" t="s">
        <v>27</v>
      </c>
      <c r="K137" t="s">
        <v>98</v>
      </c>
      <c r="L137" t="s">
        <v>98</v>
      </c>
      <c r="M137">
        <v>0.92556650873778823</v>
      </c>
      <c r="N137" s="18">
        <v>7.4433491262211771E-2</v>
      </c>
    </row>
    <row r="138" spans="1:14" x14ac:dyDescent="0.25">
      <c r="A138">
        <v>6</v>
      </c>
      <c r="B138" t="s">
        <v>14</v>
      </c>
      <c r="C138">
        <v>1.2</v>
      </c>
      <c r="D138">
        <v>1022</v>
      </c>
      <c r="E138">
        <v>25</v>
      </c>
      <c r="F138">
        <v>1</v>
      </c>
      <c r="G138">
        <v>17</v>
      </c>
      <c r="H138">
        <v>30</v>
      </c>
      <c r="I138" t="s">
        <v>24</v>
      </c>
      <c r="J138" t="s">
        <v>28</v>
      </c>
      <c r="K138" t="s">
        <v>98</v>
      </c>
      <c r="L138" t="s">
        <v>98</v>
      </c>
      <c r="M138">
        <v>0.98974416826206058</v>
      </c>
      <c r="N138" s="18">
        <v>1.0255831737939425E-2</v>
      </c>
    </row>
    <row r="139" spans="1:14" x14ac:dyDescent="0.25">
      <c r="A139">
        <v>6</v>
      </c>
      <c r="B139" t="s">
        <v>14</v>
      </c>
      <c r="C139">
        <v>1.2</v>
      </c>
      <c r="D139">
        <v>1022</v>
      </c>
      <c r="E139">
        <v>25</v>
      </c>
      <c r="F139">
        <v>1</v>
      </c>
      <c r="G139">
        <v>18</v>
      </c>
      <c r="H139">
        <v>31</v>
      </c>
      <c r="I139" t="s">
        <v>24</v>
      </c>
      <c r="J139" t="s">
        <v>29</v>
      </c>
      <c r="K139" t="s">
        <v>98</v>
      </c>
      <c r="L139" t="s">
        <v>98</v>
      </c>
      <c r="M139">
        <v>0.94171731015096183</v>
      </c>
      <c r="N139" s="18">
        <v>5.8282689849038172E-2</v>
      </c>
    </row>
    <row r="140" spans="1:14" x14ac:dyDescent="0.25">
      <c r="A140">
        <v>6</v>
      </c>
      <c r="B140" t="s">
        <v>14</v>
      </c>
      <c r="C140">
        <v>1.2</v>
      </c>
      <c r="D140">
        <v>1022</v>
      </c>
      <c r="E140">
        <v>25</v>
      </c>
      <c r="F140">
        <v>1</v>
      </c>
      <c r="G140">
        <v>19</v>
      </c>
      <c r="H140">
        <v>32</v>
      </c>
      <c r="I140" t="s">
        <v>25</v>
      </c>
      <c r="J140" t="s">
        <v>27</v>
      </c>
      <c r="K140" t="s">
        <v>98</v>
      </c>
      <c r="L140" t="s">
        <v>98</v>
      </c>
      <c r="M140">
        <v>0.66385028308606697</v>
      </c>
      <c r="N140" s="18">
        <v>0.33614971691393303</v>
      </c>
    </row>
    <row r="141" spans="1:14" x14ac:dyDescent="0.25">
      <c r="A141">
        <v>6</v>
      </c>
      <c r="B141" t="s">
        <v>14</v>
      </c>
      <c r="C141">
        <v>1.2</v>
      </c>
      <c r="D141">
        <v>1022</v>
      </c>
      <c r="E141">
        <v>25</v>
      </c>
      <c r="F141">
        <v>1</v>
      </c>
      <c r="G141">
        <v>20</v>
      </c>
      <c r="H141">
        <v>33</v>
      </c>
      <c r="I141" t="s">
        <v>25</v>
      </c>
      <c r="J141" t="s">
        <v>28</v>
      </c>
      <c r="K141" t="s">
        <v>98</v>
      </c>
      <c r="L141" t="s">
        <v>98</v>
      </c>
      <c r="M141">
        <v>0.84340705833182861</v>
      </c>
      <c r="N141" s="18">
        <v>0.15659294166817139</v>
      </c>
    </row>
    <row r="142" spans="1:14" x14ac:dyDescent="0.25">
      <c r="A142">
        <v>6</v>
      </c>
      <c r="B142" t="s">
        <v>14</v>
      </c>
      <c r="C142">
        <v>1.2</v>
      </c>
      <c r="D142">
        <v>1022</v>
      </c>
      <c r="E142">
        <v>25</v>
      </c>
      <c r="F142">
        <v>1</v>
      </c>
      <c r="G142">
        <v>21</v>
      </c>
      <c r="H142">
        <v>24</v>
      </c>
      <c r="I142" t="s">
        <v>25</v>
      </c>
      <c r="J142" t="s">
        <v>29</v>
      </c>
      <c r="K142" t="s">
        <v>98</v>
      </c>
      <c r="L142" t="s">
        <v>98</v>
      </c>
      <c r="M142">
        <v>0.62365709948061909</v>
      </c>
      <c r="N142" s="18">
        <v>0.37634290051938091</v>
      </c>
    </row>
    <row r="143" spans="1:14" x14ac:dyDescent="0.25">
      <c r="A143">
        <v>6</v>
      </c>
      <c r="B143" t="s">
        <v>14</v>
      </c>
      <c r="C143">
        <v>1.2</v>
      </c>
      <c r="D143">
        <v>1022</v>
      </c>
      <c r="E143">
        <v>25</v>
      </c>
      <c r="F143">
        <v>1</v>
      </c>
      <c r="G143">
        <v>22</v>
      </c>
      <c r="H143">
        <v>25</v>
      </c>
      <c r="I143" t="s">
        <v>26</v>
      </c>
      <c r="J143" t="s">
        <v>27</v>
      </c>
      <c r="K143" t="s">
        <v>98</v>
      </c>
      <c r="L143" t="s">
        <v>98</v>
      </c>
      <c r="M143">
        <v>0.87235015858810883</v>
      </c>
      <c r="N143" s="18">
        <v>0.12764984141189117</v>
      </c>
    </row>
    <row r="144" spans="1:14" x14ac:dyDescent="0.25">
      <c r="A144">
        <v>6</v>
      </c>
      <c r="B144" t="s">
        <v>14</v>
      </c>
      <c r="C144">
        <v>1.2</v>
      </c>
      <c r="D144">
        <v>1022</v>
      </c>
      <c r="E144">
        <v>25</v>
      </c>
      <c r="F144">
        <v>1</v>
      </c>
      <c r="G144">
        <v>23</v>
      </c>
      <c r="H144">
        <v>26</v>
      </c>
      <c r="I144" t="s">
        <v>26</v>
      </c>
      <c r="J144" t="s">
        <v>28</v>
      </c>
      <c r="K144" t="s">
        <v>98</v>
      </c>
      <c r="L144" t="s">
        <v>98</v>
      </c>
      <c r="M144">
        <v>0.92764737886894444</v>
      </c>
      <c r="N144" s="18">
        <v>7.2352621131055561E-2</v>
      </c>
    </row>
    <row r="145" spans="1:14" x14ac:dyDescent="0.25">
      <c r="A145">
        <v>6</v>
      </c>
      <c r="B145" t="s">
        <v>14</v>
      </c>
      <c r="C145">
        <v>1.2</v>
      </c>
      <c r="D145">
        <v>1022</v>
      </c>
      <c r="E145">
        <v>25</v>
      </c>
      <c r="F145">
        <v>1</v>
      </c>
      <c r="G145">
        <v>24</v>
      </c>
      <c r="H145">
        <v>27</v>
      </c>
      <c r="I145" t="s">
        <v>26</v>
      </c>
      <c r="J145" t="s">
        <v>29</v>
      </c>
      <c r="K145" t="s">
        <v>98</v>
      </c>
      <c r="L145" t="s">
        <v>98</v>
      </c>
      <c r="M145">
        <v>0.80121412610673748</v>
      </c>
      <c r="N145" s="18">
        <v>0.19878587389326252</v>
      </c>
    </row>
    <row r="146" spans="1:14" x14ac:dyDescent="0.25">
      <c r="A146">
        <v>7</v>
      </c>
      <c r="B146" t="s">
        <v>15</v>
      </c>
      <c r="C146">
        <v>2.1</v>
      </c>
      <c r="D146">
        <v>700</v>
      </c>
      <c r="E146">
        <v>20</v>
      </c>
      <c r="F146">
        <v>1</v>
      </c>
      <c r="G146">
        <v>1</v>
      </c>
      <c r="H146">
        <v>28</v>
      </c>
      <c r="I146" t="s">
        <v>19</v>
      </c>
      <c r="J146" t="s">
        <v>27</v>
      </c>
      <c r="K146" t="s">
        <v>98</v>
      </c>
      <c r="L146" t="s">
        <v>98</v>
      </c>
      <c r="M146">
        <v>0.84432933868877835</v>
      </c>
      <c r="N146" s="18">
        <v>0.15567066131122165</v>
      </c>
    </row>
    <row r="147" spans="1:14" x14ac:dyDescent="0.25">
      <c r="A147">
        <v>7</v>
      </c>
      <c r="B147" t="s">
        <v>15</v>
      </c>
      <c r="C147">
        <v>2.1</v>
      </c>
      <c r="D147">
        <v>700</v>
      </c>
      <c r="E147">
        <v>20</v>
      </c>
      <c r="F147">
        <v>1</v>
      </c>
      <c r="G147">
        <v>2</v>
      </c>
      <c r="H147">
        <v>29</v>
      </c>
      <c r="I147" t="s">
        <v>19</v>
      </c>
      <c r="J147" t="s">
        <v>28</v>
      </c>
      <c r="K147" t="s">
        <v>98</v>
      </c>
      <c r="L147" t="s">
        <v>98</v>
      </c>
      <c r="M147">
        <v>0.95916407730170128</v>
      </c>
      <c r="N147" s="18">
        <v>4.0835922698298721E-2</v>
      </c>
    </row>
    <row r="148" spans="1:14" x14ac:dyDescent="0.25">
      <c r="A148">
        <v>7</v>
      </c>
      <c r="B148" t="s">
        <v>15</v>
      </c>
      <c r="C148">
        <v>2.1</v>
      </c>
      <c r="D148">
        <v>700</v>
      </c>
      <c r="E148">
        <v>20</v>
      </c>
      <c r="F148">
        <v>1</v>
      </c>
      <c r="G148">
        <v>3</v>
      </c>
      <c r="H148">
        <v>30</v>
      </c>
      <c r="I148" t="s">
        <v>19</v>
      </c>
      <c r="J148" t="s">
        <v>29</v>
      </c>
      <c r="K148" t="s">
        <v>98</v>
      </c>
      <c r="L148" t="s">
        <v>98</v>
      </c>
      <c r="M148">
        <v>0.76406562720794557</v>
      </c>
      <c r="N148" s="18">
        <v>0.23593437279205443</v>
      </c>
    </row>
    <row r="149" spans="1:14" x14ac:dyDescent="0.25">
      <c r="A149">
        <v>7</v>
      </c>
      <c r="B149" t="s">
        <v>15</v>
      </c>
      <c r="C149">
        <v>2.1</v>
      </c>
      <c r="D149">
        <v>700</v>
      </c>
      <c r="E149">
        <v>20</v>
      </c>
      <c r="F149">
        <v>1</v>
      </c>
      <c r="G149">
        <v>4</v>
      </c>
      <c r="H149">
        <v>31</v>
      </c>
      <c r="I149" t="s">
        <v>20</v>
      </c>
      <c r="J149" t="s">
        <v>27</v>
      </c>
      <c r="K149" t="s">
        <v>98</v>
      </c>
      <c r="L149" t="s">
        <v>98</v>
      </c>
      <c r="M149">
        <v>0.89883439684346511</v>
      </c>
      <c r="N149" s="18">
        <v>0.10116560315653489</v>
      </c>
    </row>
    <row r="150" spans="1:14" x14ac:dyDescent="0.25">
      <c r="A150">
        <v>7</v>
      </c>
      <c r="B150" t="s">
        <v>15</v>
      </c>
      <c r="C150">
        <v>2.1</v>
      </c>
      <c r="D150">
        <v>700</v>
      </c>
      <c r="E150">
        <v>20</v>
      </c>
      <c r="F150">
        <v>1</v>
      </c>
      <c r="G150">
        <v>5</v>
      </c>
      <c r="H150">
        <v>32</v>
      </c>
      <c r="I150" t="s">
        <v>20</v>
      </c>
      <c r="J150" t="s">
        <v>28</v>
      </c>
      <c r="K150" t="s">
        <v>98</v>
      </c>
      <c r="L150" t="s">
        <v>98</v>
      </c>
      <c r="M150">
        <v>0.950054170669279</v>
      </c>
      <c r="N150" s="18">
        <v>4.9945829330721003E-2</v>
      </c>
    </row>
    <row r="151" spans="1:14" x14ac:dyDescent="0.25">
      <c r="A151">
        <v>7</v>
      </c>
      <c r="B151" t="s">
        <v>15</v>
      </c>
      <c r="C151">
        <v>2.1</v>
      </c>
      <c r="D151">
        <v>700</v>
      </c>
      <c r="E151">
        <v>20</v>
      </c>
      <c r="F151">
        <v>1</v>
      </c>
      <c r="G151">
        <v>6</v>
      </c>
      <c r="H151">
        <v>33</v>
      </c>
      <c r="I151" t="s">
        <v>20</v>
      </c>
      <c r="J151" t="s">
        <v>29</v>
      </c>
      <c r="K151" t="s">
        <v>98</v>
      </c>
      <c r="L151" t="s">
        <v>98</v>
      </c>
      <c r="M151">
        <v>0.89396714262815702</v>
      </c>
      <c r="N151" s="18">
        <v>0.10603285737184298</v>
      </c>
    </row>
    <row r="152" spans="1:14" x14ac:dyDescent="0.25">
      <c r="A152">
        <v>7</v>
      </c>
      <c r="B152" t="s">
        <v>15</v>
      </c>
      <c r="C152">
        <v>2.1</v>
      </c>
      <c r="D152">
        <v>700</v>
      </c>
      <c r="E152">
        <v>20</v>
      </c>
      <c r="F152">
        <v>1</v>
      </c>
      <c r="G152">
        <v>7</v>
      </c>
      <c r="H152">
        <v>24</v>
      </c>
      <c r="I152" t="s">
        <v>21</v>
      </c>
      <c r="J152" t="s">
        <v>27</v>
      </c>
      <c r="K152" t="s">
        <v>98</v>
      </c>
      <c r="L152" t="s">
        <v>98</v>
      </c>
      <c r="M152">
        <v>0.96126475643673992</v>
      </c>
      <c r="N152" s="18">
        <v>3.873524356326008E-2</v>
      </c>
    </row>
    <row r="153" spans="1:14" x14ac:dyDescent="0.25">
      <c r="A153">
        <v>7</v>
      </c>
      <c r="B153" t="s">
        <v>15</v>
      </c>
      <c r="C153">
        <v>2.1</v>
      </c>
      <c r="D153">
        <v>700</v>
      </c>
      <c r="E153">
        <v>20</v>
      </c>
      <c r="F153">
        <v>1</v>
      </c>
      <c r="G153">
        <v>8</v>
      </c>
      <c r="H153">
        <v>25</v>
      </c>
      <c r="I153" t="s">
        <v>21</v>
      </c>
      <c r="J153" t="s">
        <v>28</v>
      </c>
      <c r="K153" t="s">
        <v>98</v>
      </c>
      <c r="L153" t="s">
        <v>98</v>
      </c>
      <c r="M153">
        <v>0.99187378007660221</v>
      </c>
      <c r="N153" s="18">
        <v>8.1262199233977928E-3</v>
      </c>
    </row>
    <row r="154" spans="1:14" x14ac:dyDescent="0.25">
      <c r="A154">
        <v>7</v>
      </c>
      <c r="B154" t="s">
        <v>15</v>
      </c>
      <c r="C154">
        <v>2.1</v>
      </c>
      <c r="D154">
        <v>700</v>
      </c>
      <c r="E154">
        <v>20</v>
      </c>
      <c r="F154">
        <v>1</v>
      </c>
      <c r="G154">
        <v>9</v>
      </c>
      <c r="H154">
        <v>26</v>
      </c>
      <c r="I154" t="s">
        <v>21</v>
      </c>
      <c r="J154" t="s">
        <v>29</v>
      </c>
      <c r="K154" t="s">
        <v>98</v>
      </c>
      <c r="L154" t="s">
        <v>98</v>
      </c>
      <c r="M154">
        <v>0.88294303615268699</v>
      </c>
      <c r="N154" s="18">
        <v>0.11705696384731301</v>
      </c>
    </row>
    <row r="155" spans="1:14" x14ac:dyDescent="0.25">
      <c r="A155">
        <v>7</v>
      </c>
      <c r="B155" t="s">
        <v>15</v>
      </c>
      <c r="C155">
        <v>2.1</v>
      </c>
      <c r="D155">
        <v>700</v>
      </c>
      <c r="E155">
        <v>20</v>
      </c>
      <c r="F155">
        <v>1</v>
      </c>
      <c r="G155">
        <v>10</v>
      </c>
      <c r="H155">
        <v>27</v>
      </c>
      <c r="I155" t="s">
        <v>22</v>
      </c>
      <c r="J155" t="s">
        <v>27</v>
      </c>
      <c r="K155" t="s">
        <v>98</v>
      </c>
      <c r="L155" t="s">
        <v>98</v>
      </c>
      <c r="M155">
        <v>0.80082362650020134</v>
      </c>
      <c r="N155" s="18">
        <v>0.19917637349979866</v>
      </c>
    </row>
    <row r="156" spans="1:14" x14ac:dyDescent="0.25">
      <c r="A156">
        <v>7</v>
      </c>
      <c r="B156" t="s">
        <v>15</v>
      </c>
      <c r="C156">
        <v>2.1</v>
      </c>
      <c r="D156">
        <v>700</v>
      </c>
      <c r="E156">
        <v>20</v>
      </c>
      <c r="F156">
        <v>1</v>
      </c>
      <c r="G156">
        <v>11</v>
      </c>
      <c r="H156">
        <v>28</v>
      </c>
      <c r="I156" t="s">
        <v>22</v>
      </c>
      <c r="J156" t="s">
        <v>28</v>
      </c>
      <c r="K156" t="s">
        <v>98</v>
      </c>
      <c r="L156" t="s">
        <v>98</v>
      </c>
      <c r="M156">
        <v>0.93337641988947817</v>
      </c>
      <c r="N156" s="18">
        <v>6.6623580110521829E-2</v>
      </c>
    </row>
    <row r="157" spans="1:14" x14ac:dyDescent="0.25">
      <c r="A157">
        <v>7</v>
      </c>
      <c r="B157" t="s">
        <v>15</v>
      </c>
      <c r="C157">
        <v>2.1</v>
      </c>
      <c r="D157">
        <v>700</v>
      </c>
      <c r="E157">
        <v>20</v>
      </c>
      <c r="F157">
        <v>1</v>
      </c>
      <c r="G157">
        <v>12</v>
      </c>
      <c r="H157">
        <v>29</v>
      </c>
      <c r="I157" t="s">
        <v>22</v>
      </c>
      <c r="J157" t="s">
        <v>29</v>
      </c>
      <c r="K157" t="s">
        <v>98</v>
      </c>
      <c r="L157" t="s">
        <v>98</v>
      </c>
      <c r="M157">
        <v>0.76904915633769244</v>
      </c>
      <c r="N157" s="18">
        <v>0.23095084366230756</v>
      </c>
    </row>
    <row r="158" spans="1:14" x14ac:dyDescent="0.25">
      <c r="A158">
        <v>7</v>
      </c>
      <c r="B158" t="s">
        <v>15</v>
      </c>
      <c r="C158">
        <v>2.1</v>
      </c>
      <c r="D158">
        <v>700</v>
      </c>
      <c r="E158">
        <v>20</v>
      </c>
      <c r="F158">
        <v>1</v>
      </c>
      <c r="G158">
        <v>13</v>
      </c>
      <c r="H158">
        <v>30</v>
      </c>
      <c r="I158" t="s">
        <v>23</v>
      </c>
      <c r="J158" t="s">
        <v>27</v>
      </c>
      <c r="K158" t="s">
        <v>98</v>
      </c>
      <c r="L158" t="s">
        <v>98</v>
      </c>
      <c r="M158">
        <v>0.91570718372791249</v>
      </c>
      <c r="N158" s="18">
        <v>8.4292816272087512E-2</v>
      </c>
    </row>
    <row r="159" spans="1:14" x14ac:dyDescent="0.25">
      <c r="A159">
        <v>7</v>
      </c>
      <c r="B159" t="s">
        <v>15</v>
      </c>
      <c r="C159">
        <v>2.1</v>
      </c>
      <c r="D159">
        <v>700</v>
      </c>
      <c r="E159">
        <v>20</v>
      </c>
      <c r="F159">
        <v>1</v>
      </c>
      <c r="G159">
        <v>14</v>
      </c>
      <c r="H159">
        <v>31</v>
      </c>
      <c r="I159" t="s">
        <v>23</v>
      </c>
      <c r="J159" t="s">
        <v>28</v>
      </c>
      <c r="K159" t="s">
        <v>98</v>
      </c>
      <c r="L159" t="s">
        <v>98</v>
      </c>
      <c r="M159">
        <v>0.98257036429624134</v>
      </c>
      <c r="N159" s="18">
        <v>1.7429635703758661E-2</v>
      </c>
    </row>
    <row r="160" spans="1:14" x14ac:dyDescent="0.25">
      <c r="A160">
        <v>7</v>
      </c>
      <c r="B160" t="s">
        <v>15</v>
      </c>
      <c r="C160">
        <v>2.1</v>
      </c>
      <c r="D160">
        <v>700</v>
      </c>
      <c r="E160">
        <v>20</v>
      </c>
      <c r="F160">
        <v>1</v>
      </c>
      <c r="G160">
        <v>15</v>
      </c>
      <c r="H160">
        <v>32</v>
      </c>
      <c r="I160" t="s">
        <v>23</v>
      </c>
      <c r="J160" t="s">
        <v>29</v>
      </c>
      <c r="K160" t="s">
        <v>98</v>
      </c>
      <c r="L160" t="s">
        <v>98</v>
      </c>
      <c r="M160">
        <v>0.82409184879245589</v>
      </c>
      <c r="N160" s="18">
        <v>0.17590815120754411</v>
      </c>
    </row>
    <row r="161" spans="1:14" x14ac:dyDescent="0.25">
      <c r="A161">
        <v>7</v>
      </c>
      <c r="B161" t="s">
        <v>15</v>
      </c>
      <c r="C161">
        <v>2.1</v>
      </c>
      <c r="D161">
        <v>700</v>
      </c>
      <c r="E161">
        <v>20</v>
      </c>
      <c r="F161">
        <v>1</v>
      </c>
      <c r="G161">
        <v>16</v>
      </c>
      <c r="H161">
        <v>33</v>
      </c>
      <c r="I161" t="s">
        <v>24</v>
      </c>
      <c r="J161" t="s">
        <v>27</v>
      </c>
      <c r="K161" t="s">
        <v>98</v>
      </c>
      <c r="L161" t="s">
        <v>98</v>
      </c>
      <c r="M161">
        <v>0.93014377696886674</v>
      </c>
      <c r="N161" s="18">
        <v>6.9856223031133258E-2</v>
      </c>
    </row>
    <row r="162" spans="1:14" x14ac:dyDescent="0.25">
      <c r="A162">
        <v>7</v>
      </c>
      <c r="B162" t="s">
        <v>15</v>
      </c>
      <c r="C162">
        <v>2.1</v>
      </c>
      <c r="D162">
        <v>700</v>
      </c>
      <c r="E162">
        <v>20</v>
      </c>
      <c r="F162">
        <v>1</v>
      </c>
      <c r="G162">
        <v>17</v>
      </c>
      <c r="H162">
        <v>24</v>
      </c>
      <c r="I162" t="s">
        <v>24</v>
      </c>
      <c r="J162" t="s">
        <v>28</v>
      </c>
      <c r="K162" t="s">
        <v>98</v>
      </c>
      <c r="L162" t="s">
        <v>98</v>
      </c>
      <c r="M162">
        <v>0.97492770822967634</v>
      </c>
      <c r="N162" s="18">
        <v>2.5072291770323663E-2</v>
      </c>
    </row>
    <row r="163" spans="1:14" x14ac:dyDescent="0.25">
      <c r="A163">
        <v>7</v>
      </c>
      <c r="B163" t="s">
        <v>15</v>
      </c>
      <c r="C163">
        <v>2.1</v>
      </c>
      <c r="D163">
        <v>700</v>
      </c>
      <c r="E163">
        <v>20</v>
      </c>
      <c r="F163">
        <v>1</v>
      </c>
      <c r="G163">
        <v>18</v>
      </c>
      <c r="H163">
        <v>25</v>
      </c>
      <c r="I163" t="s">
        <v>24</v>
      </c>
      <c r="J163" t="s">
        <v>29</v>
      </c>
      <c r="K163" t="s">
        <v>98</v>
      </c>
      <c r="L163" t="s">
        <v>98</v>
      </c>
      <c r="M163">
        <v>0.85275821207577196</v>
      </c>
      <c r="N163" s="18">
        <v>0.14724178792422804</v>
      </c>
    </row>
    <row r="164" spans="1:14" x14ac:dyDescent="0.25">
      <c r="A164">
        <v>7</v>
      </c>
      <c r="B164" t="s">
        <v>15</v>
      </c>
      <c r="C164">
        <v>2.1</v>
      </c>
      <c r="D164">
        <v>700</v>
      </c>
      <c r="E164">
        <v>20</v>
      </c>
      <c r="F164">
        <v>1</v>
      </c>
      <c r="G164">
        <v>19</v>
      </c>
      <c r="H164">
        <v>26</v>
      </c>
      <c r="I164" t="s">
        <v>25</v>
      </c>
      <c r="J164" t="s">
        <v>27</v>
      </c>
      <c r="K164" t="s">
        <v>98</v>
      </c>
      <c r="L164" t="s">
        <v>98</v>
      </c>
      <c r="M164">
        <v>0.58865306407299312</v>
      </c>
      <c r="N164" s="18">
        <v>0.41134693592700688</v>
      </c>
    </row>
    <row r="165" spans="1:14" x14ac:dyDescent="0.25">
      <c r="A165">
        <v>7</v>
      </c>
      <c r="B165" t="s">
        <v>15</v>
      </c>
      <c r="C165">
        <v>2.1</v>
      </c>
      <c r="D165">
        <v>700</v>
      </c>
      <c r="E165">
        <v>20</v>
      </c>
      <c r="F165">
        <v>1</v>
      </c>
      <c r="G165">
        <v>20</v>
      </c>
      <c r="H165">
        <v>27</v>
      </c>
      <c r="I165" t="s">
        <v>25</v>
      </c>
      <c r="J165" t="s">
        <v>28</v>
      </c>
      <c r="K165" t="s">
        <v>98</v>
      </c>
      <c r="L165" t="s">
        <v>98</v>
      </c>
      <c r="M165">
        <v>0.79603585334275462</v>
      </c>
      <c r="N165" s="18">
        <v>0.20396414665724538</v>
      </c>
    </row>
    <row r="166" spans="1:14" x14ac:dyDescent="0.25">
      <c r="A166">
        <v>7</v>
      </c>
      <c r="B166" t="s">
        <v>15</v>
      </c>
      <c r="C166">
        <v>2.1</v>
      </c>
      <c r="D166">
        <v>700</v>
      </c>
      <c r="E166">
        <v>20</v>
      </c>
      <c r="F166">
        <v>1</v>
      </c>
      <c r="G166">
        <v>21</v>
      </c>
      <c r="H166">
        <v>28</v>
      </c>
      <c r="I166" t="s">
        <v>25</v>
      </c>
      <c r="J166" t="s">
        <v>29</v>
      </c>
      <c r="K166" t="s">
        <v>98</v>
      </c>
      <c r="L166" t="s">
        <v>98</v>
      </c>
      <c r="M166">
        <v>0.64771265482829532</v>
      </c>
      <c r="N166" s="18">
        <v>0.35228734517170468</v>
      </c>
    </row>
    <row r="167" spans="1:14" x14ac:dyDescent="0.25">
      <c r="A167">
        <v>7</v>
      </c>
      <c r="B167" t="s">
        <v>15</v>
      </c>
      <c r="C167">
        <v>2.1</v>
      </c>
      <c r="D167">
        <v>700</v>
      </c>
      <c r="E167">
        <v>20</v>
      </c>
      <c r="F167">
        <v>1</v>
      </c>
      <c r="G167">
        <v>22</v>
      </c>
      <c r="H167">
        <v>29</v>
      </c>
      <c r="I167" t="s">
        <v>26</v>
      </c>
      <c r="J167" t="s">
        <v>27</v>
      </c>
      <c r="K167" t="s">
        <v>98</v>
      </c>
      <c r="L167" t="s">
        <v>98</v>
      </c>
      <c r="M167">
        <v>0.92399447098473442</v>
      </c>
      <c r="N167" s="18">
        <v>7.6005529015265583E-2</v>
      </c>
    </row>
    <row r="168" spans="1:14" x14ac:dyDescent="0.25">
      <c r="A168">
        <v>7</v>
      </c>
      <c r="B168" t="s">
        <v>15</v>
      </c>
      <c r="C168">
        <v>2.1</v>
      </c>
      <c r="D168">
        <v>700</v>
      </c>
      <c r="E168">
        <v>20</v>
      </c>
      <c r="F168">
        <v>1</v>
      </c>
      <c r="G168">
        <v>23</v>
      </c>
      <c r="H168">
        <v>30</v>
      </c>
      <c r="I168" t="s">
        <v>26</v>
      </c>
      <c r="J168" t="s">
        <v>28</v>
      </c>
      <c r="K168" t="s">
        <v>98</v>
      </c>
      <c r="L168" t="s">
        <v>98</v>
      </c>
      <c r="M168">
        <v>0.97307746433554576</v>
      </c>
      <c r="N168" s="18">
        <v>2.6922535664454239E-2</v>
      </c>
    </row>
    <row r="169" spans="1:14" x14ac:dyDescent="0.25">
      <c r="A169">
        <v>7</v>
      </c>
      <c r="B169" t="s">
        <v>15</v>
      </c>
      <c r="C169">
        <v>2.1</v>
      </c>
      <c r="D169">
        <v>700</v>
      </c>
      <c r="E169">
        <v>20</v>
      </c>
      <c r="F169">
        <v>1</v>
      </c>
      <c r="G169">
        <v>24</v>
      </c>
      <c r="H169">
        <v>31</v>
      </c>
      <c r="I169" t="s">
        <v>26</v>
      </c>
      <c r="J169" t="s">
        <v>29</v>
      </c>
      <c r="K169" t="s">
        <v>98</v>
      </c>
      <c r="L169" t="s">
        <v>98</v>
      </c>
      <c r="M169">
        <v>0.89688659267709414</v>
      </c>
      <c r="N169" s="18">
        <v>0.10311340732290586</v>
      </c>
    </row>
    <row r="170" spans="1:14" x14ac:dyDescent="0.25">
      <c r="A170">
        <v>8</v>
      </c>
      <c r="B170" t="s">
        <v>16</v>
      </c>
      <c r="C170">
        <v>2.1</v>
      </c>
      <c r="D170">
        <v>700</v>
      </c>
      <c r="E170">
        <v>20</v>
      </c>
      <c r="F170">
        <v>1</v>
      </c>
      <c r="G170">
        <v>1</v>
      </c>
      <c r="H170">
        <v>32</v>
      </c>
      <c r="I170" t="s">
        <v>19</v>
      </c>
      <c r="J170" t="s">
        <v>27</v>
      </c>
      <c r="K170" t="s">
        <v>98</v>
      </c>
      <c r="L170" t="s">
        <v>98</v>
      </c>
      <c r="M170">
        <v>0.82969963234229704</v>
      </c>
      <c r="N170" s="18">
        <v>0.17030036765770296</v>
      </c>
    </row>
    <row r="171" spans="1:14" x14ac:dyDescent="0.25">
      <c r="A171">
        <v>8</v>
      </c>
      <c r="B171" t="s">
        <v>16</v>
      </c>
      <c r="C171">
        <v>2.1</v>
      </c>
      <c r="D171">
        <v>700</v>
      </c>
      <c r="E171">
        <v>20</v>
      </c>
      <c r="F171">
        <v>1</v>
      </c>
      <c r="G171">
        <v>2</v>
      </c>
      <c r="H171">
        <v>33</v>
      </c>
      <c r="I171" t="s">
        <v>19</v>
      </c>
      <c r="J171" t="s">
        <v>28</v>
      </c>
      <c r="K171" t="s">
        <v>98</v>
      </c>
      <c r="L171" t="s">
        <v>98</v>
      </c>
      <c r="M171">
        <v>0.95474797566519631</v>
      </c>
      <c r="N171" s="18">
        <v>4.5252024334803687E-2</v>
      </c>
    </row>
    <row r="172" spans="1:14" x14ac:dyDescent="0.25">
      <c r="A172">
        <v>8</v>
      </c>
      <c r="B172" t="s">
        <v>16</v>
      </c>
      <c r="C172">
        <v>2.1</v>
      </c>
      <c r="D172">
        <v>700</v>
      </c>
      <c r="E172">
        <v>20</v>
      </c>
      <c r="F172">
        <v>1</v>
      </c>
      <c r="G172">
        <v>3</v>
      </c>
      <c r="H172">
        <v>24</v>
      </c>
      <c r="I172" t="s">
        <v>19</v>
      </c>
      <c r="J172" t="s">
        <v>29</v>
      </c>
      <c r="K172" t="s">
        <v>98</v>
      </c>
      <c r="L172" t="s">
        <v>98</v>
      </c>
      <c r="M172">
        <v>0.62264731574522081</v>
      </c>
      <c r="N172" s="18">
        <v>0.37735268425477919</v>
      </c>
    </row>
    <row r="173" spans="1:14" x14ac:dyDescent="0.25">
      <c r="A173">
        <v>8</v>
      </c>
      <c r="B173" t="s">
        <v>16</v>
      </c>
      <c r="C173">
        <v>2.1</v>
      </c>
      <c r="D173">
        <v>700</v>
      </c>
      <c r="E173">
        <v>20</v>
      </c>
      <c r="F173">
        <v>1</v>
      </c>
      <c r="G173">
        <v>4</v>
      </c>
      <c r="H173">
        <v>25</v>
      </c>
      <c r="I173" t="s">
        <v>20</v>
      </c>
      <c r="J173" t="s">
        <v>27</v>
      </c>
      <c r="K173" t="s">
        <v>98</v>
      </c>
      <c r="L173" t="s">
        <v>98</v>
      </c>
      <c r="M173">
        <v>0.84828333935642286</v>
      </c>
      <c r="N173" s="18">
        <v>0.15171666064357714</v>
      </c>
    </row>
    <row r="174" spans="1:14" x14ac:dyDescent="0.25">
      <c r="A174">
        <v>8</v>
      </c>
      <c r="B174" t="s">
        <v>16</v>
      </c>
      <c r="C174">
        <v>2.1</v>
      </c>
      <c r="D174">
        <v>700</v>
      </c>
      <c r="E174">
        <v>20</v>
      </c>
      <c r="F174">
        <v>1</v>
      </c>
      <c r="G174">
        <v>5</v>
      </c>
      <c r="H174">
        <v>26</v>
      </c>
      <c r="I174" t="s">
        <v>20</v>
      </c>
      <c r="J174" t="s">
        <v>28</v>
      </c>
      <c r="K174" t="s">
        <v>98</v>
      </c>
      <c r="L174" t="s">
        <v>98</v>
      </c>
      <c r="M174">
        <v>0.92726657185671502</v>
      </c>
      <c r="N174" s="18">
        <v>7.2733428143284984E-2</v>
      </c>
    </row>
    <row r="175" spans="1:14" x14ac:dyDescent="0.25">
      <c r="A175">
        <v>8</v>
      </c>
      <c r="B175" t="s">
        <v>16</v>
      </c>
      <c r="C175">
        <v>2.1</v>
      </c>
      <c r="D175">
        <v>700</v>
      </c>
      <c r="E175">
        <v>20</v>
      </c>
      <c r="F175">
        <v>1</v>
      </c>
      <c r="G175">
        <v>6</v>
      </c>
      <c r="H175">
        <v>27</v>
      </c>
      <c r="I175" t="s">
        <v>20</v>
      </c>
      <c r="J175" t="s">
        <v>29</v>
      </c>
      <c r="K175" t="s">
        <v>98</v>
      </c>
      <c r="L175" t="s">
        <v>98</v>
      </c>
      <c r="M175">
        <v>0.84871782912090876</v>
      </c>
      <c r="N175" s="18">
        <v>0.15128217087909124</v>
      </c>
    </row>
    <row r="176" spans="1:14" x14ac:dyDescent="0.25">
      <c r="A176">
        <v>8</v>
      </c>
      <c r="B176" t="s">
        <v>16</v>
      </c>
      <c r="C176">
        <v>2.1</v>
      </c>
      <c r="D176">
        <v>700</v>
      </c>
      <c r="E176">
        <v>20</v>
      </c>
      <c r="F176">
        <v>1</v>
      </c>
      <c r="G176">
        <v>7</v>
      </c>
      <c r="H176">
        <v>28</v>
      </c>
      <c r="I176" t="s">
        <v>21</v>
      </c>
      <c r="J176" t="s">
        <v>27</v>
      </c>
      <c r="K176" t="s">
        <v>98</v>
      </c>
      <c r="L176" t="s">
        <v>98</v>
      </c>
      <c r="M176">
        <v>0.96172383658491811</v>
      </c>
      <c r="N176" s="18">
        <v>3.8276163415081887E-2</v>
      </c>
    </row>
    <row r="177" spans="1:14" x14ac:dyDescent="0.25">
      <c r="A177">
        <v>8</v>
      </c>
      <c r="B177" t="s">
        <v>16</v>
      </c>
      <c r="C177">
        <v>2.1</v>
      </c>
      <c r="D177">
        <v>700</v>
      </c>
      <c r="E177">
        <v>20</v>
      </c>
      <c r="F177">
        <v>1</v>
      </c>
      <c r="G177">
        <v>8</v>
      </c>
      <c r="H177">
        <v>29</v>
      </c>
      <c r="I177" t="s">
        <v>21</v>
      </c>
      <c r="J177" t="s">
        <v>28</v>
      </c>
      <c r="K177" t="s">
        <v>98</v>
      </c>
      <c r="L177" t="s">
        <v>98</v>
      </c>
      <c r="M177">
        <v>0.99197311919857023</v>
      </c>
      <c r="N177" s="18">
        <v>8.0268808014297699E-3</v>
      </c>
    </row>
    <row r="178" spans="1:14" x14ac:dyDescent="0.25">
      <c r="A178">
        <v>8</v>
      </c>
      <c r="B178" t="s">
        <v>16</v>
      </c>
      <c r="C178">
        <v>2.1</v>
      </c>
      <c r="D178">
        <v>700</v>
      </c>
      <c r="E178">
        <v>20</v>
      </c>
      <c r="F178">
        <v>1</v>
      </c>
      <c r="G178">
        <v>9</v>
      </c>
      <c r="H178">
        <v>30</v>
      </c>
      <c r="I178" t="s">
        <v>21</v>
      </c>
      <c r="J178" t="s">
        <v>29</v>
      </c>
      <c r="K178" t="s">
        <v>98</v>
      </c>
      <c r="L178" t="s">
        <v>98</v>
      </c>
      <c r="M178">
        <v>0.88421856041532276</v>
      </c>
      <c r="N178" s="18">
        <v>0.11578143958467724</v>
      </c>
    </row>
    <row r="179" spans="1:14" x14ac:dyDescent="0.25">
      <c r="A179">
        <v>8</v>
      </c>
      <c r="B179" t="s">
        <v>16</v>
      </c>
      <c r="C179">
        <v>2.1</v>
      </c>
      <c r="D179">
        <v>700</v>
      </c>
      <c r="E179">
        <v>20</v>
      </c>
      <c r="F179">
        <v>1</v>
      </c>
      <c r="G179">
        <v>10</v>
      </c>
      <c r="H179">
        <v>31</v>
      </c>
      <c r="I179" t="s">
        <v>22</v>
      </c>
      <c r="J179" t="s">
        <v>27</v>
      </c>
      <c r="K179" t="s">
        <v>98</v>
      </c>
      <c r="L179" t="s">
        <v>98</v>
      </c>
      <c r="M179">
        <v>0.80781117738818686</v>
      </c>
      <c r="N179" s="18">
        <v>0.19218882261181314</v>
      </c>
    </row>
    <row r="180" spans="1:14" x14ac:dyDescent="0.25">
      <c r="A180">
        <v>8</v>
      </c>
      <c r="B180" t="s">
        <v>16</v>
      </c>
      <c r="C180">
        <v>2.1</v>
      </c>
      <c r="D180">
        <v>700</v>
      </c>
      <c r="E180">
        <v>20</v>
      </c>
      <c r="F180">
        <v>1</v>
      </c>
      <c r="G180">
        <v>11</v>
      </c>
      <c r="H180">
        <v>32</v>
      </c>
      <c r="I180" t="s">
        <v>22</v>
      </c>
      <c r="J180" t="s">
        <v>28</v>
      </c>
      <c r="K180" t="s">
        <v>98</v>
      </c>
      <c r="L180" t="s">
        <v>98</v>
      </c>
      <c r="M180">
        <v>0.93032873264843585</v>
      </c>
      <c r="N180" s="18">
        <v>6.9671267351564148E-2</v>
      </c>
    </row>
    <row r="181" spans="1:14" x14ac:dyDescent="0.25">
      <c r="A181">
        <v>8</v>
      </c>
      <c r="B181" t="s">
        <v>16</v>
      </c>
      <c r="C181">
        <v>2.1</v>
      </c>
      <c r="D181">
        <v>700</v>
      </c>
      <c r="E181">
        <v>20</v>
      </c>
      <c r="F181">
        <v>1</v>
      </c>
      <c r="G181">
        <v>12</v>
      </c>
      <c r="H181">
        <v>33</v>
      </c>
      <c r="I181" t="s">
        <v>22</v>
      </c>
      <c r="J181" t="s">
        <v>29</v>
      </c>
      <c r="K181" t="s">
        <v>98</v>
      </c>
      <c r="L181" t="s">
        <v>98</v>
      </c>
      <c r="M181">
        <v>0.74863585015777268</v>
      </c>
      <c r="N181" s="18">
        <v>0.25136414984222732</v>
      </c>
    </row>
    <row r="182" spans="1:14" x14ac:dyDescent="0.25">
      <c r="A182">
        <v>8</v>
      </c>
      <c r="B182" t="s">
        <v>16</v>
      </c>
      <c r="C182">
        <v>2.1</v>
      </c>
      <c r="D182">
        <v>700</v>
      </c>
      <c r="E182">
        <v>20</v>
      </c>
      <c r="F182">
        <v>1</v>
      </c>
      <c r="G182">
        <v>13</v>
      </c>
      <c r="H182">
        <v>24</v>
      </c>
      <c r="I182" t="s">
        <v>23</v>
      </c>
      <c r="J182" t="s">
        <v>27</v>
      </c>
      <c r="K182" t="s">
        <v>98</v>
      </c>
      <c r="L182" t="s">
        <v>98</v>
      </c>
      <c r="M182">
        <v>0.78495853082499301</v>
      </c>
      <c r="N182" s="18">
        <v>0.21504146917500699</v>
      </c>
    </row>
    <row r="183" spans="1:14" x14ac:dyDescent="0.25">
      <c r="A183">
        <v>8</v>
      </c>
      <c r="B183" t="s">
        <v>16</v>
      </c>
      <c r="C183">
        <v>2.1</v>
      </c>
      <c r="D183">
        <v>700</v>
      </c>
      <c r="E183">
        <v>20</v>
      </c>
      <c r="F183">
        <v>1</v>
      </c>
      <c r="G183">
        <v>14</v>
      </c>
      <c r="H183">
        <v>25</v>
      </c>
      <c r="I183" t="s">
        <v>23</v>
      </c>
      <c r="J183" t="s">
        <v>28</v>
      </c>
      <c r="K183" t="s">
        <v>98</v>
      </c>
      <c r="L183" t="s">
        <v>98</v>
      </c>
      <c r="M183">
        <v>0.92604047780215482</v>
      </c>
      <c r="N183" s="18">
        <v>7.3959522197845184E-2</v>
      </c>
    </row>
    <row r="184" spans="1:14" x14ac:dyDescent="0.25">
      <c r="A184">
        <v>8</v>
      </c>
      <c r="B184" t="s">
        <v>16</v>
      </c>
      <c r="C184">
        <v>2.1</v>
      </c>
      <c r="D184">
        <v>700</v>
      </c>
      <c r="E184">
        <v>20</v>
      </c>
      <c r="F184">
        <v>1</v>
      </c>
      <c r="G184">
        <v>15</v>
      </c>
      <c r="H184">
        <v>26</v>
      </c>
      <c r="I184" t="s">
        <v>23</v>
      </c>
      <c r="J184" t="s">
        <v>29</v>
      </c>
      <c r="K184" t="s">
        <v>98</v>
      </c>
      <c r="L184" t="s">
        <v>98</v>
      </c>
      <c r="M184">
        <v>0.66364048688921007</v>
      </c>
      <c r="N184" s="18">
        <v>0.33635951311078993</v>
      </c>
    </row>
    <row r="185" spans="1:14" x14ac:dyDescent="0.25">
      <c r="A185">
        <v>8</v>
      </c>
      <c r="B185" t="s">
        <v>16</v>
      </c>
      <c r="C185">
        <v>2.1</v>
      </c>
      <c r="D185">
        <v>700</v>
      </c>
      <c r="E185">
        <v>20</v>
      </c>
      <c r="F185">
        <v>1</v>
      </c>
      <c r="G185">
        <v>16</v>
      </c>
      <c r="H185">
        <v>27</v>
      </c>
      <c r="I185" t="s">
        <v>24</v>
      </c>
      <c r="J185" t="s">
        <v>27</v>
      </c>
      <c r="K185" t="s">
        <v>98</v>
      </c>
      <c r="L185" t="s">
        <v>98</v>
      </c>
      <c r="M185">
        <v>0.92317580088274886</v>
      </c>
      <c r="N185" s="18">
        <v>7.6824199117251135E-2</v>
      </c>
    </row>
    <row r="186" spans="1:14" x14ac:dyDescent="0.25">
      <c r="A186">
        <v>8</v>
      </c>
      <c r="B186" t="s">
        <v>16</v>
      </c>
      <c r="C186">
        <v>2.1</v>
      </c>
      <c r="D186">
        <v>700</v>
      </c>
      <c r="E186">
        <v>20</v>
      </c>
      <c r="F186">
        <v>1</v>
      </c>
      <c r="G186">
        <v>17</v>
      </c>
      <c r="H186">
        <v>28</v>
      </c>
      <c r="I186" t="s">
        <v>24</v>
      </c>
      <c r="J186" t="s">
        <v>28</v>
      </c>
      <c r="K186" t="s">
        <v>98</v>
      </c>
      <c r="L186" t="s">
        <v>98</v>
      </c>
      <c r="M186">
        <v>0.98616469888045699</v>
      </c>
      <c r="N186" s="18">
        <v>1.3835301119543009E-2</v>
      </c>
    </row>
    <row r="187" spans="1:14" x14ac:dyDescent="0.25">
      <c r="A187">
        <v>8</v>
      </c>
      <c r="B187" t="s">
        <v>16</v>
      </c>
      <c r="C187">
        <v>2.1</v>
      </c>
      <c r="D187">
        <v>700</v>
      </c>
      <c r="E187">
        <v>20</v>
      </c>
      <c r="F187">
        <v>1</v>
      </c>
      <c r="G187">
        <v>18</v>
      </c>
      <c r="H187">
        <v>29</v>
      </c>
      <c r="I187" t="s">
        <v>24</v>
      </c>
      <c r="J187" t="s">
        <v>29</v>
      </c>
      <c r="K187" t="s">
        <v>98</v>
      </c>
      <c r="L187" t="s">
        <v>98</v>
      </c>
      <c r="M187">
        <v>0.91985658096051848</v>
      </c>
      <c r="N187" s="18">
        <v>8.0143419039481523E-2</v>
      </c>
    </row>
    <row r="188" spans="1:14" x14ac:dyDescent="0.25">
      <c r="A188">
        <v>8</v>
      </c>
      <c r="B188" t="s">
        <v>16</v>
      </c>
      <c r="C188">
        <v>2.1</v>
      </c>
      <c r="D188">
        <v>700</v>
      </c>
      <c r="E188">
        <v>20</v>
      </c>
      <c r="F188">
        <v>1</v>
      </c>
      <c r="G188">
        <v>19</v>
      </c>
      <c r="H188">
        <v>30</v>
      </c>
      <c r="I188" t="s">
        <v>25</v>
      </c>
      <c r="J188" t="s">
        <v>27</v>
      </c>
      <c r="K188" t="s">
        <v>98</v>
      </c>
      <c r="L188" t="s">
        <v>98</v>
      </c>
      <c r="M188">
        <v>0.62920318755794713</v>
      </c>
      <c r="N188" s="18">
        <v>0.37079681244205287</v>
      </c>
    </row>
    <row r="189" spans="1:14" x14ac:dyDescent="0.25">
      <c r="A189">
        <v>8</v>
      </c>
      <c r="B189" t="s">
        <v>16</v>
      </c>
      <c r="C189">
        <v>2.1</v>
      </c>
      <c r="D189">
        <v>700</v>
      </c>
      <c r="E189">
        <v>20</v>
      </c>
      <c r="F189">
        <v>1</v>
      </c>
      <c r="G189">
        <v>20</v>
      </c>
      <c r="H189">
        <v>31</v>
      </c>
      <c r="I189" t="s">
        <v>25</v>
      </c>
      <c r="J189" t="s">
        <v>28</v>
      </c>
      <c r="K189" t="s">
        <v>98</v>
      </c>
      <c r="L189" t="s">
        <v>98</v>
      </c>
      <c r="M189">
        <v>0.82231336153201928</v>
      </c>
      <c r="N189" s="18">
        <v>0.17768663846798072</v>
      </c>
    </row>
    <row r="190" spans="1:14" x14ac:dyDescent="0.25">
      <c r="A190">
        <v>8</v>
      </c>
      <c r="B190" t="s">
        <v>16</v>
      </c>
      <c r="C190">
        <v>2.1</v>
      </c>
      <c r="D190">
        <v>700</v>
      </c>
      <c r="E190">
        <v>20</v>
      </c>
      <c r="F190">
        <v>1</v>
      </c>
      <c r="G190">
        <v>21</v>
      </c>
      <c r="H190">
        <v>32</v>
      </c>
      <c r="I190" t="s">
        <v>25</v>
      </c>
      <c r="J190" t="s">
        <v>29</v>
      </c>
      <c r="K190" t="s">
        <v>98</v>
      </c>
      <c r="L190" t="s">
        <v>98</v>
      </c>
      <c r="M190">
        <v>0.68555078579676243</v>
      </c>
      <c r="N190" s="18">
        <v>0.31444921420323757</v>
      </c>
    </row>
    <row r="191" spans="1:14" x14ac:dyDescent="0.25">
      <c r="A191">
        <v>8</v>
      </c>
      <c r="B191" t="s">
        <v>16</v>
      </c>
      <c r="C191">
        <v>2.1</v>
      </c>
      <c r="D191">
        <v>700</v>
      </c>
      <c r="E191">
        <v>20</v>
      </c>
      <c r="F191">
        <v>1</v>
      </c>
      <c r="G191">
        <v>22</v>
      </c>
      <c r="H191">
        <v>33</v>
      </c>
      <c r="I191" t="s">
        <v>26</v>
      </c>
      <c r="J191" t="s">
        <v>27</v>
      </c>
      <c r="K191" t="s">
        <v>98</v>
      </c>
      <c r="L191" t="s">
        <v>98</v>
      </c>
      <c r="M191">
        <v>0.78906522118878109</v>
      </c>
      <c r="N191" s="18">
        <v>0.21093477881121891</v>
      </c>
    </row>
    <row r="192" spans="1:14" x14ac:dyDescent="0.25">
      <c r="A192">
        <v>8</v>
      </c>
      <c r="B192" t="s">
        <v>16</v>
      </c>
      <c r="C192">
        <v>2.1</v>
      </c>
      <c r="D192">
        <v>700</v>
      </c>
      <c r="E192">
        <v>20</v>
      </c>
      <c r="F192">
        <v>1</v>
      </c>
      <c r="G192">
        <v>23</v>
      </c>
      <c r="H192">
        <v>24</v>
      </c>
      <c r="I192" t="s">
        <v>26</v>
      </c>
      <c r="J192" t="s">
        <v>28</v>
      </c>
      <c r="K192" t="s">
        <v>98</v>
      </c>
      <c r="L192" t="s">
        <v>98</v>
      </c>
      <c r="M192">
        <v>0.81264665240961276</v>
      </c>
      <c r="N192" s="18">
        <v>0.18735334759038724</v>
      </c>
    </row>
    <row r="193" spans="1:14" x14ac:dyDescent="0.25">
      <c r="A193">
        <v>8</v>
      </c>
      <c r="B193" t="s">
        <v>16</v>
      </c>
      <c r="C193">
        <v>2.1</v>
      </c>
      <c r="D193">
        <v>700</v>
      </c>
      <c r="E193">
        <v>20</v>
      </c>
      <c r="F193">
        <v>1</v>
      </c>
      <c r="G193">
        <v>24</v>
      </c>
      <c r="H193">
        <v>25</v>
      </c>
      <c r="I193" t="s">
        <v>26</v>
      </c>
      <c r="J193" t="s">
        <v>29</v>
      </c>
      <c r="K193" t="s">
        <v>98</v>
      </c>
      <c r="L193" t="s">
        <v>98</v>
      </c>
      <c r="M193">
        <v>0.60914031267059798</v>
      </c>
      <c r="N193" s="18">
        <v>0.39085968732940202</v>
      </c>
    </row>
    <row r="194" spans="1:14" x14ac:dyDescent="0.25">
      <c r="A194">
        <v>9</v>
      </c>
      <c r="B194" t="s">
        <v>17</v>
      </c>
      <c r="C194">
        <v>0.1</v>
      </c>
      <c r="D194">
        <v>700</v>
      </c>
      <c r="E194">
        <v>22</v>
      </c>
      <c r="F194">
        <v>0</v>
      </c>
      <c r="G194">
        <v>1</v>
      </c>
      <c r="H194">
        <v>26</v>
      </c>
      <c r="I194" t="s">
        <v>19</v>
      </c>
      <c r="J194" t="s">
        <v>27</v>
      </c>
      <c r="K194" t="s">
        <v>98</v>
      </c>
      <c r="L194" t="s">
        <v>98</v>
      </c>
      <c r="M194">
        <v>0.76941306122874853</v>
      </c>
      <c r="N194" s="18">
        <v>0.23058693877125147</v>
      </c>
    </row>
    <row r="195" spans="1:14" x14ac:dyDescent="0.25">
      <c r="A195">
        <v>9</v>
      </c>
      <c r="B195" t="s">
        <v>17</v>
      </c>
      <c r="C195">
        <v>0.1</v>
      </c>
      <c r="D195">
        <v>700</v>
      </c>
      <c r="E195">
        <v>22</v>
      </c>
      <c r="F195">
        <v>0</v>
      </c>
      <c r="G195">
        <v>2</v>
      </c>
      <c r="H195">
        <v>27</v>
      </c>
      <c r="I195" t="s">
        <v>19</v>
      </c>
      <c r="J195" t="s">
        <v>28</v>
      </c>
      <c r="K195" t="s">
        <v>98</v>
      </c>
      <c r="L195" t="s">
        <v>98</v>
      </c>
      <c r="M195">
        <v>0.93527541902340494</v>
      </c>
      <c r="N195" s="18">
        <v>6.4724580976595059E-2</v>
      </c>
    </row>
    <row r="196" spans="1:14" x14ac:dyDescent="0.25">
      <c r="A196">
        <v>9</v>
      </c>
      <c r="B196" t="s">
        <v>17</v>
      </c>
      <c r="C196">
        <v>0.1</v>
      </c>
      <c r="D196">
        <v>700</v>
      </c>
      <c r="E196">
        <v>22</v>
      </c>
      <c r="F196">
        <v>0</v>
      </c>
      <c r="G196">
        <v>3</v>
      </c>
      <c r="H196">
        <v>28</v>
      </c>
      <c r="I196" t="s">
        <v>19</v>
      </c>
      <c r="J196" t="s">
        <v>29</v>
      </c>
      <c r="K196" t="s">
        <v>98</v>
      </c>
      <c r="L196" t="s">
        <v>98</v>
      </c>
      <c r="M196">
        <v>0.66581119017973811</v>
      </c>
      <c r="N196" s="18">
        <v>0.33418880982026189</v>
      </c>
    </row>
    <row r="197" spans="1:14" x14ac:dyDescent="0.25">
      <c r="A197">
        <v>9</v>
      </c>
      <c r="B197" t="s">
        <v>17</v>
      </c>
      <c r="C197">
        <v>0.1</v>
      </c>
      <c r="D197">
        <v>700</v>
      </c>
      <c r="E197">
        <v>22</v>
      </c>
      <c r="F197">
        <v>0</v>
      </c>
      <c r="G197">
        <v>4</v>
      </c>
      <c r="H197">
        <v>29</v>
      </c>
      <c r="I197" t="s">
        <v>20</v>
      </c>
      <c r="J197" t="s">
        <v>27</v>
      </c>
      <c r="K197" t="s">
        <v>98</v>
      </c>
      <c r="L197" t="s">
        <v>98</v>
      </c>
      <c r="M197">
        <v>0.90904750365274034</v>
      </c>
      <c r="N197" s="18">
        <v>9.0952496347259659E-2</v>
      </c>
    </row>
    <row r="198" spans="1:14" x14ac:dyDescent="0.25">
      <c r="A198">
        <v>9</v>
      </c>
      <c r="B198" t="s">
        <v>17</v>
      </c>
      <c r="C198">
        <v>0.1</v>
      </c>
      <c r="D198">
        <v>700</v>
      </c>
      <c r="E198">
        <v>22</v>
      </c>
      <c r="F198">
        <v>0</v>
      </c>
      <c r="G198">
        <v>5</v>
      </c>
      <c r="H198">
        <v>30</v>
      </c>
      <c r="I198" t="s">
        <v>20</v>
      </c>
      <c r="J198" t="s">
        <v>28</v>
      </c>
      <c r="K198" t="s">
        <v>98</v>
      </c>
      <c r="L198" t="s">
        <v>98</v>
      </c>
      <c r="M198">
        <v>0.95624046994040668</v>
      </c>
      <c r="N198" s="18">
        <v>4.3759530059593321E-2</v>
      </c>
    </row>
    <row r="199" spans="1:14" x14ac:dyDescent="0.25">
      <c r="A199">
        <v>9</v>
      </c>
      <c r="B199" t="s">
        <v>17</v>
      </c>
      <c r="C199">
        <v>0.1</v>
      </c>
      <c r="D199">
        <v>700</v>
      </c>
      <c r="E199">
        <v>22</v>
      </c>
      <c r="F199">
        <v>0</v>
      </c>
      <c r="G199">
        <v>6</v>
      </c>
      <c r="H199">
        <v>31</v>
      </c>
      <c r="I199" t="s">
        <v>20</v>
      </c>
      <c r="J199" t="s">
        <v>29</v>
      </c>
      <c r="K199" t="s">
        <v>98</v>
      </c>
      <c r="L199" t="s">
        <v>98</v>
      </c>
      <c r="M199">
        <v>0.90621230952299314</v>
      </c>
      <c r="N199" s="18">
        <v>9.3787690477006858E-2</v>
      </c>
    </row>
    <row r="200" spans="1:14" x14ac:dyDescent="0.25">
      <c r="A200">
        <v>9</v>
      </c>
      <c r="B200" t="s">
        <v>17</v>
      </c>
      <c r="C200">
        <v>0.1</v>
      </c>
      <c r="D200">
        <v>700</v>
      </c>
      <c r="E200">
        <v>22</v>
      </c>
      <c r="F200">
        <v>0</v>
      </c>
      <c r="G200">
        <v>7</v>
      </c>
      <c r="H200">
        <v>32</v>
      </c>
      <c r="I200" t="s">
        <v>21</v>
      </c>
      <c r="J200" t="s">
        <v>27</v>
      </c>
      <c r="K200" t="s">
        <v>98</v>
      </c>
      <c r="L200" t="s">
        <v>98</v>
      </c>
      <c r="M200">
        <v>0.90861997269698125</v>
      </c>
      <c r="N200" s="18">
        <v>9.1380027303018752E-2</v>
      </c>
    </row>
    <row r="201" spans="1:14" x14ac:dyDescent="0.25">
      <c r="A201">
        <v>9</v>
      </c>
      <c r="B201" t="s">
        <v>17</v>
      </c>
      <c r="C201">
        <v>0.1</v>
      </c>
      <c r="D201">
        <v>700</v>
      </c>
      <c r="E201">
        <v>22</v>
      </c>
      <c r="F201">
        <v>0</v>
      </c>
      <c r="G201">
        <v>8</v>
      </c>
      <c r="H201">
        <v>33</v>
      </c>
      <c r="I201" t="s">
        <v>21</v>
      </c>
      <c r="J201" t="s">
        <v>28</v>
      </c>
      <c r="K201" t="s">
        <v>98</v>
      </c>
      <c r="L201" t="s">
        <v>98</v>
      </c>
      <c r="M201">
        <v>0.98037825342940099</v>
      </c>
      <c r="N201" s="18">
        <v>1.9621746570599008E-2</v>
      </c>
    </row>
    <row r="202" spans="1:14" x14ac:dyDescent="0.25">
      <c r="A202">
        <v>9</v>
      </c>
      <c r="B202" t="s">
        <v>17</v>
      </c>
      <c r="C202">
        <v>0.1</v>
      </c>
      <c r="D202">
        <v>700</v>
      </c>
      <c r="E202">
        <v>22</v>
      </c>
      <c r="F202">
        <v>0</v>
      </c>
      <c r="G202">
        <v>9</v>
      </c>
      <c r="H202">
        <v>24</v>
      </c>
      <c r="I202" t="s">
        <v>21</v>
      </c>
      <c r="J202" t="s">
        <v>29</v>
      </c>
      <c r="K202" t="s">
        <v>98</v>
      </c>
      <c r="L202" t="s">
        <v>98</v>
      </c>
      <c r="M202">
        <v>0.71172977737940268</v>
      </c>
      <c r="N202" s="18">
        <v>0.28827022262059732</v>
      </c>
    </row>
    <row r="203" spans="1:14" x14ac:dyDescent="0.25">
      <c r="A203">
        <v>9</v>
      </c>
      <c r="B203" t="s">
        <v>17</v>
      </c>
      <c r="C203">
        <v>0.1</v>
      </c>
      <c r="D203">
        <v>700</v>
      </c>
      <c r="E203">
        <v>22</v>
      </c>
      <c r="F203">
        <v>0</v>
      </c>
      <c r="G203">
        <v>10</v>
      </c>
      <c r="H203">
        <v>25</v>
      </c>
      <c r="I203" t="s">
        <v>22</v>
      </c>
      <c r="J203" t="s">
        <v>27</v>
      </c>
      <c r="K203" t="s">
        <v>98</v>
      </c>
      <c r="L203" t="s">
        <v>98</v>
      </c>
      <c r="M203">
        <v>0.58128483629745287</v>
      </c>
      <c r="N203" s="18">
        <v>0.41871516370254713</v>
      </c>
    </row>
    <row r="204" spans="1:14" x14ac:dyDescent="0.25">
      <c r="A204">
        <v>9</v>
      </c>
      <c r="B204" t="s">
        <v>17</v>
      </c>
      <c r="C204">
        <v>0.1</v>
      </c>
      <c r="D204">
        <v>700</v>
      </c>
      <c r="E204">
        <v>22</v>
      </c>
      <c r="F204">
        <v>0</v>
      </c>
      <c r="G204">
        <v>11</v>
      </c>
      <c r="H204">
        <v>26</v>
      </c>
      <c r="I204" t="s">
        <v>22</v>
      </c>
      <c r="J204" t="s">
        <v>28</v>
      </c>
      <c r="K204" t="s">
        <v>98</v>
      </c>
      <c r="L204" t="s">
        <v>98</v>
      </c>
      <c r="M204">
        <v>0.83562231537253273</v>
      </c>
      <c r="N204" s="18">
        <v>0.16437768462746727</v>
      </c>
    </row>
    <row r="205" spans="1:14" x14ac:dyDescent="0.25">
      <c r="A205">
        <v>9</v>
      </c>
      <c r="B205" t="s">
        <v>17</v>
      </c>
      <c r="C205">
        <v>0.1</v>
      </c>
      <c r="D205">
        <v>700</v>
      </c>
      <c r="E205">
        <v>22</v>
      </c>
      <c r="F205">
        <v>0</v>
      </c>
      <c r="G205">
        <v>12</v>
      </c>
      <c r="H205">
        <v>27</v>
      </c>
      <c r="I205" t="s">
        <v>22</v>
      </c>
      <c r="J205" t="s">
        <v>29</v>
      </c>
      <c r="K205" t="s">
        <v>98</v>
      </c>
      <c r="L205" t="s">
        <v>98</v>
      </c>
      <c r="M205">
        <v>0.55588304956800427</v>
      </c>
      <c r="N205" s="18">
        <v>0.44411695043199573</v>
      </c>
    </row>
    <row r="206" spans="1:14" x14ac:dyDescent="0.25">
      <c r="A206">
        <v>9</v>
      </c>
      <c r="B206" t="s">
        <v>17</v>
      </c>
      <c r="C206">
        <v>0.1</v>
      </c>
      <c r="D206">
        <v>700</v>
      </c>
      <c r="E206">
        <v>22</v>
      </c>
      <c r="F206">
        <v>0</v>
      </c>
      <c r="G206">
        <v>13</v>
      </c>
      <c r="H206">
        <v>28</v>
      </c>
      <c r="I206" t="s">
        <v>23</v>
      </c>
      <c r="J206" t="s">
        <v>27</v>
      </c>
      <c r="K206" t="s">
        <v>98</v>
      </c>
      <c r="L206" t="s">
        <v>98</v>
      </c>
      <c r="M206">
        <v>0.83986177820177665</v>
      </c>
      <c r="N206" s="18">
        <v>0.16013822179822335</v>
      </c>
    </row>
    <row r="207" spans="1:14" x14ac:dyDescent="0.25">
      <c r="A207">
        <v>9</v>
      </c>
      <c r="B207" t="s">
        <v>17</v>
      </c>
      <c r="C207">
        <v>0.1</v>
      </c>
      <c r="D207">
        <v>700</v>
      </c>
      <c r="E207">
        <v>22</v>
      </c>
      <c r="F207">
        <v>0</v>
      </c>
      <c r="G207">
        <v>14</v>
      </c>
      <c r="H207">
        <v>29</v>
      </c>
      <c r="I207" t="s">
        <v>23</v>
      </c>
      <c r="J207" t="s">
        <v>28</v>
      </c>
      <c r="K207" t="s">
        <v>98</v>
      </c>
      <c r="L207" t="s">
        <v>98</v>
      </c>
      <c r="M207">
        <v>0.9595267914720671</v>
      </c>
      <c r="N207" s="18">
        <v>4.0473208527932902E-2</v>
      </c>
    </row>
    <row r="208" spans="1:14" x14ac:dyDescent="0.25">
      <c r="A208">
        <v>9</v>
      </c>
      <c r="B208" t="s">
        <v>17</v>
      </c>
      <c r="C208">
        <v>0.1</v>
      </c>
      <c r="D208">
        <v>700</v>
      </c>
      <c r="E208">
        <v>22</v>
      </c>
      <c r="F208">
        <v>0</v>
      </c>
      <c r="G208">
        <v>15</v>
      </c>
      <c r="H208">
        <v>30</v>
      </c>
      <c r="I208" t="s">
        <v>23</v>
      </c>
      <c r="J208" t="s">
        <v>29</v>
      </c>
      <c r="K208" t="s">
        <v>98</v>
      </c>
      <c r="L208" t="s">
        <v>98</v>
      </c>
      <c r="M208">
        <v>0.70917899890689451</v>
      </c>
      <c r="N208" s="18">
        <v>0.29082100109310549</v>
      </c>
    </row>
    <row r="209" spans="1:14" x14ac:dyDescent="0.25">
      <c r="A209">
        <v>9</v>
      </c>
      <c r="B209" t="s">
        <v>17</v>
      </c>
      <c r="C209">
        <v>0.1</v>
      </c>
      <c r="D209">
        <v>700</v>
      </c>
      <c r="E209">
        <v>22</v>
      </c>
      <c r="F209">
        <v>0</v>
      </c>
      <c r="G209">
        <v>16</v>
      </c>
      <c r="H209">
        <v>31</v>
      </c>
      <c r="I209" t="s">
        <v>24</v>
      </c>
      <c r="J209" t="s">
        <v>27</v>
      </c>
      <c r="K209" t="s">
        <v>98</v>
      </c>
      <c r="L209" t="s">
        <v>98</v>
      </c>
      <c r="M209">
        <v>0.92788863098303642</v>
      </c>
      <c r="N209" s="18">
        <v>7.2111369016963578E-2</v>
      </c>
    </row>
    <row r="210" spans="1:14" x14ac:dyDescent="0.25">
      <c r="A210">
        <v>9</v>
      </c>
      <c r="B210" t="s">
        <v>17</v>
      </c>
      <c r="C210">
        <v>0.1</v>
      </c>
      <c r="D210">
        <v>700</v>
      </c>
      <c r="E210">
        <v>22</v>
      </c>
      <c r="F210">
        <v>0</v>
      </c>
      <c r="G210">
        <v>17</v>
      </c>
      <c r="H210">
        <v>32</v>
      </c>
      <c r="I210" t="s">
        <v>24</v>
      </c>
      <c r="J210" t="s">
        <v>28</v>
      </c>
      <c r="K210" t="s">
        <v>98</v>
      </c>
      <c r="L210" t="s">
        <v>98</v>
      </c>
      <c r="M210">
        <v>0.99240468980264895</v>
      </c>
      <c r="N210" s="18">
        <v>7.5953101973510462E-3</v>
      </c>
    </row>
    <row r="211" spans="1:14" x14ac:dyDescent="0.25">
      <c r="A211">
        <v>9</v>
      </c>
      <c r="B211" t="s">
        <v>17</v>
      </c>
      <c r="C211">
        <v>0.1</v>
      </c>
      <c r="D211">
        <v>700</v>
      </c>
      <c r="E211">
        <v>22</v>
      </c>
      <c r="F211">
        <v>0</v>
      </c>
      <c r="G211">
        <v>18</v>
      </c>
      <c r="H211">
        <v>33</v>
      </c>
      <c r="I211" t="s">
        <v>24</v>
      </c>
      <c r="J211" t="s">
        <v>29</v>
      </c>
      <c r="K211" t="s">
        <v>98</v>
      </c>
      <c r="L211" t="s">
        <v>98</v>
      </c>
      <c r="M211">
        <v>0.95788807562654943</v>
      </c>
      <c r="N211" s="18">
        <v>4.2111924373450571E-2</v>
      </c>
    </row>
    <row r="212" spans="1:14" x14ac:dyDescent="0.25">
      <c r="A212">
        <v>9</v>
      </c>
      <c r="B212" t="s">
        <v>17</v>
      </c>
      <c r="C212">
        <v>0.1</v>
      </c>
      <c r="D212">
        <v>700</v>
      </c>
      <c r="E212">
        <v>22</v>
      </c>
      <c r="F212">
        <v>0</v>
      </c>
      <c r="G212">
        <v>19</v>
      </c>
      <c r="H212">
        <v>24</v>
      </c>
      <c r="I212" t="s">
        <v>25</v>
      </c>
      <c r="J212" t="s">
        <v>27</v>
      </c>
      <c r="K212" t="s">
        <v>98</v>
      </c>
      <c r="L212" t="s">
        <v>98</v>
      </c>
      <c r="M212">
        <v>0.48462984417563237</v>
      </c>
      <c r="N212" s="18">
        <v>0.51537015582436763</v>
      </c>
    </row>
    <row r="213" spans="1:14" x14ac:dyDescent="0.25">
      <c r="A213">
        <v>9</v>
      </c>
      <c r="B213" t="s">
        <v>17</v>
      </c>
      <c r="C213">
        <v>0.1</v>
      </c>
      <c r="D213">
        <v>700</v>
      </c>
      <c r="E213">
        <v>22</v>
      </c>
      <c r="F213">
        <v>0</v>
      </c>
      <c r="G213">
        <v>20</v>
      </c>
      <c r="H213">
        <v>25</v>
      </c>
      <c r="I213" t="s">
        <v>25</v>
      </c>
      <c r="J213" t="s">
        <v>28</v>
      </c>
      <c r="K213" t="s">
        <v>98</v>
      </c>
      <c r="L213" t="s">
        <v>98</v>
      </c>
      <c r="M213">
        <v>0.71946310559400073</v>
      </c>
      <c r="N213" s="18">
        <v>0.28053689440599927</v>
      </c>
    </row>
    <row r="214" spans="1:14" x14ac:dyDescent="0.25">
      <c r="A214">
        <v>9</v>
      </c>
      <c r="B214" t="s">
        <v>17</v>
      </c>
      <c r="C214">
        <v>0.1</v>
      </c>
      <c r="D214">
        <v>700</v>
      </c>
      <c r="E214">
        <v>22</v>
      </c>
      <c r="F214">
        <v>0</v>
      </c>
      <c r="G214">
        <v>21</v>
      </c>
      <c r="H214">
        <v>26</v>
      </c>
      <c r="I214" t="s">
        <v>25</v>
      </c>
      <c r="J214" t="s">
        <v>29</v>
      </c>
      <c r="K214" t="s">
        <v>98</v>
      </c>
      <c r="L214" t="s">
        <v>98</v>
      </c>
      <c r="M214">
        <v>0.54713462712344652</v>
      </c>
      <c r="N214" s="18">
        <v>0.45286537287655348</v>
      </c>
    </row>
    <row r="215" spans="1:14" x14ac:dyDescent="0.25">
      <c r="A215">
        <v>9</v>
      </c>
      <c r="B215" t="s">
        <v>17</v>
      </c>
      <c r="C215">
        <v>0.1</v>
      </c>
      <c r="D215">
        <v>700</v>
      </c>
      <c r="E215">
        <v>22</v>
      </c>
      <c r="F215">
        <v>0</v>
      </c>
      <c r="G215">
        <v>22</v>
      </c>
      <c r="H215">
        <v>27</v>
      </c>
      <c r="I215" t="s">
        <v>26</v>
      </c>
      <c r="J215" t="s">
        <v>27</v>
      </c>
      <c r="K215" t="s">
        <v>98</v>
      </c>
      <c r="L215" t="s">
        <v>98</v>
      </c>
      <c r="M215">
        <v>0.87508636436197029</v>
      </c>
      <c r="N215" s="18">
        <v>0.12491363563802971</v>
      </c>
    </row>
    <row r="216" spans="1:14" x14ac:dyDescent="0.25">
      <c r="A216">
        <v>9</v>
      </c>
      <c r="B216" t="s">
        <v>17</v>
      </c>
      <c r="C216">
        <v>0.1</v>
      </c>
      <c r="D216">
        <v>700</v>
      </c>
      <c r="E216">
        <v>22</v>
      </c>
      <c r="F216">
        <v>0</v>
      </c>
      <c r="G216">
        <v>23</v>
      </c>
      <c r="H216">
        <v>28</v>
      </c>
      <c r="I216" t="s">
        <v>26</v>
      </c>
      <c r="J216" t="s">
        <v>28</v>
      </c>
      <c r="K216" t="s">
        <v>98</v>
      </c>
      <c r="L216" t="s">
        <v>98</v>
      </c>
      <c r="M216">
        <v>0.94300456786756814</v>
      </c>
      <c r="N216" s="18">
        <v>5.6995432132431856E-2</v>
      </c>
    </row>
    <row r="217" spans="1:14" x14ac:dyDescent="0.25">
      <c r="A217">
        <v>9</v>
      </c>
      <c r="B217" t="s">
        <v>17</v>
      </c>
      <c r="C217">
        <v>0.1</v>
      </c>
      <c r="D217">
        <v>700</v>
      </c>
      <c r="E217">
        <v>22</v>
      </c>
      <c r="F217">
        <v>0</v>
      </c>
      <c r="G217">
        <v>24</v>
      </c>
      <c r="H217">
        <v>29</v>
      </c>
      <c r="I217" t="s">
        <v>26</v>
      </c>
      <c r="J217" t="s">
        <v>29</v>
      </c>
      <c r="K217" t="s">
        <v>98</v>
      </c>
      <c r="L217" t="s">
        <v>98</v>
      </c>
      <c r="M217">
        <v>0.81984533874148413</v>
      </c>
      <c r="N217" s="18">
        <v>0.18015466125851587</v>
      </c>
    </row>
    <row r="218" spans="1:14" x14ac:dyDescent="0.25">
      <c r="A218">
        <v>10</v>
      </c>
      <c r="B218" t="s">
        <v>18</v>
      </c>
      <c r="C218">
        <v>2.1</v>
      </c>
      <c r="D218">
        <v>700</v>
      </c>
      <c r="E218">
        <v>20</v>
      </c>
      <c r="F218">
        <v>1</v>
      </c>
      <c r="G218">
        <v>1</v>
      </c>
      <c r="H218">
        <v>30</v>
      </c>
      <c r="I218" t="s">
        <v>19</v>
      </c>
      <c r="J218" t="s">
        <v>27</v>
      </c>
      <c r="K218" t="s">
        <v>98</v>
      </c>
      <c r="L218" t="s">
        <v>98</v>
      </c>
      <c r="M218">
        <v>0.80294447139402403</v>
      </c>
      <c r="N218" s="18">
        <v>0.19705552860597597</v>
      </c>
    </row>
    <row r="219" spans="1:14" x14ac:dyDescent="0.25">
      <c r="A219">
        <v>10</v>
      </c>
      <c r="B219" t="s">
        <v>18</v>
      </c>
      <c r="C219">
        <v>2.1</v>
      </c>
      <c r="D219">
        <v>700</v>
      </c>
      <c r="E219">
        <v>20</v>
      </c>
      <c r="F219">
        <v>1</v>
      </c>
      <c r="G219">
        <v>2</v>
      </c>
      <c r="H219">
        <v>31</v>
      </c>
      <c r="I219" t="s">
        <v>19</v>
      </c>
      <c r="J219" t="s">
        <v>28</v>
      </c>
      <c r="K219" t="s">
        <v>98</v>
      </c>
      <c r="L219" t="s">
        <v>98</v>
      </c>
      <c r="M219">
        <v>0.94636873113535214</v>
      </c>
      <c r="N219" s="18">
        <v>5.3631268864647863E-2</v>
      </c>
    </row>
    <row r="220" spans="1:14" x14ac:dyDescent="0.25">
      <c r="A220">
        <v>10</v>
      </c>
      <c r="B220" t="s">
        <v>18</v>
      </c>
      <c r="C220">
        <v>2.1</v>
      </c>
      <c r="D220">
        <v>700</v>
      </c>
      <c r="E220">
        <v>20</v>
      </c>
      <c r="F220">
        <v>1</v>
      </c>
      <c r="G220">
        <v>3</v>
      </c>
      <c r="H220">
        <v>32</v>
      </c>
      <c r="I220" t="s">
        <v>19</v>
      </c>
      <c r="J220" t="s">
        <v>29</v>
      </c>
      <c r="K220" t="s">
        <v>98</v>
      </c>
      <c r="L220" t="s">
        <v>98</v>
      </c>
      <c r="M220">
        <v>0.70870440924871592</v>
      </c>
      <c r="N220" s="18">
        <v>0.29129559075128408</v>
      </c>
    </row>
    <row r="221" spans="1:14" x14ac:dyDescent="0.25">
      <c r="A221">
        <v>10</v>
      </c>
      <c r="B221" t="s">
        <v>18</v>
      </c>
      <c r="C221">
        <v>2.1</v>
      </c>
      <c r="D221">
        <v>700</v>
      </c>
      <c r="E221">
        <v>20</v>
      </c>
      <c r="F221">
        <v>1</v>
      </c>
      <c r="G221">
        <v>4</v>
      </c>
      <c r="H221">
        <v>33</v>
      </c>
      <c r="I221" t="s">
        <v>20</v>
      </c>
      <c r="J221" t="s">
        <v>27</v>
      </c>
      <c r="K221" t="s">
        <v>98</v>
      </c>
      <c r="L221" t="s">
        <v>98</v>
      </c>
      <c r="M221">
        <v>0.85189224971184607</v>
      </c>
      <c r="N221" s="18">
        <v>0.14810775028815393</v>
      </c>
    </row>
    <row r="222" spans="1:14" x14ac:dyDescent="0.25">
      <c r="A222">
        <v>10</v>
      </c>
      <c r="B222" t="s">
        <v>18</v>
      </c>
      <c r="C222">
        <v>2.1</v>
      </c>
      <c r="D222">
        <v>700</v>
      </c>
      <c r="E222">
        <v>20</v>
      </c>
      <c r="F222">
        <v>1</v>
      </c>
      <c r="G222">
        <v>5</v>
      </c>
      <c r="H222">
        <v>24</v>
      </c>
      <c r="I222" t="s">
        <v>20</v>
      </c>
      <c r="J222" t="s">
        <v>28</v>
      </c>
      <c r="K222" t="s">
        <v>98</v>
      </c>
      <c r="L222" t="s">
        <v>98</v>
      </c>
      <c r="M222">
        <v>0.88291822876139503</v>
      </c>
      <c r="N222" s="18">
        <v>0.11708177123860497</v>
      </c>
    </row>
    <row r="223" spans="1:14" x14ac:dyDescent="0.25">
      <c r="A223">
        <v>10</v>
      </c>
      <c r="B223" t="s">
        <v>18</v>
      </c>
      <c r="C223">
        <v>2.1</v>
      </c>
      <c r="D223">
        <v>700</v>
      </c>
      <c r="E223">
        <v>20</v>
      </c>
      <c r="F223">
        <v>1</v>
      </c>
      <c r="G223">
        <v>6</v>
      </c>
      <c r="H223">
        <v>25</v>
      </c>
      <c r="I223" t="s">
        <v>20</v>
      </c>
      <c r="J223" t="s">
        <v>29</v>
      </c>
      <c r="K223" t="s">
        <v>98</v>
      </c>
      <c r="L223" t="s">
        <v>98</v>
      </c>
      <c r="M223">
        <v>0.76800848793232868</v>
      </c>
      <c r="N223" s="18">
        <v>0.23199151206767132</v>
      </c>
    </row>
    <row r="224" spans="1:14" x14ac:dyDescent="0.25">
      <c r="A224">
        <v>10</v>
      </c>
      <c r="B224" t="s">
        <v>18</v>
      </c>
      <c r="C224">
        <v>2.1</v>
      </c>
      <c r="D224">
        <v>700</v>
      </c>
      <c r="E224">
        <v>20</v>
      </c>
      <c r="F224">
        <v>1</v>
      </c>
      <c r="G224">
        <v>7</v>
      </c>
      <c r="H224">
        <v>26</v>
      </c>
      <c r="I224" t="s">
        <v>21</v>
      </c>
      <c r="J224" t="s">
        <v>27</v>
      </c>
      <c r="K224" t="s">
        <v>98</v>
      </c>
      <c r="L224" t="s">
        <v>98</v>
      </c>
      <c r="M224">
        <v>0.96149495328455703</v>
      </c>
      <c r="N224" s="18">
        <v>3.850504671544297E-2</v>
      </c>
    </row>
    <row r="225" spans="1:14" x14ac:dyDescent="0.25">
      <c r="A225">
        <v>10</v>
      </c>
      <c r="B225" t="s">
        <v>18</v>
      </c>
      <c r="C225">
        <v>2.1</v>
      </c>
      <c r="D225">
        <v>700</v>
      </c>
      <c r="E225">
        <v>20</v>
      </c>
      <c r="F225">
        <v>1</v>
      </c>
      <c r="G225">
        <v>8</v>
      </c>
      <c r="H225">
        <v>27</v>
      </c>
      <c r="I225" t="s">
        <v>21</v>
      </c>
      <c r="J225" t="s">
        <v>28</v>
      </c>
      <c r="K225" t="s">
        <v>98</v>
      </c>
      <c r="L225" t="s">
        <v>98</v>
      </c>
      <c r="M225">
        <v>0.99192360112560252</v>
      </c>
      <c r="N225" s="18">
        <v>8.0763988743974835E-3</v>
      </c>
    </row>
    <row r="226" spans="1:14" x14ac:dyDescent="0.25">
      <c r="A226">
        <v>10</v>
      </c>
      <c r="B226" t="s">
        <v>18</v>
      </c>
      <c r="C226">
        <v>2.1</v>
      </c>
      <c r="D226">
        <v>700</v>
      </c>
      <c r="E226">
        <v>20</v>
      </c>
      <c r="F226">
        <v>1</v>
      </c>
      <c r="G226">
        <v>9</v>
      </c>
      <c r="H226">
        <v>28</v>
      </c>
      <c r="I226" t="s">
        <v>21</v>
      </c>
      <c r="J226" t="s">
        <v>29</v>
      </c>
      <c r="K226" t="s">
        <v>98</v>
      </c>
      <c r="L226" t="s">
        <v>98</v>
      </c>
      <c r="M226">
        <v>0.88358231501164985</v>
      </c>
      <c r="N226" s="18">
        <v>0.11641768498835015</v>
      </c>
    </row>
    <row r="227" spans="1:14" x14ac:dyDescent="0.25">
      <c r="A227">
        <v>10</v>
      </c>
      <c r="B227" t="s">
        <v>18</v>
      </c>
      <c r="C227">
        <v>2.1</v>
      </c>
      <c r="D227">
        <v>700</v>
      </c>
      <c r="E227">
        <v>20</v>
      </c>
      <c r="F227">
        <v>1</v>
      </c>
      <c r="G227">
        <v>10</v>
      </c>
      <c r="H227">
        <v>29</v>
      </c>
      <c r="I227" t="s">
        <v>22</v>
      </c>
      <c r="J227" t="s">
        <v>27</v>
      </c>
      <c r="K227" t="s">
        <v>98</v>
      </c>
      <c r="L227" t="s">
        <v>98</v>
      </c>
      <c r="M227">
        <v>0.70285909835007609</v>
      </c>
      <c r="N227" s="18">
        <v>0.29714090164992391</v>
      </c>
    </row>
    <row r="228" spans="1:14" x14ac:dyDescent="0.25">
      <c r="A228">
        <v>10</v>
      </c>
      <c r="B228" t="s">
        <v>18</v>
      </c>
      <c r="C228">
        <v>2.1</v>
      </c>
      <c r="D228">
        <v>700</v>
      </c>
      <c r="E228">
        <v>20</v>
      </c>
      <c r="F228">
        <v>1</v>
      </c>
      <c r="G228">
        <v>11</v>
      </c>
      <c r="H228">
        <v>30</v>
      </c>
      <c r="I228" t="s">
        <v>22</v>
      </c>
      <c r="J228" t="s">
        <v>28</v>
      </c>
      <c r="K228" t="s">
        <v>98</v>
      </c>
      <c r="L228" t="s">
        <v>98</v>
      </c>
      <c r="M228">
        <v>0.88725962192820518</v>
      </c>
      <c r="N228" s="18">
        <v>0.11274037807179482</v>
      </c>
    </row>
    <row r="229" spans="1:14" x14ac:dyDescent="0.25">
      <c r="A229">
        <v>10</v>
      </c>
      <c r="B229" t="s">
        <v>18</v>
      </c>
      <c r="C229">
        <v>2.1</v>
      </c>
      <c r="D229">
        <v>700</v>
      </c>
      <c r="E229">
        <v>20</v>
      </c>
      <c r="F229">
        <v>1</v>
      </c>
      <c r="G229">
        <v>12</v>
      </c>
      <c r="H229">
        <v>31</v>
      </c>
      <c r="I229" t="s">
        <v>22</v>
      </c>
      <c r="J229" t="s">
        <v>29</v>
      </c>
      <c r="K229" t="s">
        <v>98</v>
      </c>
      <c r="L229" t="s">
        <v>98</v>
      </c>
      <c r="M229">
        <v>0.64438552966694518</v>
      </c>
      <c r="N229" s="18">
        <v>0.35561447033305482</v>
      </c>
    </row>
    <row r="230" spans="1:14" x14ac:dyDescent="0.25">
      <c r="A230">
        <v>10</v>
      </c>
      <c r="B230" t="s">
        <v>18</v>
      </c>
      <c r="C230">
        <v>2.1</v>
      </c>
      <c r="D230">
        <v>700</v>
      </c>
      <c r="E230">
        <v>20</v>
      </c>
      <c r="F230">
        <v>1</v>
      </c>
      <c r="G230">
        <v>13</v>
      </c>
      <c r="H230">
        <v>32</v>
      </c>
      <c r="I230" t="s">
        <v>23</v>
      </c>
      <c r="J230" t="s">
        <v>27</v>
      </c>
      <c r="K230" t="s">
        <v>98</v>
      </c>
      <c r="L230" t="s">
        <v>98</v>
      </c>
      <c r="M230">
        <v>0.88283964193614595</v>
      </c>
      <c r="N230" s="18">
        <v>0.11716035806385405</v>
      </c>
    </row>
    <row r="231" spans="1:14" x14ac:dyDescent="0.25">
      <c r="A231">
        <v>10</v>
      </c>
      <c r="B231" t="s">
        <v>18</v>
      </c>
      <c r="C231">
        <v>2.1</v>
      </c>
      <c r="D231">
        <v>700</v>
      </c>
      <c r="E231">
        <v>20</v>
      </c>
      <c r="F231">
        <v>1</v>
      </c>
      <c r="G231">
        <v>14</v>
      </c>
      <c r="H231">
        <v>33</v>
      </c>
      <c r="I231" t="s">
        <v>23</v>
      </c>
      <c r="J231" t="s">
        <v>28</v>
      </c>
      <c r="K231" t="s">
        <v>98</v>
      </c>
      <c r="L231" t="s">
        <v>98</v>
      </c>
      <c r="M231">
        <v>0.97820843920503819</v>
      </c>
      <c r="N231" s="18">
        <v>2.1791560794961806E-2</v>
      </c>
    </row>
    <row r="232" spans="1:14" x14ac:dyDescent="0.25">
      <c r="A232">
        <v>10</v>
      </c>
      <c r="B232" t="s">
        <v>18</v>
      </c>
      <c r="C232">
        <v>2.1</v>
      </c>
      <c r="D232">
        <v>700</v>
      </c>
      <c r="E232">
        <v>20</v>
      </c>
      <c r="F232">
        <v>1</v>
      </c>
      <c r="G232">
        <v>15</v>
      </c>
      <c r="H232">
        <v>24</v>
      </c>
      <c r="I232" t="s">
        <v>23</v>
      </c>
      <c r="J232" t="s">
        <v>29</v>
      </c>
      <c r="K232" t="s">
        <v>98</v>
      </c>
      <c r="L232" t="s">
        <v>98</v>
      </c>
      <c r="M232">
        <v>0.63960266120289655</v>
      </c>
      <c r="N232" s="18">
        <v>0.36039733879710345</v>
      </c>
    </row>
    <row r="233" spans="1:14" x14ac:dyDescent="0.25">
      <c r="A233">
        <v>10</v>
      </c>
      <c r="B233" t="s">
        <v>18</v>
      </c>
      <c r="C233">
        <v>2.1</v>
      </c>
      <c r="D233">
        <v>700</v>
      </c>
      <c r="E233">
        <v>20</v>
      </c>
      <c r="F233">
        <v>1</v>
      </c>
      <c r="G233">
        <v>16</v>
      </c>
      <c r="H233">
        <v>25</v>
      </c>
      <c r="I233" t="s">
        <v>24</v>
      </c>
      <c r="J233" t="s">
        <v>27</v>
      </c>
      <c r="K233" t="s">
        <v>98</v>
      </c>
      <c r="L233" t="s">
        <v>98</v>
      </c>
      <c r="M233">
        <v>0.92071488418927827</v>
      </c>
      <c r="N233" s="18">
        <v>7.9285115810721729E-2</v>
      </c>
    </row>
    <row r="234" spans="1:14" x14ac:dyDescent="0.25">
      <c r="A234">
        <v>10</v>
      </c>
      <c r="B234" t="s">
        <v>18</v>
      </c>
      <c r="C234">
        <v>2.1</v>
      </c>
      <c r="D234">
        <v>700</v>
      </c>
      <c r="E234">
        <v>20</v>
      </c>
      <c r="F234">
        <v>1</v>
      </c>
      <c r="G234">
        <v>17</v>
      </c>
      <c r="H234">
        <v>26</v>
      </c>
      <c r="I234" t="s">
        <v>24</v>
      </c>
      <c r="J234" t="s">
        <v>28</v>
      </c>
      <c r="K234" t="s">
        <v>98</v>
      </c>
      <c r="L234" t="s">
        <v>98</v>
      </c>
      <c r="M234">
        <v>0.98135945934743762</v>
      </c>
      <c r="N234" s="18">
        <v>1.8640540652562376E-2</v>
      </c>
    </row>
    <row r="235" spans="1:14" x14ac:dyDescent="0.25">
      <c r="A235">
        <v>10</v>
      </c>
      <c r="B235" t="s">
        <v>18</v>
      </c>
      <c r="C235">
        <v>2.1</v>
      </c>
      <c r="D235">
        <v>700</v>
      </c>
      <c r="E235">
        <v>20</v>
      </c>
      <c r="F235">
        <v>1</v>
      </c>
      <c r="G235">
        <v>18</v>
      </c>
      <c r="H235">
        <v>27</v>
      </c>
      <c r="I235" t="s">
        <v>24</v>
      </c>
      <c r="J235" t="s">
        <v>29</v>
      </c>
      <c r="K235" t="s">
        <v>98</v>
      </c>
      <c r="L235" t="s">
        <v>98</v>
      </c>
      <c r="M235">
        <v>0.89074756998513127</v>
      </c>
      <c r="N235" s="18">
        <v>0.10925243001486873</v>
      </c>
    </row>
    <row r="236" spans="1:14" x14ac:dyDescent="0.25">
      <c r="A236">
        <v>10</v>
      </c>
      <c r="B236" t="s">
        <v>18</v>
      </c>
      <c r="C236">
        <v>2.1</v>
      </c>
      <c r="D236">
        <v>700</v>
      </c>
      <c r="E236">
        <v>20</v>
      </c>
      <c r="F236">
        <v>1</v>
      </c>
      <c r="G236">
        <v>19</v>
      </c>
      <c r="H236">
        <v>28</v>
      </c>
      <c r="I236" t="s">
        <v>25</v>
      </c>
      <c r="J236" t="s">
        <v>27</v>
      </c>
      <c r="K236" t="s">
        <v>98</v>
      </c>
      <c r="L236" t="s">
        <v>98</v>
      </c>
      <c r="M236">
        <v>0.60911650357154956</v>
      </c>
      <c r="N236" s="18">
        <v>0.39088349642845044</v>
      </c>
    </row>
    <row r="237" spans="1:14" x14ac:dyDescent="0.25">
      <c r="A237">
        <v>10</v>
      </c>
      <c r="B237" t="s">
        <v>18</v>
      </c>
      <c r="C237">
        <v>2.1</v>
      </c>
      <c r="D237">
        <v>700</v>
      </c>
      <c r="E237">
        <v>20</v>
      </c>
      <c r="F237">
        <v>1</v>
      </c>
      <c r="G237">
        <v>20</v>
      </c>
      <c r="H237">
        <v>29</v>
      </c>
      <c r="I237" t="s">
        <v>25</v>
      </c>
      <c r="J237" t="s">
        <v>28</v>
      </c>
      <c r="K237" t="s">
        <v>98</v>
      </c>
      <c r="L237" t="s">
        <v>98</v>
      </c>
      <c r="M237">
        <v>0.80952088243252907</v>
      </c>
      <c r="N237" s="18">
        <v>0.19047911756747093</v>
      </c>
    </row>
    <row r="238" spans="1:14" x14ac:dyDescent="0.25">
      <c r="A238">
        <v>10</v>
      </c>
      <c r="B238" t="s">
        <v>18</v>
      </c>
      <c r="C238">
        <v>2.1</v>
      </c>
      <c r="D238">
        <v>700</v>
      </c>
      <c r="E238">
        <v>20</v>
      </c>
      <c r="F238">
        <v>1</v>
      </c>
      <c r="G238">
        <v>21</v>
      </c>
      <c r="H238">
        <v>30</v>
      </c>
      <c r="I238" t="s">
        <v>25</v>
      </c>
      <c r="J238" t="s">
        <v>29</v>
      </c>
      <c r="K238" t="s">
        <v>98</v>
      </c>
      <c r="L238" t="s">
        <v>98</v>
      </c>
      <c r="M238">
        <v>0.66690058547491604</v>
      </c>
      <c r="N238" s="18">
        <v>0.33309941452508396</v>
      </c>
    </row>
    <row r="239" spans="1:14" x14ac:dyDescent="0.25">
      <c r="A239">
        <v>10</v>
      </c>
      <c r="B239" t="s">
        <v>18</v>
      </c>
      <c r="C239">
        <v>2.1</v>
      </c>
      <c r="D239">
        <v>700</v>
      </c>
      <c r="E239">
        <v>20</v>
      </c>
      <c r="F239">
        <v>1</v>
      </c>
      <c r="G239">
        <v>22</v>
      </c>
      <c r="H239">
        <v>31</v>
      </c>
      <c r="I239" t="s">
        <v>26</v>
      </c>
      <c r="J239" t="s">
        <v>27</v>
      </c>
      <c r="K239" t="s">
        <v>98</v>
      </c>
      <c r="L239" t="s">
        <v>98</v>
      </c>
      <c r="M239">
        <v>0.88309797906876253</v>
      </c>
      <c r="N239" s="18">
        <v>0.11690202093123747</v>
      </c>
    </row>
    <row r="240" spans="1:14" x14ac:dyDescent="0.25">
      <c r="A240">
        <v>10</v>
      </c>
      <c r="B240" t="s">
        <v>18</v>
      </c>
      <c r="C240">
        <v>2.1</v>
      </c>
      <c r="D240">
        <v>700</v>
      </c>
      <c r="E240">
        <v>20</v>
      </c>
      <c r="F240">
        <v>1</v>
      </c>
      <c r="G240">
        <v>23</v>
      </c>
      <c r="H240">
        <v>32</v>
      </c>
      <c r="I240" t="s">
        <v>26</v>
      </c>
      <c r="J240" t="s">
        <v>28</v>
      </c>
      <c r="K240" t="s">
        <v>98</v>
      </c>
      <c r="L240" t="s">
        <v>98</v>
      </c>
      <c r="M240">
        <v>0.9658385872040931</v>
      </c>
      <c r="N240" s="18">
        <v>3.4161412795906898E-2</v>
      </c>
    </row>
    <row r="241" spans="1:14" x14ac:dyDescent="0.25">
      <c r="A241">
        <v>10</v>
      </c>
      <c r="B241" t="s">
        <v>18</v>
      </c>
      <c r="C241">
        <v>2.1</v>
      </c>
      <c r="D241">
        <v>700</v>
      </c>
      <c r="E241">
        <v>20</v>
      </c>
      <c r="F241">
        <v>1</v>
      </c>
      <c r="G241">
        <v>24</v>
      </c>
      <c r="H241">
        <v>33</v>
      </c>
      <c r="I241" t="s">
        <v>26</v>
      </c>
      <c r="J241" t="s">
        <v>29</v>
      </c>
      <c r="K241" t="s">
        <v>98</v>
      </c>
      <c r="L241" t="s">
        <v>98</v>
      </c>
      <c r="M241">
        <v>0.85617776916675936</v>
      </c>
      <c r="N241" s="18">
        <v>0.14382223083324064</v>
      </c>
    </row>
    <row r="242" spans="1:14" x14ac:dyDescent="0.25">
      <c r="A242">
        <v>1</v>
      </c>
      <c r="B242">
        <v>1</v>
      </c>
      <c r="C242">
        <v>2.1</v>
      </c>
      <c r="D242">
        <v>700</v>
      </c>
      <c r="E242">
        <v>20</v>
      </c>
      <c r="F242">
        <v>1</v>
      </c>
      <c r="G242">
        <v>25</v>
      </c>
      <c r="H242">
        <v>34</v>
      </c>
      <c r="I242" t="s">
        <v>19</v>
      </c>
      <c r="J242" t="s">
        <v>27</v>
      </c>
      <c r="K242" t="s">
        <v>98</v>
      </c>
      <c r="L242">
        <v>0.45693198981906741</v>
      </c>
      <c r="M242">
        <v>0.40593390880506613</v>
      </c>
      <c r="N242" s="18">
        <v>0.13713410137586646</v>
      </c>
    </row>
    <row r="243" spans="1:14" x14ac:dyDescent="0.25">
      <c r="A243">
        <v>1</v>
      </c>
      <c r="B243">
        <v>1</v>
      </c>
      <c r="C243">
        <v>2.1</v>
      </c>
      <c r="D243">
        <v>700</v>
      </c>
      <c r="E243">
        <v>20</v>
      </c>
      <c r="F243">
        <v>1</v>
      </c>
      <c r="G243">
        <v>31</v>
      </c>
      <c r="H243">
        <v>34</v>
      </c>
      <c r="I243" t="s">
        <v>21</v>
      </c>
      <c r="J243" t="s">
        <v>27</v>
      </c>
      <c r="K243" t="s">
        <v>98</v>
      </c>
      <c r="L243">
        <v>0.66235351987548841</v>
      </c>
      <c r="M243">
        <v>0.27779659237916876</v>
      </c>
      <c r="N243" s="18">
        <v>5.9849887745342834E-2</v>
      </c>
    </row>
    <row r="244" spans="1:14" x14ac:dyDescent="0.25">
      <c r="A244">
        <v>1</v>
      </c>
      <c r="B244">
        <v>1</v>
      </c>
      <c r="C244">
        <v>2.1</v>
      </c>
      <c r="D244">
        <v>700</v>
      </c>
      <c r="E244">
        <v>20</v>
      </c>
      <c r="F244">
        <v>1</v>
      </c>
      <c r="G244">
        <v>37</v>
      </c>
      <c r="H244">
        <v>34</v>
      </c>
      <c r="I244" t="s">
        <v>23</v>
      </c>
      <c r="J244" t="s">
        <v>27</v>
      </c>
      <c r="K244" t="s">
        <v>98</v>
      </c>
      <c r="L244">
        <v>0.63364823785918578</v>
      </c>
      <c r="M244">
        <v>0.3023198622595229</v>
      </c>
      <c r="N244" s="18">
        <v>6.4031899881291321E-2</v>
      </c>
    </row>
    <row r="245" spans="1:14" x14ac:dyDescent="0.25">
      <c r="A245">
        <v>1</v>
      </c>
      <c r="B245">
        <v>1</v>
      </c>
      <c r="C245">
        <v>2.1</v>
      </c>
      <c r="D245">
        <v>700</v>
      </c>
      <c r="E245">
        <v>20</v>
      </c>
      <c r="F245">
        <v>1</v>
      </c>
      <c r="G245">
        <v>43</v>
      </c>
      <c r="H245">
        <v>34</v>
      </c>
      <c r="I245" t="s">
        <v>25</v>
      </c>
      <c r="J245" t="s">
        <v>27</v>
      </c>
      <c r="K245" t="s">
        <v>98</v>
      </c>
      <c r="L245">
        <v>0.27271324049241696</v>
      </c>
      <c r="M245">
        <v>0.42139572142804227</v>
      </c>
      <c r="N245" s="18">
        <v>0.30589103807954077</v>
      </c>
    </row>
    <row r="246" spans="1:14" x14ac:dyDescent="0.25">
      <c r="A246">
        <v>2</v>
      </c>
      <c r="B246" t="s">
        <v>10</v>
      </c>
      <c r="C246">
        <v>2.1</v>
      </c>
      <c r="D246">
        <v>828</v>
      </c>
      <c r="E246">
        <v>29</v>
      </c>
      <c r="F246">
        <v>0</v>
      </c>
      <c r="G246">
        <v>25</v>
      </c>
      <c r="H246">
        <v>34</v>
      </c>
      <c r="I246" t="s">
        <v>19</v>
      </c>
      <c r="J246" t="s">
        <v>27</v>
      </c>
      <c r="K246" t="s">
        <v>98</v>
      </c>
      <c r="L246">
        <v>0.49745002210827</v>
      </c>
      <c r="M246">
        <v>0.38353591482185995</v>
      </c>
      <c r="N246" s="18">
        <v>0.11901406306987006</v>
      </c>
    </row>
    <row r="247" spans="1:14" x14ac:dyDescent="0.25">
      <c r="A247">
        <v>2</v>
      </c>
      <c r="B247" t="s">
        <v>10</v>
      </c>
      <c r="C247">
        <v>2.1</v>
      </c>
      <c r="D247">
        <v>828</v>
      </c>
      <c r="E247">
        <v>29</v>
      </c>
      <c r="F247">
        <v>0</v>
      </c>
      <c r="G247">
        <v>31</v>
      </c>
      <c r="H247">
        <v>34</v>
      </c>
      <c r="I247" t="s">
        <v>21</v>
      </c>
      <c r="J247" t="s">
        <v>27</v>
      </c>
      <c r="K247" t="s">
        <v>98</v>
      </c>
      <c r="L247">
        <v>0.70667714289751193</v>
      </c>
      <c r="M247">
        <v>0.2440427974582231</v>
      </c>
      <c r="N247" s="18">
        <v>4.9280059644264962E-2</v>
      </c>
    </row>
    <row r="248" spans="1:14" x14ac:dyDescent="0.25">
      <c r="A248">
        <v>2</v>
      </c>
      <c r="B248" t="s">
        <v>10</v>
      </c>
      <c r="C248">
        <v>2.1</v>
      </c>
      <c r="D248">
        <v>828</v>
      </c>
      <c r="E248">
        <v>29</v>
      </c>
      <c r="F248">
        <v>0</v>
      </c>
      <c r="G248">
        <v>37</v>
      </c>
      <c r="H248">
        <v>34</v>
      </c>
      <c r="I248" t="s">
        <v>23</v>
      </c>
      <c r="J248" t="s">
        <v>27</v>
      </c>
      <c r="K248" t="s">
        <v>98</v>
      </c>
      <c r="L248">
        <v>0.67519575972550117</v>
      </c>
      <c r="M248">
        <v>0.27094819139118775</v>
      </c>
      <c r="N248" s="18">
        <v>5.3856048883311081E-2</v>
      </c>
    </row>
    <row r="249" spans="1:14" x14ac:dyDescent="0.25">
      <c r="A249">
        <v>2</v>
      </c>
      <c r="B249" t="s">
        <v>10</v>
      </c>
      <c r="C249">
        <v>2.1</v>
      </c>
      <c r="D249">
        <v>828</v>
      </c>
      <c r="E249">
        <v>29</v>
      </c>
      <c r="F249">
        <v>0</v>
      </c>
      <c r="G249">
        <v>43</v>
      </c>
      <c r="H249">
        <v>34</v>
      </c>
      <c r="I249" t="s">
        <v>25</v>
      </c>
      <c r="J249" t="s">
        <v>27</v>
      </c>
      <c r="K249" t="s">
        <v>98</v>
      </c>
      <c r="L249">
        <v>0.25263649682564771</v>
      </c>
      <c r="M249">
        <v>0.41902292907445393</v>
      </c>
      <c r="N249" s="18">
        <v>0.32834057409989836</v>
      </c>
    </row>
    <row r="250" spans="1:14" x14ac:dyDescent="0.25">
      <c r="A250">
        <v>3</v>
      </c>
      <c r="B250" t="s">
        <v>11</v>
      </c>
      <c r="C250">
        <v>2.1</v>
      </c>
      <c r="D250">
        <v>700</v>
      </c>
      <c r="E250">
        <v>20</v>
      </c>
      <c r="F250">
        <v>1</v>
      </c>
      <c r="G250">
        <v>25</v>
      </c>
      <c r="H250">
        <v>34</v>
      </c>
      <c r="I250" t="s">
        <v>19</v>
      </c>
      <c r="J250" t="s">
        <v>27</v>
      </c>
      <c r="K250" t="s">
        <v>98</v>
      </c>
      <c r="L250">
        <v>0.3425389835307836</v>
      </c>
      <c r="M250">
        <v>0.45322071418512466</v>
      </c>
      <c r="N250" s="18">
        <v>0.20424030228409173</v>
      </c>
    </row>
    <row r="251" spans="1:14" x14ac:dyDescent="0.25">
      <c r="A251">
        <v>3</v>
      </c>
      <c r="B251" t="s">
        <v>11</v>
      </c>
      <c r="C251">
        <v>2.1</v>
      </c>
      <c r="D251">
        <v>700</v>
      </c>
      <c r="E251">
        <v>20</v>
      </c>
      <c r="F251">
        <v>1</v>
      </c>
      <c r="G251">
        <v>31</v>
      </c>
      <c r="H251">
        <v>34</v>
      </c>
      <c r="I251" t="s">
        <v>21</v>
      </c>
      <c r="J251" t="s">
        <v>27</v>
      </c>
      <c r="K251" t="s">
        <v>98</v>
      </c>
      <c r="L251">
        <v>0.56121634635382556</v>
      </c>
      <c r="M251">
        <v>0.3498317600653521</v>
      </c>
      <c r="N251" s="18">
        <v>8.8951893580822339E-2</v>
      </c>
    </row>
    <row r="252" spans="1:14" x14ac:dyDescent="0.25">
      <c r="A252">
        <v>3</v>
      </c>
      <c r="B252" t="s">
        <v>11</v>
      </c>
      <c r="C252">
        <v>2.1</v>
      </c>
      <c r="D252">
        <v>700</v>
      </c>
      <c r="E252">
        <v>20</v>
      </c>
      <c r="F252">
        <v>1</v>
      </c>
      <c r="G252">
        <v>37</v>
      </c>
      <c r="H252">
        <v>34</v>
      </c>
      <c r="I252" t="s">
        <v>23</v>
      </c>
      <c r="J252" t="s">
        <v>27</v>
      </c>
      <c r="K252" t="s">
        <v>98</v>
      </c>
      <c r="L252">
        <v>0.61831443944018127</v>
      </c>
      <c r="M252">
        <v>0.31361422095264713</v>
      </c>
      <c r="N252" s="18">
        <v>6.8071339607171599E-2</v>
      </c>
    </row>
    <row r="253" spans="1:14" x14ac:dyDescent="0.25">
      <c r="A253">
        <v>3</v>
      </c>
      <c r="B253" t="s">
        <v>11</v>
      </c>
      <c r="C253">
        <v>2.1</v>
      </c>
      <c r="D253">
        <v>700</v>
      </c>
      <c r="E253">
        <v>20</v>
      </c>
      <c r="F253">
        <v>1</v>
      </c>
      <c r="G253">
        <v>43</v>
      </c>
      <c r="H253">
        <v>34</v>
      </c>
      <c r="I253" t="s">
        <v>25</v>
      </c>
      <c r="J253" t="s">
        <v>27</v>
      </c>
      <c r="K253" t="s">
        <v>98</v>
      </c>
      <c r="L253">
        <v>0.23568208901818472</v>
      </c>
      <c r="M253">
        <v>0.41540021613079586</v>
      </c>
      <c r="N253" s="18">
        <v>0.34891769485101942</v>
      </c>
    </row>
    <row r="254" spans="1:14" x14ac:dyDescent="0.25">
      <c r="A254">
        <v>4</v>
      </c>
      <c r="B254" t="s">
        <v>12</v>
      </c>
      <c r="C254">
        <v>2.1</v>
      </c>
      <c r="D254">
        <v>700</v>
      </c>
      <c r="E254">
        <v>20</v>
      </c>
      <c r="F254">
        <v>1</v>
      </c>
      <c r="G254">
        <v>25</v>
      </c>
      <c r="H254">
        <v>34</v>
      </c>
      <c r="I254" t="s">
        <v>19</v>
      </c>
      <c r="J254" t="s">
        <v>27</v>
      </c>
      <c r="K254" t="s">
        <v>98</v>
      </c>
      <c r="L254">
        <v>0.49152581153630009</v>
      </c>
      <c r="M254">
        <v>0.38695266370372799</v>
      </c>
      <c r="N254" s="18">
        <v>0.12152152475997191</v>
      </c>
    </row>
    <row r="255" spans="1:14" x14ac:dyDescent="0.25">
      <c r="A255">
        <v>4</v>
      </c>
      <c r="B255" t="s">
        <v>12</v>
      </c>
      <c r="C255">
        <v>2.1</v>
      </c>
      <c r="D255">
        <v>700</v>
      </c>
      <c r="E255">
        <v>20</v>
      </c>
      <c r="F255">
        <v>1</v>
      </c>
      <c r="G255">
        <v>31</v>
      </c>
      <c r="H255">
        <v>34</v>
      </c>
      <c r="I255" t="s">
        <v>21</v>
      </c>
      <c r="J255" t="s">
        <v>27</v>
      </c>
      <c r="K255" t="s">
        <v>98</v>
      </c>
      <c r="L255">
        <v>0.62761531415306238</v>
      </c>
      <c r="M255">
        <v>0.30340056579059149</v>
      </c>
      <c r="N255" s="18">
        <v>6.8984120056346132E-2</v>
      </c>
    </row>
    <row r="256" spans="1:14" x14ac:dyDescent="0.25">
      <c r="A256">
        <v>4</v>
      </c>
      <c r="B256" t="s">
        <v>12</v>
      </c>
      <c r="C256">
        <v>2.1</v>
      </c>
      <c r="D256">
        <v>700</v>
      </c>
      <c r="E256">
        <v>20</v>
      </c>
      <c r="F256">
        <v>1</v>
      </c>
      <c r="G256">
        <v>37</v>
      </c>
      <c r="H256">
        <v>34</v>
      </c>
      <c r="I256" t="s">
        <v>23</v>
      </c>
      <c r="J256" t="s">
        <v>27</v>
      </c>
      <c r="K256" t="s">
        <v>98</v>
      </c>
      <c r="L256">
        <v>0.59454825098749386</v>
      </c>
      <c r="M256">
        <v>0.33078368186371099</v>
      </c>
      <c r="N256" s="18">
        <v>7.4668067148795148E-2</v>
      </c>
    </row>
    <row r="257" spans="1:14" x14ac:dyDescent="0.25">
      <c r="A257">
        <v>4</v>
      </c>
      <c r="B257" t="s">
        <v>12</v>
      </c>
      <c r="C257">
        <v>2.1</v>
      </c>
      <c r="D257">
        <v>700</v>
      </c>
      <c r="E257">
        <v>20</v>
      </c>
      <c r="F257">
        <v>1</v>
      </c>
      <c r="G257">
        <v>43</v>
      </c>
      <c r="H257">
        <v>34</v>
      </c>
      <c r="I257" t="s">
        <v>25</v>
      </c>
      <c r="J257" t="s">
        <v>27</v>
      </c>
      <c r="K257" t="s">
        <v>98</v>
      </c>
      <c r="L257">
        <v>0.24917820689143469</v>
      </c>
      <c r="M257">
        <v>0.41841066891965073</v>
      </c>
      <c r="N257" s="18">
        <v>0.33241112418891461</v>
      </c>
    </row>
    <row r="258" spans="1:14" x14ac:dyDescent="0.25">
      <c r="A258">
        <v>5</v>
      </c>
      <c r="B258" t="s">
        <v>13</v>
      </c>
      <c r="C258">
        <v>2.1</v>
      </c>
      <c r="D258">
        <v>700</v>
      </c>
      <c r="E258">
        <v>20</v>
      </c>
      <c r="F258">
        <v>1</v>
      </c>
      <c r="G258">
        <v>25</v>
      </c>
      <c r="H258">
        <v>34</v>
      </c>
      <c r="I258" t="s">
        <v>19</v>
      </c>
      <c r="J258" t="s">
        <v>27</v>
      </c>
      <c r="K258" t="s">
        <v>98</v>
      </c>
      <c r="L258">
        <v>0.52440558988495301</v>
      </c>
      <c r="M258">
        <v>0.36743680889422903</v>
      </c>
      <c r="N258" s="18">
        <v>0.10815760122081797</v>
      </c>
    </row>
    <row r="259" spans="1:14" x14ac:dyDescent="0.25">
      <c r="A259">
        <v>5</v>
      </c>
      <c r="B259" t="s">
        <v>13</v>
      </c>
      <c r="C259">
        <v>2.1</v>
      </c>
      <c r="D259">
        <v>700</v>
      </c>
      <c r="E259">
        <v>20</v>
      </c>
      <c r="F259">
        <v>1</v>
      </c>
      <c r="G259">
        <v>31</v>
      </c>
      <c r="H259">
        <v>34</v>
      </c>
      <c r="I259" t="s">
        <v>21</v>
      </c>
      <c r="J259" t="s">
        <v>27</v>
      </c>
      <c r="K259" t="s">
        <v>98</v>
      </c>
      <c r="L259">
        <v>0.62761531415306238</v>
      </c>
      <c r="M259">
        <v>0.30340056579059149</v>
      </c>
      <c r="N259" s="18">
        <v>6.8984120056346132E-2</v>
      </c>
    </row>
    <row r="260" spans="1:14" x14ac:dyDescent="0.25">
      <c r="A260">
        <v>5</v>
      </c>
      <c r="B260" t="s">
        <v>13</v>
      </c>
      <c r="C260">
        <v>2.1</v>
      </c>
      <c r="D260">
        <v>700</v>
      </c>
      <c r="E260">
        <v>20</v>
      </c>
      <c r="F260">
        <v>1</v>
      </c>
      <c r="G260">
        <v>37</v>
      </c>
      <c r="H260">
        <v>34</v>
      </c>
      <c r="I260" t="s">
        <v>23</v>
      </c>
      <c r="J260" t="s">
        <v>27</v>
      </c>
      <c r="K260" t="s">
        <v>98</v>
      </c>
      <c r="L260">
        <v>0.63211477901454638</v>
      </c>
      <c r="M260">
        <v>0.30345663112911181</v>
      </c>
      <c r="N260" s="18">
        <v>6.4428589856341811E-2</v>
      </c>
    </row>
    <row r="261" spans="1:14" x14ac:dyDescent="0.25">
      <c r="A261">
        <v>5</v>
      </c>
      <c r="B261" t="s">
        <v>13</v>
      </c>
      <c r="C261">
        <v>2.1</v>
      </c>
      <c r="D261">
        <v>700</v>
      </c>
      <c r="E261">
        <v>20</v>
      </c>
      <c r="F261">
        <v>1</v>
      </c>
      <c r="G261">
        <v>43</v>
      </c>
      <c r="H261">
        <v>34</v>
      </c>
      <c r="I261" t="s">
        <v>25</v>
      </c>
      <c r="J261" t="s">
        <v>27</v>
      </c>
      <c r="K261" t="s">
        <v>98</v>
      </c>
      <c r="L261">
        <v>0.30725158258616964</v>
      </c>
      <c r="M261">
        <v>0.42130270946267295</v>
      </c>
      <c r="N261" s="18">
        <v>0.27144570795115741</v>
      </c>
    </row>
    <row r="262" spans="1:14" x14ac:dyDescent="0.25">
      <c r="A262">
        <v>6</v>
      </c>
      <c r="B262" t="s">
        <v>14</v>
      </c>
      <c r="C262">
        <v>1.2</v>
      </c>
      <c r="D262">
        <v>1022</v>
      </c>
      <c r="E262">
        <v>25</v>
      </c>
      <c r="F262">
        <v>1</v>
      </c>
      <c r="G262">
        <v>25</v>
      </c>
      <c r="H262">
        <v>34</v>
      </c>
      <c r="I262" t="s">
        <v>19</v>
      </c>
      <c r="J262" t="s">
        <v>27</v>
      </c>
      <c r="K262" t="s">
        <v>98</v>
      </c>
      <c r="L262">
        <v>0.44973536130106645</v>
      </c>
      <c r="M262">
        <v>0.40965793338014883</v>
      </c>
      <c r="N262" s="18">
        <v>0.14060670531878472</v>
      </c>
    </row>
    <row r="263" spans="1:14" x14ac:dyDescent="0.25">
      <c r="A263">
        <v>6</v>
      </c>
      <c r="B263" t="s">
        <v>14</v>
      </c>
      <c r="C263">
        <v>1.2</v>
      </c>
      <c r="D263">
        <v>1022</v>
      </c>
      <c r="E263">
        <v>25</v>
      </c>
      <c r="F263">
        <v>1</v>
      </c>
      <c r="G263">
        <v>31</v>
      </c>
      <c r="H263">
        <v>34</v>
      </c>
      <c r="I263" t="s">
        <v>21</v>
      </c>
      <c r="J263" t="s">
        <v>27</v>
      </c>
      <c r="K263" t="s">
        <v>98</v>
      </c>
      <c r="L263">
        <v>0.67271711097280595</v>
      </c>
      <c r="M263">
        <v>0.27000732805973515</v>
      </c>
      <c r="N263" s="18">
        <v>5.7275560967458894E-2</v>
      </c>
    </row>
    <row r="264" spans="1:14" x14ac:dyDescent="0.25">
      <c r="A264">
        <v>6</v>
      </c>
      <c r="B264" t="s">
        <v>14</v>
      </c>
      <c r="C264">
        <v>1.2</v>
      </c>
      <c r="D264">
        <v>1022</v>
      </c>
      <c r="E264">
        <v>25</v>
      </c>
      <c r="F264">
        <v>1</v>
      </c>
      <c r="G264">
        <v>37</v>
      </c>
      <c r="H264">
        <v>34</v>
      </c>
      <c r="I264" t="s">
        <v>23</v>
      </c>
      <c r="J264" t="s">
        <v>27</v>
      </c>
      <c r="K264" t="s">
        <v>98</v>
      </c>
      <c r="L264">
        <v>0.56871247229856159</v>
      </c>
      <c r="M264">
        <v>0.34894224322679124</v>
      </c>
      <c r="N264" s="18">
        <v>8.2345284474647173E-2</v>
      </c>
    </row>
    <row r="265" spans="1:14" x14ac:dyDescent="0.25">
      <c r="A265">
        <v>6</v>
      </c>
      <c r="B265" t="s">
        <v>14</v>
      </c>
      <c r="C265">
        <v>1.2</v>
      </c>
      <c r="D265">
        <v>1022</v>
      </c>
      <c r="E265">
        <v>25</v>
      </c>
      <c r="F265">
        <v>1</v>
      </c>
      <c r="G265">
        <v>43</v>
      </c>
      <c r="H265">
        <v>34</v>
      </c>
      <c r="I265" t="s">
        <v>25</v>
      </c>
      <c r="J265" t="s">
        <v>27</v>
      </c>
      <c r="K265" t="s">
        <v>98</v>
      </c>
      <c r="L265">
        <v>0.24610404019464827</v>
      </c>
      <c r="M265">
        <v>0.41781318552576574</v>
      </c>
      <c r="N265" s="18">
        <v>0.33608277427958599</v>
      </c>
    </row>
    <row r="266" spans="1:14" x14ac:dyDescent="0.25">
      <c r="A266">
        <v>7</v>
      </c>
      <c r="B266" t="s">
        <v>15</v>
      </c>
      <c r="C266">
        <v>2.1</v>
      </c>
      <c r="D266">
        <v>700</v>
      </c>
      <c r="E266">
        <v>20</v>
      </c>
      <c r="F266">
        <v>1</v>
      </c>
      <c r="G266">
        <v>25</v>
      </c>
      <c r="H266">
        <v>34</v>
      </c>
      <c r="I266" t="s">
        <v>19</v>
      </c>
      <c r="J266" t="s">
        <v>27</v>
      </c>
      <c r="K266" t="s">
        <v>98</v>
      </c>
      <c r="L266">
        <v>0.50647463806638304</v>
      </c>
      <c r="M266">
        <v>0.37824462157461824</v>
      </c>
      <c r="N266" s="18">
        <v>0.11528074035899871</v>
      </c>
    </row>
    <row r="267" spans="1:14" x14ac:dyDescent="0.25">
      <c r="A267">
        <v>7</v>
      </c>
      <c r="B267" t="s">
        <v>15</v>
      </c>
      <c r="C267">
        <v>2.1</v>
      </c>
      <c r="D267">
        <v>700</v>
      </c>
      <c r="E267">
        <v>20</v>
      </c>
      <c r="F267">
        <v>1</v>
      </c>
      <c r="G267">
        <v>31</v>
      </c>
      <c r="H267">
        <v>34</v>
      </c>
      <c r="I267" t="s">
        <v>21</v>
      </c>
      <c r="J267" t="s">
        <v>27</v>
      </c>
      <c r="K267" t="s">
        <v>98</v>
      </c>
      <c r="L267">
        <v>0.62761531415306238</v>
      </c>
      <c r="M267">
        <v>0.30340056579059149</v>
      </c>
      <c r="N267" s="18">
        <v>6.8984120056346132E-2</v>
      </c>
    </row>
    <row r="268" spans="1:14" x14ac:dyDescent="0.25">
      <c r="A268">
        <v>7</v>
      </c>
      <c r="B268" t="s">
        <v>15</v>
      </c>
      <c r="C268">
        <v>2.1</v>
      </c>
      <c r="D268">
        <v>700</v>
      </c>
      <c r="E268">
        <v>20</v>
      </c>
      <c r="F268">
        <v>1</v>
      </c>
      <c r="G268">
        <v>37</v>
      </c>
      <c r="H268">
        <v>34</v>
      </c>
      <c r="I268" t="s">
        <v>23</v>
      </c>
      <c r="J268" t="s">
        <v>27</v>
      </c>
      <c r="K268" t="s">
        <v>98</v>
      </c>
      <c r="L268">
        <v>0.52098766070653235</v>
      </c>
      <c r="M268">
        <v>0.38089320172633045</v>
      </c>
      <c r="N268" s="18">
        <v>9.8119137567137193E-2</v>
      </c>
    </row>
    <row r="269" spans="1:14" x14ac:dyDescent="0.25">
      <c r="A269">
        <v>7</v>
      </c>
      <c r="B269" t="s">
        <v>15</v>
      </c>
      <c r="C269">
        <v>2.1</v>
      </c>
      <c r="D269">
        <v>700</v>
      </c>
      <c r="E269">
        <v>20</v>
      </c>
      <c r="F269">
        <v>1</v>
      </c>
      <c r="G269">
        <v>43</v>
      </c>
      <c r="H269">
        <v>34</v>
      </c>
      <c r="I269" t="s">
        <v>25</v>
      </c>
      <c r="J269" t="s">
        <v>27</v>
      </c>
      <c r="K269" t="s">
        <v>98</v>
      </c>
      <c r="L269">
        <v>0.27271324049241696</v>
      </c>
      <c r="M269">
        <v>0.42139572142804227</v>
      </c>
      <c r="N269" s="18">
        <v>0.30589103807954077</v>
      </c>
    </row>
    <row r="270" spans="1:14" x14ac:dyDescent="0.25">
      <c r="A270">
        <v>8</v>
      </c>
      <c r="B270" t="s">
        <v>16</v>
      </c>
      <c r="C270">
        <v>2.1</v>
      </c>
      <c r="D270">
        <v>700</v>
      </c>
      <c r="E270">
        <v>20</v>
      </c>
      <c r="F270">
        <v>1</v>
      </c>
      <c r="G270">
        <v>25</v>
      </c>
      <c r="H270">
        <v>34</v>
      </c>
      <c r="I270" t="s">
        <v>19</v>
      </c>
      <c r="J270" t="s">
        <v>27</v>
      </c>
      <c r="K270" t="s">
        <v>98</v>
      </c>
      <c r="L270">
        <v>0.39503410060153871</v>
      </c>
      <c r="M270">
        <v>0.43499027109537386</v>
      </c>
      <c r="N270" s="18">
        <v>0.16997562830308743</v>
      </c>
    </row>
    <row r="271" spans="1:14" x14ac:dyDescent="0.25">
      <c r="A271">
        <v>8</v>
      </c>
      <c r="B271" t="s">
        <v>16</v>
      </c>
      <c r="C271">
        <v>2.1</v>
      </c>
      <c r="D271">
        <v>700</v>
      </c>
      <c r="E271">
        <v>20</v>
      </c>
      <c r="F271">
        <v>1</v>
      </c>
      <c r="G271">
        <v>31</v>
      </c>
      <c r="H271">
        <v>34</v>
      </c>
      <c r="I271" t="s">
        <v>21</v>
      </c>
      <c r="J271" t="s">
        <v>27</v>
      </c>
      <c r="K271" t="s">
        <v>98</v>
      </c>
      <c r="L271">
        <v>0.62761531415306238</v>
      </c>
      <c r="M271">
        <v>0.30340056579059149</v>
      </c>
      <c r="N271" s="18">
        <v>6.8984120056346132E-2</v>
      </c>
    </row>
    <row r="272" spans="1:14" x14ac:dyDescent="0.25">
      <c r="A272">
        <v>8</v>
      </c>
      <c r="B272" t="s">
        <v>16</v>
      </c>
      <c r="C272">
        <v>2.1</v>
      </c>
      <c r="D272">
        <v>700</v>
      </c>
      <c r="E272">
        <v>20</v>
      </c>
      <c r="F272">
        <v>1</v>
      </c>
      <c r="G272">
        <v>37</v>
      </c>
      <c r="H272">
        <v>34</v>
      </c>
      <c r="I272" t="s">
        <v>23</v>
      </c>
      <c r="J272" t="s">
        <v>27</v>
      </c>
      <c r="K272" t="s">
        <v>98</v>
      </c>
      <c r="L272">
        <v>0.59141065049788377</v>
      </c>
      <c r="M272">
        <v>0.3330180953579911</v>
      </c>
      <c r="N272" s="18">
        <v>7.5571254144125133E-2</v>
      </c>
    </row>
    <row r="273" spans="1:14" x14ac:dyDescent="0.25">
      <c r="A273">
        <v>8</v>
      </c>
      <c r="B273" t="s">
        <v>16</v>
      </c>
      <c r="C273">
        <v>2.1</v>
      </c>
      <c r="D273">
        <v>700</v>
      </c>
      <c r="E273">
        <v>20</v>
      </c>
      <c r="F273">
        <v>1</v>
      </c>
      <c r="G273">
        <v>43</v>
      </c>
      <c r="H273">
        <v>34</v>
      </c>
      <c r="I273" t="s">
        <v>25</v>
      </c>
      <c r="J273" t="s">
        <v>27</v>
      </c>
      <c r="K273" t="s">
        <v>98</v>
      </c>
      <c r="L273">
        <v>0.27271324049241696</v>
      </c>
      <c r="M273">
        <v>0.42139572142804227</v>
      </c>
      <c r="N273" s="18">
        <v>0.30589103807954077</v>
      </c>
    </row>
    <row r="274" spans="1:14" x14ac:dyDescent="0.25">
      <c r="A274">
        <v>1</v>
      </c>
      <c r="B274">
        <v>1</v>
      </c>
      <c r="C274">
        <v>2.1</v>
      </c>
      <c r="D274">
        <v>700</v>
      </c>
      <c r="E274">
        <v>20</v>
      </c>
      <c r="F274">
        <v>1</v>
      </c>
      <c r="G274">
        <v>26</v>
      </c>
      <c r="H274">
        <v>35</v>
      </c>
      <c r="I274" t="s">
        <v>19</v>
      </c>
      <c r="J274" t="s">
        <v>28</v>
      </c>
      <c r="K274" t="s">
        <v>98</v>
      </c>
      <c r="L274">
        <v>0.71389969435431333</v>
      </c>
      <c r="M274">
        <v>0.23523646530087539</v>
      </c>
      <c r="N274" s="18">
        <v>5.0863840344811284E-2</v>
      </c>
    </row>
    <row r="275" spans="1:14" x14ac:dyDescent="0.25">
      <c r="A275">
        <v>1</v>
      </c>
      <c r="B275">
        <v>1</v>
      </c>
      <c r="C275">
        <v>2.1</v>
      </c>
      <c r="D275">
        <v>700</v>
      </c>
      <c r="E275">
        <v>20</v>
      </c>
      <c r="F275">
        <v>1</v>
      </c>
      <c r="G275">
        <v>32</v>
      </c>
      <c r="H275">
        <v>35</v>
      </c>
      <c r="I275" t="s">
        <v>21</v>
      </c>
      <c r="J275" t="s">
        <v>28</v>
      </c>
      <c r="K275" t="s">
        <v>98</v>
      </c>
      <c r="L275">
        <v>0.85841652869581886</v>
      </c>
      <c r="M275">
        <v>0.1214019513866661</v>
      </c>
      <c r="N275" s="18">
        <v>2.0181519917515045E-2</v>
      </c>
    </row>
    <row r="276" spans="1:14" x14ac:dyDescent="0.25">
      <c r="A276">
        <v>1</v>
      </c>
      <c r="B276">
        <v>1</v>
      </c>
      <c r="C276">
        <v>2.1</v>
      </c>
      <c r="D276">
        <v>700</v>
      </c>
      <c r="E276">
        <v>20</v>
      </c>
      <c r="F276">
        <v>1</v>
      </c>
      <c r="G276">
        <v>38</v>
      </c>
      <c r="H276">
        <v>35</v>
      </c>
      <c r="I276" t="s">
        <v>23</v>
      </c>
      <c r="J276" t="s">
        <v>28</v>
      </c>
      <c r="K276" t="s">
        <v>98</v>
      </c>
      <c r="L276">
        <v>0.83909367666700585</v>
      </c>
      <c r="M276">
        <v>0.1387190648726162</v>
      </c>
      <c r="N276" s="18">
        <v>2.2187258460377945E-2</v>
      </c>
    </row>
    <row r="277" spans="1:14" x14ac:dyDescent="0.25">
      <c r="A277">
        <v>1</v>
      </c>
      <c r="B277">
        <v>1</v>
      </c>
      <c r="C277">
        <v>2.1</v>
      </c>
      <c r="D277">
        <v>700</v>
      </c>
      <c r="E277">
        <v>20</v>
      </c>
      <c r="F277">
        <v>1</v>
      </c>
      <c r="G277">
        <v>44</v>
      </c>
      <c r="H277">
        <v>35</v>
      </c>
      <c r="I277" t="s">
        <v>25</v>
      </c>
      <c r="J277" t="s">
        <v>28</v>
      </c>
      <c r="K277" t="s">
        <v>98</v>
      </c>
      <c r="L277">
        <v>0.43025765632455171</v>
      </c>
      <c r="M277">
        <v>0.39020718492630457</v>
      </c>
      <c r="N277" s="18">
        <v>0.17953515874914372</v>
      </c>
    </row>
    <row r="278" spans="1:14" x14ac:dyDescent="0.25">
      <c r="A278">
        <v>2</v>
      </c>
      <c r="B278" t="s">
        <v>10</v>
      </c>
      <c r="C278">
        <v>2.1</v>
      </c>
      <c r="D278">
        <v>828</v>
      </c>
      <c r="E278">
        <v>29</v>
      </c>
      <c r="F278">
        <v>0</v>
      </c>
      <c r="G278">
        <v>26</v>
      </c>
      <c r="H278">
        <v>35</v>
      </c>
      <c r="I278" t="s">
        <v>19</v>
      </c>
      <c r="J278" t="s">
        <v>28</v>
      </c>
      <c r="K278" t="s">
        <v>98</v>
      </c>
      <c r="L278">
        <v>0.74590688897046376</v>
      </c>
      <c r="M278">
        <v>0.21052566282237883</v>
      </c>
      <c r="N278" s="18">
        <v>4.3567448207157411E-2</v>
      </c>
    </row>
    <row r="279" spans="1:14" x14ac:dyDescent="0.25">
      <c r="A279">
        <v>2</v>
      </c>
      <c r="B279" t="s">
        <v>10</v>
      </c>
      <c r="C279">
        <v>2.1</v>
      </c>
      <c r="D279">
        <v>828</v>
      </c>
      <c r="E279">
        <v>29</v>
      </c>
      <c r="F279">
        <v>0</v>
      </c>
      <c r="G279">
        <v>32</v>
      </c>
      <c r="H279">
        <v>35</v>
      </c>
      <c r="I279" t="s">
        <v>21</v>
      </c>
      <c r="J279" t="s">
        <v>28</v>
      </c>
      <c r="K279" t="s">
        <v>98</v>
      </c>
      <c r="L279">
        <v>0.8808495647760809</v>
      </c>
      <c r="M279">
        <v>0.10253878764465252</v>
      </c>
      <c r="N279" s="18">
        <v>1.6611647579266586E-2</v>
      </c>
    </row>
    <row r="280" spans="1:14" x14ac:dyDescent="0.25">
      <c r="A280">
        <v>2</v>
      </c>
      <c r="B280" t="s">
        <v>10</v>
      </c>
      <c r="C280">
        <v>2.1</v>
      </c>
      <c r="D280">
        <v>828</v>
      </c>
      <c r="E280">
        <v>29</v>
      </c>
      <c r="F280">
        <v>0</v>
      </c>
      <c r="G280">
        <v>38</v>
      </c>
      <c r="H280">
        <v>35</v>
      </c>
      <c r="I280" t="s">
        <v>23</v>
      </c>
      <c r="J280" t="s">
        <v>28</v>
      </c>
      <c r="K280" t="s">
        <v>98</v>
      </c>
      <c r="L280">
        <v>0.8624013913966333</v>
      </c>
      <c r="M280">
        <v>0.11906896492189412</v>
      </c>
      <c r="N280" s="18">
        <v>1.8529643681472585E-2</v>
      </c>
    </row>
    <row r="281" spans="1:14" x14ac:dyDescent="0.25">
      <c r="A281">
        <v>2</v>
      </c>
      <c r="B281" t="s">
        <v>10</v>
      </c>
      <c r="C281">
        <v>2.1</v>
      </c>
      <c r="D281">
        <v>828</v>
      </c>
      <c r="E281">
        <v>29</v>
      </c>
      <c r="F281">
        <v>0</v>
      </c>
      <c r="G281">
        <v>44</v>
      </c>
      <c r="H281">
        <v>35</v>
      </c>
      <c r="I281" t="s">
        <v>25</v>
      </c>
      <c r="J281" t="s">
        <v>28</v>
      </c>
      <c r="K281" t="s">
        <v>98</v>
      </c>
      <c r="L281">
        <v>0.40504201190106093</v>
      </c>
      <c r="M281">
        <v>0.39963713251586019</v>
      </c>
      <c r="N281" s="18">
        <v>0.19532085558307888</v>
      </c>
    </row>
    <row r="282" spans="1:14" x14ac:dyDescent="0.25">
      <c r="A282">
        <v>3</v>
      </c>
      <c r="B282" t="s">
        <v>11</v>
      </c>
      <c r="C282">
        <v>2.1</v>
      </c>
      <c r="D282">
        <v>700</v>
      </c>
      <c r="E282">
        <v>20</v>
      </c>
      <c r="F282">
        <v>1</v>
      </c>
      <c r="G282">
        <v>26</v>
      </c>
      <c r="H282">
        <v>35</v>
      </c>
      <c r="I282" t="s">
        <v>19</v>
      </c>
      <c r="J282" t="s">
        <v>28</v>
      </c>
      <c r="K282" t="s">
        <v>98</v>
      </c>
      <c r="L282">
        <v>0.60709084148229908</v>
      </c>
      <c r="M282">
        <v>0.31325827912696746</v>
      </c>
      <c r="N282" s="18">
        <v>7.9650879390733453E-2</v>
      </c>
    </row>
    <row r="283" spans="1:14" x14ac:dyDescent="0.25">
      <c r="A283">
        <v>3</v>
      </c>
      <c r="B283" t="s">
        <v>11</v>
      </c>
      <c r="C283">
        <v>2.1</v>
      </c>
      <c r="D283">
        <v>700</v>
      </c>
      <c r="E283">
        <v>20</v>
      </c>
      <c r="F283">
        <v>1</v>
      </c>
      <c r="G283">
        <v>32</v>
      </c>
      <c r="H283">
        <v>35</v>
      </c>
      <c r="I283" t="s">
        <v>21</v>
      </c>
      <c r="J283" t="s">
        <v>28</v>
      </c>
      <c r="K283" t="s">
        <v>98</v>
      </c>
      <c r="L283">
        <v>0.79810622340839044</v>
      </c>
      <c r="M283">
        <v>0.17127071020040563</v>
      </c>
      <c r="N283" s="18">
        <v>3.0623066391203935E-2</v>
      </c>
    </row>
    <row r="284" spans="1:14" x14ac:dyDescent="0.25">
      <c r="A284">
        <v>3</v>
      </c>
      <c r="B284" t="s">
        <v>11</v>
      </c>
      <c r="C284">
        <v>2.1</v>
      </c>
      <c r="D284">
        <v>700</v>
      </c>
      <c r="E284">
        <v>20</v>
      </c>
      <c r="F284">
        <v>1</v>
      </c>
      <c r="G284">
        <v>38</v>
      </c>
      <c r="H284">
        <v>35</v>
      </c>
      <c r="I284" t="s">
        <v>23</v>
      </c>
      <c r="J284" t="s">
        <v>28</v>
      </c>
      <c r="K284" t="s">
        <v>98</v>
      </c>
      <c r="L284">
        <v>0.8300525866173134</v>
      </c>
      <c r="M284">
        <v>0.14629376446353193</v>
      </c>
      <c r="N284" s="18">
        <v>2.3653648919154668E-2</v>
      </c>
    </row>
    <row r="285" spans="1:14" x14ac:dyDescent="0.25">
      <c r="A285">
        <v>3</v>
      </c>
      <c r="B285" t="s">
        <v>11</v>
      </c>
      <c r="C285">
        <v>2.1</v>
      </c>
      <c r="D285">
        <v>700</v>
      </c>
      <c r="E285">
        <v>20</v>
      </c>
      <c r="F285">
        <v>1</v>
      </c>
      <c r="G285">
        <v>44</v>
      </c>
      <c r="H285">
        <v>35</v>
      </c>
      <c r="I285" t="s">
        <v>25</v>
      </c>
      <c r="J285" t="s">
        <v>28</v>
      </c>
      <c r="K285" t="s">
        <v>98</v>
      </c>
      <c r="L285">
        <v>0.38310257238706563</v>
      </c>
      <c r="M285">
        <v>0.40672726071930593</v>
      </c>
      <c r="N285" s="18">
        <v>0.21017016689362844</v>
      </c>
    </row>
    <row r="286" spans="1:14" x14ac:dyDescent="0.25">
      <c r="A286">
        <v>4</v>
      </c>
      <c r="B286" t="s">
        <v>12</v>
      </c>
      <c r="C286">
        <v>2.1</v>
      </c>
      <c r="D286">
        <v>700</v>
      </c>
      <c r="E286">
        <v>20</v>
      </c>
      <c r="F286">
        <v>1</v>
      </c>
      <c r="G286">
        <v>26</v>
      </c>
      <c r="H286">
        <v>35</v>
      </c>
      <c r="I286" t="s">
        <v>19</v>
      </c>
      <c r="J286" t="s">
        <v>28</v>
      </c>
      <c r="K286" t="s">
        <v>98</v>
      </c>
      <c r="L286">
        <v>0.74138891340607038</v>
      </c>
      <c r="M286">
        <v>0.21404532286706068</v>
      </c>
      <c r="N286" s="18">
        <v>4.4565763726868934E-2</v>
      </c>
    </row>
    <row r="287" spans="1:14" x14ac:dyDescent="0.25">
      <c r="A287">
        <v>4</v>
      </c>
      <c r="B287" t="s">
        <v>12</v>
      </c>
      <c r="C287">
        <v>2.1</v>
      </c>
      <c r="D287">
        <v>700</v>
      </c>
      <c r="E287">
        <v>20</v>
      </c>
      <c r="F287">
        <v>1</v>
      </c>
      <c r="G287">
        <v>32</v>
      </c>
      <c r="H287">
        <v>35</v>
      </c>
      <c r="I287" t="s">
        <v>21</v>
      </c>
      <c r="J287" t="s">
        <v>28</v>
      </c>
      <c r="K287" t="s">
        <v>98</v>
      </c>
      <c r="L287">
        <v>0.83894510423772972</v>
      </c>
      <c r="M287">
        <v>0.13764252644846309</v>
      </c>
      <c r="N287" s="18">
        <v>2.3412369313807191E-2</v>
      </c>
    </row>
    <row r="288" spans="1:14" x14ac:dyDescent="0.25">
      <c r="A288">
        <v>4</v>
      </c>
      <c r="B288" t="s">
        <v>12</v>
      </c>
      <c r="C288">
        <v>2.1</v>
      </c>
      <c r="D288">
        <v>700</v>
      </c>
      <c r="E288">
        <v>20</v>
      </c>
      <c r="F288">
        <v>1</v>
      </c>
      <c r="G288">
        <v>38</v>
      </c>
      <c r="H288">
        <v>35</v>
      </c>
      <c r="I288" t="s">
        <v>23</v>
      </c>
      <c r="J288" t="s">
        <v>28</v>
      </c>
      <c r="K288" t="s">
        <v>98</v>
      </c>
      <c r="L288">
        <v>0.81553731732943346</v>
      </c>
      <c r="M288">
        <v>0.15839638421351743</v>
      </c>
      <c r="N288" s="18">
        <v>2.6066298457049109E-2</v>
      </c>
    </row>
    <row r="289" spans="1:14" x14ac:dyDescent="0.25">
      <c r="A289">
        <v>4</v>
      </c>
      <c r="B289" t="s">
        <v>12</v>
      </c>
      <c r="C289">
        <v>2.1</v>
      </c>
      <c r="D289">
        <v>700</v>
      </c>
      <c r="E289">
        <v>20</v>
      </c>
      <c r="F289">
        <v>1</v>
      </c>
      <c r="G289">
        <v>44</v>
      </c>
      <c r="H289">
        <v>35</v>
      </c>
      <c r="I289" t="s">
        <v>25</v>
      </c>
      <c r="J289" t="s">
        <v>28</v>
      </c>
      <c r="K289" t="s">
        <v>98</v>
      </c>
      <c r="L289">
        <v>0.40061578356345728</v>
      </c>
      <c r="M289">
        <v>0.4011552000838885</v>
      </c>
      <c r="N289" s="18">
        <v>0.19822901635265422</v>
      </c>
    </row>
    <row r="290" spans="1:14" x14ac:dyDescent="0.25">
      <c r="A290">
        <v>5</v>
      </c>
      <c r="B290" t="s">
        <v>13</v>
      </c>
      <c r="C290">
        <v>2.1</v>
      </c>
      <c r="D290">
        <v>700</v>
      </c>
      <c r="E290">
        <v>20</v>
      </c>
      <c r="F290">
        <v>1</v>
      </c>
      <c r="G290">
        <v>26</v>
      </c>
      <c r="H290">
        <v>35</v>
      </c>
      <c r="I290" t="s">
        <v>19</v>
      </c>
      <c r="J290" t="s">
        <v>28</v>
      </c>
      <c r="K290" t="s">
        <v>98</v>
      </c>
      <c r="L290">
        <v>0.76580975869224632</v>
      </c>
      <c r="M290">
        <v>0.19490391910896365</v>
      </c>
      <c r="N290" s="18">
        <v>3.9286322198790025E-2</v>
      </c>
    </row>
    <row r="291" spans="1:14" x14ac:dyDescent="0.25">
      <c r="A291">
        <v>5</v>
      </c>
      <c r="B291" t="s">
        <v>13</v>
      </c>
      <c r="C291">
        <v>2.1</v>
      </c>
      <c r="D291">
        <v>700</v>
      </c>
      <c r="E291">
        <v>20</v>
      </c>
      <c r="F291">
        <v>1</v>
      </c>
      <c r="G291">
        <v>32</v>
      </c>
      <c r="H291">
        <v>35</v>
      </c>
      <c r="I291" t="s">
        <v>21</v>
      </c>
      <c r="J291" t="s">
        <v>28</v>
      </c>
      <c r="K291" t="s">
        <v>98</v>
      </c>
      <c r="L291">
        <v>0.83894510423772972</v>
      </c>
      <c r="M291">
        <v>0.13764252644846309</v>
      </c>
      <c r="N291" s="18">
        <v>2.3412369313807191E-2</v>
      </c>
    </row>
    <row r="292" spans="1:14" x14ac:dyDescent="0.25">
      <c r="A292">
        <v>5</v>
      </c>
      <c r="B292" t="s">
        <v>13</v>
      </c>
      <c r="C292">
        <v>2.1</v>
      </c>
      <c r="D292">
        <v>700</v>
      </c>
      <c r="E292">
        <v>20</v>
      </c>
      <c r="F292">
        <v>1</v>
      </c>
      <c r="G292">
        <v>38</v>
      </c>
      <c r="H292">
        <v>35</v>
      </c>
      <c r="I292" t="s">
        <v>23</v>
      </c>
      <c r="J292" t="s">
        <v>28</v>
      </c>
      <c r="K292" t="s">
        <v>98</v>
      </c>
      <c r="L292">
        <v>0.83820057898228317</v>
      </c>
      <c r="M292">
        <v>0.13946852320830783</v>
      </c>
      <c r="N292" s="18">
        <v>2.2330897809409E-2</v>
      </c>
    </row>
    <row r="293" spans="1:14" x14ac:dyDescent="0.25">
      <c r="A293">
        <v>5</v>
      </c>
      <c r="B293" t="s">
        <v>13</v>
      </c>
      <c r="C293">
        <v>2.1</v>
      </c>
      <c r="D293">
        <v>700</v>
      </c>
      <c r="E293">
        <v>20</v>
      </c>
      <c r="F293">
        <v>1</v>
      </c>
      <c r="G293">
        <v>44</v>
      </c>
      <c r="H293">
        <v>35</v>
      </c>
      <c r="I293" t="s">
        <v>25</v>
      </c>
      <c r="J293" t="s">
        <v>28</v>
      </c>
      <c r="K293" t="s">
        <v>98</v>
      </c>
      <c r="L293">
        <v>0.47180494245322135</v>
      </c>
      <c r="M293">
        <v>0.37207698603243844</v>
      </c>
      <c r="N293" s="18">
        <v>0.15611807151434021</v>
      </c>
    </row>
    <row r="294" spans="1:14" x14ac:dyDescent="0.25">
      <c r="A294">
        <v>6</v>
      </c>
      <c r="B294" t="s">
        <v>14</v>
      </c>
      <c r="C294">
        <v>1.2</v>
      </c>
      <c r="D294">
        <v>1022</v>
      </c>
      <c r="E294">
        <v>25</v>
      </c>
      <c r="F294">
        <v>1</v>
      </c>
      <c r="G294">
        <v>26</v>
      </c>
      <c r="H294">
        <v>35</v>
      </c>
      <c r="I294" t="s">
        <v>19</v>
      </c>
      <c r="J294" t="s">
        <v>28</v>
      </c>
      <c r="K294" t="s">
        <v>98</v>
      </c>
      <c r="L294">
        <v>0.70793171218107631</v>
      </c>
      <c r="M294">
        <v>0.23978406571432664</v>
      </c>
      <c r="N294" s="18">
        <v>5.2284222104597045E-2</v>
      </c>
    </row>
    <row r="295" spans="1:14" x14ac:dyDescent="0.25">
      <c r="A295">
        <v>6</v>
      </c>
      <c r="B295" t="s">
        <v>14</v>
      </c>
      <c r="C295">
        <v>1.2</v>
      </c>
      <c r="D295">
        <v>1022</v>
      </c>
      <c r="E295">
        <v>25</v>
      </c>
      <c r="F295">
        <v>1</v>
      </c>
      <c r="G295">
        <v>32</v>
      </c>
      <c r="H295">
        <v>35</v>
      </c>
      <c r="I295" t="s">
        <v>21</v>
      </c>
      <c r="J295" t="s">
        <v>28</v>
      </c>
      <c r="K295" t="s">
        <v>98</v>
      </c>
      <c r="L295">
        <v>0.86352719181760895</v>
      </c>
      <c r="M295">
        <v>0.11711857242403811</v>
      </c>
      <c r="N295" s="18">
        <v>1.9354235758352933E-2</v>
      </c>
    </row>
    <row r="296" spans="1:14" x14ac:dyDescent="0.25">
      <c r="A296">
        <v>6</v>
      </c>
      <c r="B296" t="s">
        <v>14</v>
      </c>
      <c r="C296">
        <v>1.2</v>
      </c>
      <c r="D296">
        <v>1022</v>
      </c>
      <c r="E296">
        <v>25</v>
      </c>
      <c r="F296">
        <v>1</v>
      </c>
      <c r="G296">
        <v>38</v>
      </c>
      <c r="H296">
        <v>35</v>
      </c>
      <c r="I296" t="s">
        <v>23</v>
      </c>
      <c r="J296" t="s">
        <v>28</v>
      </c>
      <c r="K296" t="s">
        <v>98</v>
      </c>
      <c r="L296">
        <v>0.79902311920506186</v>
      </c>
      <c r="M296">
        <v>0.17207441507530219</v>
      </c>
      <c r="N296" s="18">
        <v>2.890246571963595E-2</v>
      </c>
    </row>
    <row r="297" spans="1:14" x14ac:dyDescent="0.25">
      <c r="A297">
        <v>6</v>
      </c>
      <c r="B297" t="s">
        <v>14</v>
      </c>
      <c r="C297">
        <v>1.2</v>
      </c>
      <c r="D297">
        <v>1022</v>
      </c>
      <c r="E297">
        <v>25</v>
      </c>
      <c r="F297">
        <v>1</v>
      </c>
      <c r="G297">
        <v>44</v>
      </c>
      <c r="H297">
        <v>35</v>
      </c>
      <c r="I297" t="s">
        <v>25</v>
      </c>
      <c r="J297" t="s">
        <v>28</v>
      </c>
      <c r="K297" t="s">
        <v>98</v>
      </c>
      <c r="L297">
        <v>0.39666033377626575</v>
      </c>
      <c r="M297">
        <v>0.40247517152190548</v>
      </c>
      <c r="N297" s="18">
        <v>0.20086449470182877</v>
      </c>
    </row>
    <row r="298" spans="1:14" x14ac:dyDescent="0.25">
      <c r="A298">
        <v>7</v>
      </c>
      <c r="B298" t="s">
        <v>15</v>
      </c>
      <c r="C298">
        <v>2.1</v>
      </c>
      <c r="D298">
        <v>700</v>
      </c>
      <c r="E298">
        <v>20</v>
      </c>
      <c r="F298">
        <v>1</v>
      </c>
      <c r="G298">
        <v>26</v>
      </c>
      <c r="H298">
        <v>35</v>
      </c>
      <c r="I298" t="s">
        <v>19</v>
      </c>
      <c r="J298" t="s">
        <v>28</v>
      </c>
      <c r="K298" t="s">
        <v>98</v>
      </c>
      <c r="L298">
        <v>0.75268798103203083</v>
      </c>
      <c r="M298">
        <v>0.20522429105235029</v>
      </c>
      <c r="N298" s="18">
        <v>4.2087727915618878E-2</v>
      </c>
    </row>
    <row r="299" spans="1:14" x14ac:dyDescent="0.25">
      <c r="A299">
        <v>7</v>
      </c>
      <c r="B299" t="s">
        <v>15</v>
      </c>
      <c r="C299">
        <v>2.1</v>
      </c>
      <c r="D299">
        <v>700</v>
      </c>
      <c r="E299">
        <v>20</v>
      </c>
      <c r="F299">
        <v>1</v>
      </c>
      <c r="G299">
        <v>32</v>
      </c>
      <c r="H299">
        <v>35</v>
      </c>
      <c r="I299" t="s">
        <v>21</v>
      </c>
      <c r="J299" t="s">
        <v>28</v>
      </c>
      <c r="K299" t="s">
        <v>98</v>
      </c>
      <c r="L299">
        <v>0.83894510423772972</v>
      </c>
      <c r="M299">
        <v>0.13764252644846309</v>
      </c>
      <c r="N299" s="18">
        <v>2.3412369313807191E-2</v>
      </c>
    </row>
    <row r="300" spans="1:14" x14ac:dyDescent="0.25">
      <c r="A300">
        <v>7</v>
      </c>
      <c r="B300" t="s">
        <v>15</v>
      </c>
      <c r="C300">
        <v>2.1</v>
      </c>
      <c r="D300">
        <v>700</v>
      </c>
      <c r="E300">
        <v>20</v>
      </c>
      <c r="F300">
        <v>1</v>
      </c>
      <c r="G300">
        <v>38</v>
      </c>
      <c r="H300">
        <v>35</v>
      </c>
      <c r="I300" t="s">
        <v>23</v>
      </c>
      <c r="J300" t="s">
        <v>28</v>
      </c>
      <c r="K300" t="s">
        <v>98</v>
      </c>
      <c r="L300">
        <v>0.76631155137862361</v>
      </c>
      <c r="M300">
        <v>0.19886096417675947</v>
      </c>
      <c r="N300" s="18">
        <v>3.4827484444616919E-2</v>
      </c>
    </row>
    <row r="301" spans="1:14" x14ac:dyDescent="0.25">
      <c r="A301">
        <v>7</v>
      </c>
      <c r="B301" t="s">
        <v>15</v>
      </c>
      <c r="C301">
        <v>2.1</v>
      </c>
      <c r="D301">
        <v>700</v>
      </c>
      <c r="E301">
        <v>20</v>
      </c>
      <c r="F301">
        <v>1</v>
      </c>
      <c r="G301">
        <v>44</v>
      </c>
      <c r="H301">
        <v>35</v>
      </c>
      <c r="I301" t="s">
        <v>25</v>
      </c>
      <c r="J301" t="s">
        <v>28</v>
      </c>
      <c r="K301" t="s">
        <v>98</v>
      </c>
      <c r="L301">
        <v>0.43025765632455171</v>
      </c>
      <c r="M301">
        <v>0.39020718492630457</v>
      </c>
      <c r="N301" s="18">
        <v>0.17953515874914372</v>
      </c>
    </row>
    <row r="302" spans="1:14" x14ac:dyDescent="0.25">
      <c r="A302">
        <v>8</v>
      </c>
      <c r="B302" t="s">
        <v>16</v>
      </c>
      <c r="C302">
        <v>2.1</v>
      </c>
      <c r="D302">
        <v>700</v>
      </c>
      <c r="E302">
        <v>20</v>
      </c>
      <c r="F302">
        <v>1</v>
      </c>
      <c r="G302">
        <v>26</v>
      </c>
      <c r="H302">
        <v>35</v>
      </c>
      <c r="I302" t="s">
        <v>19</v>
      </c>
      <c r="J302" t="s">
        <v>28</v>
      </c>
      <c r="K302" t="s">
        <v>98</v>
      </c>
      <c r="L302">
        <v>0.65946253197943305</v>
      </c>
      <c r="M302">
        <v>0.27594593726173855</v>
      </c>
      <c r="N302" s="18">
        <v>6.4591530758828397E-2</v>
      </c>
    </row>
    <row r="303" spans="1:14" x14ac:dyDescent="0.25">
      <c r="A303">
        <v>8</v>
      </c>
      <c r="B303" t="s">
        <v>16</v>
      </c>
      <c r="C303">
        <v>2.1</v>
      </c>
      <c r="D303">
        <v>700</v>
      </c>
      <c r="E303">
        <v>20</v>
      </c>
      <c r="F303">
        <v>1</v>
      </c>
      <c r="G303">
        <v>32</v>
      </c>
      <c r="H303">
        <v>35</v>
      </c>
      <c r="I303" t="s">
        <v>21</v>
      </c>
      <c r="J303" t="s">
        <v>28</v>
      </c>
      <c r="K303" t="s">
        <v>98</v>
      </c>
      <c r="L303">
        <v>0.83894510423772972</v>
      </c>
      <c r="M303">
        <v>0.13764252644846309</v>
      </c>
      <c r="N303" s="18">
        <v>2.3412369313807191E-2</v>
      </c>
    </row>
    <row r="304" spans="1:14" x14ac:dyDescent="0.25">
      <c r="A304">
        <v>8</v>
      </c>
      <c r="B304" t="s">
        <v>16</v>
      </c>
      <c r="C304">
        <v>2.1</v>
      </c>
      <c r="D304">
        <v>700</v>
      </c>
      <c r="E304">
        <v>20</v>
      </c>
      <c r="F304">
        <v>1</v>
      </c>
      <c r="G304">
        <v>38</v>
      </c>
      <c r="H304">
        <v>35</v>
      </c>
      <c r="I304" t="s">
        <v>23</v>
      </c>
      <c r="J304" t="s">
        <v>28</v>
      </c>
      <c r="K304" t="s">
        <v>98</v>
      </c>
      <c r="L304">
        <v>0.81357361930684713</v>
      </c>
      <c r="M304">
        <v>0.16002801197697147</v>
      </c>
      <c r="N304" s="18">
        <v>2.6398368716181397E-2</v>
      </c>
    </row>
    <row r="305" spans="1:14" x14ac:dyDescent="0.25">
      <c r="A305">
        <v>8</v>
      </c>
      <c r="B305" t="s">
        <v>16</v>
      </c>
      <c r="C305">
        <v>2.1</v>
      </c>
      <c r="D305">
        <v>700</v>
      </c>
      <c r="E305">
        <v>20</v>
      </c>
      <c r="F305">
        <v>1</v>
      </c>
      <c r="G305">
        <v>44</v>
      </c>
      <c r="H305">
        <v>35</v>
      </c>
      <c r="I305" t="s">
        <v>25</v>
      </c>
      <c r="J305" t="s">
        <v>28</v>
      </c>
      <c r="K305" t="s">
        <v>98</v>
      </c>
      <c r="L305">
        <v>0.43025765632455171</v>
      </c>
      <c r="M305">
        <v>0.39020718492630457</v>
      </c>
      <c r="N305" s="18">
        <v>0.17953515874914372</v>
      </c>
    </row>
    <row r="306" spans="1:14" x14ac:dyDescent="0.25">
      <c r="A306">
        <v>1</v>
      </c>
      <c r="B306">
        <v>1</v>
      </c>
      <c r="C306">
        <v>2.1</v>
      </c>
      <c r="D306">
        <v>700</v>
      </c>
      <c r="E306">
        <v>20</v>
      </c>
      <c r="F306">
        <v>1</v>
      </c>
      <c r="G306">
        <v>27</v>
      </c>
      <c r="H306">
        <v>36</v>
      </c>
      <c r="I306" t="s">
        <v>19</v>
      </c>
      <c r="J306" t="s">
        <v>29</v>
      </c>
      <c r="K306" t="s">
        <v>98</v>
      </c>
      <c r="L306">
        <v>0.33995382390738399</v>
      </c>
      <c r="M306">
        <v>0.45393046445237301</v>
      </c>
      <c r="N306" s="18">
        <v>0.206115711640243</v>
      </c>
    </row>
    <row r="307" spans="1:14" x14ac:dyDescent="0.25">
      <c r="A307">
        <v>1</v>
      </c>
      <c r="B307">
        <v>1</v>
      </c>
      <c r="C307">
        <v>2.1</v>
      </c>
      <c r="D307">
        <v>700</v>
      </c>
      <c r="E307">
        <v>20</v>
      </c>
      <c r="F307">
        <v>1</v>
      </c>
      <c r="G307">
        <v>33</v>
      </c>
      <c r="H307">
        <v>36</v>
      </c>
      <c r="I307" t="s">
        <v>21</v>
      </c>
      <c r="J307" t="s">
        <v>29</v>
      </c>
      <c r="K307" t="s">
        <v>98</v>
      </c>
      <c r="L307">
        <v>0.4935253619336169</v>
      </c>
      <c r="M307">
        <v>0.39287616764467032</v>
      </c>
      <c r="N307" s="18">
        <v>0.11359847042171278</v>
      </c>
    </row>
    <row r="308" spans="1:14" x14ac:dyDescent="0.25">
      <c r="A308">
        <v>1</v>
      </c>
      <c r="B308">
        <v>1</v>
      </c>
      <c r="C308">
        <v>2.1</v>
      </c>
      <c r="D308">
        <v>700</v>
      </c>
      <c r="E308">
        <v>20</v>
      </c>
      <c r="F308">
        <v>1</v>
      </c>
      <c r="G308">
        <v>39</v>
      </c>
      <c r="H308">
        <v>36</v>
      </c>
      <c r="I308" t="s">
        <v>23</v>
      </c>
      <c r="J308" t="s">
        <v>29</v>
      </c>
      <c r="K308" t="s">
        <v>98</v>
      </c>
      <c r="L308">
        <v>0.45499711746876392</v>
      </c>
      <c r="M308">
        <v>0.42086328484773572</v>
      </c>
      <c r="N308" s="18">
        <v>0.12413959768350036</v>
      </c>
    </row>
    <row r="309" spans="1:14" x14ac:dyDescent="0.25">
      <c r="A309">
        <v>1</v>
      </c>
      <c r="B309">
        <v>1</v>
      </c>
      <c r="C309">
        <v>2.1</v>
      </c>
      <c r="D309">
        <v>700</v>
      </c>
      <c r="E309">
        <v>20</v>
      </c>
      <c r="F309">
        <v>1</v>
      </c>
      <c r="G309">
        <v>45</v>
      </c>
      <c r="H309">
        <v>36</v>
      </c>
      <c r="I309" t="s">
        <v>25</v>
      </c>
      <c r="J309" t="s">
        <v>29</v>
      </c>
      <c r="K309" t="s">
        <v>98</v>
      </c>
      <c r="L309">
        <v>0.27966981942845942</v>
      </c>
      <c r="M309">
        <v>0.42177762604977581</v>
      </c>
      <c r="N309" s="18">
        <v>0.29855255452176477</v>
      </c>
    </row>
    <row r="310" spans="1:14" x14ac:dyDescent="0.25">
      <c r="A310">
        <v>2</v>
      </c>
      <c r="B310" t="s">
        <v>10</v>
      </c>
      <c r="C310">
        <v>2.1</v>
      </c>
      <c r="D310">
        <v>828</v>
      </c>
      <c r="E310">
        <v>29</v>
      </c>
      <c r="F310">
        <v>0</v>
      </c>
      <c r="G310">
        <v>27</v>
      </c>
      <c r="H310">
        <v>36</v>
      </c>
      <c r="I310" t="s">
        <v>19</v>
      </c>
      <c r="J310" t="s">
        <v>29</v>
      </c>
      <c r="K310" t="s">
        <v>98</v>
      </c>
      <c r="L310">
        <v>0.37730569388039636</v>
      </c>
      <c r="M310">
        <v>0.44190366563163241</v>
      </c>
      <c r="N310" s="18">
        <v>0.18079064048797122</v>
      </c>
    </row>
    <row r="311" spans="1:14" x14ac:dyDescent="0.25">
      <c r="A311">
        <v>2</v>
      </c>
      <c r="B311" t="s">
        <v>10</v>
      </c>
      <c r="C311">
        <v>2.1</v>
      </c>
      <c r="D311">
        <v>828</v>
      </c>
      <c r="E311">
        <v>29</v>
      </c>
      <c r="F311">
        <v>0</v>
      </c>
      <c r="G311">
        <v>33</v>
      </c>
      <c r="H311">
        <v>36</v>
      </c>
      <c r="I311" t="s">
        <v>21</v>
      </c>
      <c r="J311" t="s">
        <v>29</v>
      </c>
      <c r="K311" t="s">
        <v>98</v>
      </c>
      <c r="L311">
        <v>0.58501618644555597</v>
      </c>
      <c r="M311">
        <v>0.33360807451820251</v>
      </c>
      <c r="N311" s="18">
        <v>8.1375739036241512E-2</v>
      </c>
    </row>
    <row r="312" spans="1:14" x14ac:dyDescent="0.25">
      <c r="A312">
        <v>2</v>
      </c>
      <c r="B312" t="s">
        <v>10</v>
      </c>
      <c r="C312">
        <v>2.1</v>
      </c>
      <c r="D312">
        <v>828</v>
      </c>
      <c r="E312">
        <v>29</v>
      </c>
      <c r="F312">
        <v>0</v>
      </c>
      <c r="G312">
        <v>39</v>
      </c>
      <c r="H312">
        <v>36</v>
      </c>
      <c r="I312" t="s">
        <v>23</v>
      </c>
      <c r="J312" t="s">
        <v>29</v>
      </c>
      <c r="K312" t="s">
        <v>98</v>
      </c>
      <c r="L312">
        <v>0.50084499919553283</v>
      </c>
      <c r="M312">
        <v>0.39366689551687262</v>
      </c>
      <c r="N312" s="18">
        <v>0.10548810528759456</v>
      </c>
    </row>
    <row r="313" spans="1:14" x14ac:dyDescent="0.25">
      <c r="A313">
        <v>2</v>
      </c>
      <c r="B313" t="s">
        <v>10</v>
      </c>
      <c r="C313">
        <v>2.1</v>
      </c>
      <c r="D313">
        <v>828</v>
      </c>
      <c r="E313">
        <v>29</v>
      </c>
      <c r="F313">
        <v>0</v>
      </c>
      <c r="G313">
        <v>45</v>
      </c>
      <c r="H313">
        <v>36</v>
      </c>
      <c r="I313" t="s">
        <v>25</v>
      </c>
      <c r="J313" t="s">
        <v>29</v>
      </c>
      <c r="K313" t="s">
        <v>98</v>
      </c>
      <c r="L313">
        <v>0.25926350815680743</v>
      </c>
      <c r="M313">
        <v>0.42002412875353623</v>
      </c>
      <c r="N313" s="18">
        <v>0.32071236308965634</v>
      </c>
    </row>
    <row r="314" spans="1:14" x14ac:dyDescent="0.25">
      <c r="A314">
        <v>3</v>
      </c>
      <c r="B314" t="s">
        <v>11</v>
      </c>
      <c r="C314">
        <v>2.1</v>
      </c>
      <c r="D314">
        <v>700</v>
      </c>
      <c r="E314">
        <v>20</v>
      </c>
      <c r="F314">
        <v>1</v>
      </c>
      <c r="G314">
        <v>27</v>
      </c>
      <c r="H314">
        <v>36</v>
      </c>
      <c r="I314" t="s">
        <v>19</v>
      </c>
      <c r="J314" t="s">
        <v>29</v>
      </c>
      <c r="K314" t="s">
        <v>98</v>
      </c>
      <c r="L314">
        <v>0.24180664860674503</v>
      </c>
      <c r="M314">
        <v>0.46277255877031376</v>
      </c>
      <c r="N314" s="18">
        <v>0.29542079262294119</v>
      </c>
    </row>
    <row r="315" spans="1:14" x14ac:dyDescent="0.25">
      <c r="A315">
        <v>3</v>
      </c>
      <c r="B315" t="s">
        <v>11</v>
      </c>
      <c r="C315">
        <v>2.1</v>
      </c>
      <c r="D315">
        <v>700</v>
      </c>
      <c r="E315">
        <v>20</v>
      </c>
      <c r="F315">
        <v>1</v>
      </c>
      <c r="G315">
        <v>33</v>
      </c>
      <c r="H315">
        <v>36</v>
      </c>
      <c r="I315" t="s">
        <v>21</v>
      </c>
      <c r="J315" t="s">
        <v>29</v>
      </c>
      <c r="K315" t="s">
        <v>98</v>
      </c>
      <c r="L315">
        <v>0.38850517550191399</v>
      </c>
      <c r="M315">
        <v>0.44722562365393437</v>
      </c>
      <c r="N315" s="18">
        <v>0.16426920084415164</v>
      </c>
    </row>
    <row r="316" spans="1:14" x14ac:dyDescent="0.25">
      <c r="A316">
        <v>3</v>
      </c>
      <c r="B316" t="s">
        <v>11</v>
      </c>
      <c r="C316">
        <v>2.1</v>
      </c>
      <c r="D316">
        <v>700</v>
      </c>
      <c r="E316">
        <v>20</v>
      </c>
      <c r="F316">
        <v>1</v>
      </c>
      <c r="G316">
        <v>39</v>
      </c>
      <c r="H316">
        <v>36</v>
      </c>
      <c r="I316" t="s">
        <v>23</v>
      </c>
      <c r="J316" t="s">
        <v>29</v>
      </c>
      <c r="K316" t="s">
        <v>98</v>
      </c>
      <c r="L316">
        <v>0.43880827905279557</v>
      </c>
      <c r="M316">
        <v>0.4297532970586157</v>
      </c>
      <c r="N316" s="18">
        <v>0.13143842388858873</v>
      </c>
    </row>
    <row r="317" spans="1:14" x14ac:dyDescent="0.25">
      <c r="A317">
        <v>3</v>
      </c>
      <c r="B317" t="s">
        <v>11</v>
      </c>
      <c r="C317">
        <v>2.1</v>
      </c>
      <c r="D317">
        <v>700</v>
      </c>
      <c r="E317">
        <v>20</v>
      </c>
      <c r="F317">
        <v>1</v>
      </c>
      <c r="G317">
        <v>45</v>
      </c>
      <c r="H317">
        <v>36</v>
      </c>
      <c r="I317" t="s">
        <v>25</v>
      </c>
      <c r="J317" t="s">
        <v>29</v>
      </c>
      <c r="K317" t="s">
        <v>98</v>
      </c>
      <c r="L317">
        <v>0.24200837569208167</v>
      </c>
      <c r="M317">
        <v>0.41693745209466848</v>
      </c>
      <c r="N317" s="18">
        <v>0.34105417221324985</v>
      </c>
    </row>
    <row r="318" spans="1:14" x14ac:dyDescent="0.25">
      <c r="A318">
        <v>4</v>
      </c>
      <c r="B318" t="s">
        <v>12</v>
      </c>
      <c r="C318">
        <v>2.1</v>
      </c>
      <c r="D318">
        <v>700</v>
      </c>
      <c r="E318">
        <v>20</v>
      </c>
      <c r="F318">
        <v>1</v>
      </c>
      <c r="G318">
        <v>27</v>
      </c>
      <c r="H318">
        <v>36</v>
      </c>
      <c r="I318" t="s">
        <v>19</v>
      </c>
      <c r="J318" t="s">
        <v>29</v>
      </c>
      <c r="K318" t="s">
        <v>98</v>
      </c>
      <c r="L318">
        <v>0.37175387488792683</v>
      </c>
      <c r="M318">
        <v>0.44391879657525329</v>
      </c>
      <c r="N318" s="18">
        <v>0.18432732853681988</v>
      </c>
    </row>
    <row r="319" spans="1:14" x14ac:dyDescent="0.25">
      <c r="A319">
        <v>4</v>
      </c>
      <c r="B319" t="s">
        <v>12</v>
      </c>
      <c r="C319">
        <v>2.1</v>
      </c>
      <c r="D319">
        <v>700</v>
      </c>
      <c r="E319">
        <v>20</v>
      </c>
      <c r="F319">
        <v>1</v>
      </c>
      <c r="G319">
        <v>33</v>
      </c>
      <c r="H319">
        <v>36</v>
      </c>
      <c r="I319" t="s">
        <v>21</v>
      </c>
      <c r="J319" t="s">
        <v>29</v>
      </c>
      <c r="K319" t="s">
        <v>98</v>
      </c>
      <c r="L319">
        <v>0.45569153379071875</v>
      </c>
      <c r="M319">
        <v>0.41450527347389726</v>
      </c>
      <c r="N319" s="18">
        <v>0.12980319273538399</v>
      </c>
    </row>
    <row r="320" spans="1:14" x14ac:dyDescent="0.25">
      <c r="A320">
        <v>4</v>
      </c>
      <c r="B320" t="s">
        <v>12</v>
      </c>
      <c r="C320">
        <v>2.1</v>
      </c>
      <c r="D320">
        <v>700</v>
      </c>
      <c r="E320">
        <v>20</v>
      </c>
      <c r="F320">
        <v>1</v>
      </c>
      <c r="G320">
        <v>39</v>
      </c>
      <c r="H320">
        <v>36</v>
      </c>
      <c r="I320" t="s">
        <v>23</v>
      </c>
      <c r="J320" t="s">
        <v>29</v>
      </c>
      <c r="K320" t="s">
        <v>98</v>
      </c>
      <c r="L320">
        <v>0.41444981470093201</v>
      </c>
      <c r="M320">
        <v>0.44231800405711308</v>
      </c>
      <c r="N320" s="18">
        <v>0.14323218124195491</v>
      </c>
    </row>
    <row r="321" spans="1:14" x14ac:dyDescent="0.25">
      <c r="A321">
        <v>4</v>
      </c>
      <c r="B321" t="s">
        <v>12</v>
      </c>
      <c r="C321">
        <v>2.1</v>
      </c>
      <c r="D321">
        <v>700</v>
      </c>
      <c r="E321">
        <v>20</v>
      </c>
      <c r="F321">
        <v>1</v>
      </c>
      <c r="G321">
        <v>45</v>
      </c>
      <c r="H321">
        <v>36</v>
      </c>
      <c r="I321" t="s">
        <v>25</v>
      </c>
      <c r="J321" t="s">
        <v>29</v>
      </c>
      <c r="K321" t="s">
        <v>98</v>
      </c>
      <c r="L321">
        <v>0.25574554508463065</v>
      </c>
      <c r="M321">
        <v>0.4195203887687724</v>
      </c>
      <c r="N321" s="18">
        <v>0.32473406614659694</v>
      </c>
    </row>
    <row r="322" spans="1:14" x14ac:dyDescent="0.25">
      <c r="A322">
        <v>5</v>
      </c>
      <c r="B322" t="s">
        <v>13</v>
      </c>
      <c r="C322">
        <v>2.1</v>
      </c>
      <c r="D322">
        <v>700</v>
      </c>
      <c r="E322">
        <v>20</v>
      </c>
      <c r="F322">
        <v>1</v>
      </c>
      <c r="G322">
        <v>27</v>
      </c>
      <c r="H322">
        <v>36</v>
      </c>
      <c r="I322" t="s">
        <v>19</v>
      </c>
      <c r="J322" t="s">
        <v>29</v>
      </c>
      <c r="K322" t="s">
        <v>98</v>
      </c>
      <c r="L322">
        <v>0.40297126208593143</v>
      </c>
      <c r="M322">
        <v>0.43167210840648657</v>
      </c>
      <c r="N322" s="18">
        <v>0.16535662950758201</v>
      </c>
    </row>
    <row r="323" spans="1:14" x14ac:dyDescent="0.25">
      <c r="A323">
        <v>5</v>
      </c>
      <c r="B323" t="s">
        <v>13</v>
      </c>
      <c r="C323">
        <v>2.1</v>
      </c>
      <c r="D323">
        <v>700</v>
      </c>
      <c r="E323">
        <v>20</v>
      </c>
      <c r="F323">
        <v>1</v>
      </c>
      <c r="G323">
        <v>33</v>
      </c>
      <c r="H323">
        <v>36</v>
      </c>
      <c r="I323" t="s">
        <v>21</v>
      </c>
      <c r="J323" t="s">
        <v>29</v>
      </c>
      <c r="K323" t="s">
        <v>98</v>
      </c>
      <c r="L323">
        <v>0.45569153379071875</v>
      </c>
      <c r="M323">
        <v>0.41450527347389726</v>
      </c>
      <c r="N323" s="18">
        <v>0.12980319273538399</v>
      </c>
    </row>
    <row r="324" spans="1:14" x14ac:dyDescent="0.25">
      <c r="A324">
        <v>5</v>
      </c>
      <c r="B324" t="s">
        <v>13</v>
      </c>
      <c r="C324">
        <v>2.1</v>
      </c>
      <c r="D324">
        <v>700</v>
      </c>
      <c r="E324">
        <v>20</v>
      </c>
      <c r="F324">
        <v>1</v>
      </c>
      <c r="G324">
        <v>39</v>
      </c>
      <c r="H324">
        <v>36</v>
      </c>
      <c r="I324" t="s">
        <v>23</v>
      </c>
      <c r="J324" t="s">
        <v>29</v>
      </c>
      <c r="K324" t="s">
        <v>98</v>
      </c>
      <c r="L324">
        <v>0.45336097608534914</v>
      </c>
      <c r="M324">
        <v>0.42178003313684659</v>
      </c>
      <c r="N324" s="18">
        <v>0.12485899077780427</v>
      </c>
    </row>
    <row r="325" spans="1:14" x14ac:dyDescent="0.25">
      <c r="A325">
        <v>5</v>
      </c>
      <c r="B325" t="s">
        <v>13</v>
      </c>
      <c r="C325">
        <v>2.1</v>
      </c>
      <c r="D325">
        <v>700</v>
      </c>
      <c r="E325">
        <v>20</v>
      </c>
      <c r="F325">
        <v>1</v>
      </c>
      <c r="G325">
        <v>45</v>
      </c>
      <c r="H325">
        <v>36</v>
      </c>
      <c r="I325" t="s">
        <v>25</v>
      </c>
      <c r="J325" t="s">
        <v>29</v>
      </c>
      <c r="K325" t="s">
        <v>98</v>
      </c>
      <c r="L325">
        <v>0.314707956871143</v>
      </c>
      <c r="M325">
        <v>0.42067349524261671</v>
      </c>
      <c r="N325" s="18">
        <v>0.26461854788624029</v>
      </c>
    </row>
    <row r="326" spans="1:14" x14ac:dyDescent="0.25">
      <c r="A326">
        <v>6</v>
      </c>
      <c r="B326" t="s">
        <v>14</v>
      </c>
      <c r="C326">
        <v>1.2</v>
      </c>
      <c r="D326">
        <v>1022</v>
      </c>
      <c r="E326">
        <v>25</v>
      </c>
      <c r="F326">
        <v>1</v>
      </c>
      <c r="G326">
        <v>27</v>
      </c>
      <c r="H326">
        <v>36</v>
      </c>
      <c r="I326" t="s">
        <v>19</v>
      </c>
      <c r="J326" t="s">
        <v>29</v>
      </c>
      <c r="K326" t="s">
        <v>98</v>
      </c>
      <c r="L326">
        <v>0.33346827599826923</v>
      </c>
      <c r="M326">
        <v>0.4556235745664986</v>
      </c>
      <c r="N326" s="18">
        <v>0.21090814943523217</v>
      </c>
    </row>
    <row r="327" spans="1:14" x14ac:dyDescent="0.25">
      <c r="A327">
        <v>6</v>
      </c>
      <c r="B327" t="s">
        <v>14</v>
      </c>
      <c r="C327">
        <v>1.2</v>
      </c>
      <c r="D327">
        <v>1022</v>
      </c>
      <c r="E327">
        <v>25</v>
      </c>
      <c r="F327">
        <v>1</v>
      </c>
      <c r="G327">
        <v>33</v>
      </c>
      <c r="H327">
        <v>36</v>
      </c>
      <c r="I327" t="s">
        <v>21</v>
      </c>
      <c r="J327" t="s">
        <v>29</v>
      </c>
      <c r="K327" t="s">
        <v>98</v>
      </c>
      <c r="L327">
        <v>0.52792092352967068</v>
      </c>
      <c r="M327">
        <v>0.3716259547653562</v>
      </c>
      <c r="N327" s="18">
        <v>0.10045312170497311</v>
      </c>
    </row>
    <row r="328" spans="1:14" x14ac:dyDescent="0.25">
      <c r="A328">
        <v>6</v>
      </c>
      <c r="B328" t="s">
        <v>14</v>
      </c>
      <c r="C328">
        <v>1.2</v>
      </c>
      <c r="D328">
        <v>1022</v>
      </c>
      <c r="E328">
        <v>25</v>
      </c>
      <c r="F328">
        <v>1</v>
      </c>
      <c r="G328">
        <v>39</v>
      </c>
      <c r="H328">
        <v>36</v>
      </c>
      <c r="I328" t="s">
        <v>23</v>
      </c>
      <c r="J328" t="s">
        <v>29</v>
      </c>
      <c r="K328" t="s">
        <v>98</v>
      </c>
      <c r="L328">
        <v>0.38893288525119291</v>
      </c>
      <c r="M328">
        <v>0.45430240335183397</v>
      </c>
      <c r="N328" s="18">
        <v>0.15676471139697312</v>
      </c>
    </row>
    <row r="329" spans="1:14" x14ac:dyDescent="0.25">
      <c r="A329">
        <v>6</v>
      </c>
      <c r="B329" t="s">
        <v>14</v>
      </c>
      <c r="C329">
        <v>1.2</v>
      </c>
      <c r="D329">
        <v>1022</v>
      </c>
      <c r="E329">
        <v>25</v>
      </c>
      <c r="F329">
        <v>1</v>
      </c>
      <c r="G329">
        <v>45</v>
      </c>
      <c r="H329">
        <v>36</v>
      </c>
      <c r="I329" t="s">
        <v>25</v>
      </c>
      <c r="J329" t="s">
        <v>29</v>
      </c>
      <c r="K329" t="s">
        <v>98</v>
      </c>
      <c r="L329">
        <v>0.25261761616297246</v>
      </c>
      <c r="M329">
        <v>0.41901975605442537</v>
      </c>
      <c r="N329" s="18">
        <v>0.32836262778260217</v>
      </c>
    </row>
    <row r="330" spans="1:14" x14ac:dyDescent="0.25">
      <c r="A330">
        <v>7</v>
      </c>
      <c r="B330" t="s">
        <v>15</v>
      </c>
      <c r="C330">
        <v>2.1</v>
      </c>
      <c r="D330">
        <v>700</v>
      </c>
      <c r="E330">
        <v>20</v>
      </c>
      <c r="F330">
        <v>1</v>
      </c>
      <c r="G330">
        <v>27</v>
      </c>
      <c r="H330">
        <v>36</v>
      </c>
      <c r="I330" t="s">
        <v>19</v>
      </c>
      <c r="J330" t="s">
        <v>29</v>
      </c>
      <c r="K330" t="s">
        <v>98</v>
      </c>
      <c r="L330">
        <v>0.3858240533378528</v>
      </c>
      <c r="M330">
        <v>0.43867043366465147</v>
      </c>
      <c r="N330" s="18">
        <v>0.17550551299749573</v>
      </c>
    </row>
    <row r="331" spans="1:14" x14ac:dyDescent="0.25">
      <c r="A331">
        <v>7</v>
      </c>
      <c r="B331" t="s">
        <v>15</v>
      </c>
      <c r="C331">
        <v>2.1</v>
      </c>
      <c r="D331">
        <v>700</v>
      </c>
      <c r="E331">
        <v>20</v>
      </c>
      <c r="F331">
        <v>1</v>
      </c>
      <c r="G331">
        <v>33</v>
      </c>
      <c r="H331">
        <v>36</v>
      </c>
      <c r="I331" t="s">
        <v>21</v>
      </c>
      <c r="J331" t="s">
        <v>29</v>
      </c>
      <c r="K331" t="s">
        <v>98</v>
      </c>
      <c r="L331">
        <v>0.45569153379071875</v>
      </c>
      <c r="M331">
        <v>0.41450527347389726</v>
      </c>
      <c r="N331" s="18">
        <v>0.12980319273538399</v>
      </c>
    </row>
    <row r="332" spans="1:14" x14ac:dyDescent="0.25">
      <c r="A332">
        <v>7</v>
      </c>
      <c r="B332" t="s">
        <v>15</v>
      </c>
      <c r="C332">
        <v>2.1</v>
      </c>
      <c r="D332">
        <v>700</v>
      </c>
      <c r="E332">
        <v>20</v>
      </c>
      <c r="F332">
        <v>1</v>
      </c>
      <c r="G332">
        <v>39</v>
      </c>
      <c r="H332">
        <v>36</v>
      </c>
      <c r="I332" t="s">
        <v>23</v>
      </c>
      <c r="J332" t="s">
        <v>29</v>
      </c>
      <c r="K332" t="s">
        <v>98</v>
      </c>
      <c r="L332">
        <v>0.34425259177902079</v>
      </c>
      <c r="M332">
        <v>0.47181067087449613</v>
      </c>
      <c r="N332" s="18">
        <v>0.18393673734648308</v>
      </c>
    </row>
    <row r="333" spans="1:14" x14ac:dyDescent="0.25">
      <c r="A333">
        <v>7</v>
      </c>
      <c r="B333" t="s">
        <v>15</v>
      </c>
      <c r="C333">
        <v>2.1</v>
      </c>
      <c r="D333">
        <v>700</v>
      </c>
      <c r="E333">
        <v>20</v>
      </c>
      <c r="F333">
        <v>1</v>
      </c>
      <c r="G333">
        <v>45</v>
      </c>
      <c r="H333">
        <v>36</v>
      </c>
      <c r="I333" t="s">
        <v>25</v>
      </c>
      <c r="J333" t="s">
        <v>29</v>
      </c>
      <c r="K333" t="s">
        <v>98</v>
      </c>
      <c r="L333">
        <v>0.27966981942845942</v>
      </c>
      <c r="M333">
        <v>0.42177762604977581</v>
      </c>
      <c r="N333" s="18">
        <v>0.29855255452176477</v>
      </c>
    </row>
    <row r="334" spans="1:14" x14ac:dyDescent="0.25">
      <c r="A334">
        <v>8</v>
      </c>
      <c r="B334" t="s">
        <v>16</v>
      </c>
      <c r="C334">
        <v>2.1</v>
      </c>
      <c r="D334">
        <v>700</v>
      </c>
      <c r="E334">
        <v>20</v>
      </c>
      <c r="F334">
        <v>1</v>
      </c>
      <c r="G334">
        <v>27</v>
      </c>
      <c r="H334">
        <v>36</v>
      </c>
      <c r="I334" t="s">
        <v>19</v>
      </c>
      <c r="J334" t="s">
        <v>29</v>
      </c>
      <c r="K334" t="s">
        <v>98</v>
      </c>
      <c r="L334">
        <v>0.28556955911966186</v>
      </c>
      <c r="M334">
        <v>0.4637525252855178</v>
      </c>
      <c r="N334" s="18">
        <v>0.25067791559482033</v>
      </c>
    </row>
    <row r="335" spans="1:14" x14ac:dyDescent="0.25">
      <c r="A335">
        <v>8</v>
      </c>
      <c r="B335" t="s">
        <v>16</v>
      </c>
      <c r="C335">
        <v>2.1</v>
      </c>
      <c r="D335">
        <v>700</v>
      </c>
      <c r="E335">
        <v>20</v>
      </c>
      <c r="F335">
        <v>1</v>
      </c>
      <c r="G335">
        <v>33</v>
      </c>
      <c r="H335">
        <v>36</v>
      </c>
      <c r="I335" t="s">
        <v>21</v>
      </c>
      <c r="J335" t="s">
        <v>29</v>
      </c>
      <c r="K335" t="s">
        <v>98</v>
      </c>
      <c r="L335">
        <v>0.45569153379071875</v>
      </c>
      <c r="M335">
        <v>0.41450527347389726</v>
      </c>
      <c r="N335" s="18">
        <v>0.12980319273538399</v>
      </c>
    </row>
    <row r="336" spans="1:14" x14ac:dyDescent="0.25">
      <c r="A336">
        <v>8</v>
      </c>
      <c r="B336" t="s">
        <v>16</v>
      </c>
      <c r="C336">
        <v>2.1</v>
      </c>
      <c r="D336">
        <v>700</v>
      </c>
      <c r="E336">
        <v>20</v>
      </c>
      <c r="F336">
        <v>1</v>
      </c>
      <c r="G336">
        <v>39</v>
      </c>
      <c r="H336">
        <v>36</v>
      </c>
      <c r="I336" t="s">
        <v>23</v>
      </c>
      <c r="J336" t="s">
        <v>29</v>
      </c>
      <c r="K336" t="s">
        <v>98</v>
      </c>
      <c r="L336">
        <v>0.41129850865896733</v>
      </c>
      <c r="M336">
        <v>0.44386658184104766</v>
      </c>
      <c r="N336" s="18">
        <v>0.14483490949998501</v>
      </c>
    </row>
    <row r="337" spans="1:14" x14ac:dyDescent="0.25">
      <c r="A337">
        <v>8</v>
      </c>
      <c r="B337" t="s">
        <v>16</v>
      </c>
      <c r="C337">
        <v>2.1</v>
      </c>
      <c r="D337">
        <v>700</v>
      </c>
      <c r="E337">
        <v>20</v>
      </c>
      <c r="F337">
        <v>1</v>
      </c>
      <c r="G337">
        <v>45</v>
      </c>
      <c r="H337">
        <v>36</v>
      </c>
      <c r="I337" t="s">
        <v>25</v>
      </c>
      <c r="J337" t="s">
        <v>29</v>
      </c>
      <c r="K337" t="s">
        <v>98</v>
      </c>
      <c r="L337">
        <v>0.27966981942845942</v>
      </c>
      <c r="M337">
        <v>0.42177762604977581</v>
      </c>
      <c r="N337" s="18">
        <v>0.29855255452176477</v>
      </c>
    </row>
    <row r="338" spans="1:14" x14ac:dyDescent="0.25">
      <c r="A338">
        <v>1</v>
      </c>
      <c r="B338">
        <v>1</v>
      </c>
      <c r="C338">
        <v>2.1</v>
      </c>
      <c r="D338">
        <v>700</v>
      </c>
      <c r="E338">
        <v>20</v>
      </c>
      <c r="F338">
        <v>1</v>
      </c>
      <c r="G338">
        <v>28</v>
      </c>
      <c r="H338">
        <v>37</v>
      </c>
      <c r="I338" t="s">
        <v>20</v>
      </c>
      <c r="J338" t="s">
        <v>27</v>
      </c>
      <c r="K338" t="s">
        <v>98</v>
      </c>
      <c r="L338">
        <v>0.62864307845670475</v>
      </c>
      <c r="M338">
        <v>0.27322893444327867</v>
      </c>
      <c r="N338" s="18">
        <v>9.8127987100016578E-2</v>
      </c>
    </row>
    <row r="339" spans="1:14" x14ac:dyDescent="0.25">
      <c r="A339">
        <v>1</v>
      </c>
      <c r="B339">
        <v>1</v>
      </c>
      <c r="C339">
        <v>2.1</v>
      </c>
      <c r="D339">
        <v>700</v>
      </c>
      <c r="E339">
        <v>20</v>
      </c>
      <c r="F339">
        <v>1</v>
      </c>
      <c r="G339">
        <v>34</v>
      </c>
      <c r="H339">
        <v>37</v>
      </c>
      <c r="I339" t="s">
        <v>22</v>
      </c>
      <c r="J339" t="s">
        <v>27</v>
      </c>
      <c r="K339" t="s">
        <v>98</v>
      </c>
      <c r="L339">
        <v>0.64549614093365648</v>
      </c>
      <c r="M339">
        <v>0.28906739767893985</v>
      </c>
      <c r="N339" s="18">
        <v>6.5436461387403666E-2</v>
      </c>
    </row>
    <row r="340" spans="1:14" x14ac:dyDescent="0.25">
      <c r="A340">
        <v>1</v>
      </c>
      <c r="B340">
        <v>1</v>
      </c>
      <c r="C340">
        <v>2.1</v>
      </c>
      <c r="D340">
        <v>700</v>
      </c>
      <c r="E340">
        <v>20</v>
      </c>
      <c r="F340">
        <v>1</v>
      </c>
      <c r="G340">
        <v>40</v>
      </c>
      <c r="H340">
        <v>37</v>
      </c>
      <c r="I340" t="s">
        <v>24</v>
      </c>
      <c r="J340" t="s">
        <v>27</v>
      </c>
      <c r="K340" t="s">
        <v>98</v>
      </c>
      <c r="L340">
        <v>0.65482127286748504</v>
      </c>
      <c r="M340">
        <v>0.2632556155647171</v>
      </c>
      <c r="N340" s="18">
        <v>8.1923111567797857E-2</v>
      </c>
    </row>
    <row r="341" spans="1:14" x14ac:dyDescent="0.25">
      <c r="A341">
        <v>1</v>
      </c>
      <c r="B341">
        <v>1</v>
      </c>
      <c r="C341">
        <v>2.1</v>
      </c>
      <c r="D341">
        <v>700</v>
      </c>
      <c r="E341">
        <v>20</v>
      </c>
      <c r="F341">
        <v>1</v>
      </c>
      <c r="G341">
        <v>46</v>
      </c>
      <c r="H341">
        <v>37</v>
      </c>
      <c r="I341" t="s">
        <v>26</v>
      </c>
      <c r="J341" t="s">
        <v>27</v>
      </c>
      <c r="K341" t="s">
        <v>98</v>
      </c>
      <c r="L341">
        <v>0.57852956036614611</v>
      </c>
      <c r="M341">
        <v>0.30508772405111495</v>
      </c>
      <c r="N341" s="18">
        <v>0.11638271558273894</v>
      </c>
    </row>
    <row r="342" spans="1:14" x14ac:dyDescent="0.25">
      <c r="A342">
        <v>2</v>
      </c>
      <c r="B342" t="s">
        <v>10</v>
      </c>
      <c r="C342">
        <v>2.1</v>
      </c>
      <c r="D342">
        <v>828</v>
      </c>
      <c r="E342">
        <v>29</v>
      </c>
      <c r="F342">
        <v>0</v>
      </c>
      <c r="G342">
        <v>28</v>
      </c>
      <c r="H342">
        <v>37</v>
      </c>
      <c r="I342" t="s">
        <v>20</v>
      </c>
      <c r="J342" t="s">
        <v>27</v>
      </c>
      <c r="K342" t="s">
        <v>98</v>
      </c>
      <c r="L342">
        <v>0.6083662515132956</v>
      </c>
      <c r="M342">
        <v>0.28563216771220812</v>
      </c>
      <c r="N342" s="18">
        <v>0.10600158077449628</v>
      </c>
    </row>
    <row r="343" spans="1:14" x14ac:dyDescent="0.25">
      <c r="A343">
        <v>2</v>
      </c>
      <c r="B343" t="s">
        <v>10</v>
      </c>
      <c r="C343">
        <v>2.1</v>
      </c>
      <c r="D343">
        <v>828</v>
      </c>
      <c r="E343">
        <v>29</v>
      </c>
      <c r="F343">
        <v>0</v>
      </c>
      <c r="G343">
        <v>34</v>
      </c>
      <c r="H343">
        <v>37</v>
      </c>
      <c r="I343" t="s">
        <v>22</v>
      </c>
      <c r="J343" t="s">
        <v>27</v>
      </c>
      <c r="K343" t="s">
        <v>98</v>
      </c>
      <c r="L343">
        <v>0.62936648735750822</v>
      </c>
      <c r="M343">
        <v>0.30079677999545262</v>
      </c>
      <c r="N343" s="18">
        <v>6.9836732647039157E-2</v>
      </c>
    </row>
    <row r="344" spans="1:14" x14ac:dyDescent="0.25">
      <c r="A344">
        <v>2</v>
      </c>
      <c r="B344" t="s">
        <v>10</v>
      </c>
      <c r="C344">
        <v>2.1</v>
      </c>
      <c r="D344">
        <v>828</v>
      </c>
      <c r="E344">
        <v>29</v>
      </c>
      <c r="F344">
        <v>0</v>
      </c>
      <c r="G344">
        <v>40</v>
      </c>
      <c r="H344">
        <v>37</v>
      </c>
      <c r="I344" t="s">
        <v>24</v>
      </c>
      <c r="J344" t="s">
        <v>27</v>
      </c>
      <c r="K344" t="s">
        <v>98</v>
      </c>
      <c r="L344">
        <v>0.71000328470040397</v>
      </c>
      <c r="M344">
        <v>0.22532659476319761</v>
      </c>
      <c r="N344" s="18">
        <v>6.4670120536398423E-2</v>
      </c>
    </row>
    <row r="345" spans="1:14" x14ac:dyDescent="0.25">
      <c r="A345">
        <v>2</v>
      </c>
      <c r="B345" t="s">
        <v>10</v>
      </c>
      <c r="C345">
        <v>2.1</v>
      </c>
      <c r="D345">
        <v>828</v>
      </c>
      <c r="E345">
        <v>29</v>
      </c>
      <c r="F345">
        <v>0</v>
      </c>
      <c r="G345">
        <v>46</v>
      </c>
      <c r="H345">
        <v>37</v>
      </c>
      <c r="I345" t="s">
        <v>26</v>
      </c>
      <c r="J345" t="s">
        <v>27</v>
      </c>
      <c r="K345" t="s">
        <v>98</v>
      </c>
      <c r="L345">
        <v>0.57852956036614611</v>
      </c>
      <c r="M345">
        <v>0.30508772405111495</v>
      </c>
      <c r="N345" s="18">
        <v>0.11638271558273894</v>
      </c>
    </row>
    <row r="346" spans="1:14" x14ac:dyDescent="0.25">
      <c r="A346">
        <v>3</v>
      </c>
      <c r="B346" t="s">
        <v>11</v>
      </c>
      <c r="C346">
        <v>2.1</v>
      </c>
      <c r="D346">
        <v>700</v>
      </c>
      <c r="E346">
        <v>20</v>
      </c>
      <c r="F346">
        <v>1</v>
      </c>
      <c r="G346">
        <v>28</v>
      </c>
      <c r="H346">
        <v>37</v>
      </c>
      <c r="I346" t="s">
        <v>20</v>
      </c>
      <c r="J346" t="s">
        <v>27</v>
      </c>
      <c r="K346" t="s">
        <v>98</v>
      </c>
      <c r="L346">
        <v>0.61803119722809419</v>
      </c>
      <c r="M346">
        <v>0.27976736692516857</v>
      </c>
      <c r="N346" s="18">
        <v>0.10220143584673724</v>
      </c>
    </row>
    <row r="347" spans="1:14" x14ac:dyDescent="0.25">
      <c r="A347">
        <v>3</v>
      </c>
      <c r="B347" t="s">
        <v>11</v>
      </c>
      <c r="C347">
        <v>2.1</v>
      </c>
      <c r="D347">
        <v>700</v>
      </c>
      <c r="E347">
        <v>20</v>
      </c>
      <c r="F347">
        <v>1</v>
      </c>
      <c r="G347">
        <v>34</v>
      </c>
      <c r="H347">
        <v>37</v>
      </c>
      <c r="I347" t="s">
        <v>22</v>
      </c>
      <c r="J347" t="s">
        <v>27</v>
      </c>
      <c r="K347" t="s">
        <v>98</v>
      </c>
      <c r="L347">
        <v>0.54477969624016975</v>
      </c>
      <c r="M347">
        <v>0.35894387416384566</v>
      </c>
      <c r="N347" s="18">
        <v>9.6276429595984592E-2</v>
      </c>
    </row>
    <row r="348" spans="1:14" x14ac:dyDescent="0.25">
      <c r="A348">
        <v>3</v>
      </c>
      <c r="B348" t="s">
        <v>11</v>
      </c>
      <c r="C348">
        <v>2.1</v>
      </c>
      <c r="D348">
        <v>700</v>
      </c>
      <c r="E348">
        <v>20</v>
      </c>
      <c r="F348">
        <v>1</v>
      </c>
      <c r="G348">
        <v>40</v>
      </c>
      <c r="H348">
        <v>37</v>
      </c>
      <c r="I348" t="s">
        <v>24</v>
      </c>
      <c r="J348" t="s">
        <v>27</v>
      </c>
      <c r="K348" t="s">
        <v>98</v>
      </c>
      <c r="L348">
        <v>0.7193016084922631</v>
      </c>
      <c r="M348">
        <v>0.21873237127080492</v>
      </c>
      <c r="N348" s="18">
        <v>6.1966020236931985E-2</v>
      </c>
    </row>
    <row r="349" spans="1:14" x14ac:dyDescent="0.25">
      <c r="A349">
        <v>3</v>
      </c>
      <c r="B349" t="s">
        <v>11</v>
      </c>
      <c r="C349">
        <v>2.1</v>
      </c>
      <c r="D349">
        <v>700</v>
      </c>
      <c r="E349">
        <v>20</v>
      </c>
      <c r="F349">
        <v>1</v>
      </c>
      <c r="G349">
        <v>46</v>
      </c>
      <c r="H349">
        <v>37</v>
      </c>
      <c r="I349" t="s">
        <v>26</v>
      </c>
      <c r="J349" t="s">
        <v>27</v>
      </c>
      <c r="K349" t="s">
        <v>98</v>
      </c>
      <c r="L349">
        <v>0.52279418922320497</v>
      </c>
      <c r="M349">
        <v>0.33555426475939942</v>
      </c>
      <c r="N349" s="18">
        <v>0.1416515460173956</v>
      </c>
    </row>
    <row r="350" spans="1:14" x14ac:dyDescent="0.25">
      <c r="A350">
        <v>4</v>
      </c>
      <c r="B350" t="s">
        <v>12</v>
      </c>
      <c r="C350">
        <v>2.1</v>
      </c>
      <c r="D350">
        <v>700</v>
      </c>
      <c r="E350">
        <v>20</v>
      </c>
      <c r="F350">
        <v>1</v>
      </c>
      <c r="G350">
        <v>28</v>
      </c>
      <c r="H350">
        <v>37</v>
      </c>
      <c r="I350" t="s">
        <v>20</v>
      </c>
      <c r="J350" t="s">
        <v>27</v>
      </c>
      <c r="K350" t="s">
        <v>98</v>
      </c>
      <c r="L350">
        <v>0.63132376913306287</v>
      </c>
      <c r="M350">
        <v>0.27156128797040069</v>
      </c>
      <c r="N350" s="18">
        <v>9.7114942896536438E-2</v>
      </c>
    </row>
    <row r="351" spans="1:14" x14ac:dyDescent="0.25">
      <c r="A351">
        <v>4</v>
      </c>
      <c r="B351" t="s">
        <v>12</v>
      </c>
      <c r="C351">
        <v>2.1</v>
      </c>
      <c r="D351">
        <v>700</v>
      </c>
      <c r="E351">
        <v>20</v>
      </c>
      <c r="F351">
        <v>1</v>
      </c>
      <c r="G351">
        <v>34</v>
      </c>
      <c r="H351">
        <v>37</v>
      </c>
      <c r="I351" t="s">
        <v>22</v>
      </c>
      <c r="J351" t="s">
        <v>27</v>
      </c>
      <c r="K351" t="s">
        <v>98</v>
      </c>
      <c r="L351">
        <v>0.50957382971568843</v>
      </c>
      <c r="M351">
        <v>0.38113480765021113</v>
      </c>
      <c r="N351" s="18">
        <v>0.10929136263410044</v>
      </c>
    </row>
    <row r="352" spans="1:14" x14ac:dyDescent="0.25">
      <c r="A352">
        <v>4</v>
      </c>
      <c r="B352" t="s">
        <v>12</v>
      </c>
      <c r="C352">
        <v>2.1</v>
      </c>
      <c r="D352">
        <v>700</v>
      </c>
      <c r="E352">
        <v>20</v>
      </c>
      <c r="F352">
        <v>1</v>
      </c>
      <c r="G352">
        <v>40</v>
      </c>
      <c r="H352">
        <v>37</v>
      </c>
      <c r="I352" t="s">
        <v>24</v>
      </c>
      <c r="J352" t="s">
        <v>27</v>
      </c>
      <c r="K352" t="s">
        <v>98</v>
      </c>
      <c r="L352">
        <v>0.71673026510916005</v>
      </c>
      <c r="M352">
        <v>0.22056139191281732</v>
      </c>
      <c r="N352" s="18">
        <v>6.2708342978022635E-2</v>
      </c>
    </row>
    <row r="353" spans="1:14" x14ac:dyDescent="0.25">
      <c r="A353">
        <v>4</v>
      </c>
      <c r="B353" t="s">
        <v>12</v>
      </c>
      <c r="C353">
        <v>2.1</v>
      </c>
      <c r="D353">
        <v>700</v>
      </c>
      <c r="E353">
        <v>20</v>
      </c>
      <c r="F353">
        <v>1</v>
      </c>
      <c r="G353">
        <v>46</v>
      </c>
      <c r="H353">
        <v>37</v>
      </c>
      <c r="I353" t="s">
        <v>26</v>
      </c>
      <c r="J353" t="s">
        <v>27</v>
      </c>
      <c r="K353" t="s">
        <v>98</v>
      </c>
      <c r="L353">
        <v>0.57852956036614611</v>
      </c>
      <c r="M353">
        <v>0.30508772405111495</v>
      </c>
      <c r="N353" s="18">
        <v>0.11638271558273894</v>
      </c>
    </row>
    <row r="354" spans="1:14" x14ac:dyDescent="0.25">
      <c r="A354">
        <v>5</v>
      </c>
      <c r="B354" t="s">
        <v>13</v>
      </c>
      <c r="C354">
        <v>2.1</v>
      </c>
      <c r="D354">
        <v>700</v>
      </c>
      <c r="E354">
        <v>20</v>
      </c>
      <c r="F354">
        <v>1</v>
      </c>
      <c r="G354">
        <v>28</v>
      </c>
      <c r="H354">
        <v>37</v>
      </c>
      <c r="I354" t="s">
        <v>20</v>
      </c>
      <c r="J354" t="s">
        <v>27</v>
      </c>
      <c r="K354" t="s">
        <v>98</v>
      </c>
      <c r="L354">
        <v>0.65549904867721576</v>
      </c>
      <c r="M354">
        <v>0.2562435377714255</v>
      </c>
      <c r="N354" s="18">
        <v>8.8257413551358743E-2</v>
      </c>
    </row>
    <row r="355" spans="1:14" x14ac:dyDescent="0.25">
      <c r="A355">
        <v>5</v>
      </c>
      <c r="B355" t="s">
        <v>13</v>
      </c>
      <c r="C355">
        <v>2.1</v>
      </c>
      <c r="D355">
        <v>700</v>
      </c>
      <c r="E355">
        <v>20</v>
      </c>
      <c r="F355">
        <v>1</v>
      </c>
      <c r="G355">
        <v>34</v>
      </c>
      <c r="H355">
        <v>37</v>
      </c>
      <c r="I355" t="s">
        <v>22</v>
      </c>
      <c r="J355" t="s">
        <v>27</v>
      </c>
      <c r="K355" t="s">
        <v>98</v>
      </c>
      <c r="L355">
        <v>0.50547478118843192</v>
      </c>
      <c r="M355">
        <v>0.38362710989228077</v>
      </c>
      <c r="N355" s="18">
        <v>0.11089810891928731</v>
      </c>
    </row>
    <row r="356" spans="1:14" x14ac:dyDescent="0.25">
      <c r="A356">
        <v>5</v>
      </c>
      <c r="B356" t="s">
        <v>13</v>
      </c>
      <c r="C356">
        <v>2.1</v>
      </c>
      <c r="D356">
        <v>700</v>
      </c>
      <c r="E356">
        <v>20</v>
      </c>
      <c r="F356">
        <v>1</v>
      </c>
      <c r="G356">
        <v>40</v>
      </c>
      <c r="H356">
        <v>37</v>
      </c>
      <c r="I356" t="s">
        <v>24</v>
      </c>
      <c r="J356" t="s">
        <v>27</v>
      </c>
      <c r="K356" t="s">
        <v>98</v>
      </c>
      <c r="L356">
        <v>0.77353841416694147</v>
      </c>
      <c r="M356">
        <v>0.17924309319127452</v>
      </c>
      <c r="N356" s="18">
        <v>4.7218492641784016E-2</v>
      </c>
    </row>
    <row r="357" spans="1:14" x14ac:dyDescent="0.25">
      <c r="A357">
        <v>5</v>
      </c>
      <c r="B357" t="s">
        <v>13</v>
      </c>
      <c r="C357">
        <v>2.1</v>
      </c>
      <c r="D357">
        <v>700</v>
      </c>
      <c r="E357">
        <v>20</v>
      </c>
      <c r="F357">
        <v>1</v>
      </c>
      <c r="G357">
        <v>46</v>
      </c>
      <c r="H357">
        <v>37</v>
      </c>
      <c r="I357" t="s">
        <v>26</v>
      </c>
      <c r="J357" t="s">
        <v>27</v>
      </c>
      <c r="K357" t="s">
        <v>98</v>
      </c>
      <c r="L357">
        <v>0.66106414358482146</v>
      </c>
      <c r="M357">
        <v>0.25410425818807814</v>
      </c>
      <c r="N357" s="18">
        <v>8.4831598227100402E-2</v>
      </c>
    </row>
    <row r="358" spans="1:14" x14ac:dyDescent="0.25">
      <c r="A358">
        <v>6</v>
      </c>
      <c r="B358" t="s">
        <v>14</v>
      </c>
      <c r="C358">
        <v>1.2</v>
      </c>
      <c r="D358">
        <v>1022</v>
      </c>
      <c r="E358">
        <v>25</v>
      </c>
      <c r="F358">
        <v>1</v>
      </c>
      <c r="G358">
        <v>28</v>
      </c>
      <c r="H358">
        <v>37</v>
      </c>
      <c r="I358" t="s">
        <v>20</v>
      </c>
      <c r="J358" t="s">
        <v>27</v>
      </c>
      <c r="K358" t="s">
        <v>98</v>
      </c>
      <c r="L358">
        <v>0.57689746551795795</v>
      </c>
      <c r="M358">
        <v>0.30409371379810024</v>
      </c>
      <c r="N358" s="18">
        <v>0.11900882068394181</v>
      </c>
    </row>
    <row r="359" spans="1:14" x14ac:dyDescent="0.25">
      <c r="A359">
        <v>6</v>
      </c>
      <c r="B359" t="s">
        <v>14</v>
      </c>
      <c r="C359">
        <v>1.2</v>
      </c>
      <c r="D359">
        <v>1022</v>
      </c>
      <c r="E359">
        <v>25</v>
      </c>
      <c r="F359">
        <v>1</v>
      </c>
      <c r="G359">
        <v>34</v>
      </c>
      <c r="H359">
        <v>37</v>
      </c>
      <c r="I359" t="s">
        <v>22</v>
      </c>
      <c r="J359" t="s">
        <v>27</v>
      </c>
      <c r="K359" t="s">
        <v>98</v>
      </c>
      <c r="L359">
        <v>0.45931515024739922</v>
      </c>
      <c r="M359">
        <v>0.41019107831766788</v>
      </c>
      <c r="N359" s="18">
        <v>0.1304937714349329</v>
      </c>
    </row>
    <row r="360" spans="1:14" x14ac:dyDescent="0.25">
      <c r="A360">
        <v>6</v>
      </c>
      <c r="B360" t="s">
        <v>14</v>
      </c>
      <c r="C360">
        <v>1.2</v>
      </c>
      <c r="D360">
        <v>1022</v>
      </c>
      <c r="E360">
        <v>25</v>
      </c>
      <c r="F360">
        <v>1</v>
      </c>
      <c r="G360">
        <v>40</v>
      </c>
      <c r="H360">
        <v>37</v>
      </c>
      <c r="I360" t="s">
        <v>24</v>
      </c>
      <c r="J360" t="s">
        <v>27</v>
      </c>
      <c r="K360" t="s">
        <v>98</v>
      </c>
      <c r="L360">
        <v>0.73395846566168665</v>
      </c>
      <c r="M360">
        <v>0.20822907333445584</v>
      </c>
      <c r="N360" s="18">
        <v>5.7812461003857507E-2</v>
      </c>
    </row>
    <row r="361" spans="1:14" x14ac:dyDescent="0.25">
      <c r="A361">
        <v>6</v>
      </c>
      <c r="B361" t="s">
        <v>14</v>
      </c>
      <c r="C361">
        <v>1.2</v>
      </c>
      <c r="D361">
        <v>1022</v>
      </c>
      <c r="E361">
        <v>25</v>
      </c>
      <c r="F361">
        <v>1</v>
      </c>
      <c r="G361">
        <v>46</v>
      </c>
      <c r="H361">
        <v>37</v>
      </c>
      <c r="I361" t="s">
        <v>26</v>
      </c>
      <c r="J361" t="s">
        <v>27</v>
      </c>
      <c r="K361" t="s">
        <v>98</v>
      </c>
      <c r="L361">
        <v>0.41947717633982529</v>
      </c>
      <c r="M361">
        <v>0.38039249404758413</v>
      </c>
      <c r="N361" s="18">
        <v>0.20013032961259059</v>
      </c>
    </row>
    <row r="362" spans="1:14" x14ac:dyDescent="0.25">
      <c r="A362">
        <v>7</v>
      </c>
      <c r="B362" t="s">
        <v>15</v>
      </c>
      <c r="C362">
        <v>2.1</v>
      </c>
      <c r="D362">
        <v>700</v>
      </c>
      <c r="E362">
        <v>20</v>
      </c>
      <c r="F362">
        <v>1</v>
      </c>
      <c r="G362">
        <v>28</v>
      </c>
      <c r="H362">
        <v>37</v>
      </c>
      <c r="I362" t="s">
        <v>20</v>
      </c>
      <c r="J362" t="s">
        <v>27</v>
      </c>
      <c r="K362" t="s">
        <v>98</v>
      </c>
      <c r="L362">
        <v>0.65606337911582902</v>
      </c>
      <c r="M362">
        <v>0.25588017047169875</v>
      </c>
      <c r="N362" s="18">
        <v>8.8056450412472231E-2</v>
      </c>
    </row>
    <row r="363" spans="1:14" x14ac:dyDescent="0.25">
      <c r="A363">
        <v>7</v>
      </c>
      <c r="B363" t="s">
        <v>15</v>
      </c>
      <c r="C363">
        <v>2.1</v>
      </c>
      <c r="D363">
        <v>700</v>
      </c>
      <c r="E363">
        <v>20</v>
      </c>
      <c r="F363">
        <v>1</v>
      </c>
      <c r="G363">
        <v>34</v>
      </c>
      <c r="H363">
        <v>37</v>
      </c>
      <c r="I363" t="s">
        <v>22</v>
      </c>
      <c r="J363" t="s">
        <v>27</v>
      </c>
      <c r="K363" t="s">
        <v>98</v>
      </c>
      <c r="L363">
        <v>0.5263007024435562</v>
      </c>
      <c r="M363">
        <v>0.37076147173927165</v>
      </c>
      <c r="N363" s="18">
        <v>0.10293782581717215</v>
      </c>
    </row>
    <row r="364" spans="1:14" x14ac:dyDescent="0.25">
      <c r="A364">
        <v>7</v>
      </c>
      <c r="B364" t="s">
        <v>15</v>
      </c>
      <c r="C364">
        <v>2.1</v>
      </c>
      <c r="D364">
        <v>700</v>
      </c>
      <c r="E364">
        <v>20</v>
      </c>
      <c r="F364">
        <v>1</v>
      </c>
      <c r="G364">
        <v>40</v>
      </c>
      <c r="H364">
        <v>37</v>
      </c>
      <c r="I364" t="s">
        <v>24</v>
      </c>
      <c r="J364" t="s">
        <v>27</v>
      </c>
      <c r="K364" t="s">
        <v>98</v>
      </c>
      <c r="L364">
        <v>0.71673026510916005</v>
      </c>
      <c r="M364">
        <v>0.22056139191281732</v>
      </c>
      <c r="N364" s="18">
        <v>6.2708342978022635E-2</v>
      </c>
    </row>
    <row r="365" spans="1:14" x14ac:dyDescent="0.25">
      <c r="A365">
        <v>7</v>
      </c>
      <c r="B365" t="s">
        <v>15</v>
      </c>
      <c r="C365">
        <v>2.1</v>
      </c>
      <c r="D365">
        <v>700</v>
      </c>
      <c r="E365">
        <v>20</v>
      </c>
      <c r="F365">
        <v>1</v>
      </c>
      <c r="G365">
        <v>46</v>
      </c>
      <c r="H365">
        <v>37</v>
      </c>
      <c r="I365" t="s">
        <v>26</v>
      </c>
      <c r="J365" t="s">
        <v>27</v>
      </c>
      <c r="K365" t="s">
        <v>98</v>
      </c>
      <c r="L365">
        <v>0.63891083869001652</v>
      </c>
      <c r="M365">
        <v>0.26838372084154838</v>
      </c>
      <c r="N365" s="18">
        <v>9.2705440468435096E-2</v>
      </c>
    </row>
    <row r="366" spans="1:14" x14ac:dyDescent="0.25">
      <c r="A366">
        <v>8</v>
      </c>
      <c r="B366" t="s">
        <v>16</v>
      </c>
      <c r="C366">
        <v>2.1</v>
      </c>
      <c r="D366">
        <v>700</v>
      </c>
      <c r="E366">
        <v>20</v>
      </c>
      <c r="F366">
        <v>1</v>
      </c>
      <c r="G366">
        <v>28</v>
      </c>
      <c r="H366">
        <v>37</v>
      </c>
      <c r="I366" t="s">
        <v>20</v>
      </c>
      <c r="J366" t="s">
        <v>27</v>
      </c>
      <c r="K366" t="s">
        <v>98</v>
      </c>
      <c r="L366">
        <v>0.59758196068486624</v>
      </c>
      <c r="M366">
        <v>0.29207088686088212</v>
      </c>
      <c r="N366" s="18">
        <v>0.11034715245425164</v>
      </c>
    </row>
    <row r="367" spans="1:14" x14ac:dyDescent="0.25">
      <c r="A367">
        <v>8</v>
      </c>
      <c r="B367" t="s">
        <v>16</v>
      </c>
      <c r="C367">
        <v>2.1</v>
      </c>
      <c r="D367">
        <v>700</v>
      </c>
      <c r="E367">
        <v>20</v>
      </c>
      <c r="F367">
        <v>1</v>
      </c>
      <c r="G367">
        <v>34</v>
      </c>
      <c r="H367">
        <v>37</v>
      </c>
      <c r="I367" t="s">
        <v>22</v>
      </c>
      <c r="J367" t="s">
        <v>27</v>
      </c>
      <c r="K367" t="s">
        <v>98</v>
      </c>
      <c r="L367">
        <v>0.5263007024435562</v>
      </c>
      <c r="M367">
        <v>0.37076147173927165</v>
      </c>
      <c r="N367" s="18">
        <v>0.10293782581717215</v>
      </c>
    </row>
    <row r="368" spans="1:14" x14ac:dyDescent="0.25">
      <c r="A368">
        <v>8</v>
      </c>
      <c r="B368" t="s">
        <v>16</v>
      </c>
      <c r="C368">
        <v>2.1</v>
      </c>
      <c r="D368">
        <v>700</v>
      </c>
      <c r="E368">
        <v>20</v>
      </c>
      <c r="F368">
        <v>1</v>
      </c>
      <c r="G368">
        <v>40</v>
      </c>
      <c r="H368">
        <v>37</v>
      </c>
      <c r="I368" t="s">
        <v>24</v>
      </c>
      <c r="J368" t="s">
        <v>27</v>
      </c>
      <c r="K368" t="s">
        <v>98</v>
      </c>
      <c r="L368">
        <v>0.71673026510916005</v>
      </c>
      <c r="M368">
        <v>0.22056139191281732</v>
      </c>
      <c r="N368" s="18">
        <v>6.2708342978022635E-2</v>
      </c>
    </row>
    <row r="369" spans="1:14" x14ac:dyDescent="0.25">
      <c r="A369">
        <v>8</v>
      </c>
      <c r="B369" t="s">
        <v>16</v>
      </c>
      <c r="C369">
        <v>2.1</v>
      </c>
      <c r="D369">
        <v>700</v>
      </c>
      <c r="E369">
        <v>20</v>
      </c>
      <c r="F369">
        <v>1</v>
      </c>
      <c r="G369">
        <v>46</v>
      </c>
      <c r="H369">
        <v>37</v>
      </c>
      <c r="I369" t="s">
        <v>26</v>
      </c>
      <c r="J369" t="s">
        <v>27</v>
      </c>
      <c r="K369" t="s">
        <v>98</v>
      </c>
      <c r="L369">
        <v>0.58975193838460749</v>
      </c>
      <c r="M369">
        <v>0.29853289766810021</v>
      </c>
      <c r="N369" s="18">
        <v>0.11171516394729231</v>
      </c>
    </row>
    <row r="370" spans="1:14" x14ac:dyDescent="0.25">
      <c r="A370">
        <v>1</v>
      </c>
      <c r="B370">
        <v>1</v>
      </c>
      <c r="C370">
        <v>2.1</v>
      </c>
      <c r="D370">
        <v>700</v>
      </c>
      <c r="E370">
        <v>20</v>
      </c>
      <c r="F370">
        <v>1</v>
      </c>
      <c r="G370">
        <v>29</v>
      </c>
      <c r="H370">
        <v>38</v>
      </c>
      <c r="I370" t="s">
        <v>20</v>
      </c>
      <c r="J370" t="s">
        <v>28</v>
      </c>
      <c r="K370" t="s">
        <v>98</v>
      </c>
      <c r="L370">
        <v>0.74605848298153465</v>
      </c>
      <c r="M370">
        <v>0.19494675248228899</v>
      </c>
      <c r="N370" s="18">
        <v>5.8994764536176358E-2</v>
      </c>
    </row>
    <row r="371" spans="1:14" x14ac:dyDescent="0.25">
      <c r="A371">
        <v>1</v>
      </c>
      <c r="B371">
        <v>1</v>
      </c>
      <c r="C371">
        <v>2.1</v>
      </c>
      <c r="D371">
        <v>700</v>
      </c>
      <c r="E371">
        <v>20</v>
      </c>
      <c r="F371">
        <v>1</v>
      </c>
      <c r="G371">
        <v>35</v>
      </c>
      <c r="H371">
        <v>38</v>
      </c>
      <c r="I371" t="s">
        <v>22</v>
      </c>
      <c r="J371" t="s">
        <v>28</v>
      </c>
      <c r="K371" t="s">
        <v>98</v>
      </c>
      <c r="L371">
        <v>0.84749660819856598</v>
      </c>
      <c r="M371">
        <v>0.13007623001832225</v>
      </c>
      <c r="N371" s="18">
        <v>2.2427161783111771E-2</v>
      </c>
    </row>
    <row r="372" spans="1:14" x14ac:dyDescent="0.25">
      <c r="A372">
        <v>1</v>
      </c>
      <c r="B372">
        <v>1</v>
      </c>
      <c r="C372">
        <v>2.1</v>
      </c>
      <c r="D372">
        <v>700</v>
      </c>
      <c r="E372">
        <v>20</v>
      </c>
      <c r="F372">
        <v>1</v>
      </c>
      <c r="G372">
        <v>41</v>
      </c>
      <c r="H372">
        <v>38</v>
      </c>
      <c r="I372" t="s">
        <v>24</v>
      </c>
      <c r="J372" t="s">
        <v>28</v>
      </c>
      <c r="K372" t="s">
        <v>98</v>
      </c>
      <c r="L372">
        <v>0.84299720040483839</v>
      </c>
      <c r="M372">
        <v>0.126439048090499</v>
      </c>
      <c r="N372" s="18">
        <v>3.0563751504662617E-2</v>
      </c>
    </row>
    <row r="373" spans="1:14" x14ac:dyDescent="0.25">
      <c r="A373">
        <v>1</v>
      </c>
      <c r="B373">
        <v>1</v>
      </c>
      <c r="C373">
        <v>2.1</v>
      </c>
      <c r="D373">
        <v>700</v>
      </c>
      <c r="E373">
        <v>20</v>
      </c>
      <c r="F373">
        <v>1</v>
      </c>
      <c r="G373">
        <v>47</v>
      </c>
      <c r="H373">
        <v>38</v>
      </c>
      <c r="I373" t="s">
        <v>26</v>
      </c>
      <c r="J373" t="s">
        <v>28</v>
      </c>
      <c r="K373" t="s">
        <v>98</v>
      </c>
      <c r="L373">
        <v>0.71245553622310143</v>
      </c>
      <c r="M373">
        <v>0.21953906967830239</v>
      </c>
      <c r="N373" s="18">
        <v>6.8005394098596184E-2</v>
      </c>
    </row>
    <row r="374" spans="1:14" x14ac:dyDescent="0.25">
      <c r="A374">
        <v>2</v>
      </c>
      <c r="B374" t="s">
        <v>10</v>
      </c>
      <c r="C374">
        <v>2.1</v>
      </c>
      <c r="D374">
        <v>828</v>
      </c>
      <c r="E374">
        <v>29</v>
      </c>
      <c r="F374">
        <v>0</v>
      </c>
      <c r="G374">
        <v>29</v>
      </c>
      <c r="H374">
        <v>38</v>
      </c>
      <c r="I374" t="s">
        <v>20</v>
      </c>
      <c r="J374" t="s">
        <v>28</v>
      </c>
      <c r="K374" t="s">
        <v>98</v>
      </c>
      <c r="L374">
        <v>0.74691008709786466</v>
      </c>
      <c r="M374">
        <v>0.19434446788509352</v>
      </c>
      <c r="N374" s="18">
        <v>5.874544501704182E-2</v>
      </c>
    </row>
    <row r="375" spans="1:14" x14ac:dyDescent="0.25">
      <c r="A375">
        <v>2</v>
      </c>
      <c r="B375" t="s">
        <v>10</v>
      </c>
      <c r="C375">
        <v>2.1</v>
      </c>
      <c r="D375">
        <v>828</v>
      </c>
      <c r="E375">
        <v>29</v>
      </c>
      <c r="F375">
        <v>0</v>
      </c>
      <c r="G375">
        <v>35</v>
      </c>
      <c r="H375">
        <v>38</v>
      </c>
      <c r="I375" t="s">
        <v>22</v>
      </c>
      <c r="J375" t="s">
        <v>28</v>
      </c>
      <c r="K375" t="s">
        <v>98</v>
      </c>
      <c r="L375">
        <v>0.83825481979120098</v>
      </c>
      <c r="M375">
        <v>0.13773560364357029</v>
      </c>
      <c r="N375" s="18">
        <v>2.400957656522873E-2</v>
      </c>
    </row>
    <row r="376" spans="1:14" x14ac:dyDescent="0.25">
      <c r="A376">
        <v>2</v>
      </c>
      <c r="B376" t="s">
        <v>10</v>
      </c>
      <c r="C376">
        <v>2.1</v>
      </c>
      <c r="D376">
        <v>828</v>
      </c>
      <c r="E376">
        <v>29</v>
      </c>
      <c r="F376">
        <v>0</v>
      </c>
      <c r="G376">
        <v>41</v>
      </c>
      <c r="H376">
        <v>38</v>
      </c>
      <c r="I376" t="s">
        <v>24</v>
      </c>
      <c r="J376" t="s">
        <v>28</v>
      </c>
      <c r="K376" t="s">
        <v>98</v>
      </c>
      <c r="L376">
        <v>0.87389000356590174</v>
      </c>
      <c r="M376">
        <v>0.10226390629308313</v>
      </c>
      <c r="N376" s="18">
        <v>2.384609014101513E-2</v>
      </c>
    </row>
    <row r="377" spans="1:14" x14ac:dyDescent="0.25">
      <c r="A377">
        <v>2</v>
      </c>
      <c r="B377" t="s">
        <v>10</v>
      </c>
      <c r="C377">
        <v>2.1</v>
      </c>
      <c r="D377">
        <v>828</v>
      </c>
      <c r="E377">
        <v>29</v>
      </c>
      <c r="F377">
        <v>0</v>
      </c>
      <c r="G377">
        <v>47</v>
      </c>
      <c r="H377">
        <v>38</v>
      </c>
      <c r="I377" t="s">
        <v>26</v>
      </c>
      <c r="J377" t="s">
        <v>28</v>
      </c>
      <c r="K377" t="s">
        <v>98</v>
      </c>
      <c r="L377">
        <v>0.71245553622310143</v>
      </c>
      <c r="M377">
        <v>0.21953906967830239</v>
      </c>
      <c r="N377" s="18">
        <v>6.8005394098596184E-2</v>
      </c>
    </row>
    <row r="378" spans="1:14" x14ac:dyDescent="0.25">
      <c r="A378">
        <v>3</v>
      </c>
      <c r="B378" t="s">
        <v>11</v>
      </c>
      <c r="C378">
        <v>2.1</v>
      </c>
      <c r="D378">
        <v>700</v>
      </c>
      <c r="E378">
        <v>20</v>
      </c>
      <c r="F378">
        <v>1</v>
      </c>
      <c r="G378">
        <v>29</v>
      </c>
      <c r="H378">
        <v>38</v>
      </c>
      <c r="I378" t="s">
        <v>20</v>
      </c>
      <c r="J378" t="s">
        <v>28</v>
      </c>
      <c r="K378" t="s">
        <v>98</v>
      </c>
      <c r="L378">
        <v>0.7374002858276637</v>
      </c>
      <c r="M378">
        <v>0.20104510894074767</v>
      </c>
      <c r="N378" s="18">
        <v>6.1554605231588622E-2</v>
      </c>
    </row>
    <row r="379" spans="1:14" x14ac:dyDescent="0.25">
      <c r="A379">
        <v>3</v>
      </c>
      <c r="B379" t="s">
        <v>11</v>
      </c>
      <c r="C379">
        <v>2.1</v>
      </c>
      <c r="D379">
        <v>700</v>
      </c>
      <c r="E379">
        <v>20</v>
      </c>
      <c r="F379">
        <v>1</v>
      </c>
      <c r="G379">
        <v>35</v>
      </c>
      <c r="H379">
        <v>38</v>
      </c>
      <c r="I379" t="s">
        <v>22</v>
      </c>
      <c r="J379" t="s">
        <v>28</v>
      </c>
      <c r="K379" t="s">
        <v>98</v>
      </c>
      <c r="L379">
        <v>0.78505979269012172</v>
      </c>
      <c r="M379">
        <v>0.18121165277429208</v>
      </c>
      <c r="N379" s="18">
        <v>3.3728554535586208E-2</v>
      </c>
    </row>
    <row r="380" spans="1:14" x14ac:dyDescent="0.25">
      <c r="A380">
        <v>3</v>
      </c>
      <c r="B380" t="s">
        <v>11</v>
      </c>
      <c r="C380">
        <v>2.1</v>
      </c>
      <c r="D380">
        <v>700</v>
      </c>
      <c r="E380">
        <v>20</v>
      </c>
      <c r="F380">
        <v>1</v>
      </c>
      <c r="G380">
        <v>41</v>
      </c>
      <c r="H380">
        <v>38</v>
      </c>
      <c r="I380" t="s">
        <v>24</v>
      </c>
      <c r="J380" t="s">
        <v>28</v>
      </c>
      <c r="K380" t="s">
        <v>98</v>
      </c>
      <c r="L380">
        <v>0.87883032381373094</v>
      </c>
      <c r="M380">
        <v>9.8362304669475931E-2</v>
      </c>
      <c r="N380" s="18">
        <v>2.2807371516793129E-2</v>
      </c>
    </row>
    <row r="381" spans="1:14" x14ac:dyDescent="0.25">
      <c r="A381">
        <v>3</v>
      </c>
      <c r="B381" t="s">
        <v>11</v>
      </c>
      <c r="C381">
        <v>2.1</v>
      </c>
      <c r="D381">
        <v>700</v>
      </c>
      <c r="E381">
        <v>20</v>
      </c>
      <c r="F381">
        <v>1</v>
      </c>
      <c r="G381">
        <v>47</v>
      </c>
      <c r="H381">
        <v>38</v>
      </c>
      <c r="I381" t="s">
        <v>26</v>
      </c>
      <c r="J381" t="s">
        <v>28</v>
      </c>
      <c r="K381" t="s">
        <v>98</v>
      </c>
      <c r="L381">
        <v>0.66414924253552332</v>
      </c>
      <c r="M381">
        <v>0.25208440492906958</v>
      </c>
      <c r="N381" s="18">
        <v>8.3766352535407096E-2</v>
      </c>
    </row>
    <row r="382" spans="1:14" x14ac:dyDescent="0.25">
      <c r="A382">
        <v>4</v>
      </c>
      <c r="B382" t="s">
        <v>12</v>
      </c>
      <c r="C382">
        <v>2.1</v>
      </c>
      <c r="D382">
        <v>700</v>
      </c>
      <c r="E382">
        <v>20</v>
      </c>
      <c r="F382">
        <v>1</v>
      </c>
      <c r="G382">
        <v>29</v>
      </c>
      <c r="H382">
        <v>38</v>
      </c>
      <c r="I382" t="s">
        <v>20</v>
      </c>
      <c r="J382" t="s">
        <v>28</v>
      </c>
      <c r="K382" t="s">
        <v>98</v>
      </c>
      <c r="L382">
        <v>0.74823104645884075</v>
      </c>
      <c r="M382">
        <v>0.19340937601193431</v>
      </c>
      <c r="N382" s="18">
        <v>5.8359577529224937E-2</v>
      </c>
    </row>
    <row r="383" spans="1:14" x14ac:dyDescent="0.25">
      <c r="A383">
        <v>4</v>
      </c>
      <c r="B383" t="s">
        <v>12</v>
      </c>
      <c r="C383">
        <v>2.1</v>
      </c>
      <c r="D383">
        <v>700</v>
      </c>
      <c r="E383">
        <v>20</v>
      </c>
      <c r="F383">
        <v>1</v>
      </c>
      <c r="G383">
        <v>35</v>
      </c>
      <c r="H383">
        <v>38</v>
      </c>
      <c r="I383" t="s">
        <v>22</v>
      </c>
      <c r="J383" t="s">
        <v>28</v>
      </c>
      <c r="K383" t="s">
        <v>98</v>
      </c>
      <c r="L383">
        <v>0.76025900168726357</v>
      </c>
      <c r="M383">
        <v>0.20109130404802722</v>
      </c>
      <c r="N383" s="18">
        <v>3.8649694264709211E-2</v>
      </c>
    </row>
    <row r="384" spans="1:14" x14ac:dyDescent="0.25">
      <c r="A384">
        <v>4</v>
      </c>
      <c r="B384" t="s">
        <v>12</v>
      </c>
      <c r="C384">
        <v>2.1</v>
      </c>
      <c r="D384">
        <v>700</v>
      </c>
      <c r="E384">
        <v>20</v>
      </c>
      <c r="F384">
        <v>1</v>
      </c>
      <c r="G384">
        <v>41</v>
      </c>
      <c r="H384">
        <v>38</v>
      </c>
      <c r="I384" t="s">
        <v>24</v>
      </c>
      <c r="J384" t="s">
        <v>28</v>
      </c>
      <c r="K384" t="s">
        <v>98</v>
      </c>
      <c r="L384">
        <v>0.8774714118166369</v>
      </c>
      <c r="M384">
        <v>9.9436447312592713E-2</v>
      </c>
      <c r="N384" s="18">
        <v>2.3092140870770383E-2</v>
      </c>
    </row>
    <row r="385" spans="1:14" x14ac:dyDescent="0.25">
      <c r="A385">
        <v>4</v>
      </c>
      <c r="B385" t="s">
        <v>12</v>
      </c>
      <c r="C385">
        <v>2.1</v>
      </c>
      <c r="D385">
        <v>700</v>
      </c>
      <c r="E385">
        <v>20</v>
      </c>
      <c r="F385">
        <v>1</v>
      </c>
      <c r="G385">
        <v>47</v>
      </c>
      <c r="H385">
        <v>38</v>
      </c>
      <c r="I385" t="s">
        <v>26</v>
      </c>
      <c r="J385" t="s">
        <v>28</v>
      </c>
      <c r="K385" t="s">
        <v>98</v>
      </c>
      <c r="L385">
        <v>0.71245553622310143</v>
      </c>
      <c r="M385">
        <v>0.21953906967830239</v>
      </c>
      <c r="N385" s="18">
        <v>6.8005394098596184E-2</v>
      </c>
    </row>
    <row r="386" spans="1:14" x14ac:dyDescent="0.25">
      <c r="A386">
        <v>5</v>
      </c>
      <c r="B386" t="s">
        <v>13</v>
      </c>
      <c r="C386">
        <v>2.1</v>
      </c>
      <c r="D386">
        <v>700</v>
      </c>
      <c r="E386">
        <v>20</v>
      </c>
      <c r="F386">
        <v>1</v>
      </c>
      <c r="G386">
        <v>29</v>
      </c>
      <c r="H386">
        <v>38</v>
      </c>
      <c r="I386" t="s">
        <v>20</v>
      </c>
      <c r="J386" t="s">
        <v>28</v>
      </c>
      <c r="K386" t="s">
        <v>98</v>
      </c>
      <c r="L386">
        <v>0.76756276089191222</v>
      </c>
      <c r="M386">
        <v>0.17960727012451561</v>
      </c>
      <c r="N386" s="18">
        <v>5.2829968983572173E-2</v>
      </c>
    </row>
    <row r="387" spans="1:14" x14ac:dyDescent="0.25">
      <c r="A387">
        <v>5</v>
      </c>
      <c r="B387" t="s">
        <v>13</v>
      </c>
      <c r="C387">
        <v>2.1</v>
      </c>
      <c r="D387">
        <v>700</v>
      </c>
      <c r="E387">
        <v>20</v>
      </c>
      <c r="F387">
        <v>1</v>
      </c>
      <c r="G387">
        <v>35</v>
      </c>
      <c r="H387">
        <v>38</v>
      </c>
      <c r="I387" t="s">
        <v>22</v>
      </c>
      <c r="J387" t="s">
        <v>28</v>
      </c>
      <c r="K387" t="s">
        <v>98</v>
      </c>
      <c r="L387">
        <v>0.75725710600184459</v>
      </c>
      <c r="M387">
        <v>0.20347921128474611</v>
      </c>
      <c r="N387" s="18">
        <v>3.9263682713409298E-2</v>
      </c>
    </row>
    <row r="388" spans="1:14" x14ac:dyDescent="0.25">
      <c r="A388">
        <v>5</v>
      </c>
      <c r="B388" t="s">
        <v>13</v>
      </c>
      <c r="C388">
        <v>2.1</v>
      </c>
      <c r="D388">
        <v>700</v>
      </c>
      <c r="E388">
        <v>20</v>
      </c>
      <c r="F388">
        <v>1</v>
      </c>
      <c r="G388">
        <v>41</v>
      </c>
      <c r="H388">
        <v>38</v>
      </c>
      <c r="I388" t="s">
        <v>24</v>
      </c>
      <c r="J388" t="s">
        <v>28</v>
      </c>
      <c r="K388" t="s">
        <v>98</v>
      </c>
      <c r="L388">
        <v>0.90625989397066364</v>
      </c>
      <c r="M388">
        <v>7.6531715214314455E-2</v>
      </c>
      <c r="N388" s="18">
        <v>1.7208390815021901E-2</v>
      </c>
    </row>
    <row r="389" spans="1:14" x14ac:dyDescent="0.25">
      <c r="A389">
        <v>5</v>
      </c>
      <c r="B389" t="s">
        <v>13</v>
      </c>
      <c r="C389">
        <v>2.1</v>
      </c>
      <c r="D389">
        <v>700</v>
      </c>
      <c r="E389">
        <v>20</v>
      </c>
      <c r="F389">
        <v>1</v>
      </c>
      <c r="G389">
        <v>47</v>
      </c>
      <c r="H389">
        <v>38</v>
      </c>
      <c r="I389" t="s">
        <v>26</v>
      </c>
      <c r="J389" t="s">
        <v>28</v>
      </c>
      <c r="K389" t="s">
        <v>98</v>
      </c>
      <c r="L389">
        <v>0.77879190251434827</v>
      </c>
      <c r="M389">
        <v>0.17236379360233178</v>
      </c>
      <c r="N389" s="18">
        <v>4.8844303883319951E-2</v>
      </c>
    </row>
    <row r="390" spans="1:14" x14ac:dyDescent="0.25">
      <c r="A390">
        <v>6</v>
      </c>
      <c r="B390" t="s">
        <v>14</v>
      </c>
      <c r="C390">
        <v>1.2</v>
      </c>
      <c r="D390">
        <v>1022</v>
      </c>
      <c r="E390">
        <v>25</v>
      </c>
      <c r="F390">
        <v>1</v>
      </c>
      <c r="G390">
        <v>29</v>
      </c>
      <c r="H390">
        <v>38</v>
      </c>
      <c r="I390" t="s">
        <v>20</v>
      </c>
      <c r="J390" t="s">
        <v>28</v>
      </c>
      <c r="K390" t="s">
        <v>98</v>
      </c>
      <c r="L390">
        <v>0.71332746062832475</v>
      </c>
      <c r="M390">
        <v>0.21775261695101544</v>
      </c>
      <c r="N390" s="18">
        <v>6.8919922420659807E-2</v>
      </c>
    </row>
    <row r="391" spans="1:14" x14ac:dyDescent="0.25">
      <c r="A391">
        <v>6</v>
      </c>
      <c r="B391" t="s">
        <v>14</v>
      </c>
      <c r="C391">
        <v>1.2</v>
      </c>
      <c r="D391">
        <v>1022</v>
      </c>
      <c r="E391">
        <v>25</v>
      </c>
      <c r="F391">
        <v>1</v>
      </c>
      <c r="G391">
        <v>35</v>
      </c>
      <c r="H391">
        <v>38</v>
      </c>
      <c r="I391" t="s">
        <v>22</v>
      </c>
      <c r="J391" t="s">
        <v>28</v>
      </c>
      <c r="K391" t="s">
        <v>98</v>
      </c>
      <c r="L391">
        <v>0.72165784552546408</v>
      </c>
      <c r="M391">
        <v>0.2314733385794463</v>
      </c>
      <c r="N391" s="18">
        <v>4.6868815895089622E-2</v>
      </c>
    </row>
    <row r="392" spans="1:14" x14ac:dyDescent="0.25">
      <c r="A392">
        <v>6</v>
      </c>
      <c r="B392" t="s">
        <v>14</v>
      </c>
      <c r="C392">
        <v>1.2</v>
      </c>
      <c r="D392">
        <v>1022</v>
      </c>
      <c r="E392">
        <v>25</v>
      </c>
      <c r="F392">
        <v>1</v>
      </c>
      <c r="G392">
        <v>41</v>
      </c>
      <c r="H392">
        <v>38</v>
      </c>
      <c r="I392" t="s">
        <v>24</v>
      </c>
      <c r="J392" t="s">
        <v>28</v>
      </c>
      <c r="K392" t="s">
        <v>98</v>
      </c>
      <c r="L392">
        <v>0.88647199621607586</v>
      </c>
      <c r="M392">
        <v>9.2308777130547637E-2</v>
      </c>
      <c r="N392" s="18">
        <v>2.1219226653376499E-2</v>
      </c>
    </row>
    <row r="393" spans="1:14" x14ac:dyDescent="0.25">
      <c r="A393">
        <v>6</v>
      </c>
      <c r="B393" t="s">
        <v>14</v>
      </c>
      <c r="C393">
        <v>1.2</v>
      </c>
      <c r="D393">
        <v>1022</v>
      </c>
      <c r="E393">
        <v>25</v>
      </c>
      <c r="F393">
        <v>1</v>
      </c>
      <c r="G393">
        <v>47</v>
      </c>
      <c r="H393">
        <v>38</v>
      </c>
      <c r="I393" t="s">
        <v>26</v>
      </c>
      <c r="J393" t="s">
        <v>28</v>
      </c>
      <c r="K393" t="s">
        <v>98</v>
      </c>
      <c r="L393">
        <v>0.56603204543245766</v>
      </c>
      <c r="M393">
        <v>0.31223062172151173</v>
      </c>
      <c r="N393" s="18">
        <v>0.12173733284603061</v>
      </c>
    </row>
    <row r="394" spans="1:14" x14ac:dyDescent="0.25">
      <c r="A394">
        <v>7</v>
      </c>
      <c r="B394" t="s">
        <v>15</v>
      </c>
      <c r="C394">
        <v>2.1</v>
      </c>
      <c r="D394">
        <v>700</v>
      </c>
      <c r="E394">
        <v>20</v>
      </c>
      <c r="F394">
        <v>1</v>
      </c>
      <c r="G394">
        <v>29</v>
      </c>
      <c r="H394">
        <v>38</v>
      </c>
      <c r="I394" t="s">
        <v>20</v>
      </c>
      <c r="J394" t="s">
        <v>28</v>
      </c>
      <c r="K394" t="s">
        <v>98</v>
      </c>
      <c r="L394">
        <v>0.76800848793232868</v>
      </c>
      <c r="M394">
        <v>0.17928650073412833</v>
      </c>
      <c r="N394" s="18">
        <v>5.2705011333542995E-2</v>
      </c>
    </row>
    <row r="395" spans="1:14" x14ac:dyDescent="0.25">
      <c r="A395">
        <v>7</v>
      </c>
      <c r="B395" t="s">
        <v>15</v>
      </c>
      <c r="C395">
        <v>2.1</v>
      </c>
      <c r="D395">
        <v>700</v>
      </c>
      <c r="E395">
        <v>20</v>
      </c>
      <c r="F395">
        <v>1</v>
      </c>
      <c r="G395">
        <v>35</v>
      </c>
      <c r="H395">
        <v>38</v>
      </c>
      <c r="I395" t="s">
        <v>22</v>
      </c>
      <c r="J395" t="s">
        <v>28</v>
      </c>
      <c r="K395" t="s">
        <v>98</v>
      </c>
      <c r="L395">
        <v>0.77225707105965036</v>
      </c>
      <c r="M395">
        <v>0.19150716112300215</v>
      </c>
      <c r="N395" s="18">
        <v>3.6235767817347497E-2</v>
      </c>
    </row>
    <row r="396" spans="1:14" x14ac:dyDescent="0.25">
      <c r="A396">
        <v>7</v>
      </c>
      <c r="B396" t="s">
        <v>15</v>
      </c>
      <c r="C396">
        <v>2.1</v>
      </c>
      <c r="D396">
        <v>700</v>
      </c>
      <c r="E396">
        <v>20</v>
      </c>
      <c r="F396">
        <v>1</v>
      </c>
      <c r="G396">
        <v>41</v>
      </c>
      <c r="H396">
        <v>38</v>
      </c>
      <c r="I396" t="s">
        <v>24</v>
      </c>
      <c r="J396" t="s">
        <v>28</v>
      </c>
      <c r="K396" t="s">
        <v>98</v>
      </c>
      <c r="L396">
        <v>0.8774714118166369</v>
      </c>
      <c r="M396">
        <v>9.9436447312592713E-2</v>
      </c>
      <c r="N396" s="18">
        <v>2.3092140870770383E-2</v>
      </c>
    </row>
    <row r="397" spans="1:14" x14ac:dyDescent="0.25">
      <c r="A397">
        <v>7</v>
      </c>
      <c r="B397" t="s">
        <v>15</v>
      </c>
      <c r="C397">
        <v>2.1</v>
      </c>
      <c r="D397">
        <v>700</v>
      </c>
      <c r="E397">
        <v>20</v>
      </c>
      <c r="F397">
        <v>1</v>
      </c>
      <c r="G397">
        <v>47</v>
      </c>
      <c r="H397">
        <v>38</v>
      </c>
      <c r="I397" t="s">
        <v>26</v>
      </c>
      <c r="J397" t="s">
        <v>28</v>
      </c>
      <c r="K397" t="s">
        <v>98</v>
      </c>
      <c r="L397">
        <v>0.76155795628705103</v>
      </c>
      <c r="M397">
        <v>0.18486860606371103</v>
      </c>
      <c r="N397" s="18">
        <v>5.3573437649237943E-2</v>
      </c>
    </row>
    <row r="398" spans="1:14" x14ac:dyDescent="0.25">
      <c r="A398">
        <v>8</v>
      </c>
      <c r="B398" t="s">
        <v>16</v>
      </c>
      <c r="C398">
        <v>2.1</v>
      </c>
      <c r="D398">
        <v>700</v>
      </c>
      <c r="E398">
        <v>20</v>
      </c>
      <c r="F398">
        <v>1</v>
      </c>
      <c r="G398">
        <v>29</v>
      </c>
      <c r="H398">
        <v>38</v>
      </c>
      <c r="I398" t="s">
        <v>20</v>
      </c>
      <c r="J398" t="s">
        <v>28</v>
      </c>
      <c r="K398" t="s">
        <v>98</v>
      </c>
      <c r="L398">
        <v>0.72045103735779392</v>
      </c>
      <c r="M398">
        <v>0.21284760931210689</v>
      </c>
      <c r="N398" s="18">
        <v>6.6701353330099189E-2</v>
      </c>
    </row>
    <row r="399" spans="1:14" x14ac:dyDescent="0.25">
      <c r="A399">
        <v>8</v>
      </c>
      <c r="B399" t="s">
        <v>16</v>
      </c>
      <c r="C399">
        <v>2.1</v>
      </c>
      <c r="D399">
        <v>700</v>
      </c>
      <c r="E399">
        <v>20</v>
      </c>
      <c r="F399">
        <v>1</v>
      </c>
      <c r="G399">
        <v>35</v>
      </c>
      <c r="H399">
        <v>38</v>
      </c>
      <c r="I399" t="s">
        <v>22</v>
      </c>
      <c r="J399" t="s">
        <v>28</v>
      </c>
      <c r="K399" t="s">
        <v>98</v>
      </c>
      <c r="L399">
        <v>0.77225707105965036</v>
      </c>
      <c r="M399">
        <v>0.19150716112300215</v>
      </c>
      <c r="N399" s="18">
        <v>3.6235767817347497E-2</v>
      </c>
    </row>
    <row r="400" spans="1:14" x14ac:dyDescent="0.25">
      <c r="A400">
        <v>8</v>
      </c>
      <c r="B400" t="s">
        <v>16</v>
      </c>
      <c r="C400">
        <v>2.1</v>
      </c>
      <c r="D400">
        <v>700</v>
      </c>
      <c r="E400">
        <v>20</v>
      </c>
      <c r="F400">
        <v>1</v>
      </c>
      <c r="G400">
        <v>41</v>
      </c>
      <c r="H400">
        <v>38</v>
      </c>
      <c r="I400" t="s">
        <v>24</v>
      </c>
      <c r="J400" t="s">
        <v>28</v>
      </c>
      <c r="K400" t="s">
        <v>98</v>
      </c>
      <c r="L400">
        <v>0.8774714118166369</v>
      </c>
      <c r="M400">
        <v>9.9436447312592713E-2</v>
      </c>
      <c r="N400" s="18">
        <v>2.3092140870770383E-2</v>
      </c>
    </row>
    <row r="401" spans="1:14" x14ac:dyDescent="0.25">
      <c r="A401">
        <v>8</v>
      </c>
      <c r="B401" t="s">
        <v>16</v>
      </c>
      <c r="C401">
        <v>2.1</v>
      </c>
      <c r="D401">
        <v>700</v>
      </c>
      <c r="E401">
        <v>20</v>
      </c>
      <c r="F401">
        <v>1</v>
      </c>
      <c r="G401">
        <v>47</v>
      </c>
      <c r="H401">
        <v>38</v>
      </c>
      <c r="I401" t="s">
        <v>26</v>
      </c>
      <c r="J401" t="s">
        <v>28</v>
      </c>
      <c r="K401" t="s">
        <v>98</v>
      </c>
      <c r="L401">
        <v>0.72182654305690863</v>
      </c>
      <c r="M401">
        <v>0.21303845117731457</v>
      </c>
      <c r="N401" s="18">
        <v>6.5135005765776799E-2</v>
      </c>
    </row>
    <row r="402" spans="1:14" x14ac:dyDescent="0.25">
      <c r="A402">
        <v>1</v>
      </c>
      <c r="B402">
        <v>1</v>
      </c>
      <c r="C402">
        <v>2.1</v>
      </c>
      <c r="D402">
        <v>700</v>
      </c>
      <c r="E402">
        <v>20</v>
      </c>
      <c r="F402">
        <v>1</v>
      </c>
      <c r="G402">
        <v>30</v>
      </c>
      <c r="H402">
        <v>39</v>
      </c>
      <c r="I402" t="s">
        <v>20</v>
      </c>
      <c r="J402" t="s">
        <v>29</v>
      </c>
      <c r="K402" t="s">
        <v>98</v>
      </c>
      <c r="L402">
        <v>0.55000725286248997</v>
      </c>
      <c r="M402">
        <v>0.31903306340659987</v>
      </c>
      <c r="N402" s="18">
        <v>0.13095968373091016</v>
      </c>
    </row>
    <row r="403" spans="1:14" x14ac:dyDescent="0.25">
      <c r="A403">
        <v>1</v>
      </c>
      <c r="B403">
        <v>1</v>
      </c>
      <c r="C403">
        <v>2.1</v>
      </c>
      <c r="D403">
        <v>700</v>
      </c>
      <c r="E403">
        <v>20</v>
      </c>
      <c r="F403">
        <v>1</v>
      </c>
      <c r="G403">
        <v>36</v>
      </c>
      <c r="H403">
        <v>39</v>
      </c>
      <c r="I403" t="s">
        <v>22</v>
      </c>
      <c r="J403" t="s">
        <v>29</v>
      </c>
      <c r="K403" t="s">
        <v>98</v>
      </c>
      <c r="L403">
        <v>0.53827497360004539</v>
      </c>
      <c r="M403">
        <v>0.36314476901614656</v>
      </c>
      <c r="N403" s="18">
        <v>9.8580257383808045E-2</v>
      </c>
    </row>
    <row r="404" spans="1:14" x14ac:dyDescent="0.25">
      <c r="A404">
        <v>1</v>
      </c>
      <c r="B404">
        <v>1</v>
      </c>
      <c r="C404">
        <v>2.1</v>
      </c>
      <c r="D404">
        <v>700</v>
      </c>
      <c r="E404">
        <v>20</v>
      </c>
      <c r="F404">
        <v>1</v>
      </c>
      <c r="G404">
        <v>42</v>
      </c>
      <c r="H404">
        <v>39</v>
      </c>
      <c r="I404" t="s">
        <v>24</v>
      </c>
      <c r="J404" t="s">
        <v>29</v>
      </c>
      <c r="K404" t="s">
        <v>98</v>
      </c>
      <c r="L404">
        <v>0.51821693302690564</v>
      </c>
      <c r="M404">
        <v>0.34580446502252382</v>
      </c>
      <c r="N404" s="18">
        <v>0.13597860195057054</v>
      </c>
    </row>
    <row r="405" spans="1:14" x14ac:dyDescent="0.25">
      <c r="A405">
        <v>1</v>
      </c>
      <c r="B405">
        <v>1</v>
      </c>
      <c r="C405">
        <v>2.1</v>
      </c>
      <c r="D405">
        <v>700</v>
      </c>
      <c r="E405">
        <v>20</v>
      </c>
      <c r="F405">
        <v>1</v>
      </c>
      <c r="G405">
        <v>48</v>
      </c>
      <c r="H405">
        <v>39</v>
      </c>
      <c r="I405" t="s">
        <v>26</v>
      </c>
      <c r="J405" t="s">
        <v>29</v>
      </c>
      <c r="K405" t="s">
        <v>98</v>
      </c>
      <c r="L405">
        <v>0.41203478804965638</v>
      </c>
      <c r="M405">
        <v>0.38288499452029029</v>
      </c>
      <c r="N405" s="18">
        <v>0.20508021743005334</v>
      </c>
    </row>
    <row r="406" spans="1:14" x14ac:dyDescent="0.25">
      <c r="A406">
        <v>2</v>
      </c>
      <c r="B406" t="s">
        <v>10</v>
      </c>
      <c r="C406">
        <v>2.1</v>
      </c>
      <c r="D406">
        <v>828</v>
      </c>
      <c r="E406">
        <v>29</v>
      </c>
      <c r="F406">
        <v>0</v>
      </c>
      <c r="G406">
        <v>30</v>
      </c>
      <c r="H406">
        <v>39</v>
      </c>
      <c r="I406" t="s">
        <v>20</v>
      </c>
      <c r="J406" t="s">
        <v>29</v>
      </c>
      <c r="K406" t="s">
        <v>98</v>
      </c>
      <c r="L406">
        <v>0.60366270434116309</v>
      </c>
      <c r="M406">
        <v>0.28845429726259231</v>
      </c>
      <c r="N406" s="18">
        <v>0.1078829983962446</v>
      </c>
    </row>
    <row r="407" spans="1:14" x14ac:dyDescent="0.25">
      <c r="A407">
        <v>2</v>
      </c>
      <c r="B407" t="s">
        <v>10</v>
      </c>
      <c r="C407">
        <v>2.1</v>
      </c>
      <c r="D407">
        <v>828</v>
      </c>
      <c r="E407">
        <v>29</v>
      </c>
      <c r="F407">
        <v>0</v>
      </c>
      <c r="G407">
        <v>36</v>
      </c>
      <c r="H407">
        <v>39</v>
      </c>
      <c r="I407" t="s">
        <v>22</v>
      </c>
      <c r="J407" t="s">
        <v>29</v>
      </c>
      <c r="K407" t="s">
        <v>98</v>
      </c>
      <c r="L407">
        <v>0.52088783606258993</v>
      </c>
      <c r="M407">
        <v>0.37415318934229713</v>
      </c>
      <c r="N407" s="18">
        <v>0.10495897459511294</v>
      </c>
    </row>
    <row r="408" spans="1:14" x14ac:dyDescent="0.25">
      <c r="A408">
        <v>2</v>
      </c>
      <c r="B408" t="s">
        <v>10</v>
      </c>
      <c r="C408">
        <v>2.1</v>
      </c>
      <c r="D408">
        <v>828</v>
      </c>
      <c r="E408">
        <v>29</v>
      </c>
      <c r="F408">
        <v>0</v>
      </c>
      <c r="G408">
        <v>42</v>
      </c>
      <c r="H408">
        <v>39</v>
      </c>
      <c r="I408" t="s">
        <v>24</v>
      </c>
      <c r="J408" t="s">
        <v>29</v>
      </c>
      <c r="K408" t="s">
        <v>98</v>
      </c>
      <c r="L408">
        <v>0.58127266660922539</v>
      </c>
      <c r="M408">
        <v>0.3100380602465479</v>
      </c>
      <c r="N408" s="18">
        <v>0.10868927314422672</v>
      </c>
    </row>
    <row r="409" spans="1:14" x14ac:dyDescent="0.25">
      <c r="A409">
        <v>2</v>
      </c>
      <c r="B409" t="s">
        <v>10</v>
      </c>
      <c r="C409">
        <v>2.1</v>
      </c>
      <c r="D409">
        <v>828</v>
      </c>
      <c r="E409">
        <v>29</v>
      </c>
      <c r="F409">
        <v>0</v>
      </c>
      <c r="G409">
        <v>48</v>
      </c>
      <c r="H409">
        <v>39</v>
      </c>
      <c r="I409" t="s">
        <v>26</v>
      </c>
      <c r="J409" t="s">
        <v>29</v>
      </c>
      <c r="K409" t="s">
        <v>98</v>
      </c>
      <c r="L409">
        <v>0.41203478804965638</v>
      </c>
      <c r="M409">
        <v>0.38288499452029029</v>
      </c>
      <c r="N409" s="18">
        <v>0.20508021743005334</v>
      </c>
    </row>
    <row r="410" spans="1:14" x14ac:dyDescent="0.25">
      <c r="A410">
        <v>3</v>
      </c>
      <c r="B410" t="s">
        <v>11</v>
      </c>
      <c r="C410">
        <v>2.1</v>
      </c>
      <c r="D410">
        <v>700</v>
      </c>
      <c r="E410">
        <v>20</v>
      </c>
      <c r="F410">
        <v>1</v>
      </c>
      <c r="G410">
        <v>30</v>
      </c>
      <c r="H410">
        <v>39</v>
      </c>
      <c r="I410" t="s">
        <v>20</v>
      </c>
      <c r="J410" t="s">
        <v>29</v>
      </c>
      <c r="K410" t="s">
        <v>98</v>
      </c>
      <c r="L410">
        <v>0.53879685501619079</v>
      </c>
      <c r="M410">
        <v>0.32501292527109504</v>
      </c>
      <c r="N410" s="18">
        <v>0.13619021971271417</v>
      </c>
    </row>
    <row r="411" spans="1:14" x14ac:dyDescent="0.25">
      <c r="A411">
        <v>3</v>
      </c>
      <c r="B411" t="s">
        <v>11</v>
      </c>
      <c r="C411">
        <v>2.1</v>
      </c>
      <c r="D411">
        <v>700</v>
      </c>
      <c r="E411">
        <v>20</v>
      </c>
      <c r="F411">
        <v>1</v>
      </c>
      <c r="G411">
        <v>36</v>
      </c>
      <c r="H411">
        <v>39</v>
      </c>
      <c r="I411" t="s">
        <v>22</v>
      </c>
      <c r="J411" t="s">
        <v>29</v>
      </c>
      <c r="K411" t="s">
        <v>98</v>
      </c>
      <c r="L411">
        <v>0.43381566415040518</v>
      </c>
      <c r="M411">
        <v>0.42352795663824627</v>
      </c>
      <c r="N411" s="18">
        <v>0.14265637921134855</v>
      </c>
    </row>
    <row r="412" spans="1:14" x14ac:dyDescent="0.25">
      <c r="A412">
        <v>3</v>
      </c>
      <c r="B412" t="s">
        <v>11</v>
      </c>
      <c r="C412">
        <v>2.1</v>
      </c>
      <c r="D412">
        <v>700</v>
      </c>
      <c r="E412">
        <v>20</v>
      </c>
      <c r="F412">
        <v>1</v>
      </c>
      <c r="G412">
        <v>42</v>
      </c>
      <c r="H412">
        <v>39</v>
      </c>
      <c r="I412" t="s">
        <v>24</v>
      </c>
      <c r="J412" t="s">
        <v>29</v>
      </c>
      <c r="K412" t="s">
        <v>98</v>
      </c>
      <c r="L412">
        <v>0.59232857809485484</v>
      </c>
      <c r="M412">
        <v>0.3033215080633388</v>
      </c>
      <c r="N412" s="18">
        <v>0.10434991384180636</v>
      </c>
    </row>
    <row r="413" spans="1:14" x14ac:dyDescent="0.25">
      <c r="A413">
        <v>3</v>
      </c>
      <c r="B413" t="s">
        <v>11</v>
      </c>
      <c r="C413">
        <v>2.1</v>
      </c>
      <c r="D413">
        <v>700</v>
      </c>
      <c r="E413">
        <v>20</v>
      </c>
      <c r="F413">
        <v>1</v>
      </c>
      <c r="G413">
        <v>48</v>
      </c>
      <c r="H413">
        <v>39</v>
      </c>
      <c r="I413" t="s">
        <v>26</v>
      </c>
      <c r="J413" t="s">
        <v>29</v>
      </c>
      <c r="K413" t="s">
        <v>98</v>
      </c>
      <c r="L413">
        <v>0.35868872416809472</v>
      </c>
      <c r="M413">
        <v>0.39702835369907408</v>
      </c>
      <c r="N413" s="18">
        <v>0.2442829221328312</v>
      </c>
    </row>
    <row r="414" spans="1:14" x14ac:dyDescent="0.25">
      <c r="A414">
        <v>4</v>
      </c>
      <c r="B414" t="s">
        <v>12</v>
      </c>
      <c r="C414">
        <v>2.1</v>
      </c>
      <c r="D414">
        <v>700</v>
      </c>
      <c r="E414">
        <v>20</v>
      </c>
      <c r="F414">
        <v>1</v>
      </c>
      <c r="G414">
        <v>30</v>
      </c>
      <c r="H414">
        <v>39</v>
      </c>
      <c r="I414" t="s">
        <v>20</v>
      </c>
      <c r="J414" t="s">
        <v>29</v>
      </c>
      <c r="K414" t="s">
        <v>98</v>
      </c>
      <c r="L414">
        <v>0.5528518273040175</v>
      </c>
      <c r="M414">
        <v>0.31749174992708196</v>
      </c>
      <c r="N414" s="18">
        <v>0.12965642276890055</v>
      </c>
    </row>
    <row r="415" spans="1:14" x14ac:dyDescent="0.25">
      <c r="A415">
        <v>4</v>
      </c>
      <c r="B415" t="s">
        <v>12</v>
      </c>
      <c r="C415">
        <v>2.1</v>
      </c>
      <c r="D415">
        <v>700</v>
      </c>
      <c r="E415">
        <v>20</v>
      </c>
      <c r="F415">
        <v>1</v>
      </c>
      <c r="G415">
        <v>36</v>
      </c>
      <c r="H415">
        <v>39</v>
      </c>
      <c r="I415" t="s">
        <v>22</v>
      </c>
      <c r="J415" t="s">
        <v>29</v>
      </c>
      <c r="K415" t="s">
        <v>98</v>
      </c>
      <c r="L415">
        <v>0.39948773550345651</v>
      </c>
      <c r="M415">
        <v>0.43968693396969716</v>
      </c>
      <c r="N415" s="18">
        <v>0.16082533052684633</v>
      </c>
    </row>
    <row r="416" spans="1:14" x14ac:dyDescent="0.25">
      <c r="A416">
        <v>4</v>
      </c>
      <c r="B416" t="s">
        <v>12</v>
      </c>
      <c r="C416">
        <v>2.1</v>
      </c>
      <c r="D416">
        <v>700</v>
      </c>
      <c r="E416">
        <v>20</v>
      </c>
      <c r="F416">
        <v>1</v>
      </c>
      <c r="G416">
        <v>42</v>
      </c>
      <c r="H416">
        <v>39</v>
      </c>
      <c r="I416" t="s">
        <v>24</v>
      </c>
      <c r="J416" t="s">
        <v>29</v>
      </c>
      <c r="K416" t="s">
        <v>98</v>
      </c>
      <c r="L416">
        <v>0.58925828120746859</v>
      </c>
      <c r="M416">
        <v>0.30519887196902329</v>
      </c>
      <c r="N416" s="18">
        <v>0.10554284682350812</v>
      </c>
    </row>
    <row r="417" spans="1:14" x14ac:dyDescent="0.25">
      <c r="A417">
        <v>4</v>
      </c>
      <c r="B417" t="s">
        <v>12</v>
      </c>
      <c r="C417">
        <v>2.1</v>
      </c>
      <c r="D417">
        <v>700</v>
      </c>
      <c r="E417">
        <v>20</v>
      </c>
      <c r="F417">
        <v>1</v>
      </c>
      <c r="G417">
        <v>48</v>
      </c>
      <c r="H417">
        <v>39</v>
      </c>
      <c r="I417" t="s">
        <v>26</v>
      </c>
      <c r="J417" t="s">
        <v>29</v>
      </c>
      <c r="K417" t="s">
        <v>98</v>
      </c>
      <c r="L417">
        <v>0.41203478804965638</v>
      </c>
      <c r="M417">
        <v>0.38288499452029029</v>
      </c>
      <c r="N417" s="18">
        <v>0.20508021743005334</v>
      </c>
    </row>
    <row r="418" spans="1:14" x14ac:dyDescent="0.25">
      <c r="A418">
        <v>5</v>
      </c>
      <c r="B418" t="s">
        <v>13</v>
      </c>
      <c r="C418">
        <v>2.1</v>
      </c>
      <c r="D418">
        <v>700</v>
      </c>
      <c r="E418">
        <v>20</v>
      </c>
      <c r="F418">
        <v>1</v>
      </c>
      <c r="G418">
        <v>30</v>
      </c>
      <c r="H418">
        <v>39</v>
      </c>
      <c r="I418" t="s">
        <v>20</v>
      </c>
      <c r="J418" t="s">
        <v>29</v>
      </c>
      <c r="K418" t="s">
        <v>98</v>
      </c>
      <c r="L418">
        <v>0.57873924266524801</v>
      </c>
      <c r="M418">
        <v>0.30304124765710128</v>
      </c>
      <c r="N418" s="18">
        <v>0.11821950967765071</v>
      </c>
    </row>
    <row r="419" spans="1:14" x14ac:dyDescent="0.25">
      <c r="A419">
        <v>5</v>
      </c>
      <c r="B419" t="s">
        <v>13</v>
      </c>
      <c r="C419">
        <v>2.1</v>
      </c>
      <c r="D419">
        <v>700</v>
      </c>
      <c r="E419">
        <v>20</v>
      </c>
      <c r="F419">
        <v>1</v>
      </c>
      <c r="G419">
        <v>36</v>
      </c>
      <c r="H419">
        <v>39</v>
      </c>
      <c r="I419" t="s">
        <v>22</v>
      </c>
      <c r="J419" t="s">
        <v>29</v>
      </c>
      <c r="K419" t="s">
        <v>98</v>
      </c>
      <c r="L419">
        <v>0.39555998258063746</v>
      </c>
      <c r="M419">
        <v>0.44138900357783234</v>
      </c>
      <c r="N419" s="18">
        <v>0.1630510138415302</v>
      </c>
    </row>
    <row r="420" spans="1:14" x14ac:dyDescent="0.25">
      <c r="A420">
        <v>5</v>
      </c>
      <c r="B420" t="s">
        <v>13</v>
      </c>
      <c r="C420">
        <v>2.1</v>
      </c>
      <c r="D420">
        <v>700</v>
      </c>
      <c r="E420">
        <v>20</v>
      </c>
      <c r="F420">
        <v>1</v>
      </c>
      <c r="G420">
        <v>42</v>
      </c>
      <c r="H420">
        <v>39</v>
      </c>
      <c r="I420" t="s">
        <v>24</v>
      </c>
      <c r="J420" t="s">
        <v>29</v>
      </c>
      <c r="K420" t="s">
        <v>98</v>
      </c>
      <c r="L420">
        <v>0.65948498879140161</v>
      </c>
      <c r="M420">
        <v>0.26013536955135019</v>
      </c>
      <c r="N420" s="18">
        <v>8.0379641657248202E-2</v>
      </c>
    </row>
    <row r="421" spans="1:14" x14ac:dyDescent="0.25">
      <c r="A421">
        <v>5</v>
      </c>
      <c r="B421" t="s">
        <v>13</v>
      </c>
      <c r="C421">
        <v>2.1</v>
      </c>
      <c r="D421">
        <v>700</v>
      </c>
      <c r="E421">
        <v>20</v>
      </c>
      <c r="F421">
        <v>1</v>
      </c>
      <c r="G421">
        <v>48</v>
      </c>
      <c r="H421">
        <v>39</v>
      </c>
      <c r="I421" t="s">
        <v>26</v>
      </c>
      <c r="J421" t="s">
        <v>29</v>
      </c>
      <c r="K421" t="s">
        <v>98</v>
      </c>
      <c r="L421">
        <v>0.49893500161059656</v>
      </c>
      <c r="M421">
        <v>0.34739995234691634</v>
      </c>
      <c r="N421" s="18">
        <v>0.1536650460424871</v>
      </c>
    </row>
    <row r="422" spans="1:14" x14ac:dyDescent="0.25">
      <c r="A422">
        <v>6</v>
      </c>
      <c r="B422" t="s">
        <v>14</v>
      </c>
      <c r="C422">
        <v>1.2</v>
      </c>
      <c r="D422">
        <v>1022</v>
      </c>
      <c r="E422">
        <v>25</v>
      </c>
      <c r="F422">
        <v>1</v>
      </c>
      <c r="G422">
        <v>30</v>
      </c>
      <c r="H422">
        <v>39</v>
      </c>
      <c r="I422" t="s">
        <v>20</v>
      </c>
      <c r="J422" t="s">
        <v>29</v>
      </c>
      <c r="K422" t="s">
        <v>98</v>
      </c>
      <c r="L422">
        <v>0.53851107327249148</v>
      </c>
      <c r="M422">
        <v>0.32516336159339188</v>
      </c>
      <c r="N422" s="18">
        <v>0.13632556513411664</v>
      </c>
    </row>
    <row r="423" spans="1:14" x14ac:dyDescent="0.25">
      <c r="A423">
        <v>6</v>
      </c>
      <c r="B423" t="s">
        <v>14</v>
      </c>
      <c r="C423">
        <v>1.2</v>
      </c>
      <c r="D423">
        <v>1022</v>
      </c>
      <c r="E423">
        <v>25</v>
      </c>
      <c r="F423">
        <v>1</v>
      </c>
      <c r="G423">
        <v>36</v>
      </c>
      <c r="H423">
        <v>39</v>
      </c>
      <c r="I423" t="s">
        <v>22</v>
      </c>
      <c r="J423" t="s">
        <v>29</v>
      </c>
      <c r="K423" t="s">
        <v>98</v>
      </c>
      <c r="L423">
        <v>0.35228734517170474</v>
      </c>
      <c r="M423">
        <v>0.45781879611586657</v>
      </c>
      <c r="N423" s="18">
        <v>0.1898938587124287</v>
      </c>
    </row>
    <row r="424" spans="1:14" x14ac:dyDescent="0.25">
      <c r="A424">
        <v>6</v>
      </c>
      <c r="B424" t="s">
        <v>14</v>
      </c>
      <c r="C424">
        <v>1.2</v>
      </c>
      <c r="D424">
        <v>1022</v>
      </c>
      <c r="E424">
        <v>25</v>
      </c>
      <c r="F424">
        <v>1</v>
      </c>
      <c r="G424">
        <v>42</v>
      </c>
      <c r="H424">
        <v>39</v>
      </c>
      <c r="I424" t="s">
        <v>24</v>
      </c>
      <c r="J424" t="s">
        <v>29</v>
      </c>
      <c r="K424" t="s">
        <v>98</v>
      </c>
      <c r="L424">
        <v>0.61002088312575087</v>
      </c>
      <c r="M424">
        <v>0.29232798776205693</v>
      </c>
      <c r="N424" s="18">
        <v>9.7651129112192203E-2</v>
      </c>
    </row>
    <row r="425" spans="1:14" x14ac:dyDescent="0.25">
      <c r="A425">
        <v>6</v>
      </c>
      <c r="B425" t="s">
        <v>14</v>
      </c>
      <c r="C425">
        <v>1.2</v>
      </c>
      <c r="D425">
        <v>1022</v>
      </c>
      <c r="E425">
        <v>25</v>
      </c>
      <c r="F425">
        <v>1</v>
      </c>
      <c r="G425">
        <v>48</v>
      </c>
      <c r="H425">
        <v>39</v>
      </c>
      <c r="I425" t="s">
        <v>26</v>
      </c>
      <c r="J425" t="s">
        <v>29</v>
      </c>
      <c r="K425" t="s">
        <v>98</v>
      </c>
      <c r="L425">
        <v>0.2694883535101128</v>
      </c>
      <c r="M425">
        <v>0.40161508891132813</v>
      </c>
      <c r="N425" s="18">
        <v>0.32889655757855907</v>
      </c>
    </row>
    <row r="426" spans="1:14" x14ac:dyDescent="0.25">
      <c r="A426">
        <v>7</v>
      </c>
      <c r="B426" t="s">
        <v>15</v>
      </c>
      <c r="C426">
        <v>2.1</v>
      </c>
      <c r="D426">
        <v>700</v>
      </c>
      <c r="E426">
        <v>20</v>
      </c>
      <c r="F426">
        <v>1</v>
      </c>
      <c r="G426">
        <v>30</v>
      </c>
      <c r="H426">
        <v>39</v>
      </c>
      <c r="I426" t="s">
        <v>20</v>
      </c>
      <c r="J426" t="s">
        <v>29</v>
      </c>
      <c r="K426" t="s">
        <v>98</v>
      </c>
      <c r="L426">
        <v>0.5793486227217135</v>
      </c>
      <c r="M426">
        <v>0.30269222810665042</v>
      </c>
      <c r="N426" s="18">
        <v>0.11795914917163608</v>
      </c>
    </row>
    <row r="427" spans="1:14" x14ac:dyDescent="0.25">
      <c r="A427">
        <v>7</v>
      </c>
      <c r="B427" t="s">
        <v>15</v>
      </c>
      <c r="C427">
        <v>2.1</v>
      </c>
      <c r="D427">
        <v>700</v>
      </c>
      <c r="E427">
        <v>20</v>
      </c>
      <c r="F427">
        <v>1</v>
      </c>
      <c r="G427">
        <v>36</v>
      </c>
      <c r="H427">
        <v>39</v>
      </c>
      <c r="I427" t="s">
        <v>22</v>
      </c>
      <c r="J427" t="s">
        <v>29</v>
      </c>
      <c r="K427" t="s">
        <v>98</v>
      </c>
      <c r="L427">
        <v>0.41566373725740247</v>
      </c>
      <c r="M427">
        <v>0.43234913707904332</v>
      </c>
      <c r="N427" s="18">
        <v>0.15198712566355421</v>
      </c>
    </row>
    <row r="428" spans="1:14" x14ac:dyDescent="0.25">
      <c r="A428">
        <v>7</v>
      </c>
      <c r="B428" t="s">
        <v>15</v>
      </c>
      <c r="C428">
        <v>2.1</v>
      </c>
      <c r="D428">
        <v>700</v>
      </c>
      <c r="E428">
        <v>20</v>
      </c>
      <c r="F428">
        <v>1</v>
      </c>
      <c r="G428">
        <v>42</v>
      </c>
      <c r="H428">
        <v>39</v>
      </c>
      <c r="I428" t="s">
        <v>24</v>
      </c>
      <c r="J428" t="s">
        <v>29</v>
      </c>
      <c r="K428" t="s">
        <v>98</v>
      </c>
      <c r="L428">
        <v>0.58925828120746859</v>
      </c>
      <c r="M428">
        <v>0.30519887196902329</v>
      </c>
      <c r="N428" s="18">
        <v>0.10554284682350812</v>
      </c>
    </row>
    <row r="429" spans="1:14" x14ac:dyDescent="0.25">
      <c r="A429">
        <v>7</v>
      </c>
      <c r="B429" t="s">
        <v>15</v>
      </c>
      <c r="C429">
        <v>2.1</v>
      </c>
      <c r="D429">
        <v>700</v>
      </c>
      <c r="E429">
        <v>20</v>
      </c>
      <c r="F429">
        <v>1</v>
      </c>
      <c r="G429">
        <v>48</v>
      </c>
      <c r="H429">
        <v>39</v>
      </c>
      <c r="I429" t="s">
        <v>26</v>
      </c>
      <c r="J429" t="s">
        <v>29</v>
      </c>
      <c r="K429" t="s">
        <v>98</v>
      </c>
      <c r="L429">
        <v>0.47460686555389359</v>
      </c>
      <c r="M429">
        <v>0.35862951294553319</v>
      </c>
      <c r="N429" s="18">
        <v>0.16676362150057322</v>
      </c>
    </row>
    <row r="430" spans="1:14" x14ac:dyDescent="0.25">
      <c r="A430">
        <v>8</v>
      </c>
      <c r="B430" t="s">
        <v>16</v>
      </c>
      <c r="C430">
        <v>2.1</v>
      </c>
      <c r="D430">
        <v>700</v>
      </c>
      <c r="E430">
        <v>20</v>
      </c>
      <c r="F430">
        <v>1</v>
      </c>
      <c r="G430">
        <v>30</v>
      </c>
      <c r="H430">
        <v>39</v>
      </c>
      <c r="I430" t="s">
        <v>20</v>
      </c>
      <c r="J430" t="s">
        <v>29</v>
      </c>
      <c r="K430" t="s">
        <v>98</v>
      </c>
      <c r="L430">
        <v>0.51741794907386274</v>
      </c>
      <c r="M430">
        <v>0.3359794760129039</v>
      </c>
      <c r="N430" s="18">
        <v>0.14660257491323336</v>
      </c>
    </row>
    <row r="431" spans="1:14" x14ac:dyDescent="0.25">
      <c r="A431">
        <v>8</v>
      </c>
      <c r="B431" t="s">
        <v>16</v>
      </c>
      <c r="C431">
        <v>2.1</v>
      </c>
      <c r="D431">
        <v>700</v>
      </c>
      <c r="E431">
        <v>20</v>
      </c>
      <c r="F431">
        <v>1</v>
      </c>
      <c r="G431">
        <v>36</v>
      </c>
      <c r="H431">
        <v>39</v>
      </c>
      <c r="I431" t="s">
        <v>22</v>
      </c>
      <c r="J431" t="s">
        <v>29</v>
      </c>
      <c r="K431" t="s">
        <v>98</v>
      </c>
      <c r="L431">
        <v>0.41566373725740247</v>
      </c>
      <c r="M431">
        <v>0.43234913707904332</v>
      </c>
      <c r="N431" s="18">
        <v>0.15198712566355421</v>
      </c>
    </row>
    <row r="432" spans="1:14" x14ac:dyDescent="0.25">
      <c r="A432">
        <v>8</v>
      </c>
      <c r="B432" t="s">
        <v>16</v>
      </c>
      <c r="C432">
        <v>2.1</v>
      </c>
      <c r="D432">
        <v>700</v>
      </c>
      <c r="E432">
        <v>20</v>
      </c>
      <c r="F432">
        <v>1</v>
      </c>
      <c r="G432">
        <v>42</v>
      </c>
      <c r="H432">
        <v>39</v>
      </c>
      <c r="I432" t="s">
        <v>24</v>
      </c>
      <c r="J432" t="s">
        <v>29</v>
      </c>
      <c r="K432" t="s">
        <v>98</v>
      </c>
      <c r="L432">
        <v>0.58925828120746859</v>
      </c>
      <c r="M432">
        <v>0.30519887196902329</v>
      </c>
      <c r="N432" s="18">
        <v>0.10554284682350812</v>
      </c>
    </row>
    <row r="433" spans="1:14" x14ac:dyDescent="0.25">
      <c r="A433">
        <v>8</v>
      </c>
      <c r="B433" t="s">
        <v>16</v>
      </c>
      <c r="C433">
        <v>2.1</v>
      </c>
      <c r="D433">
        <v>700</v>
      </c>
      <c r="E433">
        <v>20</v>
      </c>
      <c r="F433">
        <v>1</v>
      </c>
      <c r="G433">
        <v>48</v>
      </c>
      <c r="H433">
        <v>39</v>
      </c>
      <c r="I433" t="s">
        <v>26</v>
      </c>
      <c r="J433" t="s">
        <v>29</v>
      </c>
      <c r="K433" t="s">
        <v>98</v>
      </c>
      <c r="L433">
        <v>0.42327096329012592</v>
      </c>
      <c r="M433">
        <v>0.37907790569837607</v>
      </c>
      <c r="N433" s="18">
        <v>0.197651131011498</v>
      </c>
    </row>
    <row r="434" spans="1:14" x14ac:dyDescent="0.25">
      <c r="A434">
        <v>1</v>
      </c>
      <c r="B434">
        <v>1</v>
      </c>
      <c r="C434">
        <v>2.1</v>
      </c>
      <c r="D434">
        <v>700</v>
      </c>
      <c r="E434">
        <v>20</v>
      </c>
      <c r="F434">
        <v>1</v>
      </c>
      <c r="G434">
        <v>49</v>
      </c>
      <c r="H434">
        <v>40</v>
      </c>
      <c r="I434" t="s">
        <v>19</v>
      </c>
      <c r="J434" t="s">
        <v>27</v>
      </c>
      <c r="K434">
        <v>0.42523971817968997</v>
      </c>
      <c r="L434">
        <v>0.26714673903608477</v>
      </c>
      <c r="M434">
        <v>0.21765981136364065</v>
      </c>
      <c r="N434" s="18">
        <v>8.9953731420584604E-2</v>
      </c>
    </row>
    <row r="435" spans="1:14" x14ac:dyDescent="0.25">
      <c r="A435">
        <v>1</v>
      </c>
      <c r="B435">
        <v>1</v>
      </c>
      <c r="C435">
        <v>2.1</v>
      </c>
      <c r="D435">
        <v>700</v>
      </c>
      <c r="E435">
        <v>20</v>
      </c>
      <c r="F435">
        <v>1</v>
      </c>
      <c r="G435">
        <v>50</v>
      </c>
      <c r="H435">
        <v>41</v>
      </c>
      <c r="I435" t="s">
        <v>19</v>
      </c>
      <c r="J435" t="s">
        <v>28</v>
      </c>
      <c r="K435">
        <v>0.65130944495031828</v>
      </c>
      <c r="L435">
        <v>0.19904707100100971</v>
      </c>
      <c r="M435">
        <v>0.11196647228519707</v>
      </c>
      <c r="N435" s="18">
        <v>3.7677011763474932E-2</v>
      </c>
    </row>
    <row r="436" spans="1:14" x14ac:dyDescent="0.25">
      <c r="A436">
        <v>1</v>
      </c>
      <c r="B436">
        <v>1</v>
      </c>
      <c r="C436">
        <v>2.1</v>
      </c>
      <c r="D436">
        <v>700</v>
      </c>
      <c r="E436">
        <v>20</v>
      </c>
      <c r="F436">
        <v>1</v>
      </c>
      <c r="G436">
        <v>51</v>
      </c>
      <c r="H436">
        <v>42</v>
      </c>
      <c r="I436" t="s">
        <v>19</v>
      </c>
      <c r="J436" t="s">
        <v>29</v>
      </c>
      <c r="K436">
        <v>0.30874352581503794</v>
      </c>
      <c r="L436">
        <v>0.26731161768322043</v>
      </c>
      <c r="M436">
        <v>0.28324629038722038</v>
      </c>
      <c r="N436" s="18">
        <v>0.14069856611452125</v>
      </c>
    </row>
    <row r="437" spans="1:14" x14ac:dyDescent="0.25">
      <c r="A437">
        <v>1</v>
      </c>
      <c r="B437">
        <v>1</v>
      </c>
      <c r="C437">
        <v>2.1</v>
      </c>
      <c r="D437">
        <v>700</v>
      </c>
      <c r="E437">
        <v>20</v>
      </c>
      <c r="F437">
        <v>1</v>
      </c>
      <c r="G437">
        <v>52</v>
      </c>
      <c r="H437">
        <v>43</v>
      </c>
      <c r="I437" t="s">
        <v>20</v>
      </c>
      <c r="J437" t="s">
        <v>27</v>
      </c>
      <c r="K437">
        <v>0.56168417166181595</v>
      </c>
      <c r="L437">
        <v>0.21160890116043773</v>
      </c>
      <c r="M437">
        <v>0.15206649242616521</v>
      </c>
      <c r="N437" s="18">
        <v>7.4640434751581108E-2</v>
      </c>
    </row>
    <row r="438" spans="1:14" x14ac:dyDescent="0.25">
      <c r="A438">
        <v>1</v>
      </c>
      <c r="B438">
        <v>1</v>
      </c>
      <c r="C438">
        <v>2.1</v>
      </c>
      <c r="D438">
        <v>700</v>
      </c>
      <c r="E438">
        <v>20</v>
      </c>
      <c r="F438">
        <v>1</v>
      </c>
      <c r="G438">
        <v>53</v>
      </c>
      <c r="H438">
        <v>44</v>
      </c>
      <c r="I438" t="s">
        <v>20</v>
      </c>
      <c r="J438" t="s">
        <v>28</v>
      </c>
      <c r="K438">
        <v>0.69055174086306148</v>
      </c>
      <c r="L438">
        <v>0.1653549136972039</v>
      </c>
      <c r="M438">
        <v>9.9824690898816737E-2</v>
      </c>
      <c r="N438" s="18">
        <v>4.4268654540917884E-2</v>
      </c>
    </row>
    <row r="439" spans="1:14" x14ac:dyDescent="0.25">
      <c r="A439">
        <v>1</v>
      </c>
      <c r="B439">
        <v>1</v>
      </c>
      <c r="C439">
        <v>2.1</v>
      </c>
      <c r="D439">
        <v>700</v>
      </c>
      <c r="E439">
        <v>20</v>
      </c>
      <c r="F439">
        <v>1</v>
      </c>
      <c r="G439">
        <v>54</v>
      </c>
      <c r="H439">
        <v>45</v>
      </c>
      <c r="I439" t="s">
        <v>20</v>
      </c>
      <c r="J439" t="s">
        <v>29</v>
      </c>
      <c r="K439">
        <v>0.45596438749771256</v>
      </c>
      <c r="L439">
        <v>0.2345232426906933</v>
      </c>
      <c r="M439">
        <v>0.19972354853314322</v>
      </c>
      <c r="N439" s="18">
        <v>0.10978882127845091</v>
      </c>
    </row>
    <row r="440" spans="1:14" x14ac:dyDescent="0.25">
      <c r="A440">
        <v>1</v>
      </c>
      <c r="B440">
        <v>1</v>
      </c>
      <c r="C440">
        <v>2.1</v>
      </c>
      <c r="D440">
        <v>700</v>
      </c>
      <c r="E440">
        <v>20</v>
      </c>
      <c r="F440">
        <v>1</v>
      </c>
      <c r="G440">
        <v>55</v>
      </c>
      <c r="H440">
        <v>46</v>
      </c>
      <c r="I440" t="s">
        <v>21</v>
      </c>
      <c r="J440" t="s">
        <v>27</v>
      </c>
      <c r="K440">
        <v>0.51164789223487939</v>
      </c>
      <c r="L440">
        <v>0.243119049769985</v>
      </c>
      <c r="M440">
        <v>0.18245414678686445</v>
      </c>
      <c r="N440" s="18">
        <v>6.2778911208271171E-2</v>
      </c>
    </row>
    <row r="441" spans="1:14" x14ac:dyDescent="0.25">
      <c r="A441">
        <v>1</v>
      </c>
      <c r="B441">
        <v>1</v>
      </c>
      <c r="C441">
        <v>2.1</v>
      </c>
      <c r="D441">
        <v>700</v>
      </c>
      <c r="E441">
        <v>20</v>
      </c>
      <c r="F441">
        <v>1</v>
      </c>
      <c r="G441">
        <v>56</v>
      </c>
      <c r="H441">
        <v>47</v>
      </c>
      <c r="I441" t="s">
        <v>21</v>
      </c>
      <c r="J441" t="s">
        <v>28</v>
      </c>
      <c r="K441">
        <v>0.72342202957828172</v>
      </c>
      <c r="L441">
        <v>0.16141956288100379</v>
      </c>
      <c r="M441">
        <v>8.9028566713228785E-2</v>
      </c>
      <c r="N441" s="18">
        <v>2.6129840827485706E-2</v>
      </c>
    </row>
    <row r="442" spans="1:14" x14ac:dyDescent="0.25">
      <c r="A442">
        <v>1</v>
      </c>
      <c r="B442">
        <v>1</v>
      </c>
      <c r="C442">
        <v>2.1</v>
      </c>
      <c r="D442">
        <v>700</v>
      </c>
      <c r="E442">
        <v>20</v>
      </c>
      <c r="F442">
        <v>1</v>
      </c>
      <c r="G442">
        <v>57</v>
      </c>
      <c r="H442">
        <v>48</v>
      </c>
      <c r="I442" t="s">
        <v>21</v>
      </c>
      <c r="J442" t="s">
        <v>29</v>
      </c>
      <c r="K442">
        <v>0.32298227690184222</v>
      </c>
      <c r="L442">
        <v>0.26060083861543304</v>
      </c>
      <c r="M442">
        <v>0.28817569404908483</v>
      </c>
      <c r="N442" s="18">
        <v>0.12824119043363991</v>
      </c>
    </row>
    <row r="443" spans="1:14" x14ac:dyDescent="0.25">
      <c r="A443">
        <v>1</v>
      </c>
      <c r="B443">
        <v>1</v>
      </c>
      <c r="C443">
        <v>2.1</v>
      </c>
      <c r="D443">
        <v>700</v>
      </c>
      <c r="E443">
        <v>20</v>
      </c>
      <c r="F443">
        <v>1</v>
      </c>
      <c r="G443">
        <v>58</v>
      </c>
      <c r="H443">
        <v>49</v>
      </c>
      <c r="I443" t="s">
        <v>22</v>
      </c>
      <c r="J443" t="s">
        <v>27</v>
      </c>
      <c r="K443">
        <v>0.28706941680243026</v>
      </c>
      <c r="L443">
        <v>0.23499873673781269</v>
      </c>
      <c r="M443">
        <v>0.31913800518473001</v>
      </c>
      <c r="N443" s="18">
        <v>0.15879384127502705</v>
      </c>
    </row>
    <row r="444" spans="1:14" x14ac:dyDescent="0.25">
      <c r="A444">
        <v>1</v>
      </c>
      <c r="B444">
        <v>1</v>
      </c>
      <c r="C444">
        <v>2.1</v>
      </c>
      <c r="D444">
        <v>700</v>
      </c>
      <c r="E444">
        <v>20</v>
      </c>
      <c r="F444">
        <v>1</v>
      </c>
      <c r="G444">
        <v>59</v>
      </c>
      <c r="H444">
        <v>50</v>
      </c>
      <c r="I444" t="s">
        <v>22</v>
      </c>
      <c r="J444" t="s">
        <v>28</v>
      </c>
      <c r="K444">
        <v>0.50473235868279409</v>
      </c>
      <c r="L444">
        <v>0.22705895010628108</v>
      </c>
      <c r="M444">
        <v>0.19692461913570203</v>
      </c>
      <c r="N444" s="18">
        <v>7.1284072075222804E-2</v>
      </c>
    </row>
    <row r="445" spans="1:14" x14ac:dyDescent="0.25">
      <c r="A445">
        <v>1</v>
      </c>
      <c r="B445">
        <v>1</v>
      </c>
      <c r="C445">
        <v>2.1</v>
      </c>
      <c r="D445">
        <v>700</v>
      </c>
      <c r="E445">
        <v>20</v>
      </c>
      <c r="F445">
        <v>1</v>
      </c>
      <c r="G445">
        <v>60</v>
      </c>
      <c r="H445">
        <v>51</v>
      </c>
      <c r="I445" t="s">
        <v>22</v>
      </c>
      <c r="J445" t="s">
        <v>29</v>
      </c>
      <c r="K445">
        <v>0.15769491947149036</v>
      </c>
      <c r="L445">
        <v>0.1732598387264471</v>
      </c>
      <c r="M445">
        <v>0.36835854292463749</v>
      </c>
      <c r="N445" s="18">
        <v>0.30068669887742505</v>
      </c>
    </row>
    <row r="446" spans="1:14" x14ac:dyDescent="0.25">
      <c r="A446">
        <v>1</v>
      </c>
      <c r="B446">
        <v>1</v>
      </c>
      <c r="C446">
        <v>2.1</v>
      </c>
      <c r="D446">
        <v>700</v>
      </c>
      <c r="E446">
        <v>20</v>
      </c>
      <c r="F446">
        <v>1</v>
      </c>
      <c r="G446">
        <v>61</v>
      </c>
      <c r="H446">
        <v>52</v>
      </c>
      <c r="I446" t="s">
        <v>23</v>
      </c>
      <c r="J446" t="s">
        <v>27</v>
      </c>
      <c r="K446">
        <v>0.54113183743518722</v>
      </c>
      <c r="L446">
        <v>0.25417241004419422</v>
      </c>
      <c r="M446">
        <v>0.15484095089198102</v>
      </c>
      <c r="N446" s="18">
        <v>4.9854801628637535E-2</v>
      </c>
    </row>
    <row r="447" spans="1:14" x14ac:dyDescent="0.25">
      <c r="A447">
        <v>1</v>
      </c>
      <c r="B447">
        <v>1</v>
      </c>
      <c r="C447">
        <v>2.1</v>
      </c>
      <c r="D447">
        <v>700</v>
      </c>
      <c r="E447">
        <v>20</v>
      </c>
      <c r="F447">
        <v>1</v>
      </c>
      <c r="G447">
        <v>62</v>
      </c>
      <c r="H447">
        <v>53</v>
      </c>
      <c r="I447" t="s">
        <v>23</v>
      </c>
      <c r="J447" t="s">
        <v>28</v>
      </c>
      <c r="K447">
        <v>0.81428542539035642</v>
      </c>
      <c r="L447">
        <v>0.12097183066853878</v>
      </c>
      <c r="M447">
        <v>5.082671256654725E-2</v>
      </c>
      <c r="N447" s="18">
        <v>1.3916031374557547E-2</v>
      </c>
    </row>
    <row r="448" spans="1:14" x14ac:dyDescent="0.25">
      <c r="A448">
        <v>1</v>
      </c>
      <c r="B448">
        <v>1</v>
      </c>
      <c r="C448">
        <v>2.1</v>
      </c>
      <c r="D448">
        <v>700</v>
      </c>
      <c r="E448">
        <v>20</v>
      </c>
      <c r="F448">
        <v>1</v>
      </c>
      <c r="G448">
        <v>63</v>
      </c>
      <c r="H448">
        <v>54</v>
      </c>
      <c r="I448" t="s">
        <v>23</v>
      </c>
      <c r="J448" t="s">
        <v>29</v>
      </c>
      <c r="K448">
        <v>0.26823420744235832</v>
      </c>
      <c r="L448">
        <v>0.2788013064829738</v>
      </c>
      <c r="M448">
        <v>0.30853782831787968</v>
      </c>
      <c r="N448" s="18">
        <v>0.1444266577567882</v>
      </c>
    </row>
    <row r="449" spans="1:14" x14ac:dyDescent="0.25">
      <c r="A449">
        <v>1</v>
      </c>
      <c r="B449">
        <v>1</v>
      </c>
      <c r="C449">
        <v>2.1</v>
      </c>
      <c r="D449">
        <v>700</v>
      </c>
      <c r="E449">
        <v>20</v>
      </c>
      <c r="F449">
        <v>1</v>
      </c>
      <c r="G449">
        <v>64</v>
      </c>
      <c r="H449">
        <v>55</v>
      </c>
      <c r="I449" t="s">
        <v>24</v>
      </c>
      <c r="J449" t="s">
        <v>27</v>
      </c>
      <c r="K449">
        <v>0.67205626265027152</v>
      </c>
      <c r="L449">
        <v>0.15809504685743603</v>
      </c>
      <c r="M449">
        <v>0.12482939719312247</v>
      </c>
      <c r="N449" s="18">
        <v>4.5019293299169982E-2</v>
      </c>
    </row>
    <row r="450" spans="1:14" x14ac:dyDescent="0.25">
      <c r="A450">
        <v>1</v>
      </c>
      <c r="B450">
        <v>1</v>
      </c>
      <c r="C450">
        <v>2.1</v>
      </c>
      <c r="D450">
        <v>700</v>
      </c>
      <c r="E450">
        <v>20</v>
      </c>
      <c r="F450">
        <v>1</v>
      </c>
      <c r="G450">
        <v>65</v>
      </c>
      <c r="H450">
        <v>56</v>
      </c>
      <c r="I450" t="s">
        <v>24</v>
      </c>
      <c r="J450" t="s">
        <v>28</v>
      </c>
      <c r="K450">
        <v>0.84952750392040666</v>
      </c>
      <c r="L450">
        <v>8.1340511288875539E-2</v>
      </c>
      <c r="M450">
        <v>5.230828733094095E-2</v>
      </c>
      <c r="N450" s="18">
        <v>1.6823697459776854E-2</v>
      </c>
    </row>
    <row r="451" spans="1:14" x14ac:dyDescent="0.25">
      <c r="A451">
        <v>1</v>
      </c>
      <c r="B451">
        <v>1</v>
      </c>
      <c r="C451">
        <v>2.1</v>
      </c>
      <c r="D451">
        <v>700</v>
      </c>
      <c r="E451">
        <v>20</v>
      </c>
      <c r="F451">
        <v>1</v>
      </c>
      <c r="G451">
        <v>66</v>
      </c>
      <c r="H451">
        <v>57</v>
      </c>
      <c r="I451" t="s">
        <v>24</v>
      </c>
      <c r="J451" t="s">
        <v>29</v>
      </c>
      <c r="K451">
        <v>0.52450535065660764</v>
      </c>
      <c r="L451">
        <v>0.20007565287971962</v>
      </c>
      <c r="M451">
        <v>0.19489139317058723</v>
      </c>
      <c r="N451" s="18">
        <v>8.0527603293085503E-2</v>
      </c>
    </row>
    <row r="452" spans="1:14" x14ac:dyDescent="0.25">
      <c r="A452">
        <v>1</v>
      </c>
      <c r="B452">
        <v>1</v>
      </c>
      <c r="C452">
        <v>2.1</v>
      </c>
      <c r="D452">
        <v>700</v>
      </c>
      <c r="E452">
        <v>20</v>
      </c>
      <c r="F452">
        <v>1</v>
      </c>
      <c r="G452">
        <v>67</v>
      </c>
      <c r="H452">
        <v>58</v>
      </c>
      <c r="I452" t="s">
        <v>25</v>
      </c>
      <c r="J452" t="s">
        <v>27</v>
      </c>
      <c r="K452">
        <v>6.8115759378310187E-2</v>
      </c>
      <c r="L452">
        <v>0.1511928520876567</v>
      </c>
      <c r="M452">
        <v>0.41380554471519759</v>
      </c>
      <c r="N452" s="18">
        <v>0.36688584381883549</v>
      </c>
    </row>
    <row r="453" spans="1:14" x14ac:dyDescent="0.25">
      <c r="A453">
        <v>1</v>
      </c>
      <c r="B453">
        <v>1</v>
      </c>
      <c r="C453">
        <v>2.1</v>
      </c>
      <c r="D453">
        <v>700</v>
      </c>
      <c r="E453">
        <v>20</v>
      </c>
      <c r="F453">
        <v>1</v>
      </c>
      <c r="G453">
        <v>68</v>
      </c>
      <c r="H453">
        <v>59</v>
      </c>
      <c r="I453" t="s">
        <v>25</v>
      </c>
      <c r="J453" t="s">
        <v>28</v>
      </c>
      <c r="K453">
        <v>0.15203868765627995</v>
      </c>
      <c r="L453">
        <v>0.25592253684296296</v>
      </c>
      <c r="M453">
        <v>0.40094210688355109</v>
      </c>
      <c r="N453" s="18">
        <v>0.19109666861720598</v>
      </c>
    </row>
    <row r="454" spans="1:14" x14ac:dyDescent="0.25">
      <c r="A454">
        <v>1</v>
      </c>
      <c r="B454">
        <v>1</v>
      </c>
      <c r="C454">
        <v>2.1</v>
      </c>
      <c r="D454">
        <v>700</v>
      </c>
      <c r="E454">
        <v>20</v>
      </c>
      <c r="F454">
        <v>1</v>
      </c>
      <c r="G454">
        <v>69</v>
      </c>
      <c r="H454">
        <v>60</v>
      </c>
      <c r="I454" t="s">
        <v>25</v>
      </c>
      <c r="J454" t="s">
        <v>29</v>
      </c>
      <c r="K454">
        <v>5.6534965479882744E-2</v>
      </c>
      <c r="L454">
        <v>0.13065096242709914</v>
      </c>
      <c r="M454">
        <v>0.39867970778030315</v>
      </c>
      <c r="N454" s="18">
        <v>0.414134364312715</v>
      </c>
    </row>
    <row r="455" spans="1:14" x14ac:dyDescent="0.25">
      <c r="A455">
        <v>1</v>
      </c>
      <c r="B455">
        <v>1</v>
      </c>
      <c r="C455">
        <v>2.1</v>
      </c>
      <c r="D455">
        <v>700</v>
      </c>
      <c r="E455">
        <v>20</v>
      </c>
      <c r="F455">
        <v>1</v>
      </c>
      <c r="G455">
        <v>70</v>
      </c>
      <c r="H455">
        <v>61</v>
      </c>
      <c r="I455" t="s">
        <v>26</v>
      </c>
      <c r="J455" t="s">
        <v>27</v>
      </c>
      <c r="K455">
        <v>0.60115981103861349</v>
      </c>
      <c r="L455">
        <v>0.20775897773986973</v>
      </c>
      <c r="M455">
        <v>0.12690532439479374</v>
      </c>
      <c r="N455" s="18">
        <v>6.4175886826723039E-2</v>
      </c>
    </row>
    <row r="456" spans="1:14" x14ac:dyDescent="0.25">
      <c r="A456">
        <v>1</v>
      </c>
      <c r="B456">
        <v>1</v>
      </c>
      <c r="C456">
        <v>2.1</v>
      </c>
      <c r="D456">
        <v>700</v>
      </c>
      <c r="E456">
        <v>20</v>
      </c>
      <c r="F456">
        <v>1</v>
      </c>
      <c r="G456">
        <v>71</v>
      </c>
      <c r="H456">
        <v>62</v>
      </c>
      <c r="I456" t="s">
        <v>26</v>
      </c>
      <c r="J456" t="s">
        <v>28</v>
      </c>
      <c r="K456">
        <v>0.69200294709950394</v>
      </c>
      <c r="L456">
        <v>0.1712057427462661</v>
      </c>
      <c r="M456">
        <v>9.2809466486150294E-2</v>
      </c>
      <c r="N456" s="18">
        <v>4.3981843668079668E-2</v>
      </c>
    </row>
    <row r="457" spans="1:14" x14ac:dyDescent="0.25">
      <c r="A457">
        <v>1</v>
      </c>
      <c r="B457">
        <v>1</v>
      </c>
      <c r="C457">
        <v>2.1</v>
      </c>
      <c r="D457">
        <v>700</v>
      </c>
      <c r="E457">
        <v>20</v>
      </c>
      <c r="F457">
        <v>1</v>
      </c>
      <c r="G457">
        <v>72</v>
      </c>
      <c r="H457">
        <v>63</v>
      </c>
      <c r="I457" t="s">
        <v>26</v>
      </c>
      <c r="J457" t="s">
        <v>29</v>
      </c>
      <c r="K457">
        <v>0.50839920981720832</v>
      </c>
      <c r="L457">
        <v>0.23549343174903137</v>
      </c>
      <c r="M457">
        <v>0.16524081285983216</v>
      </c>
      <c r="N457" s="18">
        <v>9.0866545573928148E-2</v>
      </c>
    </row>
    <row r="458" spans="1:14" x14ac:dyDescent="0.25">
      <c r="A458">
        <v>2</v>
      </c>
      <c r="B458" t="s">
        <v>10</v>
      </c>
      <c r="C458">
        <v>2.1</v>
      </c>
      <c r="D458">
        <v>828</v>
      </c>
      <c r="E458">
        <v>29</v>
      </c>
      <c r="F458">
        <v>0</v>
      </c>
      <c r="G458">
        <v>49</v>
      </c>
      <c r="H458">
        <v>64</v>
      </c>
      <c r="I458" t="s">
        <v>19</v>
      </c>
      <c r="J458" t="s">
        <v>27</v>
      </c>
      <c r="K458">
        <v>0.47020534114618484</v>
      </c>
      <c r="L458">
        <v>0.25952995559435754</v>
      </c>
      <c r="M458">
        <v>0.19413829277435679</v>
      </c>
      <c r="N458" s="18">
        <v>7.6126410485100826E-2</v>
      </c>
    </row>
    <row r="459" spans="1:14" x14ac:dyDescent="0.25">
      <c r="A459">
        <v>2</v>
      </c>
      <c r="B459" t="s">
        <v>10</v>
      </c>
      <c r="C459">
        <v>2.1</v>
      </c>
      <c r="D459">
        <v>828</v>
      </c>
      <c r="E459">
        <v>29</v>
      </c>
      <c r="F459">
        <v>0</v>
      </c>
      <c r="G459">
        <v>50</v>
      </c>
      <c r="H459">
        <v>65</v>
      </c>
      <c r="I459" t="s">
        <v>19</v>
      </c>
      <c r="J459" t="s">
        <v>28</v>
      </c>
      <c r="K459">
        <v>0.6952500583186908</v>
      </c>
      <c r="L459">
        <v>0.17881396830661533</v>
      </c>
      <c r="M459">
        <v>9.4875917013760969E-2</v>
      </c>
      <c r="N459" s="18">
        <v>3.1060056360932897E-2</v>
      </c>
    </row>
    <row r="460" spans="1:14" x14ac:dyDescent="0.25">
      <c r="A460">
        <v>2</v>
      </c>
      <c r="B460" t="s">
        <v>10</v>
      </c>
      <c r="C460">
        <v>2.1</v>
      </c>
      <c r="D460">
        <v>828</v>
      </c>
      <c r="E460">
        <v>29</v>
      </c>
      <c r="F460">
        <v>0</v>
      </c>
      <c r="G460">
        <v>51</v>
      </c>
      <c r="H460">
        <v>66</v>
      </c>
      <c r="I460" t="s">
        <v>19</v>
      </c>
      <c r="J460" t="s">
        <v>29</v>
      </c>
      <c r="K460">
        <v>0.35399601877005593</v>
      </c>
      <c r="L460">
        <v>0.27106359876380814</v>
      </c>
      <c r="M460">
        <v>0.25719747454117914</v>
      </c>
      <c r="N460" s="18">
        <v>0.11774290792495679</v>
      </c>
    </row>
    <row r="461" spans="1:14" x14ac:dyDescent="0.25">
      <c r="A461">
        <v>2</v>
      </c>
      <c r="B461" t="s">
        <v>10</v>
      </c>
      <c r="C461">
        <v>2.1</v>
      </c>
      <c r="D461">
        <v>828</v>
      </c>
      <c r="E461">
        <v>29</v>
      </c>
      <c r="F461">
        <v>0</v>
      </c>
      <c r="G461">
        <v>52</v>
      </c>
      <c r="H461">
        <v>67</v>
      </c>
      <c r="I461" t="s">
        <v>20</v>
      </c>
      <c r="J461" t="s">
        <v>27</v>
      </c>
      <c r="K461">
        <v>0.68704921812722886</v>
      </c>
      <c r="L461">
        <v>0.16683047409673257</v>
      </c>
      <c r="M461">
        <v>0.10115515405403031</v>
      </c>
      <c r="N461" s="18">
        <v>4.4965153722008266E-2</v>
      </c>
    </row>
    <row r="462" spans="1:14" x14ac:dyDescent="0.25">
      <c r="A462">
        <v>2</v>
      </c>
      <c r="B462" t="s">
        <v>10</v>
      </c>
      <c r="C462">
        <v>2.1</v>
      </c>
      <c r="D462">
        <v>828</v>
      </c>
      <c r="E462">
        <v>29</v>
      </c>
      <c r="F462">
        <v>0</v>
      </c>
      <c r="G462">
        <v>53</v>
      </c>
      <c r="H462">
        <v>68</v>
      </c>
      <c r="I462" t="s">
        <v>20</v>
      </c>
      <c r="J462" t="s">
        <v>28</v>
      </c>
      <c r="K462">
        <v>0.84027290187525105</v>
      </c>
      <c r="L462">
        <v>9.3073040952342145E-2</v>
      </c>
      <c r="M462">
        <v>4.7384289437566784E-2</v>
      </c>
      <c r="N462" s="18">
        <v>1.9269767734840015E-2</v>
      </c>
    </row>
    <row r="463" spans="1:14" x14ac:dyDescent="0.25">
      <c r="A463">
        <v>2</v>
      </c>
      <c r="B463" t="s">
        <v>10</v>
      </c>
      <c r="C463">
        <v>2.1</v>
      </c>
      <c r="D463">
        <v>828</v>
      </c>
      <c r="E463">
        <v>29</v>
      </c>
      <c r="F463">
        <v>0</v>
      </c>
      <c r="G463">
        <v>54</v>
      </c>
      <c r="H463">
        <v>69</v>
      </c>
      <c r="I463" t="s">
        <v>20</v>
      </c>
      <c r="J463" t="s">
        <v>29</v>
      </c>
      <c r="K463">
        <v>0.37757827012875894</v>
      </c>
      <c r="L463">
        <v>0.23997123126348857</v>
      </c>
      <c r="M463">
        <v>0.2368658822566968</v>
      </c>
      <c r="N463" s="18">
        <v>0.14558461635105568</v>
      </c>
    </row>
    <row r="464" spans="1:14" x14ac:dyDescent="0.25">
      <c r="A464">
        <v>2</v>
      </c>
      <c r="B464" t="s">
        <v>10</v>
      </c>
      <c r="C464">
        <v>2.1</v>
      </c>
      <c r="D464">
        <v>828</v>
      </c>
      <c r="E464">
        <v>29</v>
      </c>
      <c r="F464">
        <v>0</v>
      </c>
      <c r="G464">
        <v>55</v>
      </c>
      <c r="H464">
        <v>70</v>
      </c>
      <c r="I464" t="s">
        <v>21</v>
      </c>
      <c r="J464" t="s">
        <v>27</v>
      </c>
      <c r="K464">
        <v>0.5663808211426673</v>
      </c>
      <c r="L464">
        <v>0.22688097109199312</v>
      </c>
      <c r="M464">
        <v>0.15574870129796647</v>
      </c>
      <c r="N464" s="18">
        <v>5.0989506467373102E-2</v>
      </c>
    </row>
    <row r="465" spans="1:14" x14ac:dyDescent="0.25">
      <c r="A465">
        <v>2</v>
      </c>
      <c r="B465" t="s">
        <v>10</v>
      </c>
      <c r="C465">
        <v>2.1</v>
      </c>
      <c r="D465">
        <v>828</v>
      </c>
      <c r="E465">
        <v>29</v>
      </c>
      <c r="F465">
        <v>0</v>
      </c>
      <c r="G465">
        <v>56</v>
      </c>
      <c r="H465">
        <v>71</v>
      </c>
      <c r="I465" t="s">
        <v>21</v>
      </c>
      <c r="J465" t="s">
        <v>28</v>
      </c>
      <c r="K465">
        <v>0.7653072185142239</v>
      </c>
      <c r="L465">
        <v>0.14016818220813188</v>
      </c>
      <c r="M465">
        <v>7.3456457385866591E-2</v>
      </c>
      <c r="N465" s="18">
        <v>2.1068141891777636E-2</v>
      </c>
    </row>
    <row r="466" spans="1:14" x14ac:dyDescent="0.25">
      <c r="A466">
        <v>2</v>
      </c>
      <c r="B466" t="s">
        <v>10</v>
      </c>
      <c r="C466">
        <v>2.1</v>
      </c>
      <c r="D466">
        <v>828</v>
      </c>
      <c r="E466">
        <v>29</v>
      </c>
      <c r="F466">
        <v>0</v>
      </c>
      <c r="G466">
        <v>57</v>
      </c>
      <c r="H466">
        <v>72</v>
      </c>
      <c r="I466" t="s">
        <v>21</v>
      </c>
      <c r="J466" t="s">
        <v>29</v>
      </c>
      <c r="K466">
        <v>0.37294577182103189</v>
      </c>
      <c r="L466">
        <v>0.26304388088195702</v>
      </c>
      <c r="M466">
        <v>0.25846750047350298</v>
      </c>
      <c r="N466" s="18">
        <v>0.10554284682350812</v>
      </c>
    </row>
    <row r="467" spans="1:14" x14ac:dyDescent="0.25">
      <c r="A467">
        <v>2</v>
      </c>
      <c r="B467" t="s">
        <v>10</v>
      </c>
      <c r="C467">
        <v>2.1</v>
      </c>
      <c r="D467">
        <v>828</v>
      </c>
      <c r="E467">
        <v>29</v>
      </c>
      <c r="F467">
        <v>0</v>
      </c>
      <c r="G467">
        <v>58</v>
      </c>
      <c r="H467">
        <v>73</v>
      </c>
      <c r="I467" t="s">
        <v>22</v>
      </c>
      <c r="J467" t="s">
        <v>27</v>
      </c>
      <c r="K467">
        <v>0.2860390355016193</v>
      </c>
      <c r="L467">
        <v>0.15590647844651262</v>
      </c>
      <c r="M467">
        <v>0.2838969282679123</v>
      </c>
      <c r="N467" s="18">
        <v>0.27415755778395579</v>
      </c>
    </row>
    <row r="468" spans="1:14" x14ac:dyDescent="0.25">
      <c r="A468">
        <v>2</v>
      </c>
      <c r="B468" t="s">
        <v>10</v>
      </c>
      <c r="C468">
        <v>2.1</v>
      </c>
      <c r="D468">
        <v>828</v>
      </c>
      <c r="E468">
        <v>29</v>
      </c>
      <c r="F468">
        <v>0</v>
      </c>
      <c r="G468">
        <v>59</v>
      </c>
      <c r="H468">
        <v>74</v>
      </c>
      <c r="I468" t="s">
        <v>22</v>
      </c>
      <c r="J468" t="s">
        <v>28</v>
      </c>
      <c r="K468">
        <v>0.50347244417135073</v>
      </c>
      <c r="L468">
        <v>0.16074148124219279</v>
      </c>
      <c r="M468">
        <v>0.20265227435029354</v>
      </c>
      <c r="N468" s="18">
        <v>0.13313380023616295</v>
      </c>
    </row>
    <row r="469" spans="1:14" x14ac:dyDescent="0.25">
      <c r="A469">
        <v>2</v>
      </c>
      <c r="B469" t="s">
        <v>10</v>
      </c>
      <c r="C469">
        <v>2.1</v>
      </c>
      <c r="D469">
        <v>828</v>
      </c>
      <c r="E469">
        <v>29</v>
      </c>
      <c r="F469">
        <v>0</v>
      </c>
      <c r="G469">
        <v>60</v>
      </c>
      <c r="H469">
        <v>75</v>
      </c>
      <c r="I469" t="s">
        <v>22</v>
      </c>
      <c r="J469" t="s">
        <v>29</v>
      </c>
      <c r="K469">
        <v>0.15702662459173319</v>
      </c>
      <c r="L469">
        <v>0.10693665661779969</v>
      </c>
      <c r="M469">
        <v>0.27357345998497001</v>
      </c>
      <c r="N469" s="18">
        <v>0.4624632588054971</v>
      </c>
    </row>
    <row r="470" spans="1:14" x14ac:dyDescent="0.25">
      <c r="A470">
        <v>2</v>
      </c>
      <c r="B470" t="s">
        <v>10</v>
      </c>
      <c r="C470">
        <v>2.1</v>
      </c>
      <c r="D470">
        <v>828</v>
      </c>
      <c r="E470">
        <v>29</v>
      </c>
      <c r="F470">
        <v>0</v>
      </c>
      <c r="G470">
        <v>61</v>
      </c>
      <c r="H470">
        <v>76</v>
      </c>
      <c r="I470" t="s">
        <v>23</v>
      </c>
      <c r="J470" t="s">
        <v>27</v>
      </c>
      <c r="K470">
        <v>0.61632533537271506</v>
      </c>
      <c r="L470">
        <v>0.22475388277515773</v>
      </c>
      <c r="M470">
        <v>0.12182961904791156</v>
      </c>
      <c r="N470" s="18">
        <v>3.7091162804215649E-2</v>
      </c>
    </row>
    <row r="471" spans="1:14" x14ac:dyDescent="0.25">
      <c r="A471">
        <v>2</v>
      </c>
      <c r="B471" t="s">
        <v>10</v>
      </c>
      <c r="C471">
        <v>2.1</v>
      </c>
      <c r="D471">
        <v>828</v>
      </c>
      <c r="E471">
        <v>29</v>
      </c>
      <c r="F471">
        <v>0</v>
      </c>
      <c r="G471">
        <v>62</v>
      </c>
      <c r="H471">
        <v>77</v>
      </c>
      <c r="I471" t="s">
        <v>23</v>
      </c>
      <c r="J471" t="s">
        <v>28</v>
      </c>
      <c r="K471">
        <v>0.89743831815238773</v>
      </c>
      <c r="L471">
        <v>6.9037200176128133E-2</v>
      </c>
      <c r="M471">
        <v>2.6502618118991905E-2</v>
      </c>
      <c r="N471" s="18">
        <v>7.0218635524922357E-3</v>
      </c>
    </row>
    <row r="472" spans="1:14" x14ac:dyDescent="0.25">
      <c r="A472">
        <v>2</v>
      </c>
      <c r="B472" t="s">
        <v>10</v>
      </c>
      <c r="C472">
        <v>2.1</v>
      </c>
      <c r="D472">
        <v>828</v>
      </c>
      <c r="E472">
        <v>29</v>
      </c>
      <c r="F472">
        <v>0</v>
      </c>
      <c r="G472">
        <v>63</v>
      </c>
      <c r="H472">
        <v>78</v>
      </c>
      <c r="I472" t="s">
        <v>23</v>
      </c>
      <c r="J472" t="s">
        <v>29</v>
      </c>
      <c r="K472">
        <v>0.18336852446428956</v>
      </c>
      <c r="L472">
        <v>0.24184919688239584</v>
      </c>
      <c r="M472">
        <v>0.3587449168812496</v>
      </c>
      <c r="N472" s="18">
        <v>0.21603736177206501</v>
      </c>
    </row>
    <row r="473" spans="1:14" x14ac:dyDescent="0.25">
      <c r="A473">
        <v>2</v>
      </c>
      <c r="B473" t="s">
        <v>10</v>
      </c>
      <c r="C473">
        <v>2.1</v>
      </c>
      <c r="D473">
        <v>828</v>
      </c>
      <c r="E473">
        <v>29</v>
      </c>
      <c r="F473">
        <v>0</v>
      </c>
      <c r="G473">
        <v>64</v>
      </c>
      <c r="H473">
        <v>79</v>
      </c>
      <c r="I473" t="s">
        <v>24</v>
      </c>
      <c r="J473" t="s">
        <v>27</v>
      </c>
      <c r="K473">
        <v>0.69496606832370722</v>
      </c>
      <c r="L473">
        <v>0.14960496181339522</v>
      </c>
      <c r="M473">
        <v>0.11475099408907985</v>
      </c>
      <c r="N473" s="18">
        <v>4.0677975773817709E-2</v>
      </c>
    </row>
    <row r="474" spans="1:14" x14ac:dyDescent="0.25">
      <c r="A474">
        <v>2</v>
      </c>
      <c r="B474" t="s">
        <v>10</v>
      </c>
      <c r="C474">
        <v>2.1</v>
      </c>
      <c r="D474">
        <v>828</v>
      </c>
      <c r="E474">
        <v>29</v>
      </c>
      <c r="F474">
        <v>0</v>
      </c>
      <c r="G474">
        <v>65</v>
      </c>
      <c r="H474">
        <v>80</v>
      </c>
      <c r="I474" t="s">
        <v>24</v>
      </c>
      <c r="J474" t="s">
        <v>28</v>
      </c>
      <c r="K474">
        <v>0.86257455098410252</v>
      </c>
      <c r="L474">
        <v>7.4807560155874642E-2</v>
      </c>
      <c r="M474">
        <v>4.7459698123402894E-2</v>
      </c>
      <c r="N474" s="18">
        <v>1.5158190736619948E-2</v>
      </c>
    </row>
    <row r="475" spans="1:14" x14ac:dyDescent="0.25">
      <c r="A475">
        <v>2</v>
      </c>
      <c r="B475" t="s">
        <v>10</v>
      </c>
      <c r="C475">
        <v>2.1</v>
      </c>
      <c r="D475">
        <v>828</v>
      </c>
      <c r="E475">
        <v>29</v>
      </c>
      <c r="F475">
        <v>0</v>
      </c>
      <c r="G475">
        <v>66</v>
      </c>
      <c r="H475">
        <v>81</v>
      </c>
      <c r="I475" t="s">
        <v>24</v>
      </c>
      <c r="J475" t="s">
        <v>29</v>
      </c>
      <c r="K475">
        <v>0.55083376162452324</v>
      </c>
      <c r="L475">
        <v>0.19437882415962093</v>
      </c>
      <c r="M475">
        <v>0.18176344663848787</v>
      </c>
      <c r="N475" s="18">
        <v>7.3023967577367954E-2</v>
      </c>
    </row>
    <row r="476" spans="1:14" x14ac:dyDescent="0.25">
      <c r="A476">
        <v>2</v>
      </c>
      <c r="B476" t="s">
        <v>10</v>
      </c>
      <c r="C476">
        <v>2.1</v>
      </c>
      <c r="D476">
        <v>828</v>
      </c>
      <c r="E476">
        <v>29</v>
      </c>
      <c r="F476">
        <v>0</v>
      </c>
      <c r="G476">
        <v>67</v>
      </c>
      <c r="H476">
        <v>82</v>
      </c>
      <c r="I476" t="s">
        <v>25</v>
      </c>
      <c r="J476" t="s">
        <v>27</v>
      </c>
      <c r="K476">
        <v>0.14745537075053561</v>
      </c>
      <c r="L476">
        <v>0.25184046236624186</v>
      </c>
      <c r="M476">
        <v>0.40398069866314118</v>
      </c>
      <c r="N476" s="18">
        <v>0.19672346822008135</v>
      </c>
    </row>
    <row r="477" spans="1:14" x14ac:dyDescent="0.25">
      <c r="A477">
        <v>2</v>
      </c>
      <c r="B477" t="s">
        <v>10</v>
      </c>
      <c r="C477">
        <v>2.1</v>
      </c>
      <c r="D477">
        <v>828</v>
      </c>
      <c r="E477">
        <v>29</v>
      </c>
      <c r="F477">
        <v>0</v>
      </c>
      <c r="G477">
        <v>68</v>
      </c>
      <c r="H477">
        <v>83</v>
      </c>
      <c r="I477" t="s">
        <v>25</v>
      </c>
      <c r="J477" t="s">
        <v>28</v>
      </c>
      <c r="K477">
        <v>0.29788284624304634</v>
      </c>
      <c r="L477">
        <v>0.32196441999650788</v>
      </c>
      <c r="M477">
        <v>0.28937701809776428</v>
      </c>
      <c r="N477" s="18">
        <v>9.07757156626815E-2</v>
      </c>
    </row>
    <row r="478" spans="1:14" x14ac:dyDescent="0.25">
      <c r="A478">
        <v>2</v>
      </c>
      <c r="B478" t="s">
        <v>10</v>
      </c>
      <c r="C478">
        <v>2.1</v>
      </c>
      <c r="D478">
        <v>828</v>
      </c>
      <c r="E478">
        <v>29</v>
      </c>
      <c r="F478">
        <v>0</v>
      </c>
      <c r="G478">
        <v>69</v>
      </c>
      <c r="H478">
        <v>84</v>
      </c>
      <c r="I478" t="s">
        <v>25</v>
      </c>
      <c r="J478" t="s">
        <v>29</v>
      </c>
      <c r="K478">
        <v>0.12418309580579721</v>
      </c>
      <c r="L478">
        <v>0.22853791479144875</v>
      </c>
      <c r="M478">
        <v>0.41725929424218028</v>
      </c>
      <c r="N478" s="18">
        <v>0.23001969516057374</v>
      </c>
    </row>
    <row r="479" spans="1:14" x14ac:dyDescent="0.25">
      <c r="A479">
        <v>2</v>
      </c>
      <c r="B479" t="s">
        <v>10</v>
      </c>
      <c r="C479">
        <v>2.1</v>
      </c>
      <c r="D479">
        <v>828</v>
      </c>
      <c r="E479">
        <v>29</v>
      </c>
      <c r="F479">
        <v>0</v>
      </c>
      <c r="G479">
        <v>70</v>
      </c>
      <c r="H479">
        <v>85</v>
      </c>
      <c r="I479" t="s">
        <v>26</v>
      </c>
      <c r="J479" t="s">
        <v>27</v>
      </c>
      <c r="K479">
        <v>0.51712829518047942</v>
      </c>
      <c r="L479">
        <v>0.23336407695797445</v>
      </c>
      <c r="M479">
        <v>0.16148650415061638</v>
      </c>
      <c r="N479" s="18">
        <v>8.8021123710929738E-2</v>
      </c>
    </row>
    <row r="480" spans="1:14" x14ac:dyDescent="0.25">
      <c r="A480">
        <v>2</v>
      </c>
      <c r="B480" t="s">
        <v>10</v>
      </c>
      <c r="C480">
        <v>2.1</v>
      </c>
      <c r="D480">
        <v>828</v>
      </c>
      <c r="E480">
        <v>29</v>
      </c>
      <c r="F480">
        <v>0</v>
      </c>
      <c r="G480">
        <v>71</v>
      </c>
      <c r="H480">
        <v>86</v>
      </c>
      <c r="I480" t="s">
        <v>26</v>
      </c>
      <c r="J480" t="s">
        <v>28</v>
      </c>
      <c r="K480">
        <v>0.6148487054045223</v>
      </c>
      <c r="L480">
        <v>0.20279138605837044</v>
      </c>
      <c r="M480">
        <v>0.1215485633879575</v>
      </c>
      <c r="N480" s="18">
        <v>6.0811345149149765E-2</v>
      </c>
    </row>
    <row r="481" spans="1:14" x14ac:dyDescent="0.25">
      <c r="A481">
        <v>2</v>
      </c>
      <c r="B481" t="s">
        <v>10</v>
      </c>
      <c r="C481">
        <v>2.1</v>
      </c>
      <c r="D481">
        <v>828</v>
      </c>
      <c r="E481">
        <v>29</v>
      </c>
      <c r="F481">
        <v>0</v>
      </c>
      <c r="G481">
        <v>72</v>
      </c>
      <c r="H481">
        <v>87</v>
      </c>
      <c r="I481" t="s">
        <v>26</v>
      </c>
      <c r="J481" t="s">
        <v>29</v>
      </c>
      <c r="K481">
        <v>0.42356392541532317</v>
      </c>
      <c r="L481">
        <v>0.25004204607226876</v>
      </c>
      <c r="M481">
        <v>0.2030719265264801</v>
      </c>
      <c r="N481" s="18">
        <v>0.12332210198592797</v>
      </c>
    </row>
    <row r="482" spans="1:14" x14ac:dyDescent="0.25">
      <c r="A482">
        <v>3</v>
      </c>
      <c r="B482" t="s">
        <v>11</v>
      </c>
      <c r="C482">
        <v>2.1</v>
      </c>
      <c r="D482">
        <v>700</v>
      </c>
      <c r="E482">
        <v>20</v>
      </c>
      <c r="F482">
        <v>1</v>
      </c>
      <c r="G482">
        <v>49</v>
      </c>
      <c r="H482">
        <v>88</v>
      </c>
      <c r="I482" t="s">
        <v>19</v>
      </c>
      <c r="J482" t="s">
        <v>27</v>
      </c>
      <c r="K482">
        <v>0.33094811552043857</v>
      </c>
      <c r="L482">
        <v>0.26982800678961261</v>
      </c>
      <c r="M482">
        <v>0.27042267052970281</v>
      </c>
      <c r="N482" s="18">
        <v>0.12880120716024601</v>
      </c>
    </row>
    <row r="483" spans="1:14" x14ac:dyDescent="0.25">
      <c r="A483">
        <v>3</v>
      </c>
      <c r="B483" t="s">
        <v>11</v>
      </c>
      <c r="C483">
        <v>2.1</v>
      </c>
      <c r="D483">
        <v>700</v>
      </c>
      <c r="E483">
        <v>20</v>
      </c>
      <c r="F483">
        <v>1</v>
      </c>
      <c r="G483">
        <v>50</v>
      </c>
      <c r="H483">
        <v>89</v>
      </c>
      <c r="I483" t="s">
        <v>19</v>
      </c>
      <c r="J483" t="s">
        <v>28</v>
      </c>
      <c r="K483">
        <v>0.55532256772659339</v>
      </c>
      <c r="L483">
        <v>0.23631093494743194</v>
      </c>
      <c r="M483">
        <v>0.15304588384553452</v>
      </c>
      <c r="N483" s="18">
        <v>5.5320613480440151E-2</v>
      </c>
    </row>
    <row r="484" spans="1:14" x14ac:dyDescent="0.25">
      <c r="A484">
        <v>3</v>
      </c>
      <c r="B484" t="s">
        <v>11</v>
      </c>
      <c r="C484">
        <v>2.1</v>
      </c>
      <c r="D484">
        <v>700</v>
      </c>
      <c r="E484">
        <v>20</v>
      </c>
      <c r="F484">
        <v>1</v>
      </c>
      <c r="G484">
        <v>51</v>
      </c>
      <c r="H484">
        <v>90</v>
      </c>
      <c r="I484" t="s">
        <v>19</v>
      </c>
      <c r="J484" t="s">
        <v>29</v>
      </c>
      <c r="K484">
        <v>0.22994885855731376</v>
      </c>
      <c r="L484">
        <v>0.24606955647158177</v>
      </c>
      <c r="M484">
        <v>0.32725811675102312</v>
      </c>
      <c r="N484" s="18">
        <v>0.19672346822008135</v>
      </c>
    </row>
    <row r="485" spans="1:14" x14ac:dyDescent="0.25">
      <c r="A485">
        <v>3</v>
      </c>
      <c r="B485" t="s">
        <v>11</v>
      </c>
      <c r="C485">
        <v>2.1</v>
      </c>
      <c r="D485">
        <v>700</v>
      </c>
      <c r="E485">
        <v>20</v>
      </c>
      <c r="F485">
        <v>1</v>
      </c>
      <c r="G485">
        <v>52</v>
      </c>
      <c r="H485">
        <v>91</v>
      </c>
      <c r="I485" t="s">
        <v>20</v>
      </c>
      <c r="J485" t="s">
        <v>27</v>
      </c>
      <c r="K485">
        <v>0.80370284546763748</v>
      </c>
      <c r="L485">
        <v>0.11225101003112548</v>
      </c>
      <c r="M485">
        <v>5.942210942134285E-2</v>
      </c>
      <c r="N485" s="18">
        <v>2.4624035079894191E-2</v>
      </c>
    </row>
    <row r="486" spans="1:14" x14ac:dyDescent="0.25">
      <c r="A486">
        <v>3</v>
      </c>
      <c r="B486" t="s">
        <v>11</v>
      </c>
      <c r="C486">
        <v>2.1</v>
      </c>
      <c r="D486">
        <v>700</v>
      </c>
      <c r="E486">
        <v>20</v>
      </c>
      <c r="F486">
        <v>1</v>
      </c>
      <c r="G486">
        <v>53</v>
      </c>
      <c r="H486">
        <v>92</v>
      </c>
      <c r="I486" t="s">
        <v>20</v>
      </c>
      <c r="J486" t="s">
        <v>28</v>
      </c>
      <c r="K486">
        <v>0.93103514504581097</v>
      </c>
      <c r="L486">
        <v>4.1889954918109873E-2</v>
      </c>
      <c r="M486">
        <v>1.9476574196217511E-2</v>
      </c>
      <c r="N486" s="18">
        <v>7.5983258398616416E-3</v>
      </c>
    </row>
    <row r="487" spans="1:14" x14ac:dyDescent="0.25">
      <c r="A487">
        <v>3</v>
      </c>
      <c r="B487" t="s">
        <v>11</v>
      </c>
      <c r="C487">
        <v>2.1</v>
      </c>
      <c r="D487">
        <v>700</v>
      </c>
      <c r="E487">
        <v>20</v>
      </c>
      <c r="F487">
        <v>1</v>
      </c>
      <c r="G487">
        <v>54</v>
      </c>
      <c r="H487">
        <v>93</v>
      </c>
      <c r="I487" t="s">
        <v>20</v>
      </c>
      <c r="J487" t="s">
        <v>29</v>
      </c>
      <c r="K487">
        <v>0.32339787953682347</v>
      </c>
      <c r="L487">
        <v>0.2365129077264651</v>
      </c>
      <c r="M487">
        <v>0.26228565284911542</v>
      </c>
      <c r="N487" s="18">
        <v>0.177803559887596</v>
      </c>
    </row>
    <row r="488" spans="1:14" x14ac:dyDescent="0.25">
      <c r="A488">
        <v>3</v>
      </c>
      <c r="B488" t="s">
        <v>11</v>
      </c>
      <c r="C488">
        <v>2.1</v>
      </c>
      <c r="D488">
        <v>700</v>
      </c>
      <c r="E488">
        <v>20</v>
      </c>
      <c r="F488">
        <v>1</v>
      </c>
      <c r="G488">
        <v>55</v>
      </c>
      <c r="H488">
        <v>94</v>
      </c>
      <c r="I488" t="s">
        <v>21</v>
      </c>
      <c r="J488" t="s">
        <v>27</v>
      </c>
      <c r="K488">
        <v>0.51164789223487939</v>
      </c>
      <c r="L488">
        <v>0.243119049769985</v>
      </c>
      <c r="M488">
        <v>0.18245414678686445</v>
      </c>
      <c r="N488" s="18">
        <v>6.2778911208271171E-2</v>
      </c>
    </row>
    <row r="489" spans="1:14" x14ac:dyDescent="0.25">
      <c r="A489">
        <v>3</v>
      </c>
      <c r="B489" t="s">
        <v>11</v>
      </c>
      <c r="C489">
        <v>2.1</v>
      </c>
      <c r="D489">
        <v>700</v>
      </c>
      <c r="E489">
        <v>20</v>
      </c>
      <c r="F489">
        <v>1</v>
      </c>
      <c r="G489">
        <v>56</v>
      </c>
      <c r="H489">
        <v>95</v>
      </c>
      <c r="I489" t="s">
        <v>21</v>
      </c>
      <c r="J489" t="s">
        <v>28</v>
      </c>
      <c r="K489">
        <v>0.72342202957828172</v>
      </c>
      <c r="L489">
        <v>0.16141956288100379</v>
      </c>
      <c r="M489">
        <v>8.9028566713228785E-2</v>
      </c>
      <c r="N489" s="18">
        <v>2.6129840827485706E-2</v>
      </c>
    </row>
    <row r="490" spans="1:14" x14ac:dyDescent="0.25">
      <c r="A490">
        <v>3</v>
      </c>
      <c r="B490" t="s">
        <v>11</v>
      </c>
      <c r="C490">
        <v>2.1</v>
      </c>
      <c r="D490">
        <v>700</v>
      </c>
      <c r="E490">
        <v>20</v>
      </c>
      <c r="F490">
        <v>1</v>
      </c>
      <c r="G490">
        <v>57</v>
      </c>
      <c r="H490">
        <v>96</v>
      </c>
      <c r="I490" t="s">
        <v>21</v>
      </c>
      <c r="J490" t="s">
        <v>29</v>
      </c>
      <c r="K490">
        <v>0.32298227690184222</v>
      </c>
      <c r="L490">
        <v>0.26060083861543304</v>
      </c>
      <c r="M490">
        <v>0.28817569404908483</v>
      </c>
      <c r="N490" s="18">
        <v>0.12824119043363991</v>
      </c>
    </row>
    <row r="491" spans="1:14" x14ac:dyDescent="0.25">
      <c r="A491">
        <v>3</v>
      </c>
      <c r="B491" t="s">
        <v>11</v>
      </c>
      <c r="C491">
        <v>2.1</v>
      </c>
      <c r="D491">
        <v>700</v>
      </c>
      <c r="E491">
        <v>20</v>
      </c>
      <c r="F491">
        <v>1</v>
      </c>
      <c r="G491">
        <v>58</v>
      </c>
      <c r="H491">
        <v>97</v>
      </c>
      <c r="I491" t="s">
        <v>22</v>
      </c>
      <c r="J491" t="s">
        <v>27</v>
      </c>
      <c r="K491">
        <v>0.28501087405298176</v>
      </c>
      <c r="L491">
        <v>7.9724397543432524E-2</v>
      </c>
      <c r="M491">
        <v>0.20481830722715122</v>
      </c>
      <c r="N491" s="18">
        <v>0.4304464211764345</v>
      </c>
    </row>
    <row r="492" spans="1:14" x14ac:dyDescent="0.25">
      <c r="A492">
        <v>3</v>
      </c>
      <c r="B492" t="s">
        <v>11</v>
      </c>
      <c r="C492">
        <v>2.1</v>
      </c>
      <c r="D492">
        <v>700</v>
      </c>
      <c r="E492">
        <v>20</v>
      </c>
      <c r="F492">
        <v>1</v>
      </c>
      <c r="G492">
        <v>59</v>
      </c>
      <c r="H492">
        <v>98</v>
      </c>
      <c r="I492" t="s">
        <v>22</v>
      </c>
      <c r="J492" t="s">
        <v>28</v>
      </c>
      <c r="K492">
        <v>0.50221248555940223</v>
      </c>
      <c r="L492">
        <v>8.6956240496561255E-2</v>
      </c>
      <c r="M492">
        <v>0.17576649128808464</v>
      </c>
      <c r="N492" s="18">
        <v>0.23506478265595188</v>
      </c>
    </row>
    <row r="493" spans="1:14" x14ac:dyDescent="0.25">
      <c r="A493">
        <v>3</v>
      </c>
      <c r="B493" t="s">
        <v>11</v>
      </c>
      <c r="C493">
        <v>2.1</v>
      </c>
      <c r="D493">
        <v>700</v>
      </c>
      <c r="E493">
        <v>20</v>
      </c>
      <c r="F493">
        <v>1</v>
      </c>
      <c r="G493">
        <v>60</v>
      </c>
      <c r="H493">
        <v>99</v>
      </c>
      <c r="I493" t="s">
        <v>22</v>
      </c>
      <c r="J493" t="s">
        <v>29</v>
      </c>
      <c r="K493">
        <v>0.15636063613034656</v>
      </c>
      <c r="L493">
        <v>4.9989167644114541E-2</v>
      </c>
      <c r="M493">
        <v>0.16110066431414194</v>
      </c>
      <c r="N493" s="18">
        <v>0.63254953191139696</v>
      </c>
    </row>
    <row r="494" spans="1:14" x14ac:dyDescent="0.25">
      <c r="A494">
        <v>3</v>
      </c>
      <c r="B494" t="s">
        <v>11</v>
      </c>
      <c r="C494">
        <v>2.1</v>
      </c>
      <c r="D494">
        <v>700</v>
      </c>
      <c r="E494">
        <v>20</v>
      </c>
      <c r="F494">
        <v>1</v>
      </c>
      <c r="G494">
        <v>61</v>
      </c>
      <c r="H494">
        <v>100</v>
      </c>
      <c r="I494" t="s">
        <v>23</v>
      </c>
      <c r="J494" t="s">
        <v>27</v>
      </c>
      <c r="K494">
        <v>0.72071278405006878</v>
      </c>
      <c r="L494">
        <v>0.17404607940506067</v>
      </c>
      <c r="M494">
        <v>8.1824193949109447E-2</v>
      </c>
      <c r="N494" s="18">
        <v>2.3416942595761103E-2</v>
      </c>
    </row>
    <row r="495" spans="1:14" x14ac:dyDescent="0.25">
      <c r="A495">
        <v>3</v>
      </c>
      <c r="B495" t="s">
        <v>11</v>
      </c>
      <c r="C495">
        <v>2.1</v>
      </c>
      <c r="D495">
        <v>700</v>
      </c>
      <c r="E495">
        <v>20</v>
      </c>
      <c r="F495">
        <v>1</v>
      </c>
      <c r="G495">
        <v>62</v>
      </c>
      <c r="H495">
        <v>101</v>
      </c>
      <c r="I495" t="s">
        <v>23</v>
      </c>
      <c r="J495" t="s">
        <v>28</v>
      </c>
      <c r="K495">
        <v>0.97012491540225454</v>
      </c>
      <c r="L495">
        <v>2.0614643397554699E-2</v>
      </c>
      <c r="M495">
        <v>7.358544652085075E-3</v>
      </c>
      <c r="N495" s="18">
        <v>1.901896548105686E-3</v>
      </c>
    </row>
    <row r="496" spans="1:14" x14ac:dyDescent="0.25">
      <c r="A496">
        <v>3</v>
      </c>
      <c r="B496" t="s">
        <v>11</v>
      </c>
      <c r="C496">
        <v>2.1</v>
      </c>
      <c r="D496">
        <v>700</v>
      </c>
      <c r="E496">
        <v>20</v>
      </c>
      <c r="F496">
        <v>1</v>
      </c>
      <c r="G496">
        <v>63</v>
      </c>
      <c r="H496">
        <v>102</v>
      </c>
      <c r="I496" t="s">
        <v>23</v>
      </c>
      <c r="J496" t="s">
        <v>29</v>
      </c>
      <c r="K496">
        <v>0.13899049432482677</v>
      </c>
      <c r="L496">
        <v>0.20820266554028724</v>
      </c>
      <c r="M496">
        <v>0.37570835288816806</v>
      </c>
      <c r="N496" s="18">
        <v>0.27709848724671793</v>
      </c>
    </row>
    <row r="497" spans="1:14" x14ac:dyDescent="0.25">
      <c r="A497">
        <v>3</v>
      </c>
      <c r="B497" t="s">
        <v>11</v>
      </c>
      <c r="C497">
        <v>2.1</v>
      </c>
      <c r="D497">
        <v>700</v>
      </c>
      <c r="E497">
        <v>20</v>
      </c>
      <c r="F497">
        <v>1</v>
      </c>
      <c r="G497">
        <v>64</v>
      </c>
      <c r="H497">
        <v>103</v>
      </c>
      <c r="I497" t="s">
        <v>24</v>
      </c>
      <c r="J497" t="s">
        <v>27</v>
      </c>
      <c r="K497">
        <v>0.76073257062428778</v>
      </c>
      <c r="L497">
        <v>0.12275713427552315</v>
      </c>
      <c r="M497">
        <v>8.7021139855115504E-2</v>
      </c>
      <c r="N497" s="18">
        <v>2.9489155245073562E-2</v>
      </c>
    </row>
    <row r="498" spans="1:14" x14ac:dyDescent="0.25">
      <c r="A498">
        <v>3</v>
      </c>
      <c r="B498" t="s">
        <v>11</v>
      </c>
      <c r="C498">
        <v>2.1</v>
      </c>
      <c r="D498">
        <v>700</v>
      </c>
      <c r="E498">
        <v>20</v>
      </c>
      <c r="F498">
        <v>1</v>
      </c>
      <c r="G498">
        <v>65</v>
      </c>
      <c r="H498">
        <v>104</v>
      </c>
      <c r="I498" t="s">
        <v>24</v>
      </c>
      <c r="J498" t="s">
        <v>28</v>
      </c>
      <c r="K498">
        <v>0.89753216373939204</v>
      </c>
      <c r="L498">
        <v>5.6786158775958051E-2</v>
      </c>
      <c r="M498">
        <v>3.4772696875247311E-2</v>
      </c>
      <c r="N498" s="18">
        <v>1.0908980609402597E-2</v>
      </c>
    </row>
    <row r="499" spans="1:14" x14ac:dyDescent="0.25">
      <c r="A499">
        <v>3</v>
      </c>
      <c r="B499" t="s">
        <v>11</v>
      </c>
      <c r="C499">
        <v>2.1</v>
      </c>
      <c r="D499">
        <v>700</v>
      </c>
      <c r="E499">
        <v>20</v>
      </c>
      <c r="F499">
        <v>1</v>
      </c>
      <c r="G499">
        <v>66</v>
      </c>
      <c r="H499">
        <v>105</v>
      </c>
      <c r="I499" t="s">
        <v>24</v>
      </c>
      <c r="J499" t="s">
        <v>29</v>
      </c>
      <c r="K499">
        <v>0.63118410569197869</v>
      </c>
      <c r="L499">
        <v>0.17202920908178065</v>
      </c>
      <c r="M499">
        <v>0.14335301644925513</v>
      </c>
      <c r="N499" s="18">
        <v>5.3433668776985521E-2</v>
      </c>
    </row>
    <row r="500" spans="1:14" x14ac:dyDescent="0.25">
      <c r="A500">
        <v>3</v>
      </c>
      <c r="B500" t="s">
        <v>11</v>
      </c>
      <c r="C500">
        <v>2.1</v>
      </c>
      <c r="D500">
        <v>700</v>
      </c>
      <c r="E500">
        <v>20</v>
      </c>
      <c r="F500">
        <v>1</v>
      </c>
      <c r="G500">
        <v>67</v>
      </c>
      <c r="H500">
        <v>106</v>
      </c>
      <c r="I500" t="s">
        <v>25</v>
      </c>
      <c r="J500" t="s">
        <v>27</v>
      </c>
      <c r="K500">
        <v>9.7924627719814444E-2</v>
      </c>
      <c r="L500">
        <v>0.19645649380500843</v>
      </c>
      <c r="M500">
        <v>0.42494067720509954</v>
      </c>
      <c r="N500" s="18">
        <v>0.28067820127007759</v>
      </c>
    </row>
    <row r="501" spans="1:14" x14ac:dyDescent="0.25">
      <c r="A501">
        <v>3</v>
      </c>
      <c r="B501" t="s">
        <v>11</v>
      </c>
      <c r="C501">
        <v>2.1</v>
      </c>
      <c r="D501">
        <v>700</v>
      </c>
      <c r="E501">
        <v>20</v>
      </c>
      <c r="F501">
        <v>1</v>
      </c>
      <c r="G501">
        <v>68</v>
      </c>
      <c r="H501">
        <v>107</v>
      </c>
      <c r="I501" t="s">
        <v>25</v>
      </c>
      <c r="J501" t="s">
        <v>28</v>
      </c>
      <c r="K501">
        <v>0.21028638953572415</v>
      </c>
      <c r="L501">
        <v>0.29548835367816578</v>
      </c>
      <c r="M501">
        <v>0.35698462512119222</v>
      </c>
      <c r="N501" s="18">
        <v>0.13724063166491784</v>
      </c>
    </row>
    <row r="502" spans="1:14" x14ac:dyDescent="0.25">
      <c r="A502">
        <v>3</v>
      </c>
      <c r="B502" t="s">
        <v>11</v>
      </c>
      <c r="C502">
        <v>2.1</v>
      </c>
      <c r="D502">
        <v>700</v>
      </c>
      <c r="E502">
        <v>20</v>
      </c>
      <c r="F502">
        <v>1</v>
      </c>
      <c r="G502">
        <v>69</v>
      </c>
      <c r="H502">
        <v>108</v>
      </c>
      <c r="I502" t="s">
        <v>25</v>
      </c>
      <c r="J502" t="s">
        <v>29</v>
      </c>
      <c r="K502">
        <v>8.172026902975417E-2</v>
      </c>
      <c r="L502">
        <v>0.17313170663595784</v>
      </c>
      <c r="M502">
        <v>0.42266847140053937</v>
      </c>
      <c r="N502" s="18">
        <v>0.32247955293374864</v>
      </c>
    </row>
    <row r="503" spans="1:14" x14ac:dyDescent="0.25">
      <c r="A503">
        <v>3</v>
      </c>
      <c r="B503" t="s">
        <v>11</v>
      </c>
      <c r="C503">
        <v>2.1</v>
      </c>
      <c r="D503">
        <v>700</v>
      </c>
      <c r="E503">
        <v>20</v>
      </c>
      <c r="F503">
        <v>1</v>
      </c>
      <c r="G503">
        <v>70</v>
      </c>
      <c r="H503">
        <v>109</v>
      </c>
      <c r="I503" t="s">
        <v>26</v>
      </c>
      <c r="J503" t="s">
        <v>27</v>
      </c>
      <c r="K503">
        <v>0.60115981103861349</v>
      </c>
      <c r="L503">
        <v>0.20775897773986973</v>
      </c>
      <c r="M503">
        <v>0.12690532439479374</v>
      </c>
      <c r="N503" s="18">
        <v>6.4175886826723039E-2</v>
      </c>
    </row>
    <row r="504" spans="1:14" x14ac:dyDescent="0.25">
      <c r="A504">
        <v>3</v>
      </c>
      <c r="B504" t="s">
        <v>11</v>
      </c>
      <c r="C504">
        <v>2.1</v>
      </c>
      <c r="D504">
        <v>700</v>
      </c>
      <c r="E504">
        <v>20</v>
      </c>
      <c r="F504">
        <v>1</v>
      </c>
      <c r="G504">
        <v>71</v>
      </c>
      <c r="H504">
        <v>110</v>
      </c>
      <c r="I504" t="s">
        <v>26</v>
      </c>
      <c r="J504" t="s">
        <v>28</v>
      </c>
      <c r="K504">
        <v>0.69200294709950394</v>
      </c>
      <c r="L504">
        <v>0.1712057427462661</v>
      </c>
      <c r="M504">
        <v>9.2809466486150294E-2</v>
      </c>
      <c r="N504" s="18">
        <v>4.3981843668079668E-2</v>
      </c>
    </row>
    <row r="505" spans="1:14" x14ac:dyDescent="0.25">
      <c r="A505">
        <v>3</v>
      </c>
      <c r="B505" t="s">
        <v>11</v>
      </c>
      <c r="C505">
        <v>2.1</v>
      </c>
      <c r="D505">
        <v>700</v>
      </c>
      <c r="E505">
        <v>20</v>
      </c>
      <c r="F505">
        <v>1</v>
      </c>
      <c r="G505">
        <v>72</v>
      </c>
      <c r="H505">
        <v>111</v>
      </c>
      <c r="I505" t="s">
        <v>26</v>
      </c>
      <c r="J505" t="s">
        <v>29</v>
      </c>
      <c r="K505">
        <v>0.50839920981720832</v>
      </c>
      <c r="L505">
        <v>0.23549343174903137</v>
      </c>
      <c r="M505">
        <v>0.16524081285983216</v>
      </c>
      <c r="N505" s="18">
        <v>9.0866545573928148E-2</v>
      </c>
    </row>
    <row r="506" spans="1:14" x14ac:dyDescent="0.25">
      <c r="A506">
        <v>4</v>
      </c>
      <c r="B506" t="s">
        <v>12</v>
      </c>
      <c r="C506">
        <v>2.1</v>
      </c>
      <c r="D506">
        <v>700</v>
      </c>
      <c r="E506">
        <v>20</v>
      </c>
      <c r="F506">
        <v>1</v>
      </c>
      <c r="G506">
        <v>49</v>
      </c>
      <c r="H506">
        <v>112</v>
      </c>
      <c r="I506" t="s">
        <v>19</v>
      </c>
      <c r="J506" t="s">
        <v>27</v>
      </c>
      <c r="K506">
        <v>0.42436740500754749</v>
      </c>
      <c r="L506">
        <v>0.26725816522385676</v>
      </c>
      <c r="M506">
        <v>0.21812802267541054</v>
      </c>
      <c r="N506" s="18">
        <v>9.024640709318521E-2</v>
      </c>
    </row>
    <row r="507" spans="1:14" x14ac:dyDescent="0.25">
      <c r="A507">
        <v>4</v>
      </c>
      <c r="B507" t="s">
        <v>12</v>
      </c>
      <c r="C507">
        <v>2.1</v>
      </c>
      <c r="D507">
        <v>700</v>
      </c>
      <c r="E507">
        <v>20</v>
      </c>
      <c r="F507">
        <v>1</v>
      </c>
      <c r="G507">
        <v>50</v>
      </c>
      <c r="H507">
        <v>113</v>
      </c>
      <c r="I507" t="s">
        <v>19</v>
      </c>
      <c r="J507" t="s">
        <v>28</v>
      </c>
      <c r="K507">
        <v>0.65049824115692501</v>
      </c>
      <c r="L507">
        <v>0.19940342274806189</v>
      </c>
      <c r="M507">
        <v>0.11229167136518059</v>
      </c>
      <c r="N507" s="18">
        <v>3.7806664729832518E-2</v>
      </c>
    </row>
    <row r="508" spans="1:14" x14ac:dyDescent="0.25">
      <c r="A508">
        <v>4</v>
      </c>
      <c r="B508" t="s">
        <v>12</v>
      </c>
      <c r="C508">
        <v>2.1</v>
      </c>
      <c r="D508">
        <v>700</v>
      </c>
      <c r="E508">
        <v>20</v>
      </c>
      <c r="F508">
        <v>1</v>
      </c>
      <c r="G508">
        <v>51</v>
      </c>
      <c r="H508">
        <v>114</v>
      </c>
      <c r="I508" t="s">
        <v>19</v>
      </c>
      <c r="J508" t="s">
        <v>29</v>
      </c>
      <c r="K508">
        <v>0.30798213366023841</v>
      </c>
      <c r="L508">
        <v>0.26720092423221631</v>
      </c>
      <c r="M508">
        <v>0.28368620024535096</v>
      </c>
      <c r="N508" s="18">
        <v>0.14113074186219432</v>
      </c>
    </row>
    <row r="509" spans="1:14" x14ac:dyDescent="0.25">
      <c r="A509">
        <v>4</v>
      </c>
      <c r="B509" t="s">
        <v>12</v>
      </c>
      <c r="C509">
        <v>2.1</v>
      </c>
      <c r="D509">
        <v>700</v>
      </c>
      <c r="E509">
        <v>20</v>
      </c>
      <c r="F509">
        <v>1</v>
      </c>
      <c r="G509">
        <v>52</v>
      </c>
      <c r="H509">
        <v>115</v>
      </c>
      <c r="I509" t="s">
        <v>20</v>
      </c>
      <c r="J509" t="s">
        <v>27</v>
      </c>
      <c r="K509">
        <v>0.87978544916446311</v>
      </c>
      <c r="L509">
        <v>7.1386969309687132E-2</v>
      </c>
      <c r="M509">
        <v>3.4900567980916009E-2</v>
      </c>
      <c r="N509" s="18">
        <v>1.3927013544933753E-2</v>
      </c>
    </row>
    <row r="510" spans="1:14" x14ac:dyDescent="0.25">
      <c r="A510">
        <v>4</v>
      </c>
      <c r="B510" t="s">
        <v>12</v>
      </c>
      <c r="C510">
        <v>2.1</v>
      </c>
      <c r="D510">
        <v>700</v>
      </c>
      <c r="E510">
        <v>20</v>
      </c>
      <c r="F510">
        <v>1</v>
      </c>
      <c r="G510">
        <v>53</v>
      </c>
      <c r="H510">
        <v>116</v>
      </c>
      <c r="I510" t="s">
        <v>20</v>
      </c>
      <c r="J510" t="s">
        <v>28</v>
      </c>
      <c r="K510">
        <v>0.97076449485923055</v>
      </c>
      <c r="L510">
        <v>1.8047920573198262E-2</v>
      </c>
      <c r="M510">
        <v>8.0843430610832989E-3</v>
      </c>
      <c r="N510" s="18">
        <v>3.103241506487886E-3</v>
      </c>
    </row>
    <row r="511" spans="1:14" x14ac:dyDescent="0.25">
      <c r="A511">
        <v>4</v>
      </c>
      <c r="B511" t="s">
        <v>12</v>
      </c>
      <c r="C511">
        <v>2.1</v>
      </c>
      <c r="D511">
        <v>700</v>
      </c>
      <c r="E511">
        <v>20</v>
      </c>
      <c r="F511">
        <v>1</v>
      </c>
      <c r="G511">
        <v>54</v>
      </c>
      <c r="H511">
        <v>117</v>
      </c>
      <c r="I511" t="s">
        <v>20</v>
      </c>
      <c r="J511" t="s">
        <v>29</v>
      </c>
      <c r="K511">
        <v>0.26522223417531238</v>
      </c>
      <c r="L511">
        <v>0.2247790989447222</v>
      </c>
      <c r="M511">
        <v>0.28738506844753042</v>
      </c>
      <c r="N511" s="18">
        <v>0.222613598432435</v>
      </c>
    </row>
    <row r="512" spans="1:14" x14ac:dyDescent="0.25">
      <c r="A512">
        <v>4</v>
      </c>
      <c r="B512" t="s">
        <v>12</v>
      </c>
      <c r="C512">
        <v>2.1</v>
      </c>
      <c r="D512">
        <v>700</v>
      </c>
      <c r="E512">
        <v>20</v>
      </c>
      <c r="F512">
        <v>1</v>
      </c>
      <c r="G512">
        <v>55</v>
      </c>
      <c r="H512">
        <v>118</v>
      </c>
      <c r="I512" t="s">
        <v>21</v>
      </c>
      <c r="J512" t="s">
        <v>27</v>
      </c>
      <c r="K512">
        <v>0.51164789223487939</v>
      </c>
      <c r="L512">
        <v>0.243119049769985</v>
      </c>
      <c r="M512">
        <v>0.18245414678686445</v>
      </c>
      <c r="N512" s="18">
        <v>6.2778911208271171E-2</v>
      </c>
    </row>
    <row r="513" spans="1:14" x14ac:dyDescent="0.25">
      <c r="A513">
        <v>4</v>
      </c>
      <c r="B513" t="s">
        <v>12</v>
      </c>
      <c r="C513">
        <v>2.1</v>
      </c>
      <c r="D513">
        <v>700</v>
      </c>
      <c r="E513">
        <v>20</v>
      </c>
      <c r="F513">
        <v>1</v>
      </c>
      <c r="G513">
        <v>56</v>
      </c>
      <c r="H513">
        <v>119</v>
      </c>
      <c r="I513" t="s">
        <v>21</v>
      </c>
      <c r="J513" t="s">
        <v>28</v>
      </c>
      <c r="K513">
        <v>0.72342202957828172</v>
      </c>
      <c r="L513">
        <v>0.16141956288100379</v>
      </c>
      <c r="M513">
        <v>8.9028566713228785E-2</v>
      </c>
      <c r="N513" s="18">
        <v>2.6129840827485706E-2</v>
      </c>
    </row>
    <row r="514" spans="1:14" x14ac:dyDescent="0.25">
      <c r="A514">
        <v>4</v>
      </c>
      <c r="B514" t="s">
        <v>12</v>
      </c>
      <c r="C514">
        <v>2.1</v>
      </c>
      <c r="D514">
        <v>700</v>
      </c>
      <c r="E514">
        <v>20</v>
      </c>
      <c r="F514">
        <v>1</v>
      </c>
      <c r="G514">
        <v>57</v>
      </c>
      <c r="H514">
        <v>120</v>
      </c>
      <c r="I514" t="s">
        <v>21</v>
      </c>
      <c r="J514" t="s">
        <v>29</v>
      </c>
      <c r="K514">
        <v>0.32298227690184222</v>
      </c>
      <c r="L514">
        <v>0.26060083861543304</v>
      </c>
      <c r="M514">
        <v>0.28817569404908483</v>
      </c>
      <c r="N514" s="18">
        <v>0.12824119043363991</v>
      </c>
    </row>
    <row r="515" spans="1:14" x14ac:dyDescent="0.25">
      <c r="A515">
        <v>4</v>
      </c>
      <c r="B515" t="s">
        <v>12</v>
      </c>
      <c r="C515">
        <v>2.1</v>
      </c>
      <c r="D515">
        <v>700</v>
      </c>
      <c r="E515">
        <v>20</v>
      </c>
      <c r="F515">
        <v>1</v>
      </c>
      <c r="G515">
        <v>58</v>
      </c>
      <c r="H515">
        <v>121</v>
      </c>
      <c r="I515" t="s">
        <v>22</v>
      </c>
      <c r="J515" t="s">
        <v>27</v>
      </c>
      <c r="K515">
        <v>0.2839849383067779</v>
      </c>
      <c r="L515">
        <v>9.9248770145168308E-3</v>
      </c>
      <c r="M515">
        <v>0.10414659652125074</v>
      </c>
      <c r="N515" s="18">
        <v>0.60194358815745452</v>
      </c>
    </row>
    <row r="516" spans="1:14" x14ac:dyDescent="0.25">
      <c r="A516">
        <v>4</v>
      </c>
      <c r="B516" t="s">
        <v>12</v>
      </c>
      <c r="C516">
        <v>2.1</v>
      </c>
      <c r="D516">
        <v>700</v>
      </c>
      <c r="E516">
        <v>20</v>
      </c>
      <c r="F516">
        <v>1</v>
      </c>
      <c r="G516">
        <v>59</v>
      </c>
      <c r="H516">
        <v>122</v>
      </c>
      <c r="I516" t="s">
        <v>22</v>
      </c>
      <c r="J516" t="s">
        <v>28</v>
      </c>
      <c r="K516">
        <v>0.50095249884778625</v>
      </c>
      <c r="L516">
        <v>8.7787721684098319E-3</v>
      </c>
      <c r="M516">
        <v>0.10951022282812339</v>
      </c>
      <c r="N516" s="18">
        <v>0.38075850615568052</v>
      </c>
    </row>
    <row r="517" spans="1:14" x14ac:dyDescent="0.25">
      <c r="A517">
        <v>4</v>
      </c>
      <c r="B517" t="s">
        <v>12</v>
      </c>
      <c r="C517">
        <v>2.1</v>
      </c>
      <c r="D517">
        <v>700</v>
      </c>
      <c r="E517">
        <v>20</v>
      </c>
      <c r="F517">
        <v>1</v>
      </c>
      <c r="G517">
        <v>60</v>
      </c>
      <c r="H517">
        <v>123</v>
      </c>
      <c r="I517" t="s">
        <v>22</v>
      </c>
      <c r="J517" t="s">
        <v>29</v>
      </c>
      <c r="K517">
        <v>0.15569695058287117</v>
      </c>
      <c r="L517">
        <v>2.9046323545503794E-3</v>
      </c>
      <c r="M517">
        <v>6.6397131424279249E-2</v>
      </c>
      <c r="N517" s="18">
        <v>0.77500128563829918</v>
      </c>
    </row>
    <row r="518" spans="1:14" x14ac:dyDescent="0.25">
      <c r="A518">
        <v>4</v>
      </c>
      <c r="B518" t="s">
        <v>12</v>
      </c>
      <c r="C518">
        <v>2.1</v>
      </c>
      <c r="D518">
        <v>700</v>
      </c>
      <c r="E518">
        <v>20</v>
      </c>
      <c r="F518">
        <v>1</v>
      </c>
      <c r="G518">
        <v>61</v>
      </c>
      <c r="H518">
        <v>124</v>
      </c>
      <c r="I518" t="s">
        <v>23</v>
      </c>
      <c r="J518" t="s">
        <v>27</v>
      </c>
      <c r="K518">
        <v>0.74696679351968998</v>
      </c>
      <c r="L518">
        <v>0.15980157687538132</v>
      </c>
      <c r="M518">
        <v>7.2701139393451908E-2</v>
      </c>
      <c r="N518" s="18">
        <v>2.0530490211476793E-2</v>
      </c>
    </row>
    <row r="519" spans="1:14" x14ac:dyDescent="0.25">
      <c r="A519">
        <v>4</v>
      </c>
      <c r="B519" t="s">
        <v>12</v>
      </c>
      <c r="C519">
        <v>2.1</v>
      </c>
      <c r="D519">
        <v>700</v>
      </c>
      <c r="E519">
        <v>20</v>
      </c>
      <c r="F519">
        <v>1</v>
      </c>
      <c r="G519">
        <v>62</v>
      </c>
      <c r="H519">
        <v>125</v>
      </c>
      <c r="I519" t="s">
        <v>23</v>
      </c>
      <c r="J519" t="s">
        <v>28</v>
      </c>
      <c r="K519">
        <v>0.98557837733993714</v>
      </c>
      <c r="L519">
        <v>9.9999246990264412E-3</v>
      </c>
      <c r="M519">
        <v>3.5170864905975652E-3</v>
      </c>
      <c r="N519" s="18">
        <v>9.0461147043885415E-4</v>
      </c>
    </row>
    <row r="520" spans="1:14" x14ac:dyDescent="0.25">
      <c r="A520">
        <v>4</v>
      </c>
      <c r="B520" t="s">
        <v>12</v>
      </c>
      <c r="C520">
        <v>2.1</v>
      </c>
      <c r="D520">
        <v>700</v>
      </c>
      <c r="E520">
        <v>20</v>
      </c>
      <c r="F520">
        <v>1</v>
      </c>
      <c r="G520">
        <v>63</v>
      </c>
      <c r="H520">
        <v>126</v>
      </c>
      <c r="I520" t="s">
        <v>23</v>
      </c>
      <c r="J520" t="s">
        <v>29</v>
      </c>
      <c r="K520">
        <v>7.6505656166337199E-2</v>
      </c>
      <c r="L520">
        <v>0.13791191657136934</v>
      </c>
      <c r="M520">
        <v>0.35801917277684014</v>
      </c>
      <c r="N520" s="18">
        <v>0.42756325448545329</v>
      </c>
    </row>
    <row r="521" spans="1:14" x14ac:dyDescent="0.25">
      <c r="A521">
        <v>4</v>
      </c>
      <c r="B521" t="s">
        <v>12</v>
      </c>
      <c r="C521">
        <v>2.1</v>
      </c>
      <c r="D521">
        <v>700</v>
      </c>
      <c r="E521">
        <v>20</v>
      </c>
      <c r="F521">
        <v>1</v>
      </c>
      <c r="G521">
        <v>64</v>
      </c>
      <c r="H521">
        <v>127</v>
      </c>
      <c r="I521" t="s">
        <v>24</v>
      </c>
      <c r="J521" t="s">
        <v>27</v>
      </c>
      <c r="K521">
        <v>0.76073257062428778</v>
      </c>
      <c r="L521">
        <v>0.12275713427552315</v>
      </c>
      <c r="M521">
        <v>8.7021139855115504E-2</v>
      </c>
      <c r="N521" s="18">
        <v>2.9489155245073562E-2</v>
      </c>
    </row>
    <row r="522" spans="1:14" x14ac:dyDescent="0.25">
      <c r="A522">
        <v>4</v>
      </c>
      <c r="B522" t="s">
        <v>12</v>
      </c>
      <c r="C522">
        <v>2.1</v>
      </c>
      <c r="D522">
        <v>700</v>
      </c>
      <c r="E522">
        <v>20</v>
      </c>
      <c r="F522">
        <v>1</v>
      </c>
      <c r="G522">
        <v>65</v>
      </c>
      <c r="H522">
        <v>128</v>
      </c>
      <c r="I522" t="s">
        <v>24</v>
      </c>
      <c r="J522" t="s">
        <v>28</v>
      </c>
      <c r="K522">
        <v>0.89753216373939204</v>
      </c>
      <c r="L522">
        <v>5.6786158775958051E-2</v>
      </c>
      <c r="M522">
        <v>3.4772696875247311E-2</v>
      </c>
      <c r="N522" s="18">
        <v>1.0908980609402597E-2</v>
      </c>
    </row>
    <row r="523" spans="1:14" x14ac:dyDescent="0.25">
      <c r="A523">
        <v>4</v>
      </c>
      <c r="B523" t="s">
        <v>12</v>
      </c>
      <c r="C523">
        <v>2.1</v>
      </c>
      <c r="D523">
        <v>700</v>
      </c>
      <c r="E523">
        <v>20</v>
      </c>
      <c r="F523">
        <v>1</v>
      </c>
      <c r="G523">
        <v>66</v>
      </c>
      <c r="H523">
        <v>129</v>
      </c>
      <c r="I523" t="s">
        <v>24</v>
      </c>
      <c r="J523" t="s">
        <v>29</v>
      </c>
      <c r="K523">
        <v>0.63118410569197869</v>
      </c>
      <c r="L523">
        <v>0.17202920908178065</v>
      </c>
      <c r="M523">
        <v>0.14335301644925513</v>
      </c>
      <c r="N523" s="18">
        <v>5.3433668776985521E-2</v>
      </c>
    </row>
    <row r="524" spans="1:14" x14ac:dyDescent="0.25">
      <c r="A524">
        <v>4</v>
      </c>
      <c r="B524" t="s">
        <v>12</v>
      </c>
      <c r="C524">
        <v>2.1</v>
      </c>
      <c r="D524">
        <v>700</v>
      </c>
      <c r="E524">
        <v>20</v>
      </c>
      <c r="F524">
        <v>1</v>
      </c>
      <c r="G524">
        <v>67</v>
      </c>
      <c r="H524">
        <v>130</v>
      </c>
      <c r="I524" t="s">
        <v>25</v>
      </c>
      <c r="J524" t="s">
        <v>27</v>
      </c>
      <c r="K524">
        <v>0.11648970954987992</v>
      </c>
      <c r="L524">
        <v>0.21981623243525222</v>
      </c>
      <c r="M524">
        <v>0.42054653385404167</v>
      </c>
      <c r="N524" s="18">
        <v>0.24314752416082619</v>
      </c>
    </row>
    <row r="525" spans="1:14" x14ac:dyDescent="0.25">
      <c r="A525">
        <v>4</v>
      </c>
      <c r="B525" t="s">
        <v>12</v>
      </c>
      <c r="C525">
        <v>2.1</v>
      </c>
      <c r="D525">
        <v>700</v>
      </c>
      <c r="E525">
        <v>20</v>
      </c>
      <c r="F525">
        <v>1</v>
      </c>
      <c r="G525">
        <v>68</v>
      </c>
      <c r="H525">
        <v>131</v>
      </c>
      <c r="I525" t="s">
        <v>25</v>
      </c>
      <c r="J525" t="s">
        <v>28</v>
      </c>
      <c r="K525">
        <v>0.24438262463713731</v>
      </c>
      <c r="L525">
        <v>0.30977902812651126</v>
      </c>
      <c r="M525">
        <v>0.3300364308586633</v>
      </c>
      <c r="N525" s="18">
        <v>0.11580191637768811</v>
      </c>
    </row>
    <row r="526" spans="1:14" x14ac:dyDescent="0.25">
      <c r="A526">
        <v>4</v>
      </c>
      <c r="B526" t="s">
        <v>12</v>
      </c>
      <c r="C526">
        <v>2.1</v>
      </c>
      <c r="D526">
        <v>700</v>
      </c>
      <c r="E526">
        <v>20</v>
      </c>
      <c r="F526">
        <v>1</v>
      </c>
      <c r="G526">
        <v>69</v>
      </c>
      <c r="H526">
        <v>132</v>
      </c>
      <c r="I526" t="s">
        <v>25</v>
      </c>
      <c r="J526" t="s">
        <v>29</v>
      </c>
      <c r="K526">
        <v>9.754544168941863E-2</v>
      </c>
      <c r="L526">
        <v>0.19594327047386689</v>
      </c>
      <c r="M526">
        <v>0.4249641072063004</v>
      </c>
      <c r="N526" s="18">
        <v>0.28154718063041406</v>
      </c>
    </row>
    <row r="527" spans="1:14" x14ac:dyDescent="0.25">
      <c r="A527">
        <v>4</v>
      </c>
      <c r="B527" t="s">
        <v>12</v>
      </c>
      <c r="C527">
        <v>2.1</v>
      </c>
      <c r="D527">
        <v>700</v>
      </c>
      <c r="E527">
        <v>20</v>
      </c>
      <c r="F527">
        <v>1</v>
      </c>
      <c r="G527">
        <v>70</v>
      </c>
      <c r="H527">
        <v>133</v>
      </c>
      <c r="I527" t="s">
        <v>26</v>
      </c>
      <c r="J527" t="s">
        <v>27</v>
      </c>
      <c r="K527">
        <v>0.60115981103861349</v>
      </c>
      <c r="L527">
        <v>0.20775897773986973</v>
      </c>
      <c r="M527">
        <v>0.12690532439479374</v>
      </c>
      <c r="N527" s="18">
        <v>6.4175886826723039E-2</v>
      </c>
    </row>
    <row r="528" spans="1:14" x14ac:dyDescent="0.25">
      <c r="A528">
        <v>4</v>
      </c>
      <c r="B528" t="s">
        <v>12</v>
      </c>
      <c r="C528">
        <v>2.1</v>
      </c>
      <c r="D528">
        <v>700</v>
      </c>
      <c r="E528">
        <v>20</v>
      </c>
      <c r="F528">
        <v>1</v>
      </c>
      <c r="G528">
        <v>71</v>
      </c>
      <c r="H528">
        <v>134</v>
      </c>
      <c r="I528" t="s">
        <v>26</v>
      </c>
      <c r="J528" t="s">
        <v>28</v>
      </c>
      <c r="K528">
        <v>0.69200294709950394</v>
      </c>
      <c r="L528">
        <v>0.1712057427462661</v>
      </c>
      <c r="M528">
        <v>9.2809466486150294E-2</v>
      </c>
      <c r="N528" s="18">
        <v>4.3981843668079668E-2</v>
      </c>
    </row>
    <row r="529" spans="1:14" x14ac:dyDescent="0.25">
      <c r="A529">
        <v>4</v>
      </c>
      <c r="B529" t="s">
        <v>12</v>
      </c>
      <c r="C529">
        <v>2.1</v>
      </c>
      <c r="D529">
        <v>700</v>
      </c>
      <c r="E529">
        <v>20</v>
      </c>
      <c r="F529">
        <v>1</v>
      </c>
      <c r="G529">
        <v>72</v>
      </c>
      <c r="H529">
        <v>135</v>
      </c>
      <c r="I529" t="s">
        <v>26</v>
      </c>
      <c r="J529" t="s">
        <v>29</v>
      </c>
      <c r="K529">
        <v>0.50839920981720832</v>
      </c>
      <c r="L529">
        <v>0.23549343174903137</v>
      </c>
      <c r="M529">
        <v>0.16524081285983216</v>
      </c>
      <c r="N529" s="18">
        <v>9.0866545573928148E-2</v>
      </c>
    </row>
    <row r="530" spans="1:14" x14ac:dyDescent="0.25">
      <c r="A530">
        <v>5</v>
      </c>
      <c r="B530" t="s">
        <v>13</v>
      </c>
      <c r="C530">
        <v>2.1</v>
      </c>
      <c r="D530">
        <v>700</v>
      </c>
      <c r="E530">
        <v>20</v>
      </c>
      <c r="F530">
        <v>1</v>
      </c>
      <c r="G530">
        <v>49</v>
      </c>
      <c r="H530">
        <v>136</v>
      </c>
      <c r="I530" t="s">
        <v>19</v>
      </c>
      <c r="J530" t="s">
        <v>27</v>
      </c>
      <c r="K530">
        <v>0.46212270671127514</v>
      </c>
      <c r="L530">
        <v>0.26115924314721034</v>
      </c>
      <c r="M530">
        <v>0.19827560066357042</v>
      </c>
      <c r="N530" s="18">
        <v>7.8442449477944098E-2</v>
      </c>
    </row>
    <row r="531" spans="1:14" x14ac:dyDescent="0.25">
      <c r="A531">
        <v>5</v>
      </c>
      <c r="B531" t="s">
        <v>13</v>
      </c>
      <c r="C531">
        <v>2.1</v>
      </c>
      <c r="D531">
        <v>700</v>
      </c>
      <c r="E531">
        <v>20</v>
      </c>
      <c r="F531">
        <v>1</v>
      </c>
      <c r="G531">
        <v>50</v>
      </c>
      <c r="H531">
        <v>137</v>
      </c>
      <c r="I531" t="s">
        <v>19</v>
      </c>
      <c r="J531" t="s">
        <v>28</v>
      </c>
      <c r="K531">
        <v>0.68445033519563192</v>
      </c>
      <c r="L531">
        <v>0.18395133112018935</v>
      </c>
      <c r="M531">
        <v>9.8982568571859164E-2</v>
      </c>
      <c r="N531" s="18">
        <v>3.2615765112319561E-2</v>
      </c>
    </row>
    <row r="532" spans="1:14" x14ac:dyDescent="0.25">
      <c r="A532">
        <v>5</v>
      </c>
      <c r="B532" t="s">
        <v>13</v>
      </c>
      <c r="C532">
        <v>2.1</v>
      </c>
      <c r="D532">
        <v>700</v>
      </c>
      <c r="E532">
        <v>20</v>
      </c>
      <c r="F532">
        <v>1</v>
      </c>
      <c r="G532">
        <v>51</v>
      </c>
      <c r="H532">
        <v>138</v>
      </c>
      <c r="I532" t="s">
        <v>19</v>
      </c>
      <c r="J532" t="s">
        <v>29</v>
      </c>
      <c r="K532">
        <v>0.34152627569143723</v>
      </c>
      <c r="L532">
        <v>0.27056230525574831</v>
      </c>
      <c r="M532">
        <v>0.26433610779603434</v>
      </c>
      <c r="N532" s="18">
        <v>0.12357531125678012</v>
      </c>
    </row>
    <row r="533" spans="1:14" x14ac:dyDescent="0.25">
      <c r="A533">
        <v>5</v>
      </c>
      <c r="B533" t="s">
        <v>13</v>
      </c>
      <c r="C533">
        <v>2.1</v>
      </c>
      <c r="D533">
        <v>700</v>
      </c>
      <c r="E533">
        <v>20</v>
      </c>
      <c r="F533">
        <v>1</v>
      </c>
      <c r="G533">
        <v>52</v>
      </c>
      <c r="H533">
        <v>139</v>
      </c>
      <c r="I533" t="s">
        <v>20</v>
      </c>
      <c r="J533" t="s">
        <v>27</v>
      </c>
      <c r="K533">
        <v>0.92898490302416536</v>
      </c>
      <c r="L533">
        <v>4.3097951259981282E-2</v>
      </c>
      <c r="M533">
        <v>2.0077569243840632E-2</v>
      </c>
      <c r="N533" s="18">
        <v>7.8395764720127215E-3</v>
      </c>
    </row>
    <row r="534" spans="1:14" x14ac:dyDescent="0.25">
      <c r="A534">
        <v>5</v>
      </c>
      <c r="B534" t="s">
        <v>13</v>
      </c>
      <c r="C534">
        <v>2.1</v>
      </c>
      <c r="D534">
        <v>700</v>
      </c>
      <c r="E534">
        <v>20</v>
      </c>
      <c r="F534">
        <v>1</v>
      </c>
      <c r="G534">
        <v>53</v>
      </c>
      <c r="H534">
        <v>140</v>
      </c>
      <c r="I534" t="s">
        <v>20</v>
      </c>
      <c r="J534" t="s">
        <v>28</v>
      </c>
      <c r="K534">
        <v>0.98790387204689079</v>
      </c>
      <c r="L534">
        <v>7.5171957325015359E-3</v>
      </c>
      <c r="M534">
        <v>3.3149206269854625E-3</v>
      </c>
      <c r="N534" s="18">
        <v>1.2640115936222163E-3</v>
      </c>
    </row>
    <row r="535" spans="1:14" x14ac:dyDescent="0.25">
      <c r="A535">
        <v>5</v>
      </c>
      <c r="B535" t="s">
        <v>13</v>
      </c>
      <c r="C535">
        <v>2.1</v>
      </c>
      <c r="D535">
        <v>700</v>
      </c>
      <c r="E535">
        <v>20</v>
      </c>
      <c r="F535">
        <v>1</v>
      </c>
      <c r="G535">
        <v>54</v>
      </c>
      <c r="H535">
        <v>141</v>
      </c>
      <c r="I535" t="s">
        <v>20</v>
      </c>
      <c r="J535" t="s">
        <v>29</v>
      </c>
      <c r="K535">
        <v>0.21419867855415525</v>
      </c>
      <c r="L535">
        <v>0.20628211554872405</v>
      </c>
      <c r="M535">
        <v>0.30457890328520676</v>
      </c>
      <c r="N535" s="18">
        <v>0.27494030261191393</v>
      </c>
    </row>
    <row r="536" spans="1:14" x14ac:dyDescent="0.25">
      <c r="A536">
        <v>5</v>
      </c>
      <c r="B536" t="s">
        <v>13</v>
      </c>
      <c r="C536">
        <v>2.1</v>
      </c>
      <c r="D536">
        <v>700</v>
      </c>
      <c r="E536">
        <v>20</v>
      </c>
      <c r="F536">
        <v>1</v>
      </c>
      <c r="G536">
        <v>55</v>
      </c>
      <c r="H536">
        <v>142</v>
      </c>
      <c r="I536" t="s">
        <v>21</v>
      </c>
      <c r="J536" t="s">
        <v>27</v>
      </c>
      <c r="K536">
        <v>0.51164789223487939</v>
      </c>
      <c r="L536">
        <v>0.243119049769985</v>
      </c>
      <c r="M536">
        <v>0.18245414678686445</v>
      </c>
      <c r="N536" s="18">
        <v>6.2778911208271171E-2</v>
      </c>
    </row>
    <row r="537" spans="1:14" x14ac:dyDescent="0.25">
      <c r="A537">
        <v>5</v>
      </c>
      <c r="B537" t="s">
        <v>13</v>
      </c>
      <c r="C537">
        <v>2.1</v>
      </c>
      <c r="D537">
        <v>700</v>
      </c>
      <c r="E537">
        <v>20</v>
      </c>
      <c r="F537">
        <v>1</v>
      </c>
      <c r="G537">
        <v>56</v>
      </c>
      <c r="H537">
        <v>143</v>
      </c>
      <c r="I537" t="s">
        <v>21</v>
      </c>
      <c r="J537" t="s">
        <v>28</v>
      </c>
      <c r="K537">
        <v>0.72342202957828172</v>
      </c>
      <c r="L537">
        <v>0.16141956288100379</v>
      </c>
      <c r="M537">
        <v>8.9028566713228785E-2</v>
      </c>
      <c r="N537" s="18">
        <v>2.6129840827485706E-2</v>
      </c>
    </row>
    <row r="538" spans="1:14" x14ac:dyDescent="0.25">
      <c r="A538">
        <v>5</v>
      </c>
      <c r="B538" t="s">
        <v>13</v>
      </c>
      <c r="C538">
        <v>2.1</v>
      </c>
      <c r="D538">
        <v>700</v>
      </c>
      <c r="E538">
        <v>20</v>
      </c>
      <c r="F538">
        <v>1</v>
      </c>
      <c r="G538">
        <v>57</v>
      </c>
      <c r="H538">
        <v>144</v>
      </c>
      <c r="I538" t="s">
        <v>21</v>
      </c>
      <c r="J538" t="s">
        <v>29</v>
      </c>
      <c r="K538">
        <v>0.32298227690184222</v>
      </c>
      <c r="L538">
        <v>0.26060083861543304</v>
      </c>
      <c r="M538">
        <v>0.28817569404908483</v>
      </c>
      <c r="N538" s="18">
        <v>0.12824119043363991</v>
      </c>
    </row>
    <row r="539" spans="1:14" x14ac:dyDescent="0.25">
      <c r="A539">
        <v>5</v>
      </c>
      <c r="B539" t="s">
        <v>13</v>
      </c>
      <c r="C539">
        <v>2.1</v>
      </c>
      <c r="D539">
        <v>700</v>
      </c>
      <c r="E539">
        <v>20</v>
      </c>
      <c r="F539">
        <v>1</v>
      </c>
      <c r="G539">
        <v>58</v>
      </c>
      <c r="H539">
        <v>145</v>
      </c>
      <c r="I539" t="s">
        <v>22</v>
      </c>
      <c r="J539" t="s">
        <v>27</v>
      </c>
      <c r="K539">
        <v>0.28296123403155349</v>
      </c>
      <c r="L539">
        <v>-5.1142503339550061E-2</v>
      </c>
      <c r="M539">
        <v>1.6580133718819168E-2</v>
      </c>
      <c r="N539" s="18">
        <v>0.7516011355891774</v>
      </c>
    </row>
    <row r="540" spans="1:14" x14ac:dyDescent="0.25">
      <c r="A540">
        <v>5</v>
      </c>
      <c r="B540" t="s">
        <v>13</v>
      </c>
      <c r="C540">
        <v>2.1</v>
      </c>
      <c r="D540">
        <v>700</v>
      </c>
      <c r="E540">
        <v>20</v>
      </c>
      <c r="F540">
        <v>1</v>
      </c>
      <c r="G540">
        <v>59</v>
      </c>
      <c r="H540">
        <v>146</v>
      </c>
      <c r="I540" t="s">
        <v>22</v>
      </c>
      <c r="J540" t="s">
        <v>28</v>
      </c>
      <c r="K540">
        <v>0.49969250003876808</v>
      </c>
      <c r="L540">
        <v>-6.9893188134487139E-2</v>
      </c>
      <c r="M540">
        <v>1.8567904910025579E-2</v>
      </c>
      <c r="N540" s="18">
        <v>0.55163278318569353</v>
      </c>
    </row>
    <row r="541" spans="1:14" x14ac:dyDescent="0.25">
      <c r="A541">
        <v>5</v>
      </c>
      <c r="B541" t="s">
        <v>13</v>
      </c>
      <c r="C541">
        <v>2.1</v>
      </c>
      <c r="D541">
        <v>700</v>
      </c>
      <c r="E541">
        <v>20</v>
      </c>
      <c r="F541">
        <v>1</v>
      </c>
      <c r="G541">
        <v>60</v>
      </c>
      <c r="H541">
        <v>147</v>
      </c>
      <c r="I541" t="s">
        <v>22</v>
      </c>
      <c r="J541" t="s">
        <v>29</v>
      </c>
      <c r="K541">
        <v>0.15503556441074659</v>
      </c>
      <c r="L541">
        <v>-3.4807263704730598E-2</v>
      </c>
      <c r="M541">
        <v>6.4813316694618678E-3</v>
      </c>
      <c r="N541" s="18">
        <v>0.87329036762452217</v>
      </c>
    </row>
    <row r="542" spans="1:14" x14ac:dyDescent="0.25">
      <c r="A542">
        <v>5</v>
      </c>
      <c r="B542" t="s">
        <v>13</v>
      </c>
      <c r="C542">
        <v>2.1</v>
      </c>
      <c r="D542">
        <v>700</v>
      </c>
      <c r="E542">
        <v>20</v>
      </c>
      <c r="F542">
        <v>1</v>
      </c>
      <c r="G542">
        <v>61</v>
      </c>
      <c r="H542">
        <v>148</v>
      </c>
      <c r="I542" t="s">
        <v>23</v>
      </c>
      <c r="J542" t="s">
        <v>27</v>
      </c>
      <c r="K542">
        <v>0.86619192392603273</v>
      </c>
      <c r="L542">
        <v>8.9020373024180643E-2</v>
      </c>
      <c r="M542">
        <v>3.5319473456591144E-2</v>
      </c>
      <c r="N542" s="18">
        <v>9.4682295931954874E-3</v>
      </c>
    </row>
    <row r="543" spans="1:14" x14ac:dyDescent="0.25">
      <c r="A543">
        <v>5</v>
      </c>
      <c r="B543" t="s">
        <v>13</v>
      </c>
      <c r="C543">
        <v>2.1</v>
      </c>
      <c r="D543">
        <v>700</v>
      </c>
      <c r="E543">
        <v>20</v>
      </c>
      <c r="F543">
        <v>1</v>
      </c>
      <c r="G543">
        <v>62</v>
      </c>
      <c r="H543">
        <v>149</v>
      </c>
      <c r="I543" t="s">
        <v>23</v>
      </c>
      <c r="J543" t="s">
        <v>28</v>
      </c>
      <c r="K543">
        <v>0.99638592963503503</v>
      </c>
      <c r="L543">
        <v>2.5143510769107813E-3</v>
      </c>
      <c r="M543">
        <v>8.7532916838939379E-4</v>
      </c>
      <c r="N543" s="18">
        <v>2.2439011966479683E-4</v>
      </c>
    </row>
    <row r="544" spans="1:14" x14ac:dyDescent="0.25">
      <c r="A544">
        <v>5</v>
      </c>
      <c r="B544" t="s">
        <v>13</v>
      </c>
      <c r="C544">
        <v>2.1</v>
      </c>
      <c r="D544">
        <v>700</v>
      </c>
      <c r="E544">
        <v>20</v>
      </c>
      <c r="F544">
        <v>1</v>
      </c>
      <c r="G544">
        <v>63</v>
      </c>
      <c r="H544">
        <v>150</v>
      </c>
      <c r="I544" t="s">
        <v>23</v>
      </c>
      <c r="J544" t="s">
        <v>29</v>
      </c>
      <c r="K544">
        <v>7.5354972142813656E-2</v>
      </c>
      <c r="L544">
        <v>0.13631307983673807</v>
      </c>
      <c r="M544">
        <v>0.35675006176762747</v>
      </c>
      <c r="N544" s="18">
        <v>0.43158188625282079</v>
      </c>
    </row>
    <row r="545" spans="1:14" x14ac:dyDescent="0.25">
      <c r="A545">
        <v>5</v>
      </c>
      <c r="B545" t="s">
        <v>13</v>
      </c>
      <c r="C545">
        <v>2.1</v>
      </c>
      <c r="D545">
        <v>700</v>
      </c>
      <c r="E545">
        <v>20</v>
      </c>
      <c r="F545">
        <v>1</v>
      </c>
      <c r="G545">
        <v>64</v>
      </c>
      <c r="H545">
        <v>151</v>
      </c>
      <c r="I545" t="s">
        <v>24</v>
      </c>
      <c r="J545" t="s">
        <v>27</v>
      </c>
      <c r="K545">
        <v>0.76073257062428778</v>
      </c>
      <c r="L545">
        <v>0.12275713427552315</v>
      </c>
      <c r="M545">
        <v>8.7021139855115504E-2</v>
      </c>
      <c r="N545" s="18">
        <v>2.9489155245073562E-2</v>
      </c>
    </row>
    <row r="546" spans="1:14" x14ac:dyDescent="0.25">
      <c r="A546">
        <v>5</v>
      </c>
      <c r="B546" t="s">
        <v>13</v>
      </c>
      <c r="C546">
        <v>2.1</v>
      </c>
      <c r="D546">
        <v>700</v>
      </c>
      <c r="E546">
        <v>20</v>
      </c>
      <c r="F546">
        <v>1</v>
      </c>
      <c r="G546">
        <v>65</v>
      </c>
      <c r="H546">
        <v>152</v>
      </c>
      <c r="I546" t="s">
        <v>24</v>
      </c>
      <c r="J546" t="s">
        <v>28</v>
      </c>
      <c r="K546">
        <v>0.89753216373939204</v>
      </c>
      <c r="L546">
        <v>5.6786158775958051E-2</v>
      </c>
      <c r="M546">
        <v>3.4772696875247311E-2</v>
      </c>
      <c r="N546" s="18">
        <v>1.0908980609402597E-2</v>
      </c>
    </row>
    <row r="547" spans="1:14" x14ac:dyDescent="0.25">
      <c r="A547">
        <v>5</v>
      </c>
      <c r="B547" t="s">
        <v>13</v>
      </c>
      <c r="C547">
        <v>2.1</v>
      </c>
      <c r="D547">
        <v>700</v>
      </c>
      <c r="E547">
        <v>20</v>
      </c>
      <c r="F547">
        <v>1</v>
      </c>
      <c r="G547">
        <v>66</v>
      </c>
      <c r="H547">
        <v>153</v>
      </c>
      <c r="I547" t="s">
        <v>24</v>
      </c>
      <c r="J547" t="s">
        <v>29</v>
      </c>
      <c r="K547">
        <v>0.63118410569197869</v>
      </c>
      <c r="L547">
        <v>0.17202920908178065</v>
      </c>
      <c r="M547">
        <v>0.14335301644925513</v>
      </c>
      <c r="N547" s="18">
        <v>5.3433668776985521E-2</v>
      </c>
    </row>
    <row r="548" spans="1:14" x14ac:dyDescent="0.25">
      <c r="A548">
        <v>5</v>
      </c>
      <c r="B548" t="s">
        <v>13</v>
      </c>
      <c r="C548">
        <v>2.1</v>
      </c>
      <c r="D548">
        <v>700</v>
      </c>
      <c r="E548">
        <v>20</v>
      </c>
      <c r="F548">
        <v>1</v>
      </c>
      <c r="G548">
        <v>67</v>
      </c>
      <c r="H548">
        <v>154</v>
      </c>
      <c r="I548" t="s">
        <v>25</v>
      </c>
      <c r="J548" t="s">
        <v>27</v>
      </c>
      <c r="K548">
        <v>0.11022940273611781</v>
      </c>
      <c r="L548">
        <v>0.21231569963531088</v>
      </c>
      <c r="M548">
        <v>0.42265988850671093</v>
      </c>
      <c r="N548" s="18">
        <v>0.25479500912186037</v>
      </c>
    </row>
    <row r="549" spans="1:14" x14ac:dyDescent="0.25">
      <c r="A549">
        <v>5</v>
      </c>
      <c r="B549" t="s">
        <v>13</v>
      </c>
      <c r="C549">
        <v>2.1</v>
      </c>
      <c r="D549">
        <v>700</v>
      </c>
      <c r="E549">
        <v>20</v>
      </c>
      <c r="F549">
        <v>1</v>
      </c>
      <c r="G549">
        <v>68</v>
      </c>
      <c r="H549">
        <v>155</v>
      </c>
      <c r="I549" t="s">
        <v>25</v>
      </c>
      <c r="J549" t="s">
        <v>28</v>
      </c>
      <c r="K549">
        <v>0.23306225937400782</v>
      </c>
      <c r="L549">
        <v>0.30566004633384625</v>
      </c>
      <c r="M549">
        <v>0.33894250225370737</v>
      </c>
      <c r="N549" s="18">
        <v>0.12233519203843857</v>
      </c>
    </row>
    <row r="550" spans="1:14" x14ac:dyDescent="0.25">
      <c r="A550">
        <v>5</v>
      </c>
      <c r="B550" t="s">
        <v>13</v>
      </c>
      <c r="C550">
        <v>2.1</v>
      </c>
      <c r="D550">
        <v>700</v>
      </c>
      <c r="E550">
        <v>20</v>
      </c>
      <c r="F550">
        <v>1</v>
      </c>
      <c r="G550">
        <v>69</v>
      </c>
      <c r="H550">
        <v>156</v>
      </c>
      <c r="I550" t="s">
        <v>25</v>
      </c>
      <c r="J550" t="s">
        <v>29</v>
      </c>
      <c r="K550">
        <v>9.2196983481395836E-2</v>
      </c>
      <c r="L550">
        <v>0.1885417911583262</v>
      </c>
      <c r="M550">
        <v>0.42494241625424928</v>
      </c>
      <c r="N550" s="18">
        <v>0.2943188091060287</v>
      </c>
    </row>
    <row r="551" spans="1:14" x14ac:dyDescent="0.25">
      <c r="A551">
        <v>5</v>
      </c>
      <c r="B551" t="s">
        <v>13</v>
      </c>
      <c r="C551">
        <v>2.1</v>
      </c>
      <c r="D551">
        <v>700</v>
      </c>
      <c r="E551">
        <v>20</v>
      </c>
      <c r="F551">
        <v>1</v>
      </c>
      <c r="G551">
        <v>70</v>
      </c>
      <c r="H551">
        <v>157</v>
      </c>
      <c r="I551" t="s">
        <v>26</v>
      </c>
      <c r="J551" t="s">
        <v>27</v>
      </c>
      <c r="K551">
        <v>0.75582044397688775</v>
      </c>
      <c r="L551">
        <v>0.14101989900695178</v>
      </c>
      <c r="M551">
        <v>7.0845435574109161E-2</v>
      </c>
      <c r="N551" s="18">
        <v>3.2314221442051316E-2</v>
      </c>
    </row>
    <row r="552" spans="1:14" x14ac:dyDescent="0.25">
      <c r="A552">
        <v>5</v>
      </c>
      <c r="B552" t="s">
        <v>13</v>
      </c>
      <c r="C552">
        <v>2.1</v>
      </c>
      <c r="D552">
        <v>700</v>
      </c>
      <c r="E552">
        <v>20</v>
      </c>
      <c r="F552">
        <v>1</v>
      </c>
      <c r="G552">
        <v>71</v>
      </c>
      <c r="H552">
        <v>158</v>
      </c>
      <c r="I552" t="s">
        <v>26</v>
      </c>
      <c r="J552" t="s">
        <v>28</v>
      </c>
      <c r="K552">
        <v>0.82187459530951179</v>
      </c>
      <c r="L552">
        <v>0.10648766516138419</v>
      </c>
      <c r="M552">
        <v>4.9726485054617409E-2</v>
      </c>
      <c r="N552" s="18">
        <v>2.1911254474486608E-2</v>
      </c>
    </row>
    <row r="553" spans="1:14" x14ac:dyDescent="0.25">
      <c r="A553">
        <v>5</v>
      </c>
      <c r="B553" t="s">
        <v>13</v>
      </c>
      <c r="C553">
        <v>2.1</v>
      </c>
      <c r="D553">
        <v>700</v>
      </c>
      <c r="E553">
        <v>20</v>
      </c>
      <c r="F553">
        <v>1</v>
      </c>
      <c r="G553">
        <v>72</v>
      </c>
      <c r="H553">
        <v>159</v>
      </c>
      <c r="I553" t="s">
        <v>26</v>
      </c>
      <c r="J553" t="s">
        <v>29</v>
      </c>
      <c r="K553">
        <v>0.67987556299868301</v>
      </c>
      <c r="L553">
        <v>0.17654830556927481</v>
      </c>
      <c r="M553">
        <v>9.7165296912812615E-2</v>
      </c>
      <c r="N553" s="18">
        <v>4.641083451922956E-2</v>
      </c>
    </row>
    <row r="554" spans="1:14" x14ac:dyDescent="0.25">
      <c r="A554">
        <v>6</v>
      </c>
      <c r="B554" t="s">
        <v>14</v>
      </c>
      <c r="C554">
        <v>1.2</v>
      </c>
      <c r="D554">
        <v>1022</v>
      </c>
      <c r="E554">
        <v>25</v>
      </c>
      <c r="F554">
        <v>1</v>
      </c>
      <c r="G554">
        <v>49</v>
      </c>
      <c r="H554">
        <v>160</v>
      </c>
      <c r="I554" t="s">
        <v>19</v>
      </c>
      <c r="J554" t="s">
        <v>27</v>
      </c>
      <c r="K554">
        <v>0.36406128031976454</v>
      </c>
      <c r="L554">
        <v>0.27119186283280733</v>
      </c>
      <c r="M554">
        <v>0.25147221745372927</v>
      </c>
      <c r="N554" s="18">
        <v>0.11327463939369886</v>
      </c>
    </row>
    <row r="555" spans="1:14" x14ac:dyDescent="0.25">
      <c r="A555">
        <v>6</v>
      </c>
      <c r="B555" t="s">
        <v>14</v>
      </c>
      <c r="C555">
        <v>1.2</v>
      </c>
      <c r="D555">
        <v>1022</v>
      </c>
      <c r="E555">
        <v>25</v>
      </c>
      <c r="F555">
        <v>1</v>
      </c>
      <c r="G555">
        <v>50</v>
      </c>
      <c r="H555">
        <v>161</v>
      </c>
      <c r="I555" t="s">
        <v>19</v>
      </c>
      <c r="J555" t="s">
        <v>28</v>
      </c>
      <c r="K555">
        <v>0.59346784354517679</v>
      </c>
      <c r="L555">
        <v>0.2227484758462267</v>
      </c>
      <c r="M555">
        <v>0.13607783350361868</v>
      </c>
      <c r="N555" s="18">
        <v>4.7705847104977828E-2</v>
      </c>
    </row>
    <row r="556" spans="1:14" x14ac:dyDescent="0.25">
      <c r="A556">
        <v>6</v>
      </c>
      <c r="B556" t="s">
        <v>14</v>
      </c>
      <c r="C556">
        <v>1.2</v>
      </c>
      <c r="D556">
        <v>1022</v>
      </c>
      <c r="E556">
        <v>25</v>
      </c>
      <c r="F556">
        <v>1</v>
      </c>
      <c r="G556">
        <v>51</v>
      </c>
      <c r="H556">
        <v>162</v>
      </c>
      <c r="I556" t="s">
        <v>19</v>
      </c>
      <c r="J556" t="s">
        <v>29</v>
      </c>
      <c r="K556">
        <v>0.25922894138529856</v>
      </c>
      <c r="L556">
        <v>0.25642094500369234</v>
      </c>
      <c r="M556">
        <v>0.31149412429709833</v>
      </c>
      <c r="N556" s="18">
        <v>0.17285598931391077</v>
      </c>
    </row>
    <row r="557" spans="1:14" x14ac:dyDescent="0.25">
      <c r="A557">
        <v>6</v>
      </c>
      <c r="B557" t="s">
        <v>14</v>
      </c>
      <c r="C557">
        <v>1.2</v>
      </c>
      <c r="D557">
        <v>1022</v>
      </c>
      <c r="E557">
        <v>25</v>
      </c>
      <c r="F557">
        <v>1</v>
      </c>
      <c r="G557">
        <v>52</v>
      </c>
      <c r="H557">
        <v>163</v>
      </c>
      <c r="I557" t="s">
        <v>20</v>
      </c>
      <c r="J557" t="s">
        <v>27</v>
      </c>
      <c r="K557">
        <v>0.94239092088442433</v>
      </c>
      <c r="L557">
        <v>3.5158665928898603E-2</v>
      </c>
      <c r="M557">
        <v>1.6171377302654388E-2</v>
      </c>
      <c r="N557" s="18">
        <v>6.2790358840226768E-3</v>
      </c>
    </row>
    <row r="558" spans="1:14" x14ac:dyDescent="0.25">
      <c r="A558">
        <v>6</v>
      </c>
      <c r="B558" t="s">
        <v>14</v>
      </c>
      <c r="C558">
        <v>1.2</v>
      </c>
      <c r="D558">
        <v>1022</v>
      </c>
      <c r="E558">
        <v>25</v>
      </c>
      <c r="F558">
        <v>1</v>
      </c>
      <c r="G558">
        <v>53</v>
      </c>
      <c r="H558">
        <v>164</v>
      </c>
      <c r="I558" t="s">
        <v>20</v>
      </c>
      <c r="J558" t="s">
        <v>28</v>
      </c>
      <c r="K558">
        <v>0.99293449358006336</v>
      </c>
      <c r="L558">
        <v>4.3993296054027908E-3</v>
      </c>
      <c r="M558">
        <v>1.9312026755047285E-3</v>
      </c>
      <c r="N558" s="18">
        <v>7.349741390291209E-4</v>
      </c>
    </row>
    <row r="559" spans="1:14" x14ac:dyDescent="0.25">
      <c r="A559">
        <v>6</v>
      </c>
      <c r="B559" t="s">
        <v>14</v>
      </c>
      <c r="C559">
        <v>1.2</v>
      </c>
      <c r="D559">
        <v>1022</v>
      </c>
      <c r="E559">
        <v>25</v>
      </c>
      <c r="F559">
        <v>1</v>
      </c>
      <c r="G559">
        <v>54</v>
      </c>
      <c r="H559">
        <v>165</v>
      </c>
      <c r="I559" t="s">
        <v>20</v>
      </c>
      <c r="J559" t="s">
        <v>29</v>
      </c>
      <c r="K559">
        <v>0.1258831463309299</v>
      </c>
      <c r="L559">
        <v>0.15122335358385286</v>
      </c>
      <c r="M559">
        <v>0.30505186060280043</v>
      </c>
      <c r="N559" s="18">
        <v>0.41784163948241682</v>
      </c>
    </row>
    <row r="560" spans="1:14" x14ac:dyDescent="0.25">
      <c r="A560">
        <v>6</v>
      </c>
      <c r="B560" t="s">
        <v>14</v>
      </c>
      <c r="C560">
        <v>1.2</v>
      </c>
      <c r="D560">
        <v>1022</v>
      </c>
      <c r="E560">
        <v>25</v>
      </c>
      <c r="F560">
        <v>1</v>
      </c>
      <c r="G560">
        <v>55</v>
      </c>
      <c r="H560">
        <v>166</v>
      </c>
      <c r="I560" t="s">
        <v>21</v>
      </c>
      <c r="J560" t="s">
        <v>27</v>
      </c>
      <c r="K560">
        <v>0.54217455009209914</v>
      </c>
      <c r="L560">
        <v>0.23455354258502403</v>
      </c>
      <c r="M560">
        <v>0.16732609597615711</v>
      </c>
      <c r="N560" s="18">
        <v>5.594581134671972E-2</v>
      </c>
    </row>
    <row r="561" spans="1:14" x14ac:dyDescent="0.25">
      <c r="A561">
        <v>6</v>
      </c>
      <c r="B561" t="s">
        <v>14</v>
      </c>
      <c r="C561">
        <v>1.2</v>
      </c>
      <c r="D561">
        <v>1022</v>
      </c>
      <c r="E561">
        <v>25</v>
      </c>
      <c r="F561">
        <v>1</v>
      </c>
      <c r="G561">
        <v>56</v>
      </c>
      <c r="H561">
        <v>167</v>
      </c>
      <c r="I561" t="s">
        <v>21</v>
      </c>
      <c r="J561" t="s">
        <v>28</v>
      </c>
      <c r="K561">
        <v>0.74725019958306904</v>
      </c>
      <c r="L561">
        <v>0.14949758893695775</v>
      </c>
      <c r="M561">
        <v>8.0065133233579111E-2</v>
      </c>
      <c r="N561" s="18">
        <v>2.3187078246394099E-2</v>
      </c>
    </row>
    <row r="562" spans="1:14" x14ac:dyDescent="0.25">
      <c r="A562">
        <v>6</v>
      </c>
      <c r="B562" t="s">
        <v>14</v>
      </c>
      <c r="C562">
        <v>1.2</v>
      </c>
      <c r="D562">
        <v>1022</v>
      </c>
      <c r="E562">
        <v>25</v>
      </c>
      <c r="F562">
        <v>1</v>
      </c>
      <c r="G562">
        <v>57</v>
      </c>
      <c r="H562">
        <v>168</v>
      </c>
      <c r="I562" t="s">
        <v>21</v>
      </c>
      <c r="J562" t="s">
        <v>29</v>
      </c>
      <c r="K562">
        <v>0.35032749055496171</v>
      </c>
      <c r="L562">
        <v>0.2626866855843738</v>
      </c>
      <c r="M562">
        <v>0.27182741631995</v>
      </c>
      <c r="N562" s="18">
        <v>0.11515840754071449</v>
      </c>
    </row>
    <row r="563" spans="1:14" x14ac:dyDescent="0.25">
      <c r="A563">
        <v>6</v>
      </c>
      <c r="B563" t="s">
        <v>14</v>
      </c>
      <c r="C563">
        <v>1.2</v>
      </c>
      <c r="D563">
        <v>1022</v>
      </c>
      <c r="E563">
        <v>25</v>
      </c>
      <c r="F563">
        <v>1</v>
      </c>
      <c r="G563">
        <v>58</v>
      </c>
      <c r="H563">
        <v>169</v>
      </c>
      <c r="I563" t="s">
        <v>22</v>
      </c>
      <c r="J563" t="s">
        <v>27</v>
      </c>
      <c r="K563">
        <v>0.23264604434813205</v>
      </c>
      <c r="L563">
        <v>-8.8125449836099407E-2</v>
      </c>
      <c r="M563">
        <v>-3.1408571666952836E-2</v>
      </c>
      <c r="N563" s="18">
        <v>0.88688797715492018</v>
      </c>
    </row>
    <row r="564" spans="1:14" x14ac:dyDescent="0.25">
      <c r="A564">
        <v>6</v>
      </c>
      <c r="B564" t="s">
        <v>14</v>
      </c>
      <c r="C564">
        <v>1.2</v>
      </c>
      <c r="D564">
        <v>1022</v>
      </c>
      <c r="E564">
        <v>25</v>
      </c>
      <c r="F564">
        <v>1</v>
      </c>
      <c r="G564">
        <v>59</v>
      </c>
      <c r="H564">
        <v>170</v>
      </c>
      <c r="I564" t="s">
        <v>22</v>
      </c>
      <c r="J564" t="s">
        <v>28</v>
      </c>
      <c r="K564">
        <v>0.43417430340688301</v>
      </c>
      <c r="L564">
        <v>-0.13742797343121615</v>
      </c>
      <c r="M564">
        <v>-5.7977275008794016E-2</v>
      </c>
      <c r="N564" s="18">
        <v>0.76123094503312716</v>
      </c>
    </row>
    <row r="565" spans="1:14" x14ac:dyDescent="0.25">
      <c r="A565">
        <v>6</v>
      </c>
      <c r="B565" t="s">
        <v>14</v>
      </c>
      <c r="C565">
        <v>1.2</v>
      </c>
      <c r="D565">
        <v>1022</v>
      </c>
      <c r="E565">
        <v>25</v>
      </c>
      <c r="F565">
        <v>1</v>
      </c>
      <c r="G565">
        <v>60</v>
      </c>
      <c r="H565">
        <v>171</v>
      </c>
      <c r="I565" t="s">
        <v>22</v>
      </c>
      <c r="J565" t="s">
        <v>29</v>
      </c>
      <c r="K565">
        <v>0.12354823769128466</v>
      </c>
      <c r="L565">
        <v>-5.2482985681629526E-2</v>
      </c>
      <c r="M565">
        <v>-1.8041798899377258E-2</v>
      </c>
      <c r="N565" s="18">
        <v>0.9469765468897221</v>
      </c>
    </row>
    <row r="566" spans="1:14" x14ac:dyDescent="0.25">
      <c r="A566">
        <v>6</v>
      </c>
      <c r="B566" t="s">
        <v>14</v>
      </c>
      <c r="C566">
        <v>1.2</v>
      </c>
      <c r="D566">
        <v>1022</v>
      </c>
      <c r="E566">
        <v>25</v>
      </c>
      <c r="F566">
        <v>1</v>
      </c>
      <c r="G566">
        <v>61</v>
      </c>
      <c r="H566">
        <v>172</v>
      </c>
      <c r="I566" t="s">
        <v>23</v>
      </c>
      <c r="J566" t="s">
        <v>27</v>
      </c>
      <c r="K566">
        <v>0.87104161514491563</v>
      </c>
      <c r="L566">
        <v>8.5954134753721267E-2</v>
      </c>
      <c r="M566">
        <v>3.3926412750775903E-2</v>
      </c>
      <c r="N566" s="18">
        <v>9.0778373505872034E-3</v>
      </c>
    </row>
    <row r="567" spans="1:14" x14ac:dyDescent="0.25">
      <c r="A567">
        <v>6</v>
      </c>
      <c r="B567" t="s">
        <v>14</v>
      </c>
      <c r="C567">
        <v>1.2</v>
      </c>
      <c r="D567">
        <v>1022</v>
      </c>
      <c r="E567">
        <v>25</v>
      </c>
      <c r="F567">
        <v>1</v>
      </c>
      <c r="G567">
        <v>62</v>
      </c>
      <c r="H567">
        <v>173</v>
      </c>
      <c r="I567" t="s">
        <v>23</v>
      </c>
      <c r="J567" t="s">
        <v>28</v>
      </c>
      <c r="K567">
        <v>0.99786019824993644</v>
      </c>
      <c r="L567">
        <v>1.4893546977454708E-3</v>
      </c>
      <c r="M567">
        <v>5.1777532288654893E-4</v>
      </c>
      <c r="N567" s="18">
        <v>1.3267172943154382E-4</v>
      </c>
    </row>
    <row r="568" spans="1:14" x14ac:dyDescent="0.25">
      <c r="A568">
        <v>6</v>
      </c>
      <c r="B568" t="s">
        <v>14</v>
      </c>
      <c r="C568">
        <v>1.2</v>
      </c>
      <c r="D568">
        <v>1022</v>
      </c>
      <c r="E568">
        <v>25</v>
      </c>
      <c r="F568">
        <v>1</v>
      </c>
      <c r="G568">
        <v>63</v>
      </c>
      <c r="H568">
        <v>174</v>
      </c>
      <c r="I568" t="s">
        <v>23</v>
      </c>
      <c r="J568" t="s">
        <v>29</v>
      </c>
      <c r="K568">
        <v>3.6793380346116511E-2</v>
      </c>
      <c r="L568">
        <v>7.4990274019577308E-2</v>
      </c>
      <c r="M568">
        <v>0.26991370634859974</v>
      </c>
      <c r="N568" s="18">
        <v>0.6183026392857065</v>
      </c>
    </row>
    <row r="569" spans="1:14" x14ac:dyDescent="0.25">
      <c r="A569">
        <v>6</v>
      </c>
      <c r="B569" t="s">
        <v>14</v>
      </c>
      <c r="C569">
        <v>1.2</v>
      </c>
      <c r="D569">
        <v>1022</v>
      </c>
      <c r="E569">
        <v>25</v>
      </c>
      <c r="F569">
        <v>1</v>
      </c>
      <c r="G569">
        <v>64</v>
      </c>
      <c r="H569">
        <v>175</v>
      </c>
      <c r="I569" t="s">
        <v>24</v>
      </c>
      <c r="J569" t="s">
        <v>27</v>
      </c>
      <c r="K569">
        <v>0.65365855403778939</v>
      </c>
      <c r="L569">
        <v>0.16456530051285612</v>
      </c>
      <c r="M569">
        <v>0.13308122092230101</v>
      </c>
      <c r="N569" s="18">
        <v>4.8694924527053485E-2</v>
      </c>
    </row>
    <row r="570" spans="1:14" x14ac:dyDescent="0.25">
      <c r="A570">
        <v>6</v>
      </c>
      <c r="B570" t="s">
        <v>14</v>
      </c>
      <c r="C570">
        <v>1.2</v>
      </c>
      <c r="D570">
        <v>1022</v>
      </c>
      <c r="E570">
        <v>25</v>
      </c>
      <c r="F570">
        <v>1</v>
      </c>
      <c r="G570">
        <v>65</v>
      </c>
      <c r="H570">
        <v>176</v>
      </c>
      <c r="I570" t="s">
        <v>24</v>
      </c>
      <c r="J570" t="s">
        <v>28</v>
      </c>
      <c r="K570">
        <v>0.83869633532292875</v>
      </c>
      <c r="L570">
        <v>8.6681185942035999E-2</v>
      </c>
      <c r="M570">
        <v>5.6381227068208806E-2</v>
      </c>
      <c r="N570" s="18">
        <v>1.8241251666826441E-2</v>
      </c>
    </row>
    <row r="571" spans="1:14" x14ac:dyDescent="0.25">
      <c r="A571">
        <v>6</v>
      </c>
      <c r="B571" t="s">
        <v>14</v>
      </c>
      <c r="C571">
        <v>1.2</v>
      </c>
      <c r="D571">
        <v>1022</v>
      </c>
      <c r="E571">
        <v>25</v>
      </c>
      <c r="F571">
        <v>1</v>
      </c>
      <c r="G571">
        <v>66</v>
      </c>
      <c r="H571">
        <v>177</v>
      </c>
      <c r="I571" t="s">
        <v>24</v>
      </c>
      <c r="J571" t="s">
        <v>29</v>
      </c>
      <c r="K571">
        <v>0.50393991845138031</v>
      </c>
      <c r="L571">
        <v>0.20390908109013883</v>
      </c>
      <c r="M571">
        <v>0.20531228773356525</v>
      </c>
      <c r="N571" s="18">
        <v>8.6838712724915612E-2</v>
      </c>
    </row>
    <row r="572" spans="1:14" x14ac:dyDescent="0.25">
      <c r="A572">
        <v>6</v>
      </c>
      <c r="B572" t="s">
        <v>14</v>
      </c>
      <c r="C572">
        <v>1.2</v>
      </c>
      <c r="D572">
        <v>1022</v>
      </c>
      <c r="E572">
        <v>25</v>
      </c>
      <c r="F572">
        <v>1</v>
      </c>
      <c r="G572">
        <v>67</v>
      </c>
      <c r="H572">
        <v>178</v>
      </c>
      <c r="I572" t="s">
        <v>25</v>
      </c>
      <c r="J572" t="s">
        <v>27</v>
      </c>
      <c r="K572">
        <v>6.8115759378310187E-2</v>
      </c>
      <c r="L572">
        <v>0.1511928520876567</v>
      </c>
      <c r="M572">
        <v>0.41380554471519759</v>
      </c>
      <c r="N572" s="18">
        <v>0.36688584381883549</v>
      </c>
    </row>
    <row r="573" spans="1:14" x14ac:dyDescent="0.25">
      <c r="A573">
        <v>6</v>
      </c>
      <c r="B573" t="s">
        <v>14</v>
      </c>
      <c r="C573">
        <v>1.2</v>
      </c>
      <c r="D573">
        <v>1022</v>
      </c>
      <c r="E573">
        <v>25</v>
      </c>
      <c r="F573">
        <v>1</v>
      </c>
      <c r="G573">
        <v>68</v>
      </c>
      <c r="H573">
        <v>179</v>
      </c>
      <c r="I573" t="s">
        <v>25</v>
      </c>
      <c r="J573" t="s">
        <v>28</v>
      </c>
      <c r="K573">
        <v>0.15203868765627995</v>
      </c>
      <c r="L573">
        <v>0.25592253684296296</v>
      </c>
      <c r="M573">
        <v>0.40094210688355109</v>
      </c>
      <c r="N573" s="18">
        <v>0.19109666861720598</v>
      </c>
    </row>
    <row r="574" spans="1:14" x14ac:dyDescent="0.25">
      <c r="A574">
        <v>6</v>
      </c>
      <c r="B574" t="s">
        <v>14</v>
      </c>
      <c r="C574">
        <v>1.2</v>
      </c>
      <c r="D574">
        <v>1022</v>
      </c>
      <c r="E574">
        <v>25</v>
      </c>
      <c r="F574">
        <v>1</v>
      </c>
      <c r="G574">
        <v>69</v>
      </c>
      <c r="H574">
        <v>180</v>
      </c>
      <c r="I574" t="s">
        <v>25</v>
      </c>
      <c r="J574" t="s">
        <v>29</v>
      </c>
      <c r="K574">
        <v>5.6534965479882744E-2</v>
      </c>
      <c r="L574">
        <v>0.13065096242709914</v>
      </c>
      <c r="M574">
        <v>0.39867970778030315</v>
      </c>
      <c r="N574" s="18">
        <v>0.414134364312715</v>
      </c>
    </row>
    <row r="575" spans="1:14" x14ac:dyDescent="0.25">
      <c r="A575">
        <v>6</v>
      </c>
      <c r="B575" t="s">
        <v>14</v>
      </c>
      <c r="C575">
        <v>1.2</v>
      </c>
      <c r="D575">
        <v>1022</v>
      </c>
      <c r="E575">
        <v>25</v>
      </c>
      <c r="F575">
        <v>1</v>
      </c>
      <c r="G575">
        <v>70</v>
      </c>
      <c r="H575">
        <v>181</v>
      </c>
      <c r="I575" t="s">
        <v>26</v>
      </c>
      <c r="J575" t="s">
        <v>27</v>
      </c>
      <c r="K575">
        <v>0.38283318642522374</v>
      </c>
      <c r="L575">
        <v>0.25249873334363321</v>
      </c>
      <c r="M575">
        <v>0.22183549040387718</v>
      </c>
      <c r="N575" s="18">
        <v>0.14283258982726588</v>
      </c>
    </row>
    <row r="576" spans="1:14" x14ac:dyDescent="0.25">
      <c r="A576">
        <v>6</v>
      </c>
      <c r="B576" t="s">
        <v>14</v>
      </c>
      <c r="C576">
        <v>1.2</v>
      </c>
      <c r="D576">
        <v>1022</v>
      </c>
      <c r="E576">
        <v>25</v>
      </c>
      <c r="F576">
        <v>1</v>
      </c>
      <c r="G576">
        <v>71</v>
      </c>
      <c r="H576">
        <v>182</v>
      </c>
      <c r="I576" t="s">
        <v>26</v>
      </c>
      <c r="J576" t="s">
        <v>28</v>
      </c>
      <c r="K576">
        <v>0.48042501020599454</v>
      </c>
      <c r="L576">
        <v>0.24156615314515834</v>
      </c>
      <c r="M576">
        <v>0.17746169910233611</v>
      </c>
      <c r="N576" s="18">
        <v>0.10054713754651101</v>
      </c>
    </row>
    <row r="577" spans="1:14" x14ac:dyDescent="0.25">
      <c r="A577">
        <v>6</v>
      </c>
      <c r="B577" t="s">
        <v>14</v>
      </c>
      <c r="C577">
        <v>1.2</v>
      </c>
      <c r="D577">
        <v>1022</v>
      </c>
      <c r="E577">
        <v>25</v>
      </c>
      <c r="F577">
        <v>1</v>
      </c>
      <c r="G577">
        <v>72</v>
      </c>
      <c r="H577">
        <v>183</v>
      </c>
      <c r="I577" t="s">
        <v>26</v>
      </c>
      <c r="J577" t="s">
        <v>29</v>
      </c>
      <c r="K577">
        <v>0.29854417783219594</v>
      </c>
      <c r="L577">
        <v>0.24595278995779285</v>
      </c>
      <c r="M577">
        <v>0.26009729052872521</v>
      </c>
      <c r="N577" s="18">
        <v>0.19540574168128599</v>
      </c>
    </row>
    <row r="578" spans="1:14" x14ac:dyDescent="0.25">
      <c r="A578">
        <v>7</v>
      </c>
      <c r="B578" t="s">
        <v>15</v>
      </c>
      <c r="C578">
        <v>2.1</v>
      </c>
      <c r="D578">
        <v>700</v>
      </c>
      <c r="E578">
        <v>20</v>
      </c>
      <c r="F578">
        <v>1</v>
      </c>
      <c r="G578">
        <v>49</v>
      </c>
      <c r="H578">
        <v>184</v>
      </c>
      <c r="I578" t="s">
        <v>19</v>
      </c>
      <c r="J578" t="s">
        <v>27</v>
      </c>
      <c r="K578">
        <v>0.40068782254403529</v>
      </c>
      <c r="L578">
        <v>0.26971333726483332</v>
      </c>
      <c r="M578">
        <v>0.23100080894237884</v>
      </c>
      <c r="N578" s="18">
        <v>9.8598031248752549E-2</v>
      </c>
    </row>
    <row r="579" spans="1:14" x14ac:dyDescent="0.25">
      <c r="A579">
        <v>7</v>
      </c>
      <c r="B579" t="s">
        <v>15</v>
      </c>
      <c r="C579">
        <v>2.1</v>
      </c>
      <c r="D579">
        <v>700</v>
      </c>
      <c r="E579">
        <v>20</v>
      </c>
      <c r="F579">
        <v>1</v>
      </c>
      <c r="G579">
        <v>50</v>
      </c>
      <c r="H579">
        <v>185</v>
      </c>
      <c r="I579" t="s">
        <v>19</v>
      </c>
      <c r="J579" t="s">
        <v>28</v>
      </c>
      <c r="K579">
        <v>0.62796581849015176</v>
      </c>
      <c r="L579">
        <v>0.20903774646377316</v>
      </c>
      <c r="M579">
        <v>0.12146953156790352</v>
      </c>
      <c r="N579" s="18">
        <v>4.1526903478171562E-2</v>
      </c>
    </row>
    <row r="580" spans="1:14" x14ac:dyDescent="0.25">
      <c r="A580">
        <v>7</v>
      </c>
      <c r="B580" t="s">
        <v>15</v>
      </c>
      <c r="C580">
        <v>2.1</v>
      </c>
      <c r="D580">
        <v>700</v>
      </c>
      <c r="E580">
        <v>20</v>
      </c>
      <c r="F580">
        <v>1</v>
      </c>
      <c r="G580">
        <v>51</v>
      </c>
      <c r="H580">
        <v>186</v>
      </c>
      <c r="I580" t="s">
        <v>19</v>
      </c>
      <c r="J580" t="s">
        <v>29</v>
      </c>
      <c r="K580">
        <v>0.28755265835234201</v>
      </c>
      <c r="L580">
        <v>0.26359282733498135</v>
      </c>
      <c r="M580">
        <v>0.29545718449868608</v>
      </c>
      <c r="N580" s="18">
        <v>0.15339732981399057</v>
      </c>
    </row>
    <row r="581" spans="1:14" x14ac:dyDescent="0.25">
      <c r="A581">
        <v>7</v>
      </c>
      <c r="B581" t="s">
        <v>15</v>
      </c>
      <c r="C581">
        <v>2.1</v>
      </c>
      <c r="D581">
        <v>700</v>
      </c>
      <c r="E581">
        <v>20</v>
      </c>
      <c r="F581">
        <v>1</v>
      </c>
      <c r="G581">
        <v>52</v>
      </c>
      <c r="H581">
        <v>187</v>
      </c>
      <c r="I581" t="s">
        <v>20</v>
      </c>
      <c r="J581" t="s">
        <v>27</v>
      </c>
      <c r="K581">
        <v>0.97663331558580224</v>
      </c>
      <c r="L581">
        <v>1.4458175727162903E-2</v>
      </c>
      <c r="M581">
        <v>6.4415520150403749E-3</v>
      </c>
      <c r="N581" s="18">
        <v>2.4669566719944802E-3</v>
      </c>
    </row>
    <row r="582" spans="1:14" x14ac:dyDescent="0.25">
      <c r="A582">
        <v>7</v>
      </c>
      <c r="B582" t="s">
        <v>15</v>
      </c>
      <c r="C582">
        <v>2.1</v>
      </c>
      <c r="D582">
        <v>700</v>
      </c>
      <c r="E582">
        <v>20</v>
      </c>
      <c r="F582">
        <v>1</v>
      </c>
      <c r="G582">
        <v>53</v>
      </c>
      <c r="H582">
        <v>188</v>
      </c>
      <c r="I582" t="s">
        <v>20</v>
      </c>
      <c r="J582" t="s">
        <v>28</v>
      </c>
      <c r="K582">
        <v>0.99798012956985616</v>
      </c>
      <c r="L582">
        <v>1.260074052829796E-3</v>
      </c>
      <c r="M582">
        <v>5.5063598694227167E-4</v>
      </c>
      <c r="N582" s="18">
        <v>2.0916039037177647E-4</v>
      </c>
    </row>
    <row r="583" spans="1:14" x14ac:dyDescent="0.25">
      <c r="A583">
        <v>7</v>
      </c>
      <c r="B583" t="s">
        <v>15</v>
      </c>
      <c r="C583">
        <v>2.1</v>
      </c>
      <c r="D583">
        <v>700</v>
      </c>
      <c r="E583">
        <v>20</v>
      </c>
      <c r="F583">
        <v>1</v>
      </c>
      <c r="G583">
        <v>54</v>
      </c>
      <c r="H583">
        <v>189</v>
      </c>
      <c r="I583" t="s">
        <v>20</v>
      </c>
      <c r="J583" t="s">
        <v>29</v>
      </c>
      <c r="K583">
        <v>0.13453995399388277</v>
      </c>
      <c r="L583">
        <v>0.15814073292908867</v>
      </c>
      <c r="M583">
        <v>0.30795152018556438</v>
      </c>
      <c r="N583" s="18">
        <v>0.39936779289146418</v>
      </c>
    </row>
    <row r="584" spans="1:14" x14ac:dyDescent="0.25">
      <c r="A584">
        <v>7</v>
      </c>
      <c r="B584" t="s">
        <v>15</v>
      </c>
      <c r="C584">
        <v>2.1</v>
      </c>
      <c r="D584">
        <v>700</v>
      </c>
      <c r="E584">
        <v>20</v>
      </c>
      <c r="F584">
        <v>1</v>
      </c>
      <c r="G584">
        <v>55</v>
      </c>
      <c r="H584">
        <v>190</v>
      </c>
      <c r="I584" t="s">
        <v>21</v>
      </c>
      <c r="J584" t="s">
        <v>27</v>
      </c>
      <c r="K584">
        <v>0.51164789223487939</v>
      </c>
      <c r="L584">
        <v>0.243119049769985</v>
      </c>
      <c r="M584">
        <v>0.18245414678686445</v>
      </c>
      <c r="N584" s="18">
        <v>6.2778911208271171E-2</v>
      </c>
    </row>
    <row r="585" spans="1:14" x14ac:dyDescent="0.25">
      <c r="A585">
        <v>7</v>
      </c>
      <c r="B585" t="s">
        <v>15</v>
      </c>
      <c r="C585">
        <v>2.1</v>
      </c>
      <c r="D585">
        <v>700</v>
      </c>
      <c r="E585">
        <v>20</v>
      </c>
      <c r="F585">
        <v>1</v>
      </c>
      <c r="G585">
        <v>56</v>
      </c>
      <c r="H585">
        <v>191</v>
      </c>
      <c r="I585" t="s">
        <v>21</v>
      </c>
      <c r="J585" t="s">
        <v>28</v>
      </c>
      <c r="K585">
        <v>0.72342202957828172</v>
      </c>
      <c r="L585">
        <v>0.16141956288100379</v>
      </c>
      <c r="M585">
        <v>8.9028566713228785E-2</v>
      </c>
      <c r="N585" s="18">
        <v>2.6129840827485706E-2</v>
      </c>
    </row>
    <row r="586" spans="1:14" x14ac:dyDescent="0.25">
      <c r="A586">
        <v>7</v>
      </c>
      <c r="B586" t="s">
        <v>15</v>
      </c>
      <c r="C586">
        <v>2.1</v>
      </c>
      <c r="D586">
        <v>700</v>
      </c>
      <c r="E586">
        <v>20</v>
      </c>
      <c r="F586">
        <v>1</v>
      </c>
      <c r="G586">
        <v>57</v>
      </c>
      <c r="H586">
        <v>192</v>
      </c>
      <c r="I586" t="s">
        <v>21</v>
      </c>
      <c r="J586" t="s">
        <v>29</v>
      </c>
      <c r="K586">
        <v>0.32298227690184222</v>
      </c>
      <c r="L586">
        <v>0.26060083861543304</v>
      </c>
      <c r="M586">
        <v>0.28817569404908483</v>
      </c>
      <c r="N586" s="18">
        <v>0.12824119043363991</v>
      </c>
    </row>
    <row r="587" spans="1:14" x14ac:dyDescent="0.25">
      <c r="A587">
        <v>7</v>
      </c>
      <c r="B587" t="s">
        <v>15</v>
      </c>
      <c r="C587">
        <v>2.1</v>
      </c>
      <c r="D587">
        <v>700</v>
      </c>
      <c r="E587">
        <v>20</v>
      </c>
      <c r="F587">
        <v>1</v>
      </c>
      <c r="G587">
        <v>58</v>
      </c>
      <c r="H587">
        <v>193</v>
      </c>
      <c r="I587" t="s">
        <v>22</v>
      </c>
      <c r="J587" t="s">
        <v>27</v>
      </c>
      <c r="K587">
        <v>0.28092054256019217</v>
      </c>
      <c r="L587">
        <v>-0.1440193814216788</v>
      </c>
      <c r="M587">
        <v>-6.0647353511677021E-2</v>
      </c>
      <c r="N587" s="18">
        <v>0.92374619237316369</v>
      </c>
    </row>
    <row r="588" spans="1:14" x14ac:dyDescent="0.25">
      <c r="A588">
        <v>7</v>
      </c>
      <c r="B588" t="s">
        <v>15</v>
      </c>
      <c r="C588">
        <v>2.1</v>
      </c>
      <c r="D588">
        <v>700</v>
      </c>
      <c r="E588">
        <v>20</v>
      </c>
      <c r="F588">
        <v>1</v>
      </c>
      <c r="G588">
        <v>59</v>
      </c>
      <c r="H588">
        <v>194</v>
      </c>
      <c r="I588" t="s">
        <v>22</v>
      </c>
      <c r="J588" t="s">
        <v>28</v>
      </c>
      <c r="K588">
        <v>0.49717253013984558</v>
      </c>
      <c r="L588">
        <v>-0.21340917750486316</v>
      </c>
      <c r="M588">
        <v>-0.11500742428547558</v>
      </c>
      <c r="N588" s="18">
        <v>0.83124407165049319</v>
      </c>
    </row>
    <row r="589" spans="1:14" x14ac:dyDescent="0.25">
      <c r="A589">
        <v>7</v>
      </c>
      <c r="B589" t="s">
        <v>15</v>
      </c>
      <c r="C589">
        <v>2.1</v>
      </c>
      <c r="D589">
        <v>700</v>
      </c>
      <c r="E589">
        <v>20</v>
      </c>
      <c r="F589">
        <v>1</v>
      </c>
      <c r="G589">
        <v>60</v>
      </c>
      <c r="H589">
        <v>195</v>
      </c>
      <c r="I589" t="s">
        <v>22</v>
      </c>
      <c r="J589" t="s">
        <v>29</v>
      </c>
      <c r="K589">
        <v>0.15371967587003624</v>
      </c>
      <c r="L589">
        <v>-8.670451026772992E-2</v>
      </c>
      <c r="M589">
        <v>-3.2041836707863605E-2</v>
      </c>
      <c r="N589" s="18">
        <v>0.96502667110555729</v>
      </c>
    </row>
    <row r="590" spans="1:14" x14ac:dyDescent="0.25">
      <c r="A590">
        <v>7</v>
      </c>
      <c r="B590" t="s">
        <v>15</v>
      </c>
      <c r="C590">
        <v>2.1</v>
      </c>
      <c r="D590">
        <v>700</v>
      </c>
      <c r="E590">
        <v>20</v>
      </c>
      <c r="F590">
        <v>1</v>
      </c>
      <c r="G590">
        <v>61</v>
      </c>
      <c r="H590">
        <v>196</v>
      </c>
      <c r="I590" t="s">
        <v>23</v>
      </c>
      <c r="J590" t="s">
        <v>27</v>
      </c>
      <c r="K590">
        <v>0.89954687829502689</v>
      </c>
      <c r="L590">
        <v>6.7669716239056155E-2</v>
      </c>
      <c r="M590">
        <v>2.5920923752250746E-2</v>
      </c>
      <c r="N590" s="18">
        <v>6.8624817136662131E-3</v>
      </c>
    </row>
    <row r="591" spans="1:14" x14ac:dyDescent="0.25">
      <c r="A591">
        <v>7</v>
      </c>
      <c r="B591" t="s">
        <v>15</v>
      </c>
      <c r="C591">
        <v>2.1</v>
      </c>
      <c r="D591">
        <v>700</v>
      </c>
      <c r="E591">
        <v>20</v>
      </c>
      <c r="F591">
        <v>1</v>
      </c>
      <c r="G591">
        <v>62</v>
      </c>
      <c r="H591">
        <v>197</v>
      </c>
      <c r="I591" t="s">
        <v>23</v>
      </c>
      <c r="J591" t="s">
        <v>28</v>
      </c>
      <c r="K591">
        <v>0.9992258728543012</v>
      </c>
      <c r="L591">
        <v>5.3903549556677532E-4</v>
      </c>
      <c r="M591">
        <v>1.8715584987516465E-4</v>
      </c>
      <c r="N591" s="18">
        <v>4.7935800256859729E-5</v>
      </c>
    </row>
    <row r="592" spans="1:14" x14ac:dyDescent="0.25">
      <c r="A592">
        <v>7</v>
      </c>
      <c r="B592" t="s">
        <v>15</v>
      </c>
      <c r="C592">
        <v>2.1</v>
      </c>
      <c r="D592">
        <v>700</v>
      </c>
      <c r="E592">
        <v>20</v>
      </c>
      <c r="F592">
        <v>1</v>
      </c>
      <c r="G592">
        <v>63</v>
      </c>
      <c r="H592">
        <v>198</v>
      </c>
      <c r="I592" t="s">
        <v>23</v>
      </c>
      <c r="J592" t="s">
        <v>29</v>
      </c>
      <c r="K592">
        <v>2.2185089065634035E-2</v>
      </c>
      <c r="L592">
        <v>4.7366361920452529E-2</v>
      </c>
      <c r="M592">
        <v>0.19874164593562005</v>
      </c>
      <c r="N592" s="18">
        <v>0.73170690307829345</v>
      </c>
    </row>
    <row r="593" spans="1:14" x14ac:dyDescent="0.25">
      <c r="A593">
        <v>7</v>
      </c>
      <c r="B593" t="s">
        <v>15</v>
      </c>
      <c r="C593">
        <v>2.1</v>
      </c>
      <c r="D593">
        <v>700</v>
      </c>
      <c r="E593">
        <v>20</v>
      </c>
      <c r="F593">
        <v>1</v>
      </c>
      <c r="G593">
        <v>64</v>
      </c>
      <c r="H593">
        <v>199</v>
      </c>
      <c r="I593" t="s">
        <v>24</v>
      </c>
      <c r="J593" t="s">
        <v>27</v>
      </c>
      <c r="K593">
        <v>0.76073257062428778</v>
      </c>
      <c r="L593">
        <v>0.12275713427552315</v>
      </c>
      <c r="M593">
        <v>8.7021139855115504E-2</v>
      </c>
      <c r="N593" s="18">
        <v>2.9489155245073562E-2</v>
      </c>
    </row>
    <row r="594" spans="1:14" x14ac:dyDescent="0.25">
      <c r="A594">
        <v>7</v>
      </c>
      <c r="B594" t="s">
        <v>15</v>
      </c>
      <c r="C594">
        <v>2.1</v>
      </c>
      <c r="D594">
        <v>700</v>
      </c>
      <c r="E594">
        <v>20</v>
      </c>
      <c r="F594">
        <v>1</v>
      </c>
      <c r="G594">
        <v>65</v>
      </c>
      <c r="H594">
        <v>200</v>
      </c>
      <c r="I594" t="s">
        <v>24</v>
      </c>
      <c r="J594" t="s">
        <v>28</v>
      </c>
      <c r="K594">
        <v>0.89753216373939204</v>
      </c>
      <c r="L594">
        <v>5.6786158775958051E-2</v>
      </c>
      <c r="M594">
        <v>3.4772696875247311E-2</v>
      </c>
      <c r="N594" s="18">
        <v>1.0908980609402597E-2</v>
      </c>
    </row>
    <row r="595" spans="1:14" x14ac:dyDescent="0.25">
      <c r="A595">
        <v>7</v>
      </c>
      <c r="B595" t="s">
        <v>15</v>
      </c>
      <c r="C595">
        <v>2.1</v>
      </c>
      <c r="D595">
        <v>700</v>
      </c>
      <c r="E595">
        <v>20</v>
      </c>
      <c r="F595">
        <v>1</v>
      </c>
      <c r="G595">
        <v>66</v>
      </c>
      <c r="H595">
        <v>201</v>
      </c>
      <c r="I595" t="s">
        <v>24</v>
      </c>
      <c r="J595" t="s">
        <v>29</v>
      </c>
      <c r="K595">
        <v>0.63118410569197869</v>
      </c>
      <c r="L595">
        <v>0.17202920908178065</v>
      </c>
      <c r="M595">
        <v>0.14335301644925513</v>
      </c>
      <c r="N595" s="18">
        <v>5.3433668776985521E-2</v>
      </c>
    </row>
    <row r="596" spans="1:14" x14ac:dyDescent="0.25">
      <c r="A596">
        <v>7</v>
      </c>
      <c r="B596" t="s">
        <v>15</v>
      </c>
      <c r="C596">
        <v>2.1</v>
      </c>
      <c r="D596">
        <v>700</v>
      </c>
      <c r="E596">
        <v>20</v>
      </c>
      <c r="F596">
        <v>1</v>
      </c>
      <c r="G596">
        <v>67</v>
      </c>
      <c r="H596">
        <v>202</v>
      </c>
      <c r="I596" t="s">
        <v>25</v>
      </c>
      <c r="J596" t="s">
        <v>27</v>
      </c>
      <c r="K596">
        <v>6.8115759378310187E-2</v>
      </c>
      <c r="L596">
        <v>0.1511928520876567</v>
      </c>
      <c r="M596">
        <v>0.41380554471519759</v>
      </c>
      <c r="N596" s="18">
        <v>0.36688584381883549</v>
      </c>
    </row>
    <row r="597" spans="1:14" x14ac:dyDescent="0.25">
      <c r="A597">
        <v>7</v>
      </c>
      <c r="B597" t="s">
        <v>15</v>
      </c>
      <c r="C597">
        <v>2.1</v>
      </c>
      <c r="D597">
        <v>700</v>
      </c>
      <c r="E597">
        <v>20</v>
      </c>
      <c r="F597">
        <v>1</v>
      </c>
      <c r="G597">
        <v>68</v>
      </c>
      <c r="H597">
        <v>203</v>
      </c>
      <c r="I597" t="s">
        <v>25</v>
      </c>
      <c r="J597" t="s">
        <v>28</v>
      </c>
      <c r="K597">
        <v>0.15203868765627995</v>
      </c>
      <c r="L597">
        <v>0.25592253684296296</v>
      </c>
      <c r="M597">
        <v>0.40094210688355109</v>
      </c>
      <c r="N597" s="18">
        <v>0.19109666861720598</v>
      </c>
    </row>
    <row r="598" spans="1:14" x14ac:dyDescent="0.25">
      <c r="A598">
        <v>7</v>
      </c>
      <c r="B598" t="s">
        <v>15</v>
      </c>
      <c r="C598">
        <v>2.1</v>
      </c>
      <c r="D598">
        <v>700</v>
      </c>
      <c r="E598">
        <v>20</v>
      </c>
      <c r="F598">
        <v>1</v>
      </c>
      <c r="G598">
        <v>69</v>
      </c>
      <c r="H598">
        <v>204</v>
      </c>
      <c r="I598" t="s">
        <v>25</v>
      </c>
      <c r="J598" t="s">
        <v>29</v>
      </c>
      <c r="K598">
        <v>5.6534965479882744E-2</v>
      </c>
      <c r="L598">
        <v>0.13065096242709914</v>
      </c>
      <c r="M598">
        <v>0.39867970778030315</v>
      </c>
      <c r="N598" s="18">
        <v>0.414134364312715</v>
      </c>
    </row>
    <row r="599" spans="1:14" x14ac:dyDescent="0.25">
      <c r="A599">
        <v>7</v>
      </c>
      <c r="B599" t="s">
        <v>15</v>
      </c>
      <c r="C599">
        <v>2.1</v>
      </c>
      <c r="D599">
        <v>700</v>
      </c>
      <c r="E599">
        <v>20</v>
      </c>
      <c r="F599">
        <v>1</v>
      </c>
      <c r="G599">
        <v>70</v>
      </c>
      <c r="H599">
        <v>205</v>
      </c>
      <c r="I599" t="s">
        <v>26</v>
      </c>
      <c r="J599" t="s">
        <v>27</v>
      </c>
      <c r="K599">
        <v>0.65599568268034669</v>
      </c>
      <c r="L599">
        <v>0.18667035162307377</v>
      </c>
      <c r="M599">
        <v>0.10591694447739386</v>
      </c>
      <c r="N599" s="18">
        <v>5.1417021219185677E-2</v>
      </c>
    </row>
    <row r="600" spans="1:14" x14ac:dyDescent="0.25">
      <c r="A600">
        <v>7</v>
      </c>
      <c r="B600" t="s">
        <v>15</v>
      </c>
      <c r="C600">
        <v>2.1</v>
      </c>
      <c r="D600">
        <v>700</v>
      </c>
      <c r="E600">
        <v>20</v>
      </c>
      <c r="F600">
        <v>1</v>
      </c>
      <c r="G600">
        <v>71</v>
      </c>
      <c r="H600">
        <v>206</v>
      </c>
      <c r="I600" t="s">
        <v>26</v>
      </c>
      <c r="J600" t="s">
        <v>28</v>
      </c>
      <c r="K600">
        <v>0.73975585568506252</v>
      </c>
      <c r="L600">
        <v>0.14893123931695673</v>
      </c>
      <c r="M600">
        <v>7.6225659530453904E-2</v>
      </c>
      <c r="N600" s="18">
        <v>3.508724546752684E-2</v>
      </c>
    </row>
    <row r="601" spans="1:14" x14ac:dyDescent="0.25">
      <c r="A601">
        <v>7</v>
      </c>
      <c r="B601" t="s">
        <v>15</v>
      </c>
      <c r="C601">
        <v>2.1</v>
      </c>
      <c r="D601">
        <v>700</v>
      </c>
      <c r="E601">
        <v>20</v>
      </c>
      <c r="F601">
        <v>1</v>
      </c>
      <c r="G601">
        <v>72</v>
      </c>
      <c r="H601">
        <v>207</v>
      </c>
      <c r="I601" t="s">
        <v>26</v>
      </c>
      <c r="J601" t="s">
        <v>29</v>
      </c>
      <c r="K601">
        <v>0.56679828302983526</v>
      </c>
      <c r="L601">
        <v>0.2192890393180118</v>
      </c>
      <c r="M601">
        <v>0.14069623303582901</v>
      </c>
      <c r="N601" s="18">
        <v>7.3216444616323928E-2</v>
      </c>
    </row>
    <row r="602" spans="1:14" x14ac:dyDescent="0.25">
      <c r="A602">
        <v>8</v>
      </c>
      <c r="B602" t="s">
        <v>16</v>
      </c>
      <c r="C602">
        <v>2.1</v>
      </c>
      <c r="D602">
        <v>700</v>
      </c>
      <c r="E602">
        <v>20</v>
      </c>
      <c r="F602">
        <v>1</v>
      </c>
      <c r="G602">
        <v>49</v>
      </c>
      <c r="H602">
        <v>208</v>
      </c>
      <c r="I602" t="s">
        <v>19</v>
      </c>
      <c r="J602" t="s">
        <v>27</v>
      </c>
      <c r="K602">
        <v>0.34545001394928598</v>
      </c>
      <c r="L602">
        <v>0.27076181024773194</v>
      </c>
      <c r="M602">
        <v>0.2620850523692978</v>
      </c>
      <c r="N602" s="18">
        <v>0.12170312343368428</v>
      </c>
    </row>
    <row r="603" spans="1:14" x14ac:dyDescent="0.25">
      <c r="A603">
        <v>8</v>
      </c>
      <c r="B603" t="s">
        <v>16</v>
      </c>
      <c r="C603">
        <v>2.1</v>
      </c>
      <c r="D603">
        <v>700</v>
      </c>
      <c r="E603">
        <v>20</v>
      </c>
      <c r="F603">
        <v>1</v>
      </c>
      <c r="G603">
        <v>50</v>
      </c>
      <c r="H603">
        <v>209</v>
      </c>
      <c r="I603" t="s">
        <v>19</v>
      </c>
      <c r="J603" t="s">
        <v>28</v>
      </c>
      <c r="K603">
        <v>0.57126152514518613</v>
      </c>
      <c r="L603">
        <v>0.23085888178199343</v>
      </c>
      <c r="M603">
        <v>0.14584947564071749</v>
      </c>
      <c r="N603" s="18">
        <v>5.2030117432102951E-2</v>
      </c>
    </row>
    <row r="604" spans="1:14" x14ac:dyDescent="0.25">
      <c r="A604">
        <v>8</v>
      </c>
      <c r="B604" t="s">
        <v>16</v>
      </c>
      <c r="C604">
        <v>2.1</v>
      </c>
      <c r="D604">
        <v>700</v>
      </c>
      <c r="E604">
        <v>20</v>
      </c>
      <c r="F604">
        <v>1</v>
      </c>
      <c r="G604">
        <v>51</v>
      </c>
      <c r="H604">
        <v>210</v>
      </c>
      <c r="I604" t="s">
        <v>19</v>
      </c>
      <c r="J604" t="s">
        <v>29</v>
      </c>
      <c r="K604">
        <v>0.2416233597526862</v>
      </c>
      <c r="L604">
        <v>0.25057727292172682</v>
      </c>
      <c r="M604">
        <v>0.32111500747731936</v>
      </c>
      <c r="N604" s="18">
        <v>0.18668435984826759</v>
      </c>
    </row>
    <row r="605" spans="1:14" x14ac:dyDescent="0.25">
      <c r="A605">
        <v>8</v>
      </c>
      <c r="B605" t="s">
        <v>16</v>
      </c>
      <c r="C605">
        <v>2.1</v>
      </c>
      <c r="D605">
        <v>700</v>
      </c>
      <c r="E605">
        <v>20</v>
      </c>
      <c r="F605">
        <v>1</v>
      </c>
      <c r="G605">
        <v>52</v>
      </c>
      <c r="H605">
        <v>211</v>
      </c>
      <c r="I605" t="s">
        <v>20</v>
      </c>
      <c r="J605" t="s">
        <v>27</v>
      </c>
      <c r="K605">
        <v>0.98679152334170861</v>
      </c>
      <c r="L605">
        <v>8.2049689316275876E-3</v>
      </c>
      <c r="M605">
        <v>3.6218656787735393E-3</v>
      </c>
      <c r="N605" s="18">
        <v>1.3816420478902636E-3</v>
      </c>
    </row>
    <row r="606" spans="1:14" x14ac:dyDescent="0.25">
      <c r="A606">
        <v>8</v>
      </c>
      <c r="B606" t="s">
        <v>16</v>
      </c>
      <c r="C606">
        <v>2.1</v>
      </c>
      <c r="D606">
        <v>700</v>
      </c>
      <c r="E606">
        <v>20</v>
      </c>
      <c r="F606">
        <v>1</v>
      </c>
      <c r="G606">
        <v>53</v>
      </c>
      <c r="H606">
        <v>212</v>
      </c>
      <c r="I606" t="s">
        <v>20</v>
      </c>
      <c r="J606" t="s">
        <v>28</v>
      </c>
      <c r="K606">
        <v>0.99917779643021698</v>
      </c>
      <c r="L606">
        <v>5.1315406902441296E-4</v>
      </c>
      <c r="M606">
        <v>2.2400067557326597E-4</v>
      </c>
      <c r="N606" s="18">
        <v>8.5048825185340959E-5</v>
      </c>
    </row>
    <row r="607" spans="1:14" x14ac:dyDescent="0.25">
      <c r="A607">
        <v>8</v>
      </c>
      <c r="B607" t="s">
        <v>16</v>
      </c>
      <c r="C607">
        <v>2.1</v>
      </c>
      <c r="D607">
        <v>700</v>
      </c>
      <c r="E607">
        <v>20</v>
      </c>
      <c r="F607">
        <v>1</v>
      </c>
      <c r="G607">
        <v>54</v>
      </c>
      <c r="H607">
        <v>213</v>
      </c>
      <c r="I607" t="s">
        <v>20</v>
      </c>
      <c r="J607" t="s">
        <v>29</v>
      </c>
      <c r="K607">
        <v>0.1050623563558008</v>
      </c>
      <c r="L607">
        <v>0.13302395846313922</v>
      </c>
      <c r="M607">
        <v>0.29369577693425608</v>
      </c>
      <c r="N607" s="18">
        <v>0.46821790824680387</v>
      </c>
    </row>
    <row r="608" spans="1:14" x14ac:dyDescent="0.25">
      <c r="A608">
        <v>8</v>
      </c>
      <c r="B608" t="s">
        <v>16</v>
      </c>
      <c r="C608">
        <v>2.1</v>
      </c>
      <c r="D608">
        <v>700</v>
      </c>
      <c r="E608">
        <v>20</v>
      </c>
      <c r="F608">
        <v>1</v>
      </c>
      <c r="G608">
        <v>55</v>
      </c>
      <c r="H608">
        <v>214</v>
      </c>
      <c r="I608" t="s">
        <v>21</v>
      </c>
      <c r="J608" t="s">
        <v>27</v>
      </c>
      <c r="K608">
        <v>0.51164789223487939</v>
      </c>
      <c r="L608">
        <v>0.243119049769985</v>
      </c>
      <c r="M608">
        <v>0.18245414678686445</v>
      </c>
      <c r="N608" s="18">
        <v>6.2778911208271171E-2</v>
      </c>
    </row>
    <row r="609" spans="1:14" x14ac:dyDescent="0.25">
      <c r="A609">
        <v>8</v>
      </c>
      <c r="B609" t="s">
        <v>16</v>
      </c>
      <c r="C609">
        <v>2.1</v>
      </c>
      <c r="D609">
        <v>700</v>
      </c>
      <c r="E609">
        <v>20</v>
      </c>
      <c r="F609">
        <v>1</v>
      </c>
      <c r="G609">
        <v>56</v>
      </c>
      <c r="H609">
        <v>215</v>
      </c>
      <c r="I609" t="s">
        <v>21</v>
      </c>
      <c r="J609" t="s">
        <v>28</v>
      </c>
      <c r="K609">
        <v>0.72342202957828172</v>
      </c>
      <c r="L609">
        <v>0.16141956288100379</v>
      </c>
      <c r="M609">
        <v>8.9028566713228785E-2</v>
      </c>
      <c r="N609" s="18">
        <v>2.6129840827485706E-2</v>
      </c>
    </row>
    <row r="610" spans="1:14" x14ac:dyDescent="0.25">
      <c r="A610">
        <v>8</v>
      </c>
      <c r="B610" t="s">
        <v>16</v>
      </c>
      <c r="C610">
        <v>2.1</v>
      </c>
      <c r="D610">
        <v>700</v>
      </c>
      <c r="E610">
        <v>20</v>
      </c>
      <c r="F610">
        <v>1</v>
      </c>
      <c r="G610">
        <v>57</v>
      </c>
      <c r="H610">
        <v>216</v>
      </c>
      <c r="I610" t="s">
        <v>21</v>
      </c>
      <c r="J610" t="s">
        <v>29</v>
      </c>
      <c r="K610">
        <v>0.32298227690184222</v>
      </c>
      <c r="L610">
        <v>0.26060083861543304</v>
      </c>
      <c r="M610">
        <v>0.28817569404908483</v>
      </c>
      <c r="N610" s="18">
        <v>0.12824119043363991</v>
      </c>
    </row>
    <row r="611" spans="1:14" x14ac:dyDescent="0.25">
      <c r="A611">
        <v>8</v>
      </c>
      <c r="B611" t="s">
        <v>16</v>
      </c>
      <c r="C611">
        <v>2.1</v>
      </c>
      <c r="D611">
        <v>700</v>
      </c>
      <c r="E611">
        <v>20</v>
      </c>
      <c r="F611">
        <v>1</v>
      </c>
      <c r="G611">
        <v>58</v>
      </c>
      <c r="H611">
        <v>217</v>
      </c>
      <c r="I611" t="s">
        <v>22</v>
      </c>
      <c r="J611" t="s">
        <v>27</v>
      </c>
      <c r="K611">
        <v>0.27990356649340098</v>
      </c>
      <c r="L611">
        <v>-0.17676888659125728</v>
      </c>
      <c r="M611">
        <v>-6.3513728703165365E-2</v>
      </c>
      <c r="N611" s="18">
        <v>0.96037904880102165</v>
      </c>
    </row>
    <row r="612" spans="1:14" x14ac:dyDescent="0.25">
      <c r="A612">
        <v>8</v>
      </c>
      <c r="B612" t="s">
        <v>16</v>
      </c>
      <c r="C612">
        <v>2.1</v>
      </c>
      <c r="D612">
        <v>700</v>
      </c>
      <c r="E612">
        <v>20</v>
      </c>
      <c r="F612">
        <v>1</v>
      </c>
      <c r="G612">
        <v>59</v>
      </c>
      <c r="H612">
        <v>218</v>
      </c>
      <c r="I612" t="s">
        <v>22</v>
      </c>
      <c r="J612" t="s">
        <v>28</v>
      </c>
      <c r="K612">
        <v>0.49591259105429253</v>
      </c>
      <c r="L612">
        <v>-0.27277418988054192</v>
      </c>
      <c r="M612">
        <v>-0.13102257138284018</v>
      </c>
      <c r="N612" s="18">
        <v>0.90788417020908951</v>
      </c>
    </row>
    <row r="613" spans="1:14" x14ac:dyDescent="0.25">
      <c r="A613">
        <v>8</v>
      </c>
      <c r="B613" t="s">
        <v>16</v>
      </c>
      <c r="C613">
        <v>2.1</v>
      </c>
      <c r="D613">
        <v>700</v>
      </c>
      <c r="E613">
        <v>20</v>
      </c>
      <c r="F613">
        <v>1</v>
      </c>
      <c r="G613">
        <v>60</v>
      </c>
      <c r="H613">
        <v>219</v>
      </c>
      <c r="I613" t="s">
        <v>22</v>
      </c>
      <c r="J613" t="s">
        <v>29</v>
      </c>
      <c r="K613">
        <v>0.15306516625717106</v>
      </c>
      <c r="L613">
        <v>-0.10356773076532211</v>
      </c>
      <c r="M613">
        <v>-3.1707459376357779E-2</v>
      </c>
      <c r="N613" s="18">
        <v>0.98221002388450884</v>
      </c>
    </row>
    <row r="614" spans="1:14" x14ac:dyDescent="0.25">
      <c r="A614">
        <v>8</v>
      </c>
      <c r="B614" t="s">
        <v>16</v>
      </c>
      <c r="C614">
        <v>2.1</v>
      </c>
      <c r="D614">
        <v>700</v>
      </c>
      <c r="E614">
        <v>20</v>
      </c>
      <c r="F614">
        <v>1</v>
      </c>
      <c r="G614">
        <v>61</v>
      </c>
      <c r="H614">
        <v>220</v>
      </c>
      <c r="I614" t="s">
        <v>23</v>
      </c>
      <c r="J614" t="s">
        <v>27</v>
      </c>
      <c r="K614">
        <v>0.90628537673425025</v>
      </c>
      <c r="L614">
        <v>6.3283923707925238E-2</v>
      </c>
      <c r="M614">
        <v>2.4072932556338245E-2</v>
      </c>
      <c r="N614" s="18">
        <v>6.3577670014862697E-3</v>
      </c>
    </row>
    <row r="615" spans="1:14" x14ac:dyDescent="0.25">
      <c r="A615">
        <v>8</v>
      </c>
      <c r="B615" t="s">
        <v>16</v>
      </c>
      <c r="C615">
        <v>2.1</v>
      </c>
      <c r="D615">
        <v>700</v>
      </c>
      <c r="E615">
        <v>20</v>
      </c>
      <c r="F615">
        <v>1</v>
      </c>
      <c r="G615">
        <v>62</v>
      </c>
      <c r="H615">
        <v>221</v>
      </c>
      <c r="I615" t="s">
        <v>23</v>
      </c>
      <c r="J615" t="s">
        <v>28</v>
      </c>
      <c r="K615">
        <v>0.99961020510634369</v>
      </c>
      <c r="L615">
        <v>2.7145129960193248E-4</v>
      </c>
      <c r="M615">
        <v>9.4215269831554593E-5</v>
      </c>
      <c r="N615" s="18">
        <v>2.4128324222827402E-5</v>
      </c>
    </row>
    <row r="616" spans="1:14" x14ac:dyDescent="0.25">
      <c r="A616">
        <v>8</v>
      </c>
      <c r="B616" t="s">
        <v>16</v>
      </c>
      <c r="C616">
        <v>2.1</v>
      </c>
      <c r="D616">
        <v>700</v>
      </c>
      <c r="E616">
        <v>20</v>
      </c>
      <c r="F616">
        <v>1</v>
      </c>
      <c r="G616">
        <v>63</v>
      </c>
      <c r="H616">
        <v>222</v>
      </c>
      <c r="I616" t="s">
        <v>23</v>
      </c>
      <c r="J616" t="s">
        <v>29</v>
      </c>
      <c r="K616">
        <v>1.0872355634546898E-2</v>
      </c>
      <c r="L616">
        <v>2.4076343979411153E-2</v>
      </c>
      <c r="M616">
        <v>0.11589488086736965</v>
      </c>
      <c r="N616" s="18">
        <v>0.84915641951867227</v>
      </c>
    </row>
    <row r="617" spans="1:14" x14ac:dyDescent="0.25">
      <c r="A617">
        <v>8</v>
      </c>
      <c r="B617" t="s">
        <v>16</v>
      </c>
      <c r="C617">
        <v>2.1</v>
      </c>
      <c r="D617">
        <v>700</v>
      </c>
      <c r="E617">
        <v>20</v>
      </c>
      <c r="F617">
        <v>1</v>
      </c>
      <c r="G617">
        <v>64</v>
      </c>
      <c r="H617">
        <v>223</v>
      </c>
      <c r="I617" t="s">
        <v>24</v>
      </c>
      <c r="J617" t="s">
        <v>27</v>
      </c>
      <c r="K617">
        <v>0.76073257062428778</v>
      </c>
      <c r="L617">
        <v>0.12275713427552315</v>
      </c>
      <c r="M617">
        <v>8.7021139855115504E-2</v>
      </c>
      <c r="N617" s="18">
        <v>2.9489155245073562E-2</v>
      </c>
    </row>
    <row r="618" spans="1:14" x14ac:dyDescent="0.25">
      <c r="A618">
        <v>8</v>
      </c>
      <c r="B618" t="s">
        <v>16</v>
      </c>
      <c r="C618">
        <v>2.1</v>
      </c>
      <c r="D618">
        <v>700</v>
      </c>
      <c r="E618">
        <v>20</v>
      </c>
      <c r="F618">
        <v>1</v>
      </c>
      <c r="G618">
        <v>65</v>
      </c>
      <c r="H618">
        <v>224</v>
      </c>
      <c r="I618" t="s">
        <v>24</v>
      </c>
      <c r="J618" t="s">
        <v>28</v>
      </c>
      <c r="K618">
        <v>0.89753216373939204</v>
      </c>
      <c r="L618">
        <v>5.6786158775958051E-2</v>
      </c>
      <c r="M618">
        <v>3.4772696875247311E-2</v>
      </c>
      <c r="N618" s="18">
        <v>1.0908980609402597E-2</v>
      </c>
    </row>
    <row r="619" spans="1:14" x14ac:dyDescent="0.25">
      <c r="A619">
        <v>8</v>
      </c>
      <c r="B619" t="s">
        <v>16</v>
      </c>
      <c r="C619">
        <v>2.1</v>
      </c>
      <c r="D619">
        <v>700</v>
      </c>
      <c r="E619">
        <v>20</v>
      </c>
      <c r="F619">
        <v>1</v>
      </c>
      <c r="G619">
        <v>66</v>
      </c>
      <c r="H619">
        <v>225</v>
      </c>
      <c r="I619" t="s">
        <v>24</v>
      </c>
      <c r="J619" t="s">
        <v>29</v>
      </c>
      <c r="K619">
        <v>0.63118410569197869</v>
      </c>
      <c r="L619">
        <v>0.17202920908178065</v>
      </c>
      <c r="M619">
        <v>0.14335301644925513</v>
      </c>
      <c r="N619" s="18">
        <v>5.3433668776985521E-2</v>
      </c>
    </row>
    <row r="620" spans="1:14" x14ac:dyDescent="0.25">
      <c r="A620">
        <v>8</v>
      </c>
      <c r="B620" t="s">
        <v>16</v>
      </c>
      <c r="C620">
        <v>2.1</v>
      </c>
      <c r="D620">
        <v>700</v>
      </c>
      <c r="E620">
        <v>20</v>
      </c>
      <c r="F620">
        <v>1</v>
      </c>
      <c r="G620">
        <v>67</v>
      </c>
      <c r="H620">
        <v>226</v>
      </c>
      <c r="I620" t="s">
        <v>25</v>
      </c>
      <c r="J620" t="s">
        <v>27</v>
      </c>
      <c r="K620">
        <v>6.8115759378310187E-2</v>
      </c>
      <c r="L620">
        <v>0.1511928520876567</v>
      </c>
      <c r="M620">
        <v>0.41380554471519759</v>
      </c>
      <c r="N620" s="18">
        <v>0.36688584381883549</v>
      </c>
    </row>
    <row r="621" spans="1:14" x14ac:dyDescent="0.25">
      <c r="A621">
        <v>8</v>
      </c>
      <c r="B621" t="s">
        <v>16</v>
      </c>
      <c r="C621">
        <v>2.1</v>
      </c>
      <c r="D621">
        <v>700</v>
      </c>
      <c r="E621">
        <v>20</v>
      </c>
      <c r="F621">
        <v>1</v>
      </c>
      <c r="G621">
        <v>68</v>
      </c>
      <c r="H621">
        <v>227</v>
      </c>
      <c r="I621" t="s">
        <v>25</v>
      </c>
      <c r="J621" t="s">
        <v>28</v>
      </c>
      <c r="K621">
        <v>0.15203868765627995</v>
      </c>
      <c r="L621">
        <v>0.25592253684296296</v>
      </c>
      <c r="M621">
        <v>0.40094210688355109</v>
      </c>
      <c r="N621" s="18">
        <v>0.19109666861720598</v>
      </c>
    </row>
    <row r="622" spans="1:14" x14ac:dyDescent="0.25">
      <c r="A622">
        <v>8</v>
      </c>
      <c r="B622" t="s">
        <v>16</v>
      </c>
      <c r="C622">
        <v>2.1</v>
      </c>
      <c r="D622">
        <v>700</v>
      </c>
      <c r="E622">
        <v>20</v>
      </c>
      <c r="F622">
        <v>1</v>
      </c>
      <c r="G622">
        <v>69</v>
      </c>
      <c r="H622">
        <v>228</v>
      </c>
      <c r="I622" t="s">
        <v>25</v>
      </c>
      <c r="J622" t="s">
        <v>29</v>
      </c>
      <c r="K622">
        <v>5.6534965479882744E-2</v>
      </c>
      <c r="L622">
        <v>0.13065096242709914</v>
      </c>
      <c r="M622">
        <v>0.39867970778030315</v>
      </c>
      <c r="N622" s="18">
        <v>0.414134364312715</v>
      </c>
    </row>
    <row r="623" spans="1:14" x14ac:dyDescent="0.25">
      <c r="A623">
        <v>8</v>
      </c>
      <c r="B623" t="s">
        <v>16</v>
      </c>
      <c r="C623">
        <v>2.1</v>
      </c>
      <c r="D623">
        <v>700</v>
      </c>
      <c r="E623">
        <v>20</v>
      </c>
      <c r="F623">
        <v>1</v>
      </c>
      <c r="G623">
        <v>70</v>
      </c>
      <c r="H623">
        <v>229</v>
      </c>
      <c r="I623" t="s">
        <v>26</v>
      </c>
      <c r="J623" t="s">
        <v>27</v>
      </c>
      <c r="K623">
        <v>0.658563673037041</v>
      </c>
      <c r="L623">
        <v>0.18560787570480075</v>
      </c>
      <c r="M623">
        <v>0.10496461091334697</v>
      </c>
      <c r="N623" s="18">
        <v>5.0863840344811284E-2</v>
      </c>
    </row>
    <row r="624" spans="1:14" x14ac:dyDescent="0.25">
      <c r="A624">
        <v>8</v>
      </c>
      <c r="B624" t="s">
        <v>16</v>
      </c>
      <c r="C624">
        <v>2.1</v>
      </c>
      <c r="D624">
        <v>700</v>
      </c>
      <c r="E624">
        <v>20</v>
      </c>
      <c r="F624">
        <v>1</v>
      </c>
      <c r="G624">
        <v>71</v>
      </c>
      <c r="H624">
        <v>230</v>
      </c>
      <c r="I624" t="s">
        <v>26</v>
      </c>
      <c r="J624" t="s">
        <v>28</v>
      </c>
      <c r="K624">
        <v>0.74194454509721308</v>
      </c>
      <c r="L624">
        <v>0.1478652776031808</v>
      </c>
      <c r="M624">
        <v>7.5486852780794811E-2</v>
      </c>
      <c r="N624" s="18">
        <v>3.4703324518811307E-2</v>
      </c>
    </row>
    <row r="625" spans="1:14" x14ac:dyDescent="0.25">
      <c r="A625">
        <v>8</v>
      </c>
      <c r="B625" t="s">
        <v>16</v>
      </c>
      <c r="C625">
        <v>2.1</v>
      </c>
      <c r="D625">
        <v>700</v>
      </c>
      <c r="E625">
        <v>20</v>
      </c>
      <c r="F625">
        <v>1</v>
      </c>
      <c r="G625">
        <v>72</v>
      </c>
      <c r="H625">
        <v>231</v>
      </c>
      <c r="I625" t="s">
        <v>26</v>
      </c>
      <c r="J625" t="s">
        <v>29</v>
      </c>
      <c r="K625">
        <v>0.56959525592161486</v>
      </c>
      <c r="L625">
        <v>0.21840277027397859</v>
      </c>
      <c r="M625">
        <v>0.13955533159060518</v>
      </c>
      <c r="N625" s="18">
        <v>7.2446642213801371E-2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Depart</vt:lpstr>
      <vt:lpstr>EQ1</vt:lpstr>
      <vt:lpstr>EQ2</vt:lpstr>
      <vt:lpstr>EQ3</vt:lpstr>
      <vt:lpstr>Resultat</vt:lpstr>
    </vt:vector>
  </TitlesOfParts>
  <Company>MERN-MFFP - Applications 365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Nadeau, Tomy (DGRI)</dc:creator>
  <cp:lastModifiedBy>Nadeau, Tomy (DGRI)</cp:lastModifiedBy>
  <dcterms:created xsi:type="dcterms:W3CDTF">2025-04-11T14:19:29Z</dcterms:created>
  <dcterms:modified xsi:type="dcterms:W3CDTF">2025-04-14T12:41:54Z</dcterms:modified>
</cp:coreProperties>
</file>