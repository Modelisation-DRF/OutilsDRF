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F1272\CPF\_Simulateurs\QualiteArbres\AttributionQualite\"/>
    </mc:Choice>
  </mc:AlternateContent>
  <xr:revisionPtr revIDLastSave="0" documentId="13_ncr:1_{C992A352-A391-46E8-81FC-AEDA1F35DBA8}" xr6:coauthVersionLast="47" xr6:coauthVersionMax="47" xr10:uidLastSave="{00000000-0000-0000-0000-000000000000}"/>
  <bookViews>
    <workbookView xWindow="-28920" yWindow="-120" windowWidth="29040" windowHeight="15720" activeTab="7" xr2:uid="{9AEA5602-D786-4CA5-A3B2-9D21EA05E9CD}"/>
  </bookViews>
  <sheets>
    <sheet name="ex_qualite" sheetId="1" r:id="rId1"/>
    <sheet name="sans eq" sheetId="6" r:id="rId2"/>
    <sheet name="DHP&lt;=23" sheetId="3" r:id="rId3"/>
    <sheet name="DHP23-33" sheetId="2" r:id="rId4"/>
    <sheet name="DHP33-39" sheetId="4" r:id="rId5"/>
    <sheet name="DHP39+" sheetId="5" r:id="rId6"/>
    <sheet name="ERR-DHP39+" sheetId="7" r:id="rId7"/>
    <sheet name="resultats_tou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7" l="1"/>
  <c r="AJ2" i="7"/>
  <c r="AI2" i="7"/>
  <c r="AH2" i="7"/>
  <c r="AQ2" i="5"/>
  <c r="AP2" i="5"/>
  <c r="AO2" i="5"/>
  <c r="AH3" i="5"/>
  <c r="AG2" i="5"/>
  <c r="M2" i="5"/>
  <c r="BT5" i="4"/>
  <c r="BV5" i="4" s="1"/>
  <c r="BS5" i="4"/>
  <c r="BU5" i="4" s="1"/>
  <c r="BW5" i="4" s="1"/>
  <c r="BR5" i="4"/>
  <c r="BQ5" i="4"/>
  <c r="BO5" i="4"/>
  <c r="BL5" i="4"/>
  <c r="BI5" i="4"/>
  <c r="BH5" i="4"/>
  <c r="BF5" i="4"/>
  <c r="BC5" i="4"/>
  <c r="BB5" i="4"/>
  <c r="AZ5" i="4"/>
  <c r="AY5" i="4"/>
  <c r="AW5" i="4"/>
  <c r="AT5" i="4"/>
  <c r="AQ5" i="4"/>
  <c r="AN5" i="4"/>
  <c r="AK5" i="4"/>
  <c r="AH5" i="4"/>
  <c r="AE5" i="4"/>
  <c r="AB5" i="4"/>
  <c r="AA5" i="4"/>
  <c r="Y5" i="4"/>
  <c r="V5" i="4"/>
  <c r="S5" i="4"/>
  <c r="P5" i="4"/>
  <c r="M5" i="4"/>
  <c r="BF4" i="4"/>
  <c r="BF3" i="4"/>
  <c r="BF2" i="4"/>
  <c r="AB2" i="4"/>
  <c r="BK2" i="4"/>
  <c r="BL2" i="4" s="1"/>
  <c r="BE4" i="4"/>
  <c r="BE3" i="4"/>
  <c r="AY5" i="2"/>
  <c r="AY6" i="2"/>
  <c r="AZ6" i="2" s="1"/>
  <c r="BA6" i="2" s="1"/>
  <c r="AT6" i="2"/>
  <c r="AS6" i="2"/>
  <c r="AN6" i="2"/>
  <c r="AK6" i="2"/>
  <c r="AH6" i="2"/>
  <c r="AE6" i="2"/>
  <c r="AA6" i="2"/>
  <c r="AB6" i="2"/>
  <c r="X6" i="2"/>
  <c r="Y6" i="2"/>
  <c r="V6" i="2"/>
  <c r="S6" i="2"/>
  <c r="P6" i="2"/>
  <c r="M6" i="2"/>
  <c r="AX5" i="2"/>
  <c r="AX4" i="2"/>
  <c r="AX3" i="2"/>
  <c r="AX2" i="2"/>
  <c r="AW5" i="2"/>
  <c r="AW4" i="2"/>
  <c r="AW3" i="2"/>
  <c r="AW2" i="2"/>
  <c r="AV6" i="2"/>
  <c r="AW6" i="2" s="1"/>
  <c r="AV5" i="2"/>
  <c r="AV4" i="2"/>
  <c r="AV3" i="2"/>
  <c r="AV2" i="2"/>
  <c r="V2" i="7"/>
  <c r="S2" i="7"/>
  <c r="P2" i="7"/>
  <c r="M2" i="7"/>
  <c r="AG2" i="7"/>
  <c r="AD2" i="7"/>
  <c r="AE2" i="7" s="1"/>
  <c r="AA2" i="7"/>
  <c r="AB2" i="7" s="1"/>
  <c r="X2" i="7"/>
  <c r="Y2" i="7" s="1"/>
  <c r="AN3" i="5"/>
  <c r="AH2" i="5"/>
  <c r="AB3" i="5"/>
  <c r="AB2" i="5"/>
  <c r="Y3" i="5"/>
  <c r="Y2" i="5"/>
  <c r="V3" i="5"/>
  <c r="V2" i="5"/>
  <c r="S3" i="5"/>
  <c r="S2" i="5"/>
  <c r="P3" i="5"/>
  <c r="P2" i="5"/>
  <c r="M3" i="5"/>
  <c r="AM2" i="5"/>
  <c r="AN2" i="5" s="1"/>
  <c r="AJ3" i="5"/>
  <c r="AK3" i="5" s="1"/>
  <c r="AJ2" i="5"/>
  <c r="AK2" i="5" s="1"/>
  <c r="AD3" i="5"/>
  <c r="AE3" i="5" s="1"/>
  <c r="AD2" i="5"/>
  <c r="AE2" i="5" s="1"/>
  <c r="M4" i="4"/>
  <c r="M3" i="4"/>
  <c r="M2" i="4"/>
  <c r="P4" i="4"/>
  <c r="P3" i="4"/>
  <c r="P2" i="4"/>
  <c r="S4" i="4"/>
  <c r="S3" i="4"/>
  <c r="S2" i="4"/>
  <c r="V4" i="4"/>
  <c r="V3" i="4"/>
  <c r="V2" i="4"/>
  <c r="Y4" i="4"/>
  <c r="Y3" i="4"/>
  <c r="Y2" i="4"/>
  <c r="AE4" i="4"/>
  <c r="AE3" i="4"/>
  <c r="AE2" i="4"/>
  <c r="AH4" i="4"/>
  <c r="AH3" i="4"/>
  <c r="AH2" i="4"/>
  <c r="AK4" i="4"/>
  <c r="AK3" i="4"/>
  <c r="AK2" i="4"/>
  <c r="AN4" i="4"/>
  <c r="AN3" i="4"/>
  <c r="AN2" i="4"/>
  <c r="AQ4" i="4"/>
  <c r="AQ3" i="4"/>
  <c r="AQ2" i="4"/>
  <c r="AT4" i="4"/>
  <c r="AT3" i="4"/>
  <c r="AT2" i="4"/>
  <c r="AW4" i="4"/>
  <c r="AW3" i="4"/>
  <c r="AW2" i="4"/>
  <c r="BI4" i="4"/>
  <c r="BI3" i="4"/>
  <c r="BI2" i="4"/>
  <c r="BL4" i="4"/>
  <c r="BL3" i="4"/>
  <c r="BO4" i="4"/>
  <c r="BO3" i="4"/>
  <c r="BO2" i="4"/>
  <c r="BQ4" i="4"/>
  <c r="BR4" i="4" s="1"/>
  <c r="BQ3" i="4"/>
  <c r="BR3" i="4" s="1"/>
  <c r="BQ2" i="4"/>
  <c r="BR2" i="4" s="1"/>
  <c r="BB4" i="4"/>
  <c r="BC4" i="4" s="1"/>
  <c r="BB3" i="4"/>
  <c r="BC3" i="4" s="1"/>
  <c r="BB2" i="4"/>
  <c r="BC2" i="4" s="1"/>
  <c r="AY4" i="4"/>
  <c r="AZ4" i="4" s="1"/>
  <c r="AY3" i="4"/>
  <c r="AZ3" i="4" s="1"/>
  <c r="AY2" i="4"/>
  <c r="AZ2" i="4" s="1"/>
  <c r="AA4" i="4"/>
  <c r="AB4" i="4" s="1"/>
  <c r="AA3" i="4"/>
  <c r="AB3" i="4" s="1"/>
  <c r="AA2" i="4"/>
  <c r="AQ4" i="2"/>
  <c r="AQ2" i="2"/>
  <c r="AN5" i="2"/>
  <c r="AN3" i="2"/>
  <c r="AN2" i="2"/>
  <c r="AK5" i="2"/>
  <c r="AK4" i="2"/>
  <c r="AK3" i="2"/>
  <c r="AK2" i="2"/>
  <c r="AH5" i="2"/>
  <c r="AH4" i="2"/>
  <c r="AH3" i="2"/>
  <c r="AH2" i="2"/>
  <c r="AE5" i="2"/>
  <c r="AE4" i="2"/>
  <c r="AE3" i="2"/>
  <c r="AE2" i="2"/>
  <c r="V5" i="2"/>
  <c r="V4" i="2"/>
  <c r="V3" i="2"/>
  <c r="V2" i="2"/>
  <c r="S5" i="2"/>
  <c r="S4" i="2"/>
  <c r="S3" i="2"/>
  <c r="S2" i="2"/>
  <c r="P5" i="2"/>
  <c r="P4" i="2"/>
  <c r="P3" i="2"/>
  <c r="P2" i="2"/>
  <c r="M5" i="2"/>
  <c r="M4" i="2"/>
  <c r="M3" i="2"/>
  <c r="M2" i="2"/>
  <c r="AS5" i="2"/>
  <c r="AT5" i="2" s="1"/>
  <c r="AS4" i="2"/>
  <c r="AT4" i="2" s="1"/>
  <c r="AS3" i="2"/>
  <c r="AT3" i="2" s="1"/>
  <c r="AS2" i="2"/>
  <c r="AT2" i="2" s="1"/>
  <c r="AP5" i="2"/>
  <c r="AQ5" i="2" s="1"/>
  <c r="AP3" i="2"/>
  <c r="AQ3" i="2" s="1"/>
  <c r="AM4" i="2"/>
  <c r="AN4" i="2" s="1"/>
  <c r="AA5" i="2"/>
  <c r="AB5" i="2" s="1"/>
  <c r="AA4" i="2"/>
  <c r="AB4" i="2" s="1"/>
  <c r="AA3" i="2"/>
  <c r="AB3" i="2" s="1"/>
  <c r="AA2" i="2"/>
  <c r="AB2" i="2" s="1"/>
  <c r="X5" i="2"/>
  <c r="Y5" i="2" s="1"/>
  <c r="X4" i="2"/>
  <c r="Y4" i="2" s="1"/>
  <c r="X3" i="2"/>
  <c r="Y3" i="2" s="1"/>
  <c r="X2" i="2"/>
  <c r="Y2" i="2" s="1"/>
  <c r="AQ3" i="5" l="1"/>
  <c r="AT3" i="5" s="1"/>
  <c r="AT2" i="5"/>
  <c r="AX2" i="5" s="1"/>
  <c r="BY5" i="4"/>
  <c r="BX5" i="4"/>
  <c r="BT2" i="4"/>
  <c r="BV2" i="4" s="1"/>
  <c r="BY2" i="4" s="1"/>
  <c r="BT4" i="4"/>
  <c r="BV4" i="4" s="1"/>
  <c r="BY4" i="4" s="1"/>
  <c r="BT3" i="4"/>
  <c r="BV3" i="4" s="1"/>
  <c r="BY3" i="4" s="1"/>
  <c r="AX6" i="2"/>
  <c r="AX3" i="5"/>
  <c r="AN2" i="7"/>
  <c r="AR2" i="7" s="1"/>
  <c r="AM2" i="7"/>
  <c r="AQ2" i="7" s="1"/>
  <c r="AL2" i="7"/>
  <c r="AO2" i="7" s="1"/>
  <c r="BS2" i="4"/>
  <c r="BU2" i="4" s="1"/>
  <c r="BW2" i="4" s="1"/>
  <c r="BS3" i="4"/>
  <c r="BU3" i="4" s="1"/>
  <c r="BW3" i="4" s="1"/>
  <c r="AR2" i="5"/>
  <c r="AU2" i="5" s="1"/>
  <c r="AS2" i="5"/>
  <c r="AV2" i="5" s="1"/>
  <c r="AO3" i="5"/>
  <c r="AR3" i="5" s="1"/>
  <c r="AU3" i="5" s="1"/>
  <c r="AP3" i="5"/>
  <c r="AS3" i="5" s="1"/>
  <c r="AV3" i="5" s="1"/>
  <c r="BS4" i="4"/>
  <c r="BU4" i="4" s="1"/>
  <c r="BW4" i="4" s="1"/>
  <c r="AP2" i="7"/>
  <c r="AY2" i="2"/>
  <c r="AZ2" i="2" s="1"/>
  <c r="BA2" i="2" s="1"/>
  <c r="AY3" i="2"/>
  <c r="AZ3" i="2" s="1"/>
  <c r="BA3" i="2" s="1"/>
  <c r="AY4" i="2"/>
  <c r="AZ4" i="2" s="1"/>
  <c r="BA4" i="2" s="1"/>
  <c r="AZ5" i="2"/>
  <c r="BA5" i="2" s="1"/>
  <c r="BX3" i="4" l="1"/>
  <c r="AW2" i="5"/>
  <c r="BX4" i="4"/>
  <c r="AW3" i="5"/>
  <c r="BX2" i="4"/>
</calcChain>
</file>

<file path=xl/sharedStrings.xml><?xml version="1.0" encoding="utf-8"?>
<sst xmlns="http://schemas.openxmlformats.org/spreadsheetml/2006/main" count="347" uniqueCount="66">
  <si>
    <t>id_pe</t>
  </si>
  <si>
    <t>sdom</t>
  </si>
  <si>
    <t>tmoy</t>
  </si>
  <si>
    <t>ptot</t>
  </si>
  <si>
    <t>sum_st_ha</t>
  </si>
  <si>
    <t>coupe</t>
  </si>
  <si>
    <t>no_arbre</t>
  </si>
  <si>
    <t>dhpcm</t>
  </si>
  <si>
    <t>essence</t>
  </si>
  <si>
    <t>priorecol</t>
  </si>
  <si>
    <t>2EST</t>
  </si>
  <si>
    <t>ERS</t>
  </si>
  <si>
    <t>M</t>
  </si>
  <si>
    <t>BOJ</t>
  </si>
  <si>
    <t>S</t>
  </si>
  <si>
    <t>CHX</t>
  </si>
  <si>
    <t>C</t>
  </si>
  <si>
    <t>5OUEST</t>
  </si>
  <si>
    <t>BOP</t>
  </si>
  <si>
    <t>R</t>
  </si>
  <si>
    <t>PEU</t>
  </si>
  <si>
    <t>ERR</t>
  </si>
  <si>
    <t>EPN</t>
  </si>
  <si>
    <t>NA</t>
  </si>
  <si>
    <t>4EST</t>
  </si>
  <si>
    <t>FEN</t>
  </si>
  <si>
    <t>HEG</t>
  </si>
  <si>
    <t>b_intercept_C</t>
  </si>
  <si>
    <t>b_priorecol_C</t>
  </si>
  <si>
    <t>b_priorecol_R</t>
  </si>
  <si>
    <t>b_priorecol_S</t>
  </si>
  <si>
    <t>b_dhpcm</t>
  </si>
  <si>
    <t>b_sdom_1</t>
  </si>
  <si>
    <t>b_sdom_2EST</t>
  </si>
  <si>
    <t>b_sdom_2OUEST</t>
  </si>
  <si>
    <t>b_sdom_3EST</t>
  </si>
  <si>
    <t>b_sdom_3OUEST</t>
  </si>
  <si>
    <t>b_sdom_4EST</t>
  </si>
  <si>
    <t>b_sdom_4OUEST</t>
  </si>
  <si>
    <t>b_sdom_5EST</t>
  </si>
  <si>
    <t>b_sum_st_ha</t>
  </si>
  <si>
    <t>b_tmoy</t>
  </si>
  <si>
    <t>b_dhpcm*priorecol_C</t>
  </si>
  <si>
    <t>b_dhpcm*priorecol_R</t>
  </si>
  <si>
    <t>b_dhpcm*priorecol_S</t>
  </si>
  <si>
    <t>b_coupe</t>
  </si>
  <si>
    <t>xb_C</t>
  </si>
  <si>
    <t>prob_C</t>
  </si>
  <si>
    <t>prop_C</t>
  </si>
  <si>
    <t>prop_D</t>
  </si>
  <si>
    <t>b_intercept_B</t>
  </si>
  <si>
    <t>b_sum_st_ha*priorecol_C</t>
  </si>
  <si>
    <t>b_sum_st_ha*priorecol_R</t>
  </si>
  <si>
    <t>b_sum_st_ha*priorecol_S</t>
  </si>
  <si>
    <t>xb_B</t>
  </si>
  <si>
    <t>prob_B</t>
  </si>
  <si>
    <t>prop_B</t>
  </si>
  <si>
    <t>b_intercept_A</t>
  </si>
  <si>
    <t>b_dhpcm*intercept_A</t>
  </si>
  <si>
    <t>b_dhpcm*intercept_B</t>
  </si>
  <si>
    <t>b_dhpcm*intercept_C</t>
  </si>
  <si>
    <t>prop_A</t>
  </si>
  <si>
    <t>prob_A</t>
  </si>
  <si>
    <t>xb_A</t>
  </si>
  <si>
    <t>xb_c</t>
  </si>
  <si>
    <t>b_dhpcm*sum_st_ha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</si>
</sst>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008D-B194-47E9-9473-A9746A17DB4A}">
  <dimension ref="A1:J15"/>
  <sheetViews>
    <sheetView workbookViewId="0">
      <selection activeCell="G21" sqref="G2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1</v>
      </c>
      <c r="H2" s="2">
        <v>24</v>
      </c>
      <c r="I2" t="s">
        <v>11</v>
      </c>
      <c r="J2" t="s">
        <v>12</v>
      </c>
    </row>
    <row r="3" spans="1:10" x14ac:dyDescent="0.25">
      <c r="A3">
        <v>1</v>
      </c>
      <c r="B3" t="s">
        <v>10</v>
      </c>
      <c r="C3">
        <v>2.1</v>
      </c>
      <c r="D3">
        <v>828</v>
      </c>
      <c r="E3">
        <v>29</v>
      </c>
      <c r="F3">
        <v>0</v>
      </c>
      <c r="G3">
        <v>2</v>
      </c>
      <c r="H3" s="3">
        <v>33.5</v>
      </c>
      <c r="I3" t="s">
        <v>13</v>
      </c>
      <c r="J3" t="s">
        <v>14</v>
      </c>
    </row>
    <row r="4" spans="1:10" x14ac:dyDescent="0.25">
      <c r="A4">
        <v>1</v>
      </c>
      <c r="B4" t="s">
        <v>10</v>
      </c>
      <c r="C4">
        <v>2.1</v>
      </c>
      <c r="D4">
        <v>828</v>
      </c>
      <c r="E4">
        <v>29</v>
      </c>
      <c r="F4">
        <v>0</v>
      </c>
      <c r="G4">
        <v>3</v>
      </c>
      <c r="H4" s="4">
        <v>40.200000000000003</v>
      </c>
      <c r="I4" t="s">
        <v>15</v>
      </c>
      <c r="J4" t="s">
        <v>16</v>
      </c>
    </row>
    <row r="5" spans="1:10" x14ac:dyDescent="0.25">
      <c r="A5">
        <v>1</v>
      </c>
      <c r="B5" t="s">
        <v>10</v>
      </c>
      <c r="C5">
        <v>2.1</v>
      </c>
      <c r="D5">
        <v>828</v>
      </c>
      <c r="E5">
        <v>29</v>
      </c>
      <c r="F5">
        <v>0</v>
      </c>
      <c r="G5">
        <v>4</v>
      </c>
      <c r="H5" s="3">
        <v>33.5</v>
      </c>
      <c r="I5" t="s">
        <v>18</v>
      </c>
      <c r="J5" t="s">
        <v>19</v>
      </c>
    </row>
    <row r="6" spans="1:10" x14ac:dyDescent="0.25">
      <c r="A6">
        <v>2</v>
      </c>
      <c r="B6" t="s">
        <v>17</v>
      </c>
      <c r="C6">
        <v>0.1</v>
      </c>
      <c r="D6">
        <v>700</v>
      </c>
      <c r="E6">
        <v>22</v>
      </c>
      <c r="F6">
        <v>0</v>
      </c>
      <c r="G6">
        <v>1</v>
      </c>
      <c r="H6" s="1">
        <v>16.100000000000001</v>
      </c>
      <c r="I6" t="s">
        <v>18</v>
      </c>
      <c r="J6" t="s">
        <v>19</v>
      </c>
    </row>
    <row r="7" spans="1:10" x14ac:dyDescent="0.25">
      <c r="A7">
        <v>2</v>
      </c>
      <c r="B7" t="s">
        <v>17</v>
      </c>
      <c r="C7">
        <v>0.1</v>
      </c>
      <c r="D7">
        <v>700</v>
      </c>
      <c r="E7">
        <v>22</v>
      </c>
      <c r="F7">
        <v>0</v>
      </c>
      <c r="G7">
        <v>2</v>
      </c>
      <c r="H7" s="2">
        <v>26</v>
      </c>
      <c r="I7" t="s">
        <v>20</v>
      </c>
      <c r="J7" t="s">
        <v>14</v>
      </c>
    </row>
    <row r="8" spans="1:10" x14ac:dyDescent="0.25">
      <c r="A8">
        <v>2</v>
      </c>
      <c r="B8" t="s">
        <v>17</v>
      </c>
      <c r="C8">
        <v>0.1</v>
      </c>
      <c r="D8">
        <v>700</v>
      </c>
      <c r="E8">
        <v>22</v>
      </c>
      <c r="F8">
        <v>0</v>
      </c>
      <c r="G8">
        <v>3</v>
      </c>
      <c r="H8" s="3">
        <v>35.5</v>
      </c>
      <c r="I8" t="s">
        <v>21</v>
      </c>
      <c r="J8" t="s">
        <v>16</v>
      </c>
    </row>
    <row r="9" spans="1:10" x14ac:dyDescent="0.25">
      <c r="A9">
        <v>2</v>
      </c>
      <c r="B9" t="s">
        <v>17</v>
      </c>
      <c r="C9">
        <v>0.1</v>
      </c>
      <c r="D9">
        <v>700</v>
      </c>
      <c r="E9">
        <v>22</v>
      </c>
      <c r="F9">
        <v>0</v>
      </c>
      <c r="G9">
        <v>4</v>
      </c>
      <c r="H9" s="4">
        <v>41.3</v>
      </c>
      <c r="I9" t="s">
        <v>22</v>
      </c>
      <c r="J9" t="s">
        <v>23</v>
      </c>
    </row>
    <row r="10" spans="1:10" x14ac:dyDescent="0.25">
      <c r="A10">
        <v>2</v>
      </c>
      <c r="B10" t="s">
        <v>17</v>
      </c>
      <c r="C10">
        <v>0.1</v>
      </c>
      <c r="D10">
        <v>700</v>
      </c>
      <c r="E10">
        <v>22</v>
      </c>
      <c r="F10">
        <v>0</v>
      </c>
      <c r="G10">
        <v>5</v>
      </c>
      <c r="H10" s="2">
        <v>28</v>
      </c>
      <c r="I10" t="s">
        <v>15</v>
      </c>
      <c r="J10" t="s">
        <v>16</v>
      </c>
    </row>
    <row r="11" spans="1:10" x14ac:dyDescent="0.25">
      <c r="A11">
        <v>3</v>
      </c>
      <c r="B11" t="s">
        <v>24</v>
      </c>
      <c r="C11">
        <v>1.2</v>
      </c>
      <c r="D11">
        <v>1022</v>
      </c>
      <c r="E11">
        <v>25</v>
      </c>
      <c r="F11">
        <v>1</v>
      </c>
      <c r="G11">
        <v>1</v>
      </c>
      <c r="H11" s="2">
        <v>26.1</v>
      </c>
      <c r="I11" t="s">
        <v>25</v>
      </c>
      <c r="J11" t="s">
        <v>19</v>
      </c>
    </row>
    <row r="12" spans="1:10" x14ac:dyDescent="0.25">
      <c r="A12">
        <v>3</v>
      </c>
      <c r="B12" t="s">
        <v>24</v>
      </c>
      <c r="C12">
        <v>1.2</v>
      </c>
      <c r="D12">
        <v>1022</v>
      </c>
      <c r="E12">
        <v>25</v>
      </c>
      <c r="F12">
        <v>1</v>
      </c>
      <c r="G12">
        <v>2</v>
      </c>
      <c r="H12" s="2">
        <v>27</v>
      </c>
      <c r="I12" t="s">
        <v>26</v>
      </c>
      <c r="J12" t="s">
        <v>14</v>
      </c>
    </row>
    <row r="13" spans="1:10" x14ac:dyDescent="0.25">
      <c r="A13">
        <v>3</v>
      </c>
      <c r="B13" t="s">
        <v>24</v>
      </c>
      <c r="C13">
        <v>1.2</v>
      </c>
      <c r="D13">
        <v>1022</v>
      </c>
      <c r="E13">
        <v>25</v>
      </c>
      <c r="F13">
        <v>1</v>
      </c>
      <c r="G13">
        <v>3</v>
      </c>
      <c r="H13" s="3">
        <v>38.5</v>
      </c>
      <c r="I13" t="s">
        <v>21</v>
      </c>
      <c r="J13" t="s">
        <v>16</v>
      </c>
    </row>
    <row r="14" spans="1:10" x14ac:dyDescent="0.25">
      <c r="A14">
        <v>3</v>
      </c>
      <c r="B14" t="s">
        <v>24</v>
      </c>
      <c r="C14">
        <v>1.2</v>
      </c>
      <c r="D14">
        <v>1022</v>
      </c>
      <c r="E14">
        <v>25</v>
      </c>
      <c r="F14">
        <v>1</v>
      </c>
      <c r="G14">
        <v>4</v>
      </c>
      <c r="H14" s="4">
        <v>39.200000000000003</v>
      </c>
      <c r="I14" t="s">
        <v>11</v>
      </c>
      <c r="J14" t="s">
        <v>12</v>
      </c>
    </row>
    <row r="15" spans="1:10" x14ac:dyDescent="0.25">
      <c r="A15">
        <v>3</v>
      </c>
      <c r="B15" t="s">
        <v>24</v>
      </c>
      <c r="C15">
        <v>1.2</v>
      </c>
      <c r="D15">
        <v>1022</v>
      </c>
      <c r="E15">
        <v>25</v>
      </c>
      <c r="F15">
        <v>1</v>
      </c>
      <c r="G15">
        <v>5</v>
      </c>
      <c r="H15" s="4">
        <v>39.200000000000003</v>
      </c>
      <c r="I15" t="s">
        <v>21</v>
      </c>
      <c r="J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C7D7-FEE1-439B-B9E4-16A66D5E87CB}">
  <dimension ref="A1:N2"/>
  <sheetViews>
    <sheetView workbookViewId="0">
      <selection activeCell="A2" sqref="A2:N2"/>
    </sheetView>
  </sheetViews>
  <sheetFormatPr baseColWidth="10" defaultRowHeight="15" x14ac:dyDescent="0.25"/>
  <cols>
    <col min="1" max="1" width="5.7109375" bestFit="1" customWidth="1"/>
    <col min="2" max="2" width="7.7109375" bestFit="1" customWidth="1"/>
    <col min="3" max="3" width="5.28515625" bestFit="1" customWidth="1"/>
    <col min="4" max="4" width="4.42578125" bestFit="1" customWidth="1"/>
    <col min="5" max="5" width="10.42578125" bestFit="1" customWidth="1"/>
    <col min="6" max="6" width="6.42578125" bestFit="1" customWidth="1"/>
    <col min="7" max="7" width="8.85546875" bestFit="1" customWidth="1"/>
    <col min="8" max="8" width="7.140625" bestFit="1" customWidth="1"/>
    <col min="9" max="9" width="8.140625" bestFit="1" customWidth="1"/>
    <col min="10" max="10" width="9" bestFit="1" customWidth="1"/>
    <col min="11" max="13" width="7.140625" bestFit="1" customWidth="1"/>
    <col min="14" max="14" width="7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61</v>
      </c>
      <c r="L1" t="s">
        <v>56</v>
      </c>
      <c r="M1" t="s">
        <v>48</v>
      </c>
      <c r="N1" t="s">
        <v>49</v>
      </c>
    </row>
    <row r="2" spans="1:14" x14ac:dyDescent="0.25">
      <c r="A2">
        <v>2</v>
      </c>
      <c r="B2" t="s">
        <v>17</v>
      </c>
      <c r="C2">
        <v>0.1</v>
      </c>
      <c r="D2">
        <v>700</v>
      </c>
      <c r="E2">
        <v>22</v>
      </c>
      <c r="F2">
        <v>0</v>
      </c>
      <c r="G2">
        <v>4</v>
      </c>
      <c r="H2">
        <v>41.3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6161-7BF0-471A-B594-AFA79010264C}">
  <dimension ref="A1:N2"/>
  <sheetViews>
    <sheetView workbookViewId="0">
      <selection activeCell="A2" sqref="A2:N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61</v>
      </c>
      <c r="L1" t="s">
        <v>56</v>
      </c>
      <c r="M1" t="s">
        <v>48</v>
      </c>
      <c r="N1" t="s">
        <v>49</v>
      </c>
    </row>
    <row r="2" spans="1:14" x14ac:dyDescent="0.25">
      <c r="A2">
        <v>2</v>
      </c>
      <c r="B2" t="s">
        <v>17</v>
      </c>
      <c r="C2">
        <v>0.1</v>
      </c>
      <c r="D2">
        <v>700</v>
      </c>
      <c r="E2">
        <v>22</v>
      </c>
      <c r="F2">
        <v>0</v>
      </c>
      <c r="G2">
        <v>1</v>
      </c>
      <c r="H2">
        <v>16.100000000000001</v>
      </c>
      <c r="I2" t="s">
        <v>18</v>
      </c>
      <c r="J2" t="s">
        <v>19</v>
      </c>
      <c r="K2" t="s">
        <v>23</v>
      </c>
      <c r="L2" t="s">
        <v>23</v>
      </c>
      <c r="M2" t="s">
        <v>23</v>
      </c>
      <c r="N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6F01-8D6B-4187-8D83-01B2017227C6}">
  <dimension ref="A1:BC6"/>
  <sheetViews>
    <sheetView zoomScale="80" zoomScaleNormal="80" workbookViewId="0">
      <pane xSplit="10" ySplit="1" topLeftCell="AP2" activePane="bottomRight" state="frozen"/>
      <selection pane="topRight" activeCell="K1" sqref="K1"/>
      <selection pane="bottomLeft" activeCell="A2" sqref="A2"/>
      <selection pane="bottomRight" activeCell="BB2" sqref="BB2:BC6"/>
    </sheetView>
  </sheetViews>
  <sheetFormatPr baseColWidth="10" defaultRowHeight="15" x14ac:dyDescent="0.25"/>
  <cols>
    <col min="1" max="1" width="5.85546875" bestFit="1" customWidth="1"/>
    <col min="2" max="2" width="8" bestFit="1" customWidth="1"/>
    <col min="3" max="4" width="5.5703125" bestFit="1" customWidth="1"/>
    <col min="5" max="5" width="10.42578125" bestFit="1" customWidth="1"/>
    <col min="6" max="6" width="6.5703125" bestFit="1" customWidth="1"/>
    <col min="7" max="7" width="8.85546875" bestFit="1" customWidth="1"/>
    <col min="8" max="8" width="7.140625" bestFit="1" customWidth="1"/>
    <col min="9" max="9" width="8.42578125" bestFit="1" customWidth="1"/>
    <col min="10" max="10" width="9.140625" bestFit="1" customWidth="1"/>
    <col min="11" max="11" width="13.5703125" bestFit="1" customWidth="1"/>
    <col min="12" max="12" width="2.28515625" bestFit="1" customWidth="1"/>
    <col min="13" max="13" width="8.42578125" bestFit="1" customWidth="1"/>
    <col min="14" max="14" width="13.42578125" bestFit="1" customWidth="1"/>
    <col min="15" max="15" width="2.28515625" bestFit="1" customWidth="1"/>
    <col min="16" max="16" width="5" bestFit="1" customWidth="1"/>
    <col min="17" max="17" width="13.140625" bestFit="1" customWidth="1"/>
    <col min="18" max="18" width="2.28515625" bestFit="1" customWidth="1"/>
    <col min="19" max="19" width="7.28515625" bestFit="1" customWidth="1"/>
    <col min="20" max="20" width="13" bestFit="1" customWidth="1"/>
    <col min="21" max="21" width="2.28515625" bestFit="1" customWidth="1"/>
    <col min="22" max="22" width="8.42578125" bestFit="1" customWidth="1"/>
    <col min="23" max="23" width="9.140625" bestFit="1" customWidth="1"/>
    <col min="24" max="24" width="5.5703125" bestFit="1" customWidth="1"/>
    <col min="25" max="25" width="9.42578125" bestFit="1" customWidth="1"/>
    <col min="26" max="26" width="12.42578125" bestFit="1" customWidth="1"/>
    <col min="27" max="27" width="3.42578125" bestFit="1" customWidth="1"/>
    <col min="28" max="28" width="7.7109375" bestFit="1" customWidth="1"/>
    <col min="29" max="29" width="12.85546875" bestFit="1" customWidth="1"/>
    <col min="30" max="30" width="2.28515625" bestFit="1" customWidth="1"/>
    <col min="31" max="31" width="7.7109375" bestFit="1" customWidth="1"/>
    <col min="32" max="32" width="12.85546875" bestFit="1" customWidth="1"/>
    <col min="33" max="34" width="2.28515625" bestFit="1" customWidth="1"/>
    <col min="35" max="35" width="20.5703125" bestFit="1" customWidth="1"/>
    <col min="36" max="37" width="2.28515625" bestFit="1" customWidth="1"/>
    <col min="38" max="38" width="20.28515625" bestFit="1" customWidth="1"/>
    <col min="39" max="39" width="5.5703125" bestFit="1" customWidth="1"/>
    <col min="40" max="40" width="7.7109375" bestFit="1" customWidth="1"/>
    <col min="41" max="41" width="20.140625" bestFit="1" customWidth="1"/>
    <col min="42" max="42" width="3.42578125" bestFit="1" customWidth="1"/>
    <col min="43" max="43" width="7.7109375" bestFit="1" customWidth="1"/>
    <col min="44" max="44" width="8.5703125" bestFit="1" customWidth="1"/>
    <col min="45" max="45" width="2.28515625" bestFit="1" customWidth="1"/>
    <col min="46" max="46" width="7.7109375" bestFit="1" customWidth="1"/>
    <col min="47" max="47" width="19.7109375" bestFit="1" customWidth="1"/>
    <col min="48" max="48" width="6.5703125" bestFit="1" customWidth="1"/>
    <col min="49" max="49" width="6.5703125" customWidth="1"/>
    <col min="50" max="50" width="8.7109375" bestFit="1" customWidth="1"/>
    <col min="51" max="53" width="13" bestFit="1" customWidth="1"/>
    <col min="54" max="54" width="7.140625" bestFit="1" customWidth="1"/>
    <col min="55" max="55" width="7.285156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N1" t="s">
        <v>28</v>
      </c>
      <c r="Q1" t="s">
        <v>29</v>
      </c>
      <c r="T1" t="s">
        <v>30</v>
      </c>
      <c r="W1" t="s">
        <v>31</v>
      </c>
      <c r="Z1" t="s">
        <v>40</v>
      </c>
      <c r="AC1" t="s">
        <v>33</v>
      </c>
      <c r="AF1" t="s">
        <v>37</v>
      </c>
      <c r="AI1" t="s">
        <v>42</v>
      </c>
      <c r="AL1" t="s">
        <v>43</v>
      </c>
      <c r="AO1" t="s">
        <v>44</v>
      </c>
      <c r="AR1" t="s">
        <v>45</v>
      </c>
      <c r="AU1" t="s">
        <v>65</v>
      </c>
      <c r="AX1" t="s">
        <v>46</v>
      </c>
      <c r="AY1" t="s">
        <v>47</v>
      </c>
      <c r="AZ1" t="s">
        <v>48</v>
      </c>
      <c r="BA1" t="s">
        <v>49</v>
      </c>
      <c r="BB1" t="s">
        <v>61</v>
      </c>
      <c r="BC1" t="s">
        <v>56</v>
      </c>
    </row>
    <row r="2" spans="1:55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1</v>
      </c>
      <c r="H2">
        <v>24</v>
      </c>
      <c r="I2" t="s">
        <v>11</v>
      </c>
      <c r="J2" t="s">
        <v>12</v>
      </c>
      <c r="K2">
        <v>-1.5804</v>
      </c>
      <c r="L2">
        <v>1</v>
      </c>
      <c r="M2">
        <f>L2*K2</f>
        <v>-1.5804</v>
      </c>
      <c r="N2">
        <v>0.70079999999999998</v>
      </c>
      <c r="O2">
        <v>0</v>
      </c>
      <c r="P2">
        <f>O2*N2</f>
        <v>0</v>
      </c>
      <c r="Q2">
        <v>0.1178</v>
      </c>
      <c r="R2">
        <v>0</v>
      </c>
      <c r="S2">
        <f>R2*Q2</f>
        <v>0</v>
      </c>
      <c r="T2">
        <v>0.88300000000000001</v>
      </c>
      <c r="U2">
        <v>0</v>
      </c>
      <c r="V2">
        <f>U2*T2</f>
        <v>0</v>
      </c>
      <c r="W2">
        <v>4.8599999999999997E-2</v>
      </c>
      <c r="X2">
        <f>H2</f>
        <v>24</v>
      </c>
      <c r="Y2">
        <f>X2*W2</f>
        <v>1.1663999999999999</v>
      </c>
      <c r="Z2">
        <v>0</v>
      </c>
      <c r="AA2">
        <f>E2</f>
        <v>29</v>
      </c>
      <c r="AB2">
        <f>AA2*Z2</f>
        <v>0</v>
      </c>
      <c r="AC2">
        <v>0.68489999999999995</v>
      </c>
      <c r="AD2">
        <v>1</v>
      </c>
      <c r="AE2">
        <f>AD2*AC2</f>
        <v>0.68489999999999995</v>
      </c>
      <c r="AF2">
        <v>0.79569999999999996</v>
      </c>
      <c r="AG2">
        <v>0</v>
      </c>
      <c r="AH2">
        <f>AG2*AF2</f>
        <v>0</v>
      </c>
      <c r="AI2">
        <v>4.2000000000000003E-2</v>
      </c>
      <c r="AJ2">
        <v>0</v>
      </c>
      <c r="AK2">
        <f>AJ2*AI2</f>
        <v>0</v>
      </c>
      <c r="AL2">
        <v>0.111</v>
      </c>
      <c r="AM2">
        <v>0</v>
      </c>
      <c r="AN2">
        <f>AM2*AL2</f>
        <v>0</v>
      </c>
      <c r="AO2">
        <v>4.3600000000000002E-3</v>
      </c>
      <c r="AP2">
        <v>0</v>
      </c>
      <c r="AQ2">
        <f>AP2*AO2</f>
        <v>0</v>
      </c>
      <c r="AR2">
        <v>0</v>
      </c>
      <c r="AS2">
        <f>F2</f>
        <v>0</v>
      </c>
      <c r="AT2">
        <f>AS2*AR2</f>
        <v>0</v>
      </c>
      <c r="AU2">
        <v>0</v>
      </c>
      <c r="AV2">
        <f>H2*E2</f>
        <v>696</v>
      </c>
      <c r="AW2">
        <f>AV2*AU2</f>
        <v>0</v>
      </c>
      <c r="AX2">
        <f>AW2+AT2+AQ2+AN2+AK2+AH2+AE2+AB2+Y2+V2+S2+P2+M2</f>
        <v>0.2708999999999997</v>
      </c>
      <c r="AY2">
        <f>1/(1+EXP(-AX2))</f>
        <v>0.56731384029756016</v>
      </c>
      <c r="AZ2">
        <f>AY2</f>
        <v>0.56731384029756016</v>
      </c>
      <c r="BA2">
        <f>1-AZ2</f>
        <v>0.43268615970243984</v>
      </c>
      <c r="BB2" t="s">
        <v>23</v>
      </c>
      <c r="BC2" t="s">
        <v>23</v>
      </c>
    </row>
    <row r="3" spans="1:55" x14ac:dyDescent="0.25">
      <c r="A3">
        <v>2</v>
      </c>
      <c r="B3" t="s">
        <v>17</v>
      </c>
      <c r="C3">
        <v>0.1</v>
      </c>
      <c r="D3">
        <v>700</v>
      </c>
      <c r="E3">
        <v>22</v>
      </c>
      <c r="F3">
        <v>0</v>
      </c>
      <c r="G3">
        <v>2</v>
      </c>
      <c r="H3">
        <v>26</v>
      </c>
      <c r="I3" t="s">
        <v>20</v>
      </c>
      <c r="J3" t="s">
        <v>14</v>
      </c>
      <c r="K3">
        <v>-9.0399999999999994E-2</v>
      </c>
      <c r="L3">
        <v>1</v>
      </c>
      <c r="M3">
        <f t="shared" ref="M3:M6" si="0">L3*K3</f>
        <v>-9.0399999999999994E-2</v>
      </c>
      <c r="N3">
        <v>1.0844</v>
      </c>
      <c r="O3">
        <v>0</v>
      </c>
      <c r="P3">
        <f t="shared" ref="P3:P6" si="1">O3*N3</f>
        <v>0</v>
      </c>
      <c r="Q3">
        <v>-1.3041</v>
      </c>
      <c r="R3">
        <v>0</v>
      </c>
      <c r="S3">
        <f t="shared" ref="S3:S6" si="2">R3*Q3</f>
        <v>0</v>
      </c>
      <c r="T3">
        <v>-0.79790000000000005</v>
      </c>
      <c r="U3">
        <v>1</v>
      </c>
      <c r="V3">
        <f t="shared" ref="V3:V6" si="3">U3*T3</f>
        <v>-0.79790000000000005</v>
      </c>
      <c r="W3">
        <v>-5.3E-3</v>
      </c>
      <c r="X3">
        <f>H3</f>
        <v>26</v>
      </c>
      <c r="Y3">
        <f t="shared" ref="Y3:Y6" si="4">X3*W3</f>
        <v>-0.13780000000000001</v>
      </c>
      <c r="Z3">
        <v>1.2500000000000001E-2</v>
      </c>
      <c r="AA3">
        <f>E3</f>
        <v>22</v>
      </c>
      <c r="AB3">
        <f t="shared" ref="AB3:AB6" si="5">AA3*Z3</f>
        <v>0.27500000000000002</v>
      </c>
      <c r="AC3">
        <v>0.1497</v>
      </c>
      <c r="AD3">
        <v>0</v>
      </c>
      <c r="AE3">
        <f>AD3*AC3</f>
        <v>0</v>
      </c>
      <c r="AF3">
        <v>-1.21E-2</v>
      </c>
      <c r="AG3">
        <v>0</v>
      </c>
      <c r="AH3">
        <f t="shared" ref="AH3:AH6" si="6">AG3*AF3</f>
        <v>0</v>
      </c>
      <c r="AI3">
        <v>3.04E-2</v>
      </c>
      <c r="AJ3">
        <v>0</v>
      </c>
      <c r="AK3">
        <f t="shared" ref="AK3:AK6" si="7">AJ3*AI3</f>
        <v>0</v>
      </c>
      <c r="AL3">
        <v>0.14549999999999999</v>
      </c>
      <c r="AM3">
        <v>0</v>
      </c>
      <c r="AN3">
        <f t="shared" ref="AN3:AN6" si="8">AM3*AL3</f>
        <v>0</v>
      </c>
      <c r="AO3">
        <v>7.8700000000000006E-2</v>
      </c>
      <c r="AP3">
        <f>H3</f>
        <v>26</v>
      </c>
      <c r="AQ3">
        <f t="shared" ref="AQ3:AQ5" si="9">AP3*AO3</f>
        <v>2.0462000000000002</v>
      </c>
      <c r="AR3">
        <v>0</v>
      </c>
      <c r="AS3">
        <f>F3</f>
        <v>0</v>
      </c>
      <c r="AT3">
        <f t="shared" ref="AT3:AT6" si="10">AS3*AR3</f>
        <v>0</v>
      </c>
      <c r="AU3">
        <v>0</v>
      </c>
      <c r="AV3">
        <f t="shared" ref="AV3:AV6" si="11">H3*E3</f>
        <v>572</v>
      </c>
      <c r="AW3">
        <f t="shared" ref="AW3:AW6" si="12">AV3*AU3</f>
        <v>0</v>
      </c>
      <c r="AX3">
        <f>AW3+AT3+AQ3+AN3+AK3+AH3+AE3+AB3+Y3+V3+S3+P3+M3</f>
        <v>1.2951000000000001</v>
      </c>
      <c r="AY3">
        <f t="shared" ref="AY3:AY5" si="13">1/(1+EXP(-AX3))</f>
        <v>0.78500916608664129</v>
      </c>
      <c r="AZ3">
        <f t="shared" ref="AZ3:AZ5" si="14">AY3</f>
        <v>0.78500916608664129</v>
      </c>
      <c r="BA3">
        <f t="shared" ref="BA3:BA5" si="15">1-AZ3</f>
        <v>0.21499083391335871</v>
      </c>
      <c r="BB3" t="s">
        <v>23</v>
      </c>
      <c r="BC3" t="s">
        <v>23</v>
      </c>
    </row>
    <row r="4" spans="1:55" x14ac:dyDescent="0.25">
      <c r="A4">
        <v>3</v>
      </c>
      <c r="B4" t="s">
        <v>24</v>
      </c>
      <c r="C4">
        <v>1.2</v>
      </c>
      <c r="D4">
        <v>1022</v>
      </c>
      <c r="E4">
        <v>25</v>
      </c>
      <c r="F4">
        <v>1</v>
      </c>
      <c r="G4">
        <v>1</v>
      </c>
      <c r="H4">
        <v>26.1</v>
      </c>
      <c r="I4" t="s">
        <v>25</v>
      </c>
      <c r="J4" t="s">
        <v>19</v>
      </c>
      <c r="K4">
        <v>1.9585999999999999</v>
      </c>
      <c r="L4">
        <v>1</v>
      </c>
      <c r="M4">
        <f t="shared" si="0"/>
        <v>1.9585999999999999</v>
      </c>
      <c r="N4">
        <v>6.6000000000000003E-2</v>
      </c>
      <c r="O4">
        <v>0</v>
      </c>
      <c r="P4">
        <f t="shared" si="1"/>
        <v>0</v>
      </c>
      <c r="Q4">
        <v>-1.9339999999999999</v>
      </c>
      <c r="R4">
        <v>1</v>
      </c>
      <c r="S4">
        <f t="shared" si="2"/>
        <v>-1.9339999999999999</v>
      </c>
      <c r="T4">
        <v>-4.4771999999999998</v>
      </c>
      <c r="U4">
        <v>0</v>
      </c>
      <c r="V4">
        <f t="shared" si="3"/>
        <v>0</v>
      </c>
      <c r="W4">
        <v>-2.5499999999999998E-2</v>
      </c>
      <c r="X4">
        <f>H4</f>
        <v>26.1</v>
      </c>
      <c r="Y4">
        <f t="shared" si="4"/>
        <v>-0.66554999999999997</v>
      </c>
      <c r="Z4">
        <v>0</v>
      </c>
      <c r="AA4">
        <f>E4</f>
        <v>25</v>
      </c>
      <c r="AB4">
        <f t="shared" si="5"/>
        <v>0</v>
      </c>
      <c r="AC4">
        <v>0</v>
      </c>
      <c r="AD4">
        <v>0</v>
      </c>
      <c r="AE4">
        <f>AD4*AC4</f>
        <v>0</v>
      </c>
      <c r="AF4">
        <v>0</v>
      </c>
      <c r="AG4">
        <v>1</v>
      </c>
      <c r="AH4">
        <f t="shared" si="6"/>
        <v>0</v>
      </c>
      <c r="AI4">
        <v>4.2599999999999999E-2</v>
      </c>
      <c r="AJ4">
        <v>0</v>
      </c>
      <c r="AK4">
        <f t="shared" si="7"/>
        <v>0</v>
      </c>
      <c r="AL4">
        <v>0.17699999999999999</v>
      </c>
      <c r="AM4">
        <f>H4</f>
        <v>26.1</v>
      </c>
      <c r="AN4">
        <f t="shared" si="8"/>
        <v>4.6196999999999999</v>
      </c>
      <c r="AO4">
        <v>0.19650000000000001</v>
      </c>
      <c r="AP4">
        <v>0</v>
      </c>
      <c r="AQ4">
        <f t="shared" si="9"/>
        <v>0</v>
      </c>
      <c r="AR4">
        <v>0</v>
      </c>
      <c r="AS4">
        <f>F4</f>
        <v>1</v>
      </c>
      <c r="AT4">
        <f t="shared" si="10"/>
        <v>0</v>
      </c>
      <c r="AU4">
        <v>0</v>
      </c>
      <c r="AV4">
        <f t="shared" si="11"/>
        <v>652.5</v>
      </c>
      <c r="AW4">
        <f t="shared" si="12"/>
        <v>0</v>
      </c>
      <c r="AX4">
        <f>AW4+AT4+AQ4+AN4+AK4+AH4+AE4+AB4+Y4+V4+S4+P4+M4</f>
        <v>3.9787499999999998</v>
      </c>
      <c r="AY4">
        <f t="shared" si="13"/>
        <v>0.98163458770925915</v>
      </c>
      <c r="AZ4">
        <f t="shared" si="14"/>
        <v>0.98163458770925915</v>
      </c>
      <c r="BA4">
        <f t="shared" si="15"/>
        <v>1.8365412290740846E-2</v>
      </c>
      <c r="BB4" t="s">
        <v>23</v>
      </c>
      <c r="BC4" t="s">
        <v>23</v>
      </c>
    </row>
    <row r="5" spans="1:55" x14ac:dyDescent="0.25">
      <c r="A5">
        <v>3</v>
      </c>
      <c r="B5" t="s">
        <v>24</v>
      </c>
      <c r="C5">
        <v>1.2</v>
      </c>
      <c r="D5">
        <v>1022</v>
      </c>
      <c r="E5">
        <v>25</v>
      </c>
      <c r="F5">
        <v>1</v>
      </c>
      <c r="G5">
        <v>2</v>
      </c>
      <c r="H5">
        <v>27</v>
      </c>
      <c r="I5" t="s">
        <v>26</v>
      </c>
      <c r="J5" t="s">
        <v>14</v>
      </c>
      <c r="K5">
        <v>-2.4066000000000001</v>
      </c>
      <c r="L5">
        <v>1</v>
      </c>
      <c r="M5">
        <f t="shared" si="0"/>
        <v>-2.4066000000000001</v>
      </c>
      <c r="N5">
        <v>1.0301</v>
      </c>
      <c r="O5">
        <v>0</v>
      </c>
      <c r="P5">
        <f t="shared" si="1"/>
        <v>0</v>
      </c>
      <c r="Q5">
        <v>1.9907999999999999</v>
      </c>
      <c r="R5">
        <v>0</v>
      </c>
      <c r="S5">
        <f t="shared" si="2"/>
        <v>0</v>
      </c>
      <c r="T5">
        <v>1.1955</v>
      </c>
      <c r="U5">
        <v>1</v>
      </c>
      <c r="V5">
        <f t="shared" si="3"/>
        <v>1.1955</v>
      </c>
      <c r="W5">
        <v>4.2599999999999999E-2</v>
      </c>
      <c r="X5">
        <f>H5</f>
        <v>27</v>
      </c>
      <c r="Y5">
        <f t="shared" si="4"/>
        <v>1.1501999999999999</v>
      </c>
      <c r="Z5">
        <v>1.3299999999999999E-2</v>
      </c>
      <c r="AA5">
        <f>E5</f>
        <v>25</v>
      </c>
      <c r="AB5">
        <f t="shared" si="5"/>
        <v>0.33249999999999996</v>
      </c>
      <c r="AC5">
        <v>0.72299999999999998</v>
      </c>
      <c r="AD5">
        <v>0</v>
      </c>
      <c r="AE5">
        <f>AD5*AC5</f>
        <v>0</v>
      </c>
      <c r="AF5">
        <v>0</v>
      </c>
      <c r="AG5">
        <v>1</v>
      </c>
      <c r="AH5">
        <f t="shared" si="6"/>
        <v>0</v>
      </c>
      <c r="AI5">
        <v>0</v>
      </c>
      <c r="AJ5">
        <v>0</v>
      </c>
      <c r="AK5">
        <f t="shared" si="7"/>
        <v>0</v>
      </c>
      <c r="AL5">
        <v>0</v>
      </c>
      <c r="AM5">
        <v>0</v>
      </c>
      <c r="AN5">
        <f t="shared" si="8"/>
        <v>0</v>
      </c>
      <c r="AO5">
        <v>0</v>
      </c>
      <c r="AP5">
        <f>H5</f>
        <v>27</v>
      </c>
      <c r="AQ5">
        <f t="shared" si="9"/>
        <v>0</v>
      </c>
      <c r="AR5">
        <v>0.36130000000000001</v>
      </c>
      <c r="AS5">
        <f>F5</f>
        <v>1</v>
      </c>
      <c r="AT5">
        <f t="shared" si="10"/>
        <v>0.36130000000000001</v>
      </c>
      <c r="AU5">
        <v>0</v>
      </c>
      <c r="AV5">
        <f t="shared" si="11"/>
        <v>675</v>
      </c>
      <c r="AW5">
        <f t="shared" si="12"/>
        <v>0</v>
      </c>
      <c r="AX5">
        <f>AW5+AT5+AQ5+AN5+AK5+AH5+AE5+AB5+Y5+V5+S5+P5+M5</f>
        <v>0.6328999999999998</v>
      </c>
      <c r="AY5">
        <f>1/(1+EXP(-AX5))</f>
        <v>0.65314673726765693</v>
      </c>
      <c r="AZ5">
        <f t="shared" si="14"/>
        <v>0.65314673726765693</v>
      </c>
      <c r="BA5">
        <f t="shared" si="15"/>
        <v>0.34685326273234307</v>
      </c>
      <c r="BB5" t="s">
        <v>23</v>
      </c>
      <c r="BC5" t="s">
        <v>23</v>
      </c>
    </row>
    <row r="6" spans="1:55" x14ac:dyDescent="0.25">
      <c r="A6">
        <v>2</v>
      </c>
      <c r="B6" t="s">
        <v>17</v>
      </c>
      <c r="C6">
        <v>0.1</v>
      </c>
      <c r="D6">
        <v>700</v>
      </c>
      <c r="E6">
        <v>22</v>
      </c>
      <c r="F6">
        <v>0</v>
      </c>
      <c r="G6">
        <v>5</v>
      </c>
      <c r="H6">
        <v>28</v>
      </c>
      <c r="I6" t="s">
        <v>15</v>
      </c>
      <c r="J6" t="s">
        <v>16</v>
      </c>
      <c r="K6">
        <v>5.0801999999999996</v>
      </c>
      <c r="L6">
        <v>1</v>
      </c>
      <c r="M6">
        <f t="shared" si="0"/>
        <v>5.0801999999999996</v>
      </c>
      <c r="N6">
        <v>1.7765</v>
      </c>
      <c r="O6">
        <v>1</v>
      </c>
      <c r="P6" s="6">
        <f t="shared" si="1"/>
        <v>1.7765</v>
      </c>
      <c r="Q6">
        <v>3.3664000000000001</v>
      </c>
      <c r="R6">
        <v>0</v>
      </c>
      <c r="S6">
        <f t="shared" si="2"/>
        <v>0</v>
      </c>
      <c r="T6">
        <v>0.57940000000000003</v>
      </c>
      <c r="U6">
        <v>0</v>
      </c>
      <c r="V6">
        <f t="shared" si="3"/>
        <v>0</v>
      </c>
      <c r="W6">
        <v>-0.2109</v>
      </c>
      <c r="X6">
        <f>H6</f>
        <v>28</v>
      </c>
      <c r="Y6">
        <f t="shared" si="4"/>
        <v>-5.9051999999999998</v>
      </c>
      <c r="Z6">
        <v>-0.2429</v>
      </c>
      <c r="AA6">
        <f>E6</f>
        <v>22</v>
      </c>
      <c r="AB6">
        <f t="shared" si="5"/>
        <v>-5.3437999999999999</v>
      </c>
      <c r="AC6">
        <v>0</v>
      </c>
      <c r="AD6">
        <v>0</v>
      </c>
      <c r="AE6">
        <f>AD6*AC6</f>
        <v>0</v>
      </c>
      <c r="AF6">
        <v>0</v>
      </c>
      <c r="AG6">
        <v>0</v>
      </c>
      <c r="AH6">
        <f t="shared" si="6"/>
        <v>0</v>
      </c>
      <c r="AI6">
        <v>0</v>
      </c>
      <c r="AJ6">
        <v>1</v>
      </c>
      <c r="AK6">
        <f t="shared" si="7"/>
        <v>0</v>
      </c>
      <c r="AL6">
        <v>0</v>
      </c>
      <c r="AM6">
        <v>1</v>
      </c>
      <c r="AN6">
        <f t="shared" si="8"/>
        <v>0</v>
      </c>
      <c r="AO6">
        <v>0</v>
      </c>
      <c r="AP6">
        <v>1</v>
      </c>
      <c r="AR6">
        <v>1.1384000000000001</v>
      </c>
      <c r="AS6">
        <f>F6</f>
        <v>0</v>
      </c>
      <c r="AT6">
        <f t="shared" si="10"/>
        <v>0</v>
      </c>
      <c r="AU6">
        <v>1.0699999999999999E-2</v>
      </c>
      <c r="AV6">
        <f t="shared" si="11"/>
        <v>616</v>
      </c>
      <c r="AW6">
        <f t="shared" si="12"/>
        <v>6.5911999999999997</v>
      </c>
      <c r="AX6">
        <f>AW6+AT6+AQ6+AN6+AK6+AH6+AE6+AB6+Y6+V6+S6+P6+M6</f>
        <v>2.1988999999999996</v>
      </c>
      <c r="AY6">
        <f t="shared" ref="AY6" si="16">1/(1+EXP(-AX6))</f>
        <v>0.90015068701871293</v>
      </c>
      <c r="AZ6">
        <f t="shared" ref="AZ6" si="17">AY6</f>
        <v>0.90015068701871293</v>
      </c>
      <c r="BA6">
        <f t="shared" ref="BA6" si="18">1-AZ6</f>
        <v>9.9849312981287075E-2</v>
      </c>
      <c r="BB6" t="s">
        <v>23</v>
      </c>
      <c r="BC6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B4BD-F0B8-41B6-B041-23E8F6100058}">
  <dimension ref="A1:BZ5"/>
  <sheetViews>
    <sheetView workbookViewId="0">
      <pane xSplit="10" ySplit="1" topLeftCell="BV2" activePane="bottomRight" state="frozen"/>
      <selection pane="topRight" activeCell="K1" sqref="K1"/>
      <selection pane="bottomLeft" activeCell="A2" sqref="A2"/>
      <selection pane="bottomRight" activeCell="BW2" sqref="BW2:BY5"/>
    </sheetView>
  </sheetViews>
  <sheetFormatPr baseColWidth="10" defaultColWidth="5.5703125" defaultRowHeight="15" x14ac:dyDescent="0.25"/>
  <cols>
    <col min="1" max="1" width="5.7109375" bestFit="1" customWidth="1"/>
    <col min="2" max="2" width="7.7109375" bestFit="1" customWidth="1"/>
    <col min="3" max="3" width="5.28515625" bestFit="1" customWidth="1"/>
    <col min="4" max="4" width="5" bestFit="1" customWidth="1"/>
    <col min="5" max="5" width="10.42578125" bestFit="1" customWidth="1"/>
    <col min="6" max="6" width="6.42578125" bestFit="1" customWidth="1"/>
    <col min="7" max="7" width="8.85546875" bestFit="1" customWidth="1"/>
    <col min="8" max="8" width="7.140625" bestFit="1" customWidth="1"/>
    <col min="9" max="9" width="8.140625" bestFit="1" customWidth="1"/>
    <col min="10" max="10" width="9" bestFit="1" customWidth="1"/>
    <col min="11" max="11" width="12.7109375" bestFit="1" customWidth="1"/>
    <col min="12" max="12" width="2" bestFit="1" customWidth="1"/>
    <col min="13" max="13" width="7.28515625" bestFit="1" customWidth="1"/>
    <col min="14" max="14" width="12.7109375" bestFit="1" customWidth="1"/>
    <col min="15" max="15" width="2" bestFit="1" customWidth="1"/>
    <col min="16" max="16" width="7.28515625" bestFit="1" customWidth="1"/>
    <col min="17" max="17" width="13" bestFit="1" customWidth="1"/>
    <col min="18" max="18" width="2" bestFit="1" customWidth="1"/>
    <col min="19" max="19" width="6.5703125" bestFit="1" customWidth="1"/>
    <col min="20" max="20" width="13" bestFit="1" customWidth="1"/>
    <col min="21" max="21" width="2" bestFit="1" customWidth="1"/>
    <col min="22" max="22" width="6.5703125" bestFit="1" customWidth="1"/>
    <col min="23" max="23" width="12.85546875" bestFit="1" customWidth="1"/>
    <col min="24" max="24" width="2" bestFit="1" customWidth="1"/>
    <col min="25" max="25" width="6.5703125" bestFit="1" customWidth="1"/>
    <col min="26" max="26" width="9.140625" bestFit="1" customWidth="1"/>
    <col min="27" max="27" width="5" bestFit="1" customWidth="1"/>
    <col min="28" max="28" width="6.5703125" bestFit="1" customWidth="1"/>
    <col min="29" max="29" width="12.85546875" bestFit="1" customWidth="1"/>
    <col min="30" max="30" width="2" bestFit="1" customWidth="1"/>
    <col min="31" max="31" width="6.5703125" bestFit="1" customWidth="1"/>
    <col min="32" max="32" width="15.5703125" bestFit="1" customWidth="1"/>
    <col min="33" max="33" width="2" bestFit="1" customWidth="1"/>
    <col min="34" max="34" width="6.5703125" bestFit="1" customWidth="1"/>
    <col min="35" max="35" width="12.85546875" bestFit="1" customWidth="1"/>
    <col min="36" max="36" width="2" bestFit="1" customWidth="1"/>
    <col min="37" max="37" width="6.5703125" bestFit="1" customWidth="1"/>
    <col min="38" max="38" width="15.5703125" bestFit="1" customWidth="1"/>
    <col min="39" max="39" width="2" bestFit="1" customWidth="1"/>
    <col min="40" max="40" width="6.5703125" bestFit="1" customWidth="1"/>
    <col min="41" max="41" width="12.85546875" bestFit="1" customWidth="1"/>
    <col min="42" max="42" width="2" bestFit="1" customWidth="1"/>
    <col min="43" max="43" width="7.28515625" style="8" bestFit="1" customWidth="1"/>
    <col min="44" max="44" width="15.5703125" bestFit="1" customWidth="1"/>
    <col min="45" max="45" width="2" bestFit="1" customWidth="1"/>
    <col min="46" max="46" width="4.5703125" bestFit="1" customWidth="1"/>
    <col min="47" max="47" width="12.85546875" bestFit="1" customWidth="1"/>
    <col min="48" max="48" width="2" bestFit="1" customWidth="1"/>
    <col min="49" max="49" width="4.5703125" bestFit="1" customWidth="1"/>
    <col min="50" max="50" width="12.42578125" bestFit="1" customWidth="1"/>
    <col min="51" max="51" width="3" bestFit="1" customWidth="1"/>
    <col min="52" max="52" width="4.5703125" style="6" bestFit="1" customWidth="1"/>
    <col min="53" max="53" width="7.28515625" bestFit="1" customWidth="1"/>
    <col min="54" max="54" width="4" bestFit="1" customWidth="1"/>
    <col min="55" max="55" width="7" bestFit="1" customWidth="1"/>
    <col min="56" max="56" width="23.7109375" bestFit="1" customWidth="1"/>
    <col min="57" max="57" width="3" bestFit="1" customWidth="1"/>
    <col min="58" max="58" width="6.5703125" style="8" bestFit="1" customWidth="1"/>
    <col min="59" max="59" width="23.7109375" bestFit="1" customWidth="1"/>
    <col min="60" max="60" width="3" bestFit="1" customWidth="1"/>
    <col min="61" max="61" width="8.7109375" bestFit="1" customWidth="1"/>
    <col min="62" max="62" width="23.5703125" bestFit="1" customWidth="1"/>
    <col min="63" max="63" width="3" bestFit="1" customWidth="1"/>
    <col min="64" max="64" width="2" bestFit="1" customWidth="1"/>
    <col min="65" max="65" width="9.85546875" bestFit="1" customWidth="1"/>
    <col min="66" max="67" width="2" bestFit="1" customWidth="1"/>
    <col min="68" max="68" width="8.42578125" bestFit="1" customWidth="1"/>
    <col min="69" max="70" width="2" bestFit="1" customWidth="1"/>
    <col min="71" max="74" width="7.5703125" customWidth="1"/>
    <col min="75" max="76" width="12" bestFit="1" customWidth="1"/>
    <col min="77" max="77" width="7.28515625" bestFit="1" customWidth="1"/>
    <col min="78" max="78" width="8.42578125" customWidth="1"/>
  </cols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</v>
      </c>
      <c r="N1" t="s">
        <v>27</v>
      </c>
      <c r="Q1" t="s">
        <v>28</v>
      </c>
      <c r="T1" t="s">
        <v>29</v>
      </c>
      <c r="W1" t="s">
        <v>30</v>
      </c>
      <c r="Z1" t="s">
        <v>31</v>
      </c>
      <c r="AC1" t="s">
        <v>33</v>
      </c>
      <c r="AF1" t="s">
        <v>34</v>
      </c>
      <c r="AI1" t="s">
        <v>35</v>
      </c>
      <c r="AL1" t="s">
        <v>36</v>
      </c>
      <c r="AO1" t="s">
        <v>37</v>
      </c>
      <c r="AR1" t="s">
        <v>38</v>
      </c>
      <c r="AU1" t="s">
        <v>39</v>
      </c>
      <c r="AX1" t="s">
        <v>40</v>
      </c>
      <c r="BA1" t="s">
        <v>41</v>
      </c>
      <c r="BD1" t="s">
        <v>51</v>
      </c>
      <c r="BG1" t="s">
        <v>52</v>
      </c>
      <c r="BJ1" t="s">
        <v>53</v>
      </c>
      <c r="BM1" t="s">
        <v>32</v>
      </c>
      <c r="BP1" t="s">
        <v>45</v>
      </c>
      <c r="BS1" t="s">
        <v>54</v>
      </c>
      <c r="BT1" t="s">
        <v>46</v>
      </c>
      <c r="BU1" t="s">
        <v>55</v>
      </c>
      <c r="BV1" t="s">
        <v>47</v>
      </c>
      <c r="BW1" t="s">
        <v>56</v>
      </c>
      <c r="BX1" t="s">
        <v>48</v>
      </c>
      <c r="BY1" t="s">
        <v>49</v>
      </c>
      <c r="BZ1" t="s">
        <v>61</v>
      </c>
    </row>
    <row r="2" spans="1:78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2</v>
      </c>
      <c r="H2">
        <v>33.5</v>
      </c>
      <c r="I2" t="s">
        <v>13</v>
      </c>
      <c r="J2" t="s">
        <v>14</v>
      </c>
      <c r="K2">
        <v>-3.7313999999999998</v>
      </c>
      <c r="L2">
        <v>1</v>
      </c>
      <c r="M2" s="8">
        <f>L2*K2</f>
        <v>-3.7313999999999998</v>
      </c>
      <c r="N2">
        <v>-1.7194</v>
      </c>
      <c r="O2">
        <v>1</v>
      </c>
      <c r="P2" s="8">
        <f>O2*N2</f>
        <v>-1.7194</v>
      </c>
      <c r="Q2">
        <v>1.5371999999999999</v>
      </c>
      <c r="R2">
        <v>0</v>
      </c>
      <c r="S2" s="8">
        <f>R2*Q2</f>
        <v>0</v>
      </c>
      <c r="T2">
        <v>2.5815000000000001</v>
      </c>
      <c r="U2">
        <v>0</v>
      </c>
      <c r="V2" s="8">
        <f>U2*T2</f>
        <v>0</v>
      </c>
      <c r="W2">
        <v>0.96079999999999999</v>
      </c>
      <c r="X2">
        <v>1</v>
      </c>
      <c r="Y2" s="8">
        <f>X2*W2</f>
        <v>0.96079999999999999</v>
      </c>
      <c r="Z2">
        <v>4.2799999999999998E-2</v>
      </c>
      <c r="AA2">
        <f>H2</f>
        <v>33.5</v>
      </c>
      <c r="AB2" s="8">
        <f>AA2*Z2</f>
        <v>1.4338</v>
      </c>
      <c r="AC2">
        <v>2.3900000000000001E-2</v>
      </c>
      <c r="AD2">
        <v>1</v>
      </c>
      <c r="AE2" s="8">
        <f>AD2*AC2</f>
        <v>2.3900000000000001E-2</v>
      </c>
      <c r="AF2">
        <v>-0.4793</v>
      </c>
      <c r="AG2">
        <v>0</v>
      </c>
      <c r="AH2" s="8">
        <f>AG2*AF2</f>
        <v>0</v>
      </c>
      <c r="AI2">
        <v>0.13880000000000001</v>
      </c>
      <c r="AJ2">
        <v>0</v>
      </c>
      <c r="AK2" s="8">
        <f>AJ2*AI2</f>
        <v>0</v>
      </c>
      <c r="AL2">
        <v>0.27039999999999997</v>
      </c>
      <c r="AM2">
        <v>0</v>
      </c>
      <c r="AN2" s="8">
        <f>AM2*AL2</f>
        <v>0</v>
      </c>
      <c r="AO2">
        <v>4.6600000000000001E-3</v>
      </c>
      <c r="AP2">
        <v>0</v>
      </c>
      <c r="AQ2" s="8">
        <f>AP2*AO2</f>
        <v>0</v>
      </c>
      <c r="AR2">
        <v>0.1986</v>
      </c>
      <c r="AS2">
        <v>0</v>
      </c>
      <c r="AT2" s="6">
        <f>AS2*AR2</f>
        <v>0</v>
      </c>
      <c r="AU2">
        <v>-0.2535</v>
      </c>
      <c r="AV2">
        <v>0</v>
      </c>
      <c r="AW2" s="6">
        <f>AV2*AU2</f>
        <v>0</v>
      </c>
      <c r="AX2">
        <v>1.54E-2</v>
      </c>
      <c r="AY2">
        <f>E2</f>
        <v>29</v>
      </c>
      <c r="AZ2" s="6">
        <f>AY2*AX2</f>
        <v>0.4466</v>
      </c>
      <c r="BA2">
        <v>0.123</v>
      </c>
      <c r="BB2">
        <f>C2</f>
        <v>2.1</v>
      </c>
      <c r="BC2">
        <f>BB2*BA2</f>
        <v>0.25830000000000003</v>
      </c>
      <c r="BD2">
        <v>0</v>
      </c>
      <c r="BE2">
        <v>0</v>
      </c>
      <c r="BF2" s="8">
        <f>BE2*BD2</f>
        <v>0</v>
      </c>
      <c r="BG2">
        <v>0</v>
      </c>
      <c r="BH2">
        <v>0</v>
      </c>
      <c r="BI2">
        <f>BH2*BG2</f>
        <v>0</v>
      </c>
      <c r="BJ2">
        <v>0</v>
      </c>
      <c r="BK2">
        <f>E2</f>
        <v>29</v>
      </c>
      <c r="BL2">
        <f>BK2*BJ2</f>
        <v>0</v>
      </c>
      <c r="BM2">
        <v>0</v>
      </c>
      <c r="BN2">
        <v>0</v>
      </c>
      <c r="BO2">
        <f>BN2*BM2</f>
        <v>0</v>
      </c>
      <c r="BP2">
        <v>0</v>
      </c>
      <c r="BQ2">
        <f>F2</f>
        <v>0</v>
      </c>
      <c r="BR2">
        <f>BQ2*BP2</f>
        <v>0</v>
      </c>
      <c r="BS2" s="7">
        <f>$BR2+$BO2+$BL2+$BI2+$BF2+$BC2+$AZ2+$AW2+$AT2+$AQ2+$AN2+$AK2+$AH2+$AE2+$AB2+$Y2+$V2+$S2+M2</f>
        <v>-0.60799999999999965</v>
      </c>
      <c r="BT2" s="7">
        <f>$BR2+$BO2+$BL2+$BI2+$BF2+$BC2+$AZ2+$AW2+$AT2+$AQ2+$AN2+$AK2+$AH2+$AE2+$AB2+$Y2+$V2+$S2+P2</f>
        <v>1.4040000000000001</v>
      </c>
      <c r="BU2">
        <f>1/(1+EXP(-BS2))</f>
        <v>0.35251555983448418</v>
      </c>
      <c r="BV2">
        <f>1/(1+EXP(-BT2))</f>
        <v>0.80281786099823971</v>
      </c>
      <c r="BW2">
        <f>BU2</f>
        <v>0.35251555983448418</v>
      </c>
      <c r="BX2">
        <f>BV2-BU2</f>
        <v>0.45030230116375553</v>
      </c>
      <c r="BY2">
        <f>1-BV2</f>
        <v>0.19718213900176029</v>
      </c>
      <c r="BZ2" t="s">
        <v>23</v>
      </c>
    </row>
    <row r="3" spans="1:78" x14ac:dyDescent="0.25">
      <c r="A3">
        <v>2</v>
      </c>
      <c r="B3" t="s">
        <v>17</v>
      </c>
      <c r="C3">
        <v>0.1</v>
      </c>
      <c r="D3">
        <v>700</v>
      </c>
      <c r="E3">
        <v>22</v>
      </c>
      <c r="F3">
        <v>0</v>
      </c>
      <c r="G3">
        <v>3</v>
      </c>
      <c r="H3">
        <v>35.5</v>
      </c>
      <c r="I3" t="s">
        <v>21</v>
      </c>
      <c r="J3" t="s">
        <v>16</v>
      </c>
      <c r="K3">
        <v>-1.8420000000000001</v>
      </c>
      <c r="L3">
        <v>1</v>
      </c>
      <c r="M3" s="8">
        <f t="shared" ref="M3:M5" si="0">L3*K3</f>
        <v>-1.8420000000000001</v>
      </c>
      <c r="N3">
        <v>0.2177</v>
      </c>
      <c r="O3">
        <v>1</v>
      </c>
      <c r="P3" s="8">
        <f t="shared" ref="P3:P5" si="1">O3*N3</f>
        <v>0.2177</v>
      </c>
      <c r="Q3">
        <v>1.9473</v>
      </c>
      <c r="R3">
        <v>1</v>
      </c>
      <c r="S3" s="8">
        <f t="shared" ref="S3:S5" si="2">R3*Q3</f>
        <v>1.9473</v>
      </c>
      <c r="T3">
        <v>3.0630999999999999</v>
      </c>
      <c r="U3">
        <v>0</v>
      </c>
      <c r="V3" s="8">
        <f t="shared" ref="V3:V5" si="3">U3*T3</f>
        <v>0</v>
      </c>
      <c r="W3">
        <v>1.5014000000000001</v>
      </c>
      <c r="X3">
        <v>0</v>
      </c>
      <c r="Y3" s="8">
        <f t="shared" ref="Y3:Y5" si="4">X3*W3</f>
        <v>0</v>
      </c>
      <c r="Z3">
        <v>0</v>
      </c>
      <c r="AA3">
        <f t="shared" ref="AA3:AA4" si="5">H3</f>
        <v>35.5</v>
      </c>
      <c r="AB3" s="8">
        <f t="shared" ref="AB3:AB5" si="6">AA3*Z3</f>
        <v>0</v>
      </c>
      <c r="AC3">
        <v>0.42420000000000002</v>
      </c>
      <c r="AD3">
        <v>0</v>
      </c>
      <c r="AE3" s="8">
        <f t="shared" ref="AE3:AE5" si="7">AD3*AC3</f>
        <v>0</v>
      </c>
      <c r="AF3">
        <v>7.4300000000000005E-2</v>
      </c>
      <c r="AG3">
        <v>0</v>
      </c>
      <c r="AH3" s="8">
        <f t="shared" ref="AH3:AH5" si="8">AG3*AF3</f>
        <v>0</v>
      </c>
      <c r="AI3">
        <v>-6.7000000000000004E-2</v>
      </c>
      <c r="AJ3">
        <v>0</v>
      </c>
      <c r="AK3" s="8">
        <f t="shared" ref="AK3:AK5" si="9">AJ3*AI3</f>
        <v>0</v>
      </c>
      <c r="AL3">
        <v>-8.3400000000000002E-2</v>
      </c>
      <c r="AM3">
        <v>0</v>
      </c>
      <c r="AN3" s="8">
        <f t="shared" ref="AN3:AN5" si="10">AM3*AL3</f>
        <v>0</v>
      </c>
      <c r="AO3">
        <v>-0.26840000000000003</v>
      </c>
      <c r="AP3">
        <v>0</v>
      </c>
      <c r="AQ3" s="8">
        <f t="shared" ref="AQ3:AQ5" si="11">AP3*AO3</f>
        <v>0</v>
      </c>
      <c r="AR3">
        <v>0</v>
      </c>
      <c r="AS3">
        <v>0</v>
      </c>
      <c r="AT3" s="6">
        <f t="shared" ref="AT3:AT5" si="12">AS3*AR3</f>
        <v>0</v>
      </c>
      <c r="AU3">
        <v>0</v>
      </c>
      <c r="AV3">
        <v>0</v>
      </c>
      <c r="AW3" s="6">
        <f t="shared" ref="AW3:AW5" si="13">AV3*AU3</f>
        <v>0</v>
      </c>
      <c r="AX3">
        <v>0</v>
      </c>
      <c r="AY3">
        <f t="shared" ref="AY3:AY4" si="14">E3</f>
        <v>22</v>
      </c>
      <c r="AZ3" s="6">
        <f t="shared" ref="AZ3:AZ5" si="15">AY3*AX3</f>
        <v>0</v>
      </c>
      <c r="BA3">
        <v>0</v>
      </c>
      <c r="BB3">
        <f t="shared" ref="BB3:BB4" si="16">C3</f>
        <v>0.1</v>
      </c>
      <c r="BC3">
        <f t="shared" ref="BC3:BC5" si="17">BB3*BA3</f>
        <v>0</v>
      </c>
      <c r="BD3">
        <v>0</v>
      </c>
      <c r="BE3">
        <f>E3</f>
        <v>22</v>
      </c>
      <c r="BF3" s="8">
        <f t="shared" ref="BF3:BF5" si="18">BE3*BD3</f>
        <v>0</v>
      </c>
      <c r="BG3">
        <v>0</v>
      </c>
      <c r="BH3">
        <v>0</v>
      </c>
      <c r="BI3">
        <f t="shared" ref="BI3:BI5" si="19">BH3*BG3</f>
        <v>0</v>
      </c>
      <c r="BJ3">
        <v>0</v>
      </c>
      <c r="BK3">
        <v>0</v>
      </c>
      <c r="BL3">
        <f t="shared" ref="BL3:BL5" si="20">BK3*BJ3</f>
        <v>0</v>
      </c>
      <c r="BM3">
        <v>0.49399999999999999</v>
      </c>
      <c r="BN3">
        <v>0</v>
      </c>
      <c r="BO3">
        <f t="shared" ref="BO3:BO5" si="21">BN3*BM3</f>
        <v>0</v>
      </c>
      <c r="BP3">
        <v>0</v>
      </c>
      <c r="BQ3">
        <f t="shared" ref="BQ3:BQ4" si="22">F3</f>
        <v>0</v>
      </c>
      <c r="BR3">
        <f t="shared" ref="BR3:BR5" si="23">BQ3*BP3</f>
        <v>0</v>
      </c>
      <c r="BS3" s="7">
        <f t="shared" ref="BS3:BS4" si="24">$BR3+$BO3+$BL3+$BI3+$BF3+$BC3+$AZ3+$AW3+$AT3+$AQ3+$AN3+$AK3+$AH3+$AE3+$AB3+$Y3+$V3+$S3+M3</f>
        <v>0.10529999999999995</v>
      </c>
      <c r="BT3" s="7">
        <f t="shared" ref="BT3:BT4" si="25">$BR3+$BO3+$BL3+$BI3+$BF3+$BC3+$AZ3+$AW3+$AT3+$AQ3+$AN3+$AK3+$AH3+$AE3+$AB3+$Y3+$V3+$S3+P3</f>
        <v>2.165</v>
      </c>
      <c r="BU3">
        <f t="shared" ref="BU3:BU4" si="26">1/(1+EXP(-BS3))</f>
        <v>0.5263007024435562</v>
      </c>
      <c r="BV3">
        <f t="shared" ref="BV3:BV4" si="27">1/(1+EXP(-BT3))</f>
        <v>0.89706217418282785</v>
      </c>
      <c r="BW3">
        <f t="shared" ref="BW3:BW4" si="28">BU3</f>
        <v>0.5263007024435562</v>
      </c>
      <c r="BX3">
        <f t="shared" ref="BX3:BX4" si="29">BV3-BU3</f>
        <v>0.37076147173927165</v>
      </c>
      <c r="BY3">
        <f t="shared" ref="BY3:BY4" si="30">1-BV3</f>
        <v>0.10293782581717215</v>
      </c>
      <c r="BZ3" t="s">
        <v>23</v>
      </c>
    </row>
    <row r="4" spans="1:78" x14ac:dyDescent="0.25">
      <c r="A4">
        <v>3</v>
      </c>
      <c r="B4" t="s">
        <v>24</v>
      </c>
      <c r="C4">
        <v>1.2</v>
      </c>
      <c r="D4">
        <v>1022</v>
      </c>
      <c r="E4">
        <v>25</v>
      </c>
      <c r="F4">
        <v>1</v>
      </c>
      <c r="G4">
        <v>3</v>
      </c>
      <c r="H4">
        <v>38.5</v>
      </c>
      <c r="I4" t="s">
        <v>21</v>
      </c>
      <c r="J4" t="s">
        <v>16</v>
      </c>
      <c r="K4">
        <v>-1.8420000000000001</v>
      </c>
      <c r="L4">
        <v>1</v>
      </c>
      <c r="M4" s="8">
        <f t="shared" si="0"/>
        <v>-1.8420000000000001</v>
      </c>
      <c r="N4">
        <v>0.2177</v>
      </c>
      <c r="O4">
        <v>1</v>
      </c>
      <c r="P4" s="8">
        <f t="shared" si="1"/>
        <v>0.2177</v>
      </c>
      <c r="Q4">
        <v>1.9473</v>
      </c>
      <c r="R4">
        <v>1</v>
      </c>
      <c r="S4" s="8">
        <f t="shared" si="2"/>
        <v>1.9473</v>
      </c>
      <c r="T4">
        <v>3.0630999999999999</v>
      </c>
      <c r="U4">
        <v>0</v>
      </c>
      <c r="V4" s="8">
        <f t="shared" si="3"/>
        <v>0</v>
      </c>
      <c r="W4">
        <v>1.5014000000000001</v>
      </c>
      <c r="X4">
        <v>0</v>
      </c>
      <c r="Y4" s="8">
        <f t="shared" si="4"/>
        <v>0</v>
      </c>
      <c r="Z4">
        <v>0</v>
      </c>
      <c r="AA4">
        <f t="shared" si="5"/>
        <v>38.5</v>
      </c>
      <c r="AB4" s="8">
        <f t="shared" si="6"/>
        <v>0</v>
      </c>
      <c r="AC4">
        <v>0.42420000000000002</v>
      </c>
      <c r="AD4">
        <v>0</v>
      </c>
      <c r="AE4" s="8">
        <f t="shared" si="7"/>
        <v>0</v>
      </c>
      <c r="AF4">
        <v>7.4300000000000005E-2</v>
      </c>
      <c r="AG4">
        <v>0</v>
      </c>
      <c r="AH4" s="8">
        <f t="shared" si="8"/>
        <v>0</v>
      </c>
      <c r="AI4">
        <v>-6.7000000000000004E-2</v>
      </c>
      <c r="AJ4">
        <v>0</v>
      </c>
      <c r="AK4" s="8">
        <f t="shared" si="9"/>
        <v>0</v>
      </c>
      <c r="AL4">
        <v>-8.3400000000000002E-2</v>
      </c>
      <c r="AM4">
        <v>0</v>
      </c>
      <c r="AN4" s="8">
        <f t="shared" si="10"/>
        <v>0</v>
      </c>
      <c r="AO4">
        <v>-0.26840000000000003</v>
      </c>
      <c r="AP4">
        <v>1</v>
      </c>
      <c r="AQ4" s="8">
        <f t="shared" si="11"/>
        <v>-0.26840000000000003</v>
      </c>
      <c r="AR4">
        <v>0</v>
      </c>
      <c r="AS4">
        <v>0</v>
      </c>
      <c r="AT4" s="6">
        <f t="shared" si="12"/>
        <v>0</v>
      </c>
      <c r="AU4">
        <v>0</v>
      </c>
      <c r="AV4">
        <v>0</v>
      </c>
      <c r="AW4" s="6">
        <f t="shared" si="13"/>
        <v>0</v>
      </c>
      <c r="AX4">
        <v>0</v>
      </c>
      <c r="AY4">
        <f t="shared" si="14"/>
        <v>25</v>
      </c>
      <c r="AZ4" s="6">
        <f t="shared" si="15"/>
        <v>0</v>
      </c>
      <c r="BA4">
        <v>0</v>
      </c>
      <c r="BB4">
        <f t="shared" si="16"/>
        <v>1.2</v>
      </c>
      <c r="BC4">
        <f t="shared" si="17"/>
        <v>0</v>
      </c>
      <c r="BD4">
        <v>0</v>
      </c>
      <c r="BE4">
        <f>E4</f>
        <v>25</v>
      </c>
      <c r="BF4" s="8">
        <f t="shared" si="18"/>
        <v>0</v>
      </c>
      <c r="BG4">
        <v>0</v>
      </c>
      <c r="BH4">
        <v>0</v>
      </c>
      <c r="BI4">
        <f t="shared" si="19"/>
        <v>0</v>
      </c>
      <c r="BJ4">
        <v>0</v>
      </c>
      <c r="BK4">
        <v>0</v>
      </c>
      <c r="BL4">
        <f t="shared" si="20"/>
        <v>0</v>
      </c>
      <c r="BM4">
        <v>0.49399999999999999</v>
      </c>
      <c r="BN4">
        <v>0</v>
      </c>
      <c r="BO4">
        <f t="shared" si="21"/>
        <v>0</v>
      </c>
      <c r="BP4">
        <v>0</v>
      </c>
      <c r="BQ4">
        <f t="shared" si="22"/>
        <v>1</v>
      </c>
      <c r="BR4">
        <f t="shared" si="23"/>
        <v>0</v>
      </c>
      <c r="BS4" s="7">
        <f t="shared" si="24"/>
        <v>-0.16310000000000002</v>
      </c>
      <c r="BT4" s="7">
        <f t="shared" si="25"/>
        <v>1.8966000000000001</v>
      </c>
      <c r="BU4">
        <f t="shared" si="26"/>
        <v>0.45931515024739922</v>
      </c>
      <c r="BV4">
        <f t="shared" si="27"/>
        <v>0.8695062285650671</v>
      </c>
      <c r="BW4">
        <f t="shared" si="28"/>
        <v>0.45931515024739922</v>
      </c>
      <c r="BX4">
        <f t="shared" si="29"/>
        <v>0.41019107831766788</v>
      </c>
      <c r="BY4">
        <f t="shared" si="30"/>
        <v>0.1304937714349329</v>
      </c>
      <c r="BZ4" t="s">
        <v>23</v>
      </c>
    </row>
    <row r="5" spans="1:78" x14ac:dyDescent="0.25">
      <c r="A5">
        <v>1</v>
      </c>
      <c r="B5" t="s">
        <v>10</v>
      </c>
      <c r="C5">
        <v>2.1</v>
      </c>
      <c r="D5">
        <v>828</v>
      </c>
      <c r="E5">
        <v>29</v>
      </c>
      <c r="F5">
        <v>0</v>
      </c>
      <c r="G5">
        <v>4</v>
      </c>
      <c r="H5">
        <v>33.5</v>
      </c>
      <c r="I5" t="s">
        <v>18</v>
      </c>
      <c r="J5" t="s">
        <v>19</v>
      </c>
      <c r="K5">
        <v>-0.80379999999999996</v>
      </c>
      <c r="L5">
        <v>1</v>
      </c>
      <c r="M5" s="8">
        <f t="shared" si="0"/>
        <v>-0.80379999999999996</v>
      </c>
      <c r="N5">
        <v>0.88800000000000001</v>
      </c>
      <c r="O5">
        <v>1</v>
      </c>
      <c r="P5" s="8">
        <f t="shared" si="1"/>
        <v>0.88800000000000001</v>
      </c>
      <c r="Q5">
        <v>1.5212000000000001</v>
      </c>
      <c r="R5">
        <v>0</v>
      </c>
      <c r="S5" s="8">
        <f t="shared" si="2"/>
        <v>0</v>
      </c>
      <c r="T5">
        <v>1.8714999999999999</v>
      </c>
      <c r="U5">
        <v>1</v>
      </c>
      <c r="V5" s="8">
        <f t="shared" si="3"/>
        <v>1.8714999999999999</v>
      </c>
      <c r="W5">
        <v>0.51549999999999996</v>
      </c>
      <c r="X5">
        <v>0</v>
      </c>
      <c r="Y5" s="8">
        <f t="shared" si="4"/>
        <v>0</v>
      </c>
      <c r="Z5">
        <v>0</v>
      </c>
      <c r="AA5">
        <f>H5</f>
        <v>33.5</v>
      </c>
      <c r="AB5" s="8">
        <f t="shared" si="6"/>
        <v>0</v>
      </c>
      <c r="AC5">
        <v>0</v>
      </c>
      <c r="AD5">
        <v>1</v>
      </c>
      <c r="AE5" s="8">
        <f t="shared" si="7"/>
        <v>0</v>
      </c>
      <c r="AF5">
        <v>-4.5199999999999997E-2</v>
      </c>
      <c r="AG5">
        <v>0</v>
      </c>
      <c r="AH5" s="8">
        <f t="shared" si="8"/>
        <v>0</v>
      </c>
      <c r="AI5">
        <v>1.15E-2</v>
      </c>
      <c r="AJ5">
        <v>0</v>
      </c>
      <c r="AK5" s="8">
        <f t="shared" si="9"/>
        <v>0</v>
      </c>
      <c r="AL5">
        <v>1.15E-2</v>
      </c>
      <c r="AM5">
        <v>0</v>
      </c>
      <c r="AN5" s="8">
        <f t="shared" si="10"/>
        <v>0</v>
      </c>
      <c r="AO5">
        <v>-0.1686</v>
      </c>
      <c r="AP5">
        <v>0</v>
      </c>
      <c r="AQ5" s="8">
        <f t="shared" si="11"/>
        <v>0</v>
      </c>
      <c r="AR5">
        <v>0.11940000000000001</v>
      </c>
      <c r="AS5">
        <v>0</v>
      </c>
      <c r="AT5" s="6">
        <f t="shared" si="12"/>
        <v>0</v>
      </c>
      <c r="AU5">
        <v>-0.13100000000000001</v>
      </c>
      <c r="AV5">
        <v>0</v>
      </c>
      <c r="AW5" s="6">
        <f t="shared" si="13"/>
        <v>0</v>
      </c>
      <c r="AX5">
        <v>9.0500000000000008E-3</v>
      </c>
      <c r="AY5">
        <f>E5</f>
        <v>29</v>
      </c>
      <c r="AZ5" s="6">
        <f t="shared" si="15"/>
        <v>0.26245000000000002</v>
      </c>
      <c r="BA5">
        <v>0</v>
      </c>
      <c r="BB5">
        <f>C5</f>
        <v>2.1</v>
      </c>
      <c r="BC5">
        <f t="shared" si="17"/>
        <v>0</v>
      </c>
      <c r="BD5">
        <v>-1.8599999999999998E-2</v>
      </c>
      <c r="BE5">
        <v>0</v>
      </c>
      <c r="BF5" s="8">
        <f t="shared" si="18"/>
        <v>0</v>
      </c>
      <c r="BG5">
        <v>-8.5500000000000003E-3</v>
      </c>
      <c r="BH5">
        <f>E5</f>
        <v>29</v>
      </c>
      <c r="BI5">
        <f t="shared" si="19"/>
        <v>-0.24795</v>
      </c>
      <c r="BJ5">
        <v>1.54E-2</v>
      </c>
      <c r="BK5">
        <v>0</v>
      </c>
      <c r="BL5">
        <f t="shared" si="20"/>
        <v>0</v>
      </c>
      <c r="BM5">
        <v>0</v>
      </c>
      <c r="BN5">
        <v>0</v>
      </c>
      <c r="BO5">
        <f t="shared" si="21"/>
        <v>0</v>
      </c>
      <c r="BP5">
        <v>0</v>
      </c>
      <c r="BQ5">
        <f>F5</f>
        <v>0</v>
      </c>
      <c r="BR5">
        <f t="shared" si="23"/>
        <v>0</v>
      </c>
      <c r="BS5" s="7">
        <f t="shared" ref="BS5" si="31">$BR5+$BO5+$BL5+$BI5+$BF5+$BC5+$AZ5+$AW5+$AT5+$AQ5+$AN5+$AK5+$AH5+$AE5+$AB5+$Y5+$V5+$S5+M5</f>
        <v>1.0821999999999998</v>
      </c>
      <c r="BT5" s="7">
        <f t="shared" ref="BT5" si="32">$BR5+$BO5+$BL5+$BI5+$BF5+$BC5+$AZ5+$AW5+$AT5+$AQ5+$AN5+$AK5+$AH5+$AE5+$AB5+$Y5+$V5+$S5+P5</f>
        <v>2.774</v>
      </c>
      <c r="BU5">
        <f t="shared" ref="BU5" si="33">1/(1+EXP(-BS5))</f>
        <v>0.74691008709786466</v>
      </c>
      <c r="BV5">
        <f t="shared" ref="BV5" si="34">1/(1+EXP(-BT5))</f>
        <v>0.94125455498295818</v>
      </c>
      <c r="BW5">
        <f t="shared" ref="BW5" si="35">BU5</f>
        <v>0.74691008709786466</v>
      </c>
      <c r="BX5">
        <f t="shared" ref="BX5" si="36">BV5-BU5</f>
        <v>0.19434446788509352</v>
      </c>
      <c r="BY5">
        <f t="shared" ref="BY5" si="37">1-BV5</f>
        <v>5.874544501704182E-2</v>
      </c>
      <c r="BZ5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AD61-622D-4C28-91F9-2E131AD83FFD}">
  <dimension ref="A1:AX4"/>
  <sheetViews>
    <sheetView workbookViewId="0">
      <pane xSplit="10" ySplit="1" topLeftCell="AG2" activePane="bottomRight" state="frozen"/>
      <selection pane="topRight" activeCell="K1" sqref="K1"/>
      <selection pane="bottomLeft" activeCell="A2" sqref="A2"/>
      <selection pane="bottomRight" activeCell="AU2" sqref="AU2:AX3"/>
    </sheetView>
  </sheetViews>
  <sheetFormatPr baseColWidth="10" defaultRowHeight="15" x14ac:dyDescent="0.25"/>
  <cols>
    <col min="1" max="10" width="6.42578125" customWidth="1"/>
    <col min="11" max="11" width="12.7109375" bestFit="1" customWidth="1"/>
    <col min="12" max="12" width="2" bestFit="1" customWidth="1"/>
    <col min="13" max="13" width="7.7109375" bestFit="1" customWidth="1"/>
    <col min="14" max="14" width="12.7109375" bestFit="1" customWidth="1"/>
    <col min="15" max="15" width="2" bestFit="1" customWidth="1"/>
    <col min="16" max="16" width="7.7109375" bestFit="1" customWidth="1"/>
    <col min="17" max="17" width="12.7109375" bestFit="1" customWidth="1"/>
    <col min="18" max="18" width="2" bestFit="1" customWidth="1"/>
    <col min="19" max="19" width="7.7109375" bestFit="1" customWidth="1"/>
    <col min="20" max="20" width="13" bestFit="1" customWidth="1"/>
    <col min="21" max="21" width="2" bestFit="1" customWidth="1"/>
    <col min="22" max="22" width="7.7109375" bestFit="1" customWidth="1"/>
    <col min="23" max="23" width="12.85546875" bestFit="1" customWidth="1"/>
    <col min="24" max="24" width="2" bestFit="1" customWidth="1"/>
    <col min="25" max="25" width="7.7109375" bestFit="1" customWidth="1"/>
    <col min="26" max="26" width="12.85546875" bestFit="1" customWidth="1"/>
    <col min="27" max="27" width="2" bestFit="1" customWidth="1"/>
    <col min="28" max="28" width="7.7109375" bestFit="1" customWidth="1"/>
    <col min="29" max="29" width="12.42578125" bestFit="1" customWidth="1"/>
    <col min="30" max="30" width="3" bestFit="1" customWidth="1"/>
    <col min="31" max="31" width="7.7109375" bestFit="1" customWidth="1"/>
    <col min="32" max="32" width="23.7109375" bestFit="1" customWidth="1"/>
    <col min="33" max="33" width="3" bestFit="1" customWidth="1"/>
    <col min="34" max="34" width="7.7109375" bestFit="1" customWidth="1"/>
    <col min="35" max="35" width="9.140625" bestFit="1" customWidth="1"/>
    <col min="36" max="36" width="9.140625" customWidth="1"/>
    <col min="37" max="37" width="7.7109375" bestFit="1" customWidth="1"/>
    <col min="38" max="38" width="20.28515625" bestFit="1" customWidth="1"/>
    <col min="39" max="39" width="5" bestFit="1" customWidth="1"/>
    <col min="40" max="40" width="7.71093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</v>
      </c>
      <c r="N1" t="s">
        <v>50</v>
      </c>
      <c r="Q1" t="s">
        <v>27</v>
      </c>
      <c r="T1" t="s">
        <v>28</v>
      </c>
      <c r="W1" t="s">
        <v>33</v>
      </c>
      <c r="Z1" t="s">
        <v>37</v>
      </c>
      <c r="AC1" t="s">
        <v>40</v>
      </c>
      <c r="AF1" t="s">
        <v>51</v>
      </c>
      <c r="AI1" t="s">
        <v>31</v>
      </c>
      <c r="AL1" t="s">
        <v>42</v>
      </c>
      <c r="AO1" t="s">
        <v>63</v>
      </c>
      <c r="AP1" t="s">
        <v>54</v>
      </c>
      <c r="AQ1" t="s">
        <v>64</v>
      </c>
      <c r="AR1" t="s">
        <v>62</v>
      </c>
      <c r="AS1" t="s">
        <v>55</v>
      </c>
      <c r="AT1" t="s">
        <v>47</v>
      </c>
      <c r="AU1" t="s">
        <v>61</v>
      </c>
      <c r="AV1" t="s">
        <v>56</v>
      </c>
      <c r="AW1" t="s">
        <v>48</v>
      </c>
      <c r="AX1" t="s">
        <v>49</v>
      </c>
    </row>
    <row r="2" spans="1:50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3</v>
      </c>
      <c r="H2">
        <v>40.200000000000003</v>
      </c>
      <c r="I2" t="s">
        <v>15</v>
      </c>
      <c r="J2" t="s">
        <v>16</v>
      </c>
      <c r="K2">
        <v>-2.4091999999999998</v>
      </c>
      <c r="L2">
        <v>1</v>
      </c>
      <c r="M2">
        <f>L2*K2</f>
        <v>-2.4091999999999998</v>
      </c>
      <c r="N2">
        <v>-1.3315999999999999</v>
      </c>
      <c r="O2">
        <v>1</v>
      </c>
      <c r="P2">
        <f>O2*N2</f>
        <v>-1.3315999999999999</v>
      </c>
      <c r="Q2">
        <v>0.2475</v>
      </c>
      <c r="R2">
        <v>1</v>
      </c>
      <c r="S2">
        <f>R2*Q2</f>
        <v>0.2475</v>
      </c>
      <c r="T2">
        <v>1.9658</v>
      </c>
      <c r="U2">
        <v>1</v>
      </c>
      <c r="V2">
        <f>U2*T2</f>
        <v>1.9658</v>
      </c>
      <c r="W2">
        <v>0</v>
      </c>
      <c r="X2">
        <v>1</v>
      </c>
      <c r="Y2">
        <f>X2*W2</f>
        <v>0</v>
      </c>
      <c r="Z2">
        <v>0</v>
      </c>
      <c r="AA2">
        <v>0</v>
      </c>
      <c r="AB2">
        <f>AA2*Z2</f>
        <v>0</v>
      </c>
      <c r="AC2">
        <v>2.4500000000000001E-2</v>
      </c>
      <c r="AD2">
        <f>E2</f>
        <v>29</v>
      </c>
      <c r="AE2">
        <f>AD2*AC2</f>
        <v>0.71050000000000002</v>
      </c>
      <c r="AF2">
        <v>0</v>
      </c>
      <c r="AG2">
        <f>E2</f>
        <v>29</v>
      </c>
      <c r="AH2">
        <f>AG2*AF2</f>
        <v>0</v>
      </c>
      <c r="AI2">
        <v>0</v>
      </c>
      <c r="AJ2">
        <f>H2</f>
        <v>40.200000000000003</v>
      </c>
      <c r="AK2">
        <f>AJ2*AI2</f>
        <v>0</v>
      </c>
      <c r="AL2">
        <v>0</v>
      </c>
      <c r="AM2">
        <f>H2</f>
        <v>40.200000000000003</v>
      </c>
      <c r="AN2">
        <f>AM2*AL2</f>
        <v>0</v>
      </c>
      <c r="AO2">
        <f>$AN2+$AK2+$AH2+$AE2+$AB2+$Y2+$V2+M2</f>
        <v>0.26710000000000012</v>
      </c>
      <c r="AP2">
        <f>$AN2+$AK2+$AH2+$AE2+$AB2+$Y2+$V2+P2</f>
        <v>1.3447</v>
      </c>
      <c r="AQ2">
        <f>$AN2+$AK2+$AH2+$AE2+$AB2+$Y2+$V2+S2</f>
        <v>2.9238</v>
      </c>
      <c r="AR2">
        <f t="shared" ref="AR2:AT3" si="0">1/(1+EXP(-AO2))</f>
        <v>0.5663808211426673</v>
      </c>
      <c r="AS2">
        <f t="shared" si="0"/>
        <v>0.79326179223466042</v>
      </c>
      <c r="AT2">
        <f t="shared" si="0"/>
        <v>0.9490104935326269</v>
      </c>
      <c r="AU2">
        <f>AR2</f>
        <v>0.5663808211426673</v>
      </c>
      <c r="AV2">
        <f>AS2-AR2</f>
        <v>0.22688097109199312</v>
      </c>
      <c r="AW2">
        <f>AT2-AS2</f>
        <v>0.15574870129796647</v>
      </c>
      <c r="AX2">
        <f>1-AT2</f>
        <v>5.0989506467373102E-2</v>
      </c>
    </row>
    <row r="3" spans="1:50" x14ac:dyDescent="0.25">
      <c r="A3">
        <v>3</v>
      </c>
      <c r="B3" t="s">
        <v>24</v>
      </c>
      <c r="C3">
        <v>1.2</v>
      </c>
      <c r="D3">
        <v>1022</v>
      </c>
      <c r="E3">
        <v>25</v>
      </c>
      <c r="F3">
        <v>1</v>
      </c>
      <c r="G3">
        <v>4</v>
      </c>
      <c r="H3" s="5">
        <v>39.200000000000003</v>
      </c>
      <c r="I3" t="s">
        <v>11</v>
      </c>
      <c r="J3" t="s">
        <v>12</v>
      </c>
      <c r="K3">
        <v>-1.6034999999999999</v>
      </c>
      <c r="L3">
        <v>1</v>
      </c>
      <c r="M3">
        <f>L3*K3</f>
        <v>-1.6034999999999999</v>
      </c>
      <c r="N3">
        <v>-0.41120000000000001</v>
      </c>
      <c r="O3">
        <v>1</v>
      </c>
      <c r="P3">
        <f>O3*N3</f>
        <v>-0.41120000000000001</v>
      </c>
      <c r="Q3">
        <v>1.1791</v>
      </c>
      <c r="R3">
        <v>1</v>
      </c>
      <c r="S3">
        <f>R3*Q3</f>
        <v>1.1791</v>
      </c>
      <c r="T3">
        <v>-0.48980000000000001</v>
      </c>
      <c r="U3">
        <v>0</v>
      </c>
      <c r="V3">
        <f>U3*T3</f>
        <v>0</v>
      </c>
      <c r="W3">
        <v>0.83450000000000002</v>
      </c>
      <c r="X3">
        <v>0</v>
      </c>
      <c r="Y3">
        <f>X3*W3</f>
        <v>0</v>
      </c>
      <c r="Z3">
        <v>0.49719999999999998</v>
      </c>
      <c r="AA3">
        <v>1</v>
      </c>
      <c r="AB3">
        <f>AA3*Z3</f>
        <v>0.49719999999999998</v>
      </c>
      <c r="AC3">
        <v>7.4200000000000004E-3</v>
      </c>
      <c r="AD3">
        <f>E3</f>
        <v>25</v>
      </c>
      <c r="AE3">
        <f>AD3*AC3</f>
        <v>0.1855</v>
      </c>
      <c r="AF3">
        <v>2.8E-3</v>
      </c>
      <c r="AG3">
        <v>0</v>
      </c>
      <c r="AH3">
        <f>AG3*AF3</f>
        <v>0</v>
      </c>
      <c r="AI3">
        <v>-3.3500000000000002E-2</v>
      </c>
      <c r="AJ3">
        <f>H3</f>
        <v>39.200000000000003</v>
      </c>
      <c r="AK3">
        <f>AJ3*AI3</f>
        <v>-1.3132000000000001</v>
      </c>
      <c r="AL3">
        <v>5.2400000000000002E-2</v>
      </c>
      <c r="AM3">
        <v>0</v>
      </c>
      <c r="AN3">
        <f>AM3*AL3</f>
        <v>0</v>
      </c>
      <c r="AO3">
        <f>$AN3+$AK3+$AH3+$AE3+$AB3+$Y3+$V3+M3</f>
        <v>-2.234</v>
      </c>
      <c r="AP3">
        <f>$AN3+$AK3+$AH3+$AE3+$AB3+$Y3+$V3+P3</f>
        <v>-1.0417000000000001</v>
      </c>
      <c r="AQ3">
        <f>$AN3+$AK3+$AH3+$AE3+$AB3+$Y3+$V3+S3</f>
        <v>0.54859999999999987</v>
      </c>
      <c r="AR3">
        <f t="shared" si="0"/>
        <v>9.6738555919168301E-2</v>
      </c>
      <c r="AS3">
        <f t="shared" si="0"/>
        <v>0.26082211098313585</v>
      </c>
      <c r="AT3">
        <f t="shared" si="0"/>
        <v>0.63381071935575717</v>
      </c>
      <c r="AU3">
        <f>AR3</f>
        <v>9.6738555919168301E-2</v>
      </c>
      <c r="AV3">
        <f>AS3-AR3</f>
        <v>0.16408355506396755</v>
      </c>
      <c r="AW3">
        <f>AT3-AS3</f>
        <v>0.37298860837262132</v>
      </c>
      <c r="AX3">
        <f>1-AT3</f>
        <v>0.36618928064424283</v>
      </c>
    </row>
    <row r="4" spans="1:50" x14ac:dyDescent="0.25">
      <c r="H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D6E1-8D5F-4F31-B76A-3EA237291BD4}">
  <dimension ref="A1:AS2"/>
  <sheetViews>
    <sheetView zoomScale="80" zoomScaleNormal="80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AO1" sqref="AO1:AR1"/>
    </sheetView>
  </sheetViews>
  <sheetFormatPr baseColWidth="10" defaultColWidth="5.42578125" defaultRowHeight="15" x14ac:dyDescent="0.25"/>
  <cols>
    <col min="11" max="11" width="13.140625" bestFit="1" customWidth="1"/>
    <col min="12" max="12" width="2.28515625" bestFit="1" customWidth="1"/>
    <col min="13" max="13" width="8.42578125" bestFit="1" customWidth="1"/>
    <col min="14" max="14" width="13.42578125" bestFit="1" customWidth="1"/>
    <col min="15" max="15" width="2.28515625" bestFit="1" customWidth="1"/>
    <col min="16" max="16" width="5.7109375" style="6" bestFit="1" customWidth="1"/>
    <col min="17" max="17" width="13.5703125" style="6" bestFit="1" customWidth="1"/>
    <col min="18" max="19" width="5" style="6" bestFit="1" customWidth="1"/>
    <col min="20" max="20" width="13" style="6" bestFit="1" customWidth="1"/>
    <col min="21" max="22" width="5" style="6" bestFit="1" customWidth="1"/>
    <col min="23" max="23" width="20.28515625" style="6" bestFit="1" customWidth="1"/>
    <col min="24" max="24" width="6" style="6" bestFit="1" customWidth="1"/>
    <col min="25" max="25" width="5.7109375" style="6" bestFit="1" customWidth="1"/>
    <col min="26" max="26" width="20.5703125" style="6" bestFit="1" customWidth="1"/>
    <col min="27" max="27" width="6" style="6" bestFit="1" customWidth="1"/>
    <col min="28" max="28" width="5.7109375" style="6" bestFit="1" customWidth="1"/>
    <col min="29" max="29" width="20.7109375" style="6" bestFit="1" customWidth="1"/>
    <col min="30" max="30" width="6" style="6" bestFit="1" customWidth="1"/>
    <col min="31" max="31" width="5.7109375" style="6" bestFit="1" customWidth="1"/>
    <col min="32" max="32" width="7.42578125" style="6" bestFit="1" customWidth="1"/>
    <col min="33" max="34" width="5" style="6" bestFit="1" customWidth="1"/>
    <col min="35" max="36" width="5.7109375" style="6" bestFit="1" customWidth="1"/>
    <col min="37" max="37" width="5.5703125" style="6" bestFit="1" customWidth="1"/>
    <col min="38" max="38" width="7.140625" style="6" bestFit="1" customWidth="1"/>
    <col min="39" max="39" width="7.28515625" style="6" bestFit="1" customWidth="1"/>
    <col min="40" max="40" width="7.42578125" style="6" bestFit="1" customWidth="1"/>
    <col min="41" max="41" width="7.140625" style="6" bestFit="1" customWidth="1"/>
    <col min="42" max="42" width="7.28515625" style="6" bestFit="1" customWidth="1"/>
    <col min="43" max="43" width="7.42578125" style="6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</v>
      </c>
      <c r="N1" t="s">
        <v>50</v>
      </c>
      <c r="Q1" s="6" t="s">
        <v>27</v>
      </c>
      <c r="T1" s="6" t="s">
        <v>30</v>
      </c>
      <c r="W1" s="6" t="s">
        <v>58</v>
      </c>
      <c r="Z1" s="6" t="s">
        <v>59</v>
      </c>
      <c r="AC1" s="6" t="s">
        <v>60</v>
      </c>
      <c r="AF1" s="6" t="s">
        <v>41</v>
      </c>
      <c r="AI1" s="6" t="s">
        <v>63</v>
      </c>
      <c r="AJ1" s="6" t="s">
        <v>54</v>
      </c>
      <c r="AK1" s="6" t="s">
        <v>46</v>
      </c>
      <c r="AL1" s="6" t="s">
        <v>62</v>
      </c>
      <c r="AM1" s="6" t="s">
        <v>55</v>
      </c>
      <c r="AN1" s="6" t="s">
        <v>47</v>
      </c>
      <c r="AO1" s="6" t="s">
        <v>61</v>
      </c>
      <c r="AP1" s="6" t="s">
        <v>56</v>
      </c>
      <c r="AQ1" s="6" t="s">
        <v>48</v>
      </c>
      <c r="AR1" s="6" t="s">
        <v>49</v>
      </c>
    </row>
    <row r="2" spans="1:45" x14ac:dyDescent="0.25">
      <c r="A2">
        <v>3</v>
      </c>
      <c r="B2" t="s">
        <v>24</v>
      </c>
      <c r="C2">
        <v>1.2</v>
      </c>
      <c r="D2">
        <v>1022</v>
      </c>
      <c r="E2">
        <v>25</v>
      </c>
      <c r="F2">
        <v>1</v>
      </c>
      <c r="G2">
        <v>5</v>
      </c>
      <c r="H2" s="5">
        <v>39.200000000000003</v>
      </c>
      <c r="I2" t="s">
        <v>21</v>
      </c>
      <c r="J2" t="s">
        <v>14</v>
      </c>
      <c r="K2">
        <v>-3.5731999999999999</v>
      </c>
      <c r="L2">
        <v>1</v>
      </c>
      <c r="M2">
        <f>L2*K2</f>
        <v>-3.5731999999999999</v>
      </c>
      <c r="N2">
        <v>-1.9289000000000001</v>
      </c>
      <c r="O2">
        <v>1</v>
      </c>
      <c r="P2" s="6">
        <f>O2*N2</f>
        <v>-1.9289000000000001</v>
      </c>
      <c r="Q2" s="6">
        <v>0.40949999999999998</v>
      </c>
      <c r="R2" s="6">
        <v>1</v>
      </c>
      <c r="S2" s="6">
        <f>R2*Q2</f>
        <v>0.40949999999999998</v>
      </c>
      <c r="T2" s="6">
        <v>1.3050999999999999</v>
      </c>
      <c r="U2" s="6">
        <v>1</v>
      </c>
      <c r="V2" s="6">
        <f>U2*T2</f>
        <v>1.3050999999999999</v>
      </c>
      <c r="W2" s="9">
        <v>-2.1000000000000001E-4</v>
      </c>
      <c r="X2" s="6">
        <f>H2</f>
        <v>39.200000000000003</v>
      </c>
      <c r="Y2" s="6">
        <f>X2*W2</f>
        <v>-8.2320000000000015E-3</v>
      </c>
      <c r="Z2" s="6">
        <v>-1.34E-2</v>
      </c>
      <c r="AA2" s="6">
        <f>H2</f>
        <v>39.200000000000003</v>
      </c>
      <c r="AB2" s="6">
        <f>AA2*Z2</f>
        <v>-0.52528000000000008</v>
      </c>
      <c r="AC2" s="6">
        <v>-2.8899999999999999E-2</v>
      </c>
      <c r="AD2" s="6">
        <f>H2</f>
        <v>39.200000000000003</v>
      </c>
      <c r="AE2" s="6">
        <f>AD2*AC2</f>
        <v>-1.1328800000000001</v>
      </c>
      <c r="AF2" s="6">
        <v>0.2873</v>
      </c>
      <c r="AG2" s="6">
        <f>C2</f>
        <v>1.2</v>
      </c>
      <c r="AH2" s="6">
        <f>AG2*AF2</f>
        <v>0.34476000000000001</v>
      </c>
      <c r="AI2" s="6">
        <f>$AH2+$Y2+$V2+M2</f>
        <v>-1.9315720000000001</v>
      </c>
      <c r="AJ2" s="6">
        <f>AH2+AB2+V2+P2</f>
        <v>-0.80432000000000015</v>
      </c>
      <c r="AK2" s="6">
        <f>AH2+AE2+V2+S2</f>
        <v>0.92647999999999975</v>
      </c>
      <c r="AL2" s="6">
        <f>1/(1+EXP(-AI2))</f>
        <v>0.1265766855737234</v>
      </c>
      <c r="AM2" s="6">
        <f>1/(1+EXP(-AJ2))</f>
        <v>0.30910218818742013</v>
      </c>
      <c r="AN2" s="6">
        <f>1/(1+EXP(-AK2))</f>
        <v>0.71636060845469118</v>
      </c>
      <c r="AO2" s="6">
        <f>AL2</f>
        <v>0.1265766855737234</v>
      </c>
      <c r="AP2" s="6">
        <f>AM2-AL2</f>
        <v>0.18252550261369674</v>
      </c>
      <c r="AQ2" s="6">
        <f>AN2-AM2</f>
        <v>0.40725842026727105</v>
      </c>
      <c r="AR2" s="6">
        <f>1-AN2</f>
        <v>0.28363939154530882</v>
      </c>
      <c r="AS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6C0B-FC73-49CE-8E8A-38F44C21DF73}">
  <dimension ref="A1:N15"/>
  <sheetViews>
    <sheetView tabSelected="1" workbookViewId="0">
      <selection activeCell="H19" sqref="H19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61</v>
      </c>
      <c r="L1" s="6" t="s">
        <v>56</v>
      </c>
      <c r="M1" s="6" t="s">
        <v>48</v>
      </c>
      <c r="N1" s="6" t="s">
        <v>49</v>
      </c>
    </row>
    <row r="2" spans="1:14" x14ac:dyDescent="0.25">
      <c r="A2">
        <v>1</v>
      </c>
      <c r="B2" t="s">
        <v>10</v>
      </c>
      <c r="C2">
        <v>2.1</v>
      </c>
      <c r="D2">
        <v>828</v>
      </c>
      <c r="E2">
        <v>29</v>
      </c>
      <c r="F2">
        <v>0</v>
      </c>
      <c r="G2">
        <v>1</v>
      </c>
      <c r="H2">
        <v>24</v>
      </c>
      <c r="I2" t="s">
        <v>11</v>
      </c>
      <c r="J2" t="s">
        <v>12</v>
      </c>
      <c r="K2" t="s">
        <v>23</v>
      </c>
      <c r="L2" t="s">
        <v>23</v>
      </c>
      <c r="M2">
        <v>0.56731384029756016</v>
      </c>
      <c r="N2">
        <v>0.43268615970243984</v>
      </c>
    </row>
    <row r="3" spans="1:14" x14ac:dyDescent="0.25">
      <c r="A3">
        <v>1</v>
      </c>
      <c r="B3" t="s">
        <v>10</v>
      </c>
      <c r="C3">
        <v>2.1</v>
      </c>
      <c r="D3">
        <v>828</v>
      </c>
      <c r="E3">
        <v>29</v>
      </c>
      <c r="F3">
        <v>0</v>
      </c>
      <c r="G3">
        <v>2</v>
      </c>
      <c r="H3">
        <v>33.5</v>
      </c>
      <c r="I3" t="s">
        <v>13</v>
      </c>
      <c r="J3" t="s">
        <v>14</v>
      </c>
      <c r="K3" t="s">
        <v>23</v>
      </c>
      <c r="L3">
        <v>0.35251555983448418</v>
      </c>
      <c r="M3">
        <v>0.45030230116375553</v>
      </c>
      <c r="N3">
        <v>0.19718213900176029</v>
      </c>
    </row>
    <row r="4" spans="1:14" x14ac:dyDescent="0.25">
      <c r="A4">
        <v>1</v>
      </c>
      <c r="B4" t="s">
        <v>10</v>
      </c>
      <c r="C4">
        <v>2.1</v>
      </c>
      <c r="D4">
        <v>828</v>
      </c>
      <c r="E4">
        <v>29</v>
      </c>
      <c r="F4">
        <v>0</v>
      </c>
      <c r="G4">
        <v>3</v>
      </c>
      <c r="H4">
        <v>40.200000000000003</v>
      </c>
      <c r="I4" t="s">
        <v>15</v>
      </c>
      <c r="J4" t="s">
        <v>16</v>
      </c>
      <c r="K4">
        <v>0.5663808211426673</v>
      </c>
      <c r="L4">
        <v>0.22688097109199312</v>
      </c>
      <c r="M4">
        <v>0.15574870129796647</v>
      </c>
      <c r="N4">
        <v>5.0989506467373102E-2</v>
      </c>
    </row>
    <row r="5" spans="1:14" x14ac:dyDescent="0.25">
      <c r="A5">
        <v>1</v>
      </c>
      <c r="B5" t="s">
        <v>10</v>
      </c>
      <c r="C5">
        <v>2.1</v>
      </c>
      <c r="D5">
        <v>828</v>
      </c>
      <c r="E5">
        <v>29</v>
      </c>
      <c r="F5">
        <v>0</v>
      </c>
      <c r="G5">
        <v>4</v>
      </c>
      <c r="H5">
        <v>33.5</v>
      </c>
      <c r="I5" t="s">
        <v>18</v>
      </c>
      <c r="J5" t="s">
        <v>19</v>
      </c>
      <c r="K5" t="s">
        <v>23</v>
      </c>
      <c r="L5">
        <v>0.74691008709786466</v>
      </c>
      <c r="M5">
        <v>0.19434446788509352</v>
      </c>
      <c r="N5">
        <v>5.874544501704182E-2</v>
      </c>
    </row>
    <row r="6" spans="1:14" x14ac:dyDescent="0.25">
      <c r="A6">
        <v>2</v>
      </c>
      <c r="B6" t="s">
        <v>17</v>
      </c>
      <c r="C6">
        <v>0.1</v>
      </c>
      <c r="D6">
        <v>700</v>
      </c>
      <c r="E6">
        <v>22</v>
      </c>
      <c r="F6">
        <v>0</v>
      </c>
      <c r="G6">
        <v>1</v>
      </c>
      <c r="H6">
        <v>16.100000000000001</v>
      </c>
      <c r="I6" t="s">
        <v>18</v>
      </c>
      <c r="J6" t="s">
        <v>19</v>
      </c>
      <c r="K6" t="s">
        <v>23</v>
      </c>
      <c r="L6" t="s">
        <v>23</v>
      </c>
      <c r="M6" t="s">
        <v>23</v>
      </c>
      <c r="N6" t="s">
        <v>23</v>
      </c>
    </row>
    <row r="7" spans="1:14" x14ac:dyDescent="0.25">
      <c r="A7">
        <v>2</v>
      </c>
      <c r="B7" t="s">
        <v>17</v>
      </c>
      <c r="C7">
        <v>0.1</v>
      </c>
      <c r="D7">
        <v>700</v>
      </c>
      <c r="E7">
        <v>22</v>
      </c>
      <c r="F7">
        <v>0</v>
      </c>
      <c r="G7">
        <v>2</v>
      </c>
      <c r="H7">
        <v>26</v>
      </c>
      <c r="I7" t="s">
        <v>20</v>
      </c>
      <c r="J7" t="s">
        <v>14</v>
      </c>
      <c r="K7" t="s">
        <v>23</v>
      </c>
      <c r="L7" t="s">
        <v>23</v>
      </c>
      <c r="M7">
        <v>0.78500916608664129</v>
      </c>
      <c r="N7">
        <v>0.21499083391335871</v>
      </c>
    </row>
    <row r="8" spans="1:14" x14ac:dyDescent="0.25">
      <c r="A8">
        <v>2</v>
      </c>
      <c r="B8" t="s">
        <v>17</v>
      </c>
      <c r="C8">
        <v>0.1</v>
      </c>
      <c r="D8">
        <v>700</v>
      </c>
      <c r="E8">
        <v>22</v>
      </c>
      <c r="F8">
        <v>0</v>
      </c>
      <c r="G8">
        <v>3</v>
      </c>
      <c r="H8">
        <v>35.5</v>
      </c>
      <c r="I8" t="s">
        <v>21</v>
      </c>
      <c r="J8" t="s">
        <v>16</v>
      </c>
      <c r="K8" t="s">
        <v>23</v>
      </c>
      <c r="L8">
        <v>0.5263007024435562</v>
      </c>
      <c r="M8">
        <v>0.37076147173927165</v>
      </c>
      <c r="N8">
        <v>0.10293782581717215</v>
      </c>
    </row>
    <row r="9" spans="1:14" x14ac:dyDescent="0.25">
      <c r="A9">
        <v>2</v>
      </c>
      <c r="B9" t="s">
        <v>17</v>
      </c>
      <c r="C9">
        <v>0.1</v>
      </c>
      <c r="D9">
        <v>700</v>
      </c>
      <c r="E9">
        <v>22</v>
      </c>
      <c r="F9">
        <v>0</v>
      </c>
      <c r="G9">
        <v>4</v>
      </c>
      <c r="H9">
        <v>41.3</v>
      </c>
      <c r="I9" t="s">
        <v>22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</row>
    <row r="10" spans="1:14" x14ac:dyDescent="0.25">
      <c r="A10">
        <v>2</v>
      </c>
      <c r="B10" t="s">
        <v>17</v>
      </c>
      <c r="C10">
        <v>0.1</v>
      </c>
      <c r="D10">
        <v>700</v>
      </c>
      <c r="E10">
        <v>22</v>
      </c>
      <c r="F10">
        <v>0</v>
      </c>
      <c r="G10">
        <v>5</v>
      </c>
      <c r="H10">
        <v>28</v>
      </c>
      <c r="I10" t="s">
        <v>15</v>
      </c>
      <c r="J10" t="s">
        <v>16</v>
      </c>
      <c r="K10" t="s">
        <v>23</v>
      </c>
      <c r="L10" t="s">
        <v>23</v>
      </c>
      <c r="M10">
        <v>0.90015068701871293</v>
      </c>
      <c r="N10">
        <v>9.9849312981287075E-2</v>
      </c>
    </row>
    <row r="11" spans="1:14" x14ac:dyDescent="0.25">
      <c r="A11">
        <v>3</v>
      </c>
      <c r="B11" t="s">
        <v>24</v>
      </c>
      <c r="C11">
        <v>1.2</v>
      </c>
      <c r="D11">
        <v>1022</v>
      </c>
      <c r="E11">
        <v>25</v>
      </c>
      <c r="F11">
        <v>1</v>
      </c>
      <c r="G11">
        <v>1</v>
      </c>
      <c r="H11">
        <v>26.1</v>
      </c>
      <c r="I11" t="s">
        <v>25</v>
      </c>
      <c r="J11" t="s">
        <v>19</v>
      </c>
      <c r="K11" t="s">
        <v>23</v>
      </c>
      <c r="L11" t="s">
        <v>23</v>
      </c>
      <c r="M11">
        <v>0.98163458770925915</v>
      </c>
      <c r="N11">
        <v>1.8365412290740846E-2</v>
      </c>
    </row>
    <row r="12" spans="1:14" x14ac:dyDescent="0.25">
      <c r="A12">
        <v>3</v>
      </c>
      <c r="B12" t="s">
        <v>24</v>
      </c>
      <c r="C12">
        <v>1.2</v>
      </c>
      <c r="D12">
        <v>1022</v>
      </c>
      <c r="E12">
        <v>25</v>
      </c>
      <c r="F12">
        <v>1</v>
      </c>
      <c r="G12">
        <v>2</v>
      </c>
      <c r="H12">
        <v>27</v>
      </c>
      <c r="I12" t="s">
        <v>26</v>
      </c>
      <c r="J12" t="s">
        <v>14</v>
      </c>
      <c r="K12" t="s">
        <v>23</v>
      </c>
      <c r="L12" t="s">
        <v>23</v>
      </c>
      <c r="M12">
        <v>0.65314673726765693</v>
      </c>
      <c r="N12">
        <v>0.34685326273234307</v>
      </c>
    </row>
    <row r="13" spans="1:14" x14ac:dyDescent="0.25">
      <c r="A13">
        <v>3</v>
      </c>
      <c r="B13" t="s">
        <v>24</v>
      </c>
      <c r="C13">
        <v>1.2</v>
      </c>
      <c r="D13">
        <v>1022</v>
      </c>
      <c r="E13">
        <v>25</v>
      </c>
      <c r="F13">
        <v>1</v>
      </c>
      <c r="G13">
        <v>3</v>
      </c>
      <c r="H13">
        <v>38.5</v>
      </c>
      <c r="I13" t="s">
        <v>21</v>
      </c>
      <c r="J13" t="s">
        <v>16</v>
      </c>
      <c r="K13" t="s">
        <v>23</v>
      </c>
      <c r="L13">
        <v>0.45931515024739922</v>
      </c>
      <c r="M13">
        <v>0.41019107831766788</v>
      </c>
      <c r="N13">
        <v>0.1304937714349329</v>
      </c>
    </row>
    <row r="14" spans="1:14" x14ac:dyDescent="0.25">
      <c r="A14">
        <v>3</v>
      </c>
      <c r="B14" t="s">
        <v>24</v>
      </c>
      <c r="C14">
        <v>1.2</v>
      </c>
      <c r="D14">
        <v>1022</v>
      </c>
      <c r="E14">
        <v>25</v>
      </c>
      <c r="F14">
        <v>1</v>
      </c>
      <c r="G14">
        <v>4</v>
      </c>
      <c r="H14" s="5">
        <v>39.200000000000003</v>
      </c>
      <c r="I14" t="s">
        <v>11</v>
      </c>
      <c r="J14" t="s">
        <v>12</v>
      </c>
      <c r="K14">
        <v>9.6738555919168301E-2</v>
      </c>
      <c r="L14">
        <v>0.16408355506396755</v>
      </c>
      <c r="M14">
        <v>0.37298860837262132</v>
      </c>
      <c r="N14">
        <v>0.36618928064424283</v>
      </c>
    </row>
    <row r="15" spans="1:14" x14ac:dyDescent="0.25">
      <c r="A15">
        <v>3</v>
      </c>
      <c r="B15" t="s">
        <v>24</v>
      </c>
      <c r="C15">
        <v>1.2</v>
      </c>
      <c r="D15">
        <v>1022</v>
      </c>
      <c r="E15">
        <v>25</v>
      </c>
      <c r="F15">
        <v>1</v>
      </c>
      <c r="G15">
        <v>5</v>
      </c>
      <c r="H15" s="5">
        <v>39.200000000000003</v>
      </c>
      <c r="I15" t="s">
        <v>21</v>
      </c>
      <c r="J15" t="s">
        <v>14</v>
      </c>
      <c r="K15">
        <v>0.1265766855737234</v>
      </c>
      <c r="L15">
        <v>0.18252550261369674</v>
      </c>
      <c r="M15">
        <v>0.40725842026727105</v>
      </c>
      <c r="N15">
        <v>0.28363939154530882</v>
      </c>
    </row>
  </sheetData>
  <sortState xmlns:xlrd2="http://schemas.microsoft.com/office/spreadsheetml/2017/richdata2" ref="A2:N15">
    <sortCondition ref="A2:A15"/>
    <sortCondition ref="G2:G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ex_qualite</vt:lpstr>
      <vt:lpstr>sans eq</vt:lpstr>
      <vt:lpstr>DHP&lt;=23</vt:lpstr>
      <vt:lpstr>DHP23-33</vt:lpstr>
      <vt:lpstr>DHP33-39</vt:lpstr>
      <vt:lpstr>DHP39+</vt:lpstr>
      <vt:lpstr>ERR-DHP39+</vt:lpstr>
      <vt:lpstr>resultats_tous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Auger, Isabelle (DRF)</cp:lastModifiedBy>
  <dcterms:created xsi:type="dcterms:W3CDTF">2025-04-08T16:05:17Z</dcterms:created>
  <dcterms:modified xsi:type="dcterms:W3CDTF">2025-04-08T19:49:01Z</dcterms:modified>
</cp:coreProperties>
</file>